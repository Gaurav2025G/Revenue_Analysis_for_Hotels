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HotelBookings" sheetId="1" r:id="rId1"/>
    <sheet name="Room" sheetId="3" r:id="rId2"/>
    <sheet name="Date" sheetId="2" r:id="rId3"/>
    <sheet name="Customer" sheetId="4" r:id="rId4"/>
    <sheet name="HotelBranc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<sst xmlns="http://schemas.openxmlformats.org/spreadsheetml/2006/main" count="44109" uniqueCount="13662">
  <si>
    <t>Booking_ID</t>
  </si>
  <si>
    <t>Customer_ID</t>
  </si>
  <si>
    <t>Guest_Name</t>
  </si>
  <si>
    <t>Branch_ID</t>
  </si>
  <si>
    <t>Room_ID</t>
  </si>
  <si>
    <t>Date_ID</t>
  </si>
  <si>
    <t>Booking_Date</t>
  </si>
  <si>
    <t>Checkin_Date</t>
  </si>
  <si>
    <t>Checkout_Date</t>
  </si>
  <si>
    <t>Nights</t>
  </si>
  <si>
    <t>Stay_Type</t>
  </si>
  <si>
    <t>Booking_Source</t>
  </si>
  <si>
    <t>Room_Type_Chosen</t>
  </si>
  <si>
    <t>Booking_Status</t>
  </si>
  <si>
    <t>Payment_Method</t>
  </si>
  <si>
    <t>Price_per_Night</t>
  </si>
  <si>
    <t>Total_Price</t>
  </si>
  <si>
    <t>Purpose</t>
  </si>
  <si>
    <t>Star_Rating</t>
  </si>
  <si>
    <t>BYD1OSEP7</t>
  </si>
  <si>
    <t>C00001</t>
  </si>
  <si>
    <t>Ananya Gupta</t>
  </si>
  <si>
    <t>HB0001</t>
  </si>
  <si>
    <t>R00001</t>
  </si>
  <si>
    <t>DT0001</t>
  </si>
  <si>
    <t>Expedia</t>
  </si>
  <si>
    <t>Confirmed</t>
  </si>
  <si>
    <t>Cash</t>
  </si>
  <si>
    <t>BGOJGP2GB</t>
  </si>
  <si>
    <t>C00002</t>
  </si>
  <si>
    <t>Gaurav Patel</t>
  </si>
  <si>
    <t>HB0002</t>
  </si>
  <si>
    <t>R00002</t>
  </si>
  <si>
    <t>DT0002</t>
  </si>
  <si>
    <t>Travel Agent</t>
  </si>
  <si>
    <t>Credit Card</t>
  </si>
  <si>
    <t>BMHVKCXAL</t>
  </si>
  <si>
    <t>C00003</t>
  </si>
  <si>
    <t>Aisha Joshi</t>
  </si>
  <si>
    <t>HB0003</t>
  </si>
  <si>
    <t>R00003</t>
  </si>
  <si>
    <t>DT0003</t>
  </si>
  <si>
    <t>Online Transfer</t>
  </si>
  <si>
    <t>BC2SPVBAX</t>
  </si>
  <si>
    <t>C00004</t>
  </si>
  <si>
    <t>Lucas Iyer</t>
  </si>
  <si>
    <t>HB0004</t>
  </si>
  <si>
    <t>R00004</t>
  </si>
  <si>
    <t>DT0004</t>
  </si>
  <si>
    <t>Corporate</t>
  </si>
  <si>
    <t>BL6D6PQVP</t>
  </si>
  <si>
    <t>C00005</t>
  </si>
  <si>
    <t>Priya Sharma</t>
  </si>
  <si>
    <t>HB0005</t>
  </si>
  <si>
    <t>R00005</t>
  </si>
  <si>
    <t>DT0005</t>
  </si>
  <si>
    <t>Hotel Website</t>
  </si>
  <si>
    <t>Checked-Out</t>
  </si>
  <si>
    <t>Debit Card</t>
  </si>
  <si>
    <t>BEMDF3JPH</t>
  </si>
  <si>
    <t>C00006</t>
  </si>
  <si>
    <t>Lucas Joshi</t>
  </si>
  <si>
    <t>HB0006</t>
  </si>
  <si>
    <t>R00006</t>
  </si>
  <si>
    <t>DT0006</t>
  </si>
  <si>
    <t>BLCQZJ82Z</t>
  </si>
  <si>
    <t>C00007</t>
  </si>
  <si>
    <t>Siddharth Patel</t>
  </si>
  <si>
    <t>HB0007</t>
  </si>
  <si>
    <t>R00007</t>
  </si>
  <si>
    <t>DT0007</t>
  </si>
  <si>
    <t>Wallet</t>
  </si>
  <si>
    <t>BOHXF823Q</t>
  </si>
  <si>
    <t>C00008</t>
  </si>
  <si>
    <t>Pooja Gupta</t>
  </si>
  <si>
    <t>HB0008</t>
  </si>
  <si>
    <t>R00008</t>
  </si>
  <si>
    <t>DT0008</t>
  </si>
  <si>
    <t>B9SU6D143</t>
  </si>
  <si>
    <t>C00009</t>
  </si>
  <si>
    <t>Sana Verma</t>
  </si>
  <si>
    <t>HB0009</t>
  </si>
  <si>
    <t>R00009</t>
  </si>
  <si>
    <t>DT0009</t>
  </si>
  <si>
    <t>Agoda</t>
  </si>
  <si>
    <t>B4EU0DBFD</t>
  </si>
  <si>
    <t>C00010</t>
  </si>
  <si>
    <t>Aisha Verma</t>
  </si>
  <si>
    <t>HB0010</t>
  </si>
  <si>
    <t>R00010</t>
  </si>
  <si>
    <t>DT0010</t>
  </si>
  <si>
    <t>MakeMyTrip</t>
  </si>
  <si>
    <t>BTJ98KSFQ</t>
  </si>
  <si>
    <t>C00011</t>
  </si>
  <si>
    <t>Ishaan Patel</t>
  </si>
  <si>
    <t>HB0011</t>
  </si>
  <si>
    <t>R00011</t>
  </si>
  <si>
    <t>DT0011</t>
  </si>
  <si>
    <t>BSU2MSGQG</t>
  </si>
  <si>
    <t>C00012</t>
  </si>
  <si>
    <t>Aisha Gupta</t>
  </si>
  <si>
    <t>HB0012</t>
  </si>
  <si>
    <t>R00012</t>
  </si>
  <si>
    <t>DT0012</t>
  </si>
  <si>
    <t>BZJ6WUOPZ</t>
  </si>
  <si>
    <t>C00013</t>
  </si>
  <si>
    <t>Priya Verma</t>
  </si>
  <si>
    <t>HB0013</t>
  </si>
  <si>
    <t>R00013</t>
  </si>
  <si>
    <t>DT0013</t>
  </si>
  <si>
    <t>BUL12MZVT</t>
  </si>
  <si>
    <t>C00014</t>
  </si>
  <si>
    <t>Alexander Patel</t>
  </si>
  <si>
    <t>HB0014</t>
  </si>
  <si>
    <t>R00014</t>
  </si>
  <si>
    <t>DT0014</t>
  </si>
  <si>
    <t>B3467WCDP</t>
  </si>
  <si>
    <t>C00015</t>
  </si>
  <si>
    <t>Reyansh Gupta</t>
  </si>
  <si>
    <t>HB0015</t>
  </si>
  <si>
    <t>R00015</t>
  </si>
  <si>
    <t>DT0015</t>
  </si>
  <si>
    <t>B59G5HG5U</t>
  </si>
  <si>
    <t>C00016</t>
  </si>
  <si>
    <t>Neha Khan</t>
  </si>
  <si>
    <t>HB0016</t>
  </si>
  <si>
    <t>R00016</t>
  </si>
  <si>
    <t>DT0016</t>
  </si>
  <si>
    <t>B2E6XLJKF</t>
  </si>
  <si>
    <t>C00017</t>
  </si>
  <si>
    <t>Priya Khan</t>
  </si>
  <si>
    <t>HB0017</t>
  </si>
  <si>
    <t>R00017</t>
  </si>
  <si>
    <t>DT0017</t>
  </si>
  <si>
    <t>Checked-In</t>
  </si>
  <si>
    <t>BG3WTK41N</t>
  </si>
  <si>
    <t>C00018</t>
  </si>
  <si>
    <t>Simran Verma</t>
  </si>
  <si>
    <t>HB0018</t>
  </si>
  <si>
    <t>R00018</t>
  </si>
  <si>
    <t>DT0018</t>
  </si>
  <si>
    <t>Booking.com</t>
  </si>
  <si>
    <t>BXGJNGVSP</t>
  </si>
  <si>
    <t>C00019</t>
  </si>
  <si>
    <t>Simran Khan</t>
  </si>
  <si>
    <t>HB0019</t>
  </si>
  <si>
    <t>R00019</t>
  </si>
  <si>
    <t>DT0019</t>
  </si>
  <si>
    <t>Cancelled</t>
  </si>
  <si>
    <t>BM4CLEN7C</t>
  </si>
  <si>
    <t>C00020</t>
  </si>
  <si>
    <t>Liam Singh</t>
  </si>
  <si>
    <t>HB0020</t>
  </si>
  <si>
    <t>R00020</t>
  </si>
  <si>
    <t>DT0020</t>
  </si>
  <si>
    <t>BGLHC0DJ9</t>
  </si>
  <si>
    <t>C00021</t>
  </si>
  <si>
    <t>Simran Joshi</t>
  </si>
  <si>
    <t>HB0021</t>
  </si>
  <si>
    <t>R00021</t>
  </si>
  <si>
    <t>DT0021</t>
  </si>
  <si>
    <t>B7WAP0O0N</t>
  </si>
  <si>
    <t>C00022</t>
  </si>
  <si>
    <t>Aisha Khan</t>
  </si>
  <si>
    <t>HB0022</t>
  </si>
  <si>
    <t>R00022</t>
  </si>
  <si>
    <t>DT0022</t>
  </si>
  <si>
    <t>B22SR8WNA</t>
  </si>
  <si>
    <t>C00023</t>
  </si>
  <si>
    <t>HB0023</t>
  </si>
  <si>
    <t>R00023</t>
  </si>
  <si>
    <t>DT0023</t>
  </si>
  <si>
    <t>BLE9CB61G</t>
  </si>
  <si>
    <t>C00024</t>
  </si>
  <si>
    <t>Oliver Sharma</t>
  </si>
  <si>
    <t>HB0024</t>
  </si>
  <si>
    <t>R00024</t>
  </si>
  <si>
    <t>DT0024</t>
  </si>
  <si>
    <t>B7COC0WKN</t>
  </si>
  <si>
    <t>C00025</t>
  </si>
  <si>
    <t>Oliver Nair</t>
  </si>
  <si>
    <t>HB0025</t>
  </si>
  <si>
    <t>R00025</t>
  </si>
  <si>
    <t>DT0025</t>
  </si>
  <si>
    <t>BXKKJJAR4</t>
  </si>
  <si>
    <t>C00026</t>
  </si>
  <si>
    <t>Shruti Sharma</t>
  </si>
  <si>
    <t>HB0026</t>
  </si>
  <si>
    <t>R00026</t>
  </si>
  <si>
    <t>DT0026</t>
  </si>
  <si>
    <t>B0ZVQLQP6</t>
  </si>
  <si>
    <t>C00027</t>
  </si>
  <si>
    <t>Alexander Verma</t>
  </si>
  <si>
    <t>HB0027</t>
  </si>
  <si>
    <t>R00027</t>
  </si>
  <si>
    <t>DT0027</t>
  </si>
  <si>
    <t>Walk-in</t>
  </si>
  <si>
    <t>BQ3X4HPAL</t>
  </si>
  <si>
    <t>C00028</t>
  </si>
  <si>
    <t>Neha Patel</t>
  </si>
  <si>
    <t>HB0028</t>
  </si>
  <si>
    <t>R00028</t>
  </si>
  <si>
    <t>DT0028</t>
  </si>
  <si>
    <t>BL13ICI9P</t>
  </si>
  <si>
    <t>C00029</t>
  </si>
  <si>
    <t>Oliver Joshi</t>
  </si>
  <si>
    <t>HB0029</t>
  </si>
  <si>
    <t>R00029</t>
  </si>
  <si>
    <t>DT0029</t>
  </si>
  <si>
    <t>B4PMY6O6L</t>
  </si>
  <si>
    <t>C00030</t>
  </si>
  <si>
    <t>Arjun Patel</t>
  </si>
  <si>
    <t>HB0030</t>
  </si>
  <si>
    <t>R00030</t>
  </si>
  <si>
    <t>DT0030</t>
  </si>
  <si>
    <t>BN4KDA24M</t>
  </si>
  <si>
    <t>C00031</t>
  </si>
  <si>
    <t>Aisha Mehta</t>
  </si>
  <si>
    <t>HB0031</t>
  </si>
  <si>
    <t>R00031</t>
  </si>
  <si>
    <t>DT0031</t>
  </si>
  <si>
    <t>B2XQQ0VBQ</t>
  </si>
  <si>
    <t>C00032</t>
  </si>
  <si>
    <t>Ananya Nair</t>
  </si>
  <si>
    <t>HB0032</t>
  </si>
  <si>
    <t>R00032</t>
  </si>
  <si>
    <t>DT0032</t>
  </si>
  <si>
    <t>BU0000LG7</t>
  </si>
  <si>
    <t>C00033</t>
  </si>
  <si>
    <t>Elijah Patel</t>
  </si>
  <si>
    <t>HB0033</t>
  </si>
  <si>
    <t>R00033</t>
  </si>
  <si>
    <t>DT0033</t>
  </si>
  <si>
    <t>BCRLGFR16</t>
  </si>
  <si>
    <t>C00034</t>
  </si>
  <si>
    <t>Elijah Joshi</t>
  </si>
  <si>
    <t>HB0034</t>
  </si>
  <si>
    <t>R00034</t>
  </si>
  <si>
    <t>DT0034</t>
  </si>
  <si>
    <t>BOJ58UBCI</t>
  </si>
  <si>
    <t>C00035</t>
  </si>
  <si>
    <t>Aisha Sharma</t>
  </si>
  <si>
    <t>HB0035</t>
  </si>
  <si>
    <t>R00035</t>
  </si>
  <si>
    <t>DT0035</t>
  </si>
  <si>
    <t>BZ7KO0QL4</t>
  </si>
  <si>
    <t>C00036</t>
  </si>
  <si>
    <t>Aarav Mehta</t>
  </si>
  <si>
    <t>HB0036</t>
  </si>
  <si>
    <t>R00036</t>
  </si>
  <si>
    <t>DT0036</t>
  </si>
  <si>
    <t>BKCEPGJSF</t>
  </si>
  <si>
    <t>C00037</t>
  </si>
  <si>
    <t>Divya Mehta</t>
  </si>
  <si>
    <t>HB0037</t>
  </si>
  <si>
    <t>R00037</t>
  </si>
  <si>
    <t>DT0037</t>
  </si>
  <si>
    <t>BRQSX696G</t>
  </si>
  <si>
    <t>C00038</t>
  </si>
  <si>
    <t>Noah Mehta</t>
  </si>
  <si>
    <t>HB0038</t>
  </si>
  <si>
    <t>R00038</t>
  </si>
  <si>
    <t>DT0038</t>
  </si>
  <si>
    <t>BBI90YC3K</t>
  </si>
  <si>
    <t>C00039</t>
  </si>
  <si>
    <t>Ritika Iyer</t>
  </si>
  <si>
    <t>HB0039</t>
  </si>
  <si>
    <t>R00039</t>
  </si>
  <si>
    <t>DT0039</t>
  </si>
  <si>
    <t>B7DQTBF6B</t>
  </si>
  <si>
    <t>C00040</t>
  </si>
  <si>
    <t>James Khan</t>
  </si>
  <si>
    <t>HB0040</t>
  </si>
  <si>
    <t>R00040</t>
  </si>
  <si>
    <t>DT0040</t>
  </si>
  <si>
    <t>BIO1QLML5</t>
  </si>
  <si>
    <t>C00041</t>
  </si>
  <si>
    <t>HB0041</t>
  </si>
  <si>
    <t>R00041</t>
  </si>
  <si>
    <t>DT0041</t>
  </si>
  <si>
    <t>BDBNHLH3T</t>
  </si>
  <si>
    <t>C00042</t>
  </si>
  <si>
    <t>Reyansh Joshi</t>
  </si>
  <si>
    <t>HB0042</t>
  </si>
  <si>
    <t>R00042</t>
  </si>
  <si>
    <t>DT0042</t>
  </si>
  <si>
    <t>BN0C9SM2Q</t>
  </si>
  <si>
    <t>C00043</t>
  </si>
  <si>
    <t>Aditya Nair</t>
  </si>
  <si>
    <t>HB0043</t>
  </si>
  <si>
    <t>R00043</t>
  </si>
  <si>
    <t>DT0043</t>
  </si>
  <si>
    <t>BL90K3RF7</t>
  </si>
  <si>
    <t>C00044</t>
  </si>
  <si>
    <t>Elijah Singh</t>
  </si>
  <si>
    <t>HB0044</t>
  </si>
  <si>
    <t>R00044</t>
  </si>
  <si>
    <t>DT0044</t>
  </si>
  <si>
    <t>BQBUBU37M</t>
  </si>
  <si>
    <t>C00045</t>
  </si>
  <si>
    <t>Elijah Khan</t>
  </si>
  <si>
    <t>HB0045</t>
  </si>
  <si>
    <t>R00045</t>
  </si>
  <si>
    <t>DT0045</t>
  </si>
  <si>
    <t>BFTTT1VDY</t>
  </si>
  <si>
    <t>C00046</t>
  </si>
  <si>
    <t>HB0046</t>
  </si>
  <si>
    <t>R00046</t>
  </si>
  <si>
    <t>DT0046</t>
  </si>
  <si>
    <t>BU0ZJ4O99</t>
  </si>
  <si>
    <t>C00047</t>
  </si>
  <si>
    <t>Ritika Mehta</t>
  </si>
  <si>
    <t>HB0047</t>
  </si>
  <si>
    <t>R00047</t>
  </si>
  <si>
    <t>DT0047</t>
  </si>
  <si>
    <t>BKF54SRNJ</t>
  </si>
  <si>
    <t>C00048</t>
  </si>
  <si>
    <t>HB0048</t>
  </si>
  <si>
    <t>R00048</t>
  </si>
  <si>
    <t>DT0048</t>
  </si>
  <si>
    <t>BEYN70W1P</t>
  </si>
  <si>
    <t>C00049</t>
  </si>
  <si>
    <t>HB0049</t>
  </si>
  <si>
    <t>R00049</t>
  </si>
  <si>
    <t>DT0049</t>
  </si>
  <si>
    <t>BXQ6BWIZP</t>
  </si>
  <si>
    <t>C00050</t>
  </si>
  <si>
    <t>Reyansh Khan</t>
  </si>
  <si>
    <t>HB0050</t>
  </si>
  <si>
    <t>R00050</t>
  </si>
  <si>
    <t>DT0050</t>
  </si>
  <si>
    <t>BEYD5MLGM</t>
  </si>
  <si>
    <t>C00051</t>
  </si>
  <si>
    <t>Divya Singh</t>
  </si>
  <si>
    <t>HB0051</t>
  </si>
  <si>
    <t>R00051</t>
  </si>
  <si>
    <t>DT0051</t>
  </si>
  <si>
    <t>BYS78YP5S</t>
  </si>
  <si>
    <t>C00052</t>
  </si>
  <si>
    <t>Sana Nair</t>
  </si>
  <si>
    <t>HB0052</t>
  </si>
  <si>
    <t>R00052</t>
  </si>
  <si>
    <t>DT0052</t>
  </si>
  <si>
    <t>BYCPUUKBI</t>
  </si>
  <si>
    <t>C00053</t>
  </si>
  <si>
    <t>Henry Patel</t>
  </si>
  <si>
    <t>HB0053</t>
  </si>
  <si>
    <t>R00053</t>
  </si>
  <si>
    <t>DT0053</t>
  </si>
  <si>
    <t>BEO5CHM9G</t>
  </si>
  <si>
    <t>C00054</t>
  </si>
  <si>
    <t>Sana Khan</t>
  </si>
  <si>
    <t>HB0054</t>
  </si>
  <si>
    <t>R00054</t>
  </si>
  <si>
    <t>DT0054</t>
  </si>
  <si>
    <t>BCFZ6Q0L4</t>
  </si>
  <si>
    <t>C00055</t>
  </si>
  <si>
    <t>Alexander Gupta</t>
  </si>
  <si>
    <t>HB0055</t>
  </si>
  <si>
    <t>R00055</t>
  </si>
  <si>
    <t>DT0055</t>
  </si>
  <si>
    <t>BW90DPIMR</t>
  </si>
  <si>
    <t>C00056</t>
  </si>
  <si>
    <t>Sana Singh</t>
  </si>
  <si>
    <t>HB0056</t>
  </si>
  <si>
    <t>R00056</t>
  </si>
  <si>
    <t>DT0056</t>
  </si>
  <si>
    <t>BPEAERO71</t>
  </si>
  <si>
    <t>C00057</t>
  </si>
  <si>
    <t>HB0057</t>
  </si>
  <si>
    <t>R00057</t>
  </si>
  <si>
    <t>DT0057</t>
  </si>
  <si>
    <t>No-Show</t>
  </si>
  <si>
    <t>BQYASYINP</t>
  </si>
  <si>
    <t>C00058</t>
  </si>
  <si>
    <t>Priya Gupta</t>
  </si>
  <si>
    <t>HB0058</t>
  </si>
  <si>
    <t>R00058</t>
  </si>
  <si>
    <t>DT0058</t>
  </si>
  <si>
    <t>BRNWK1S2A</t>
  </si>
  <si>
    <t>C00059</t>
  </si>
  <si>
    <t>HB0059</t>
  </si>
  <si>
    <t>R00059</t>
  </si>
  <si>
    <t>DT0059</t>
  </si>
  <si>
    <t>BLSZKZN0L</t>
  </si>
  <si>
    <t>C00060</t>
  </si>
  <si>
    <t>Shruti Patel</t>
  </si>
  <si>
    <t>HB0060</t>
  </si>
  <si>
    <t>R00060</t>
  </si>
  <si>
    <t>DT0060</t>
  </si>
  <si>
    <t>BAI9A44YZ</t>
  </si>
  <si>
    <t>C00061</t>
  </si>
  <si>
    <t>Karan Verma</t>
  </si>
  <si>
    <t>HB0061</t>
  </si>
  <si>
    <t>R00061</t>
  </si>
  <si>
    <t>DT0061</t>
  </si>
  <si>
    <t>BZD7SCRV3</t>
  </si>
  <si>
    <t>C00062</t>
  </si>
  <si>
    <t>William Sharma</t>
  </si>
  <si>
    <t>HB0062</t>
  </si>
  <si>
    <t>R00062</t>
  </si>
  <si>
    <t>DT0062</t>
  </si>
  <si>
    <t>BKGCIO4UK</t>
  </si>
  <si>
    <t>C00063</t>
  </si>
  <si>
    <t>Divya Joshi</t>
  </si>
  <si>
    <t>HB0063</t>
  </si>
  <si>
    <t>R00063</t>
  </si>
  <si>
    <t>DT0063</t>
  </si>
  <si>
    <t>B3RHWH0XF</t>
  </si>
  <si>
    <t>C00064</t>
  </si>
  <si>
    <t>HB0064</t>
  </si>
  <si>
    <t>R00064</t>
  </si>
  <si>
    <t>DT0064</t>
  </si>
  <si>
    <t>BWB32INST</t>
  </si>
  <si>
    <t>C00065</t>
  </si>
  <si>
    <t>Siddharth Mehta</t>
  </si>
  <si>
    <t>HB0065</t>
  </si>
  <si>
    <t>R00065</t>
  </si>
  <si>
    <t>DT0065</t>
  </si>
  <si>
    <t>BKTCM2VSS</t>
  </si>
  <si>
    <t>C00066</t>
  </si>
  <si>
    <t>Ritika Sharma</t>
  </si>
  <si>
    <t>HB0066</t>
  </si>
  <si>
    <t>R00066</t>
  </si>
  <si>
    <t>DT0066</t>
  </si>
  <si>
    <t>BOUI0OMOM</t>
  </si>
  <si>
    <t>C00067</t>
  </si>
  <si>
    <t>HB0067</t>
  </si>
  <si>
    <t>R00067</t>
  </si>
  <si>
    <t>DT0067</t>
  </si>
  <si>
    <t>BZU368UUJ</t>
  </si>
  <si>
    <t>C00068</t>
  </si>
  <si>
    <t>Sana Mehta</t>
  </si>
  <si>
    <t>HB0068</t>
  </si>
  <si>
    <t>R00068</t>
  </si>
  <si>
    <t>DT0068</t>
  </si>
  <si>
    <t>B5C57TPWA</t>
  </si>
  <si>
    <t>C00069</t>
  </si>
  <si>
    <t>HB0069</t>
  </si>
  <si>
    <t>R00069</t>
  </si>
  <si>
    <t>DT0069</t>
  </si>
  <si>
    <t>BSFHZ92N7</t>
  </si>
  <si>
    <t>C00070</t>
  </si>
  <si>
    <t>Aarav Sharma</t>
  </si>
  <si>
    <t>HB0070</t>
  </si>
  <si>
    <t>R00070</t>
  </si>
  <si>
    <t>DT0070</t>
  </si>
  <si>
    <t>BWBNULIBT</t>
  </si>
  <si>
    <t>C00071</t>
  </si>
  <si>
    <t>Ritika Khan</t>
  </si>
  <si>
    <t>HB0071</t>
  </si>
  <si>
    <t>R00071</t>
  </si>
  <si>
    <t>DT0071</t>
  </si>
  <si>
    <t>BTT7F1UP4</t>
  </si>
  <si>
    <t>C00072</t>
  </si>
  <si>
    <t>HB0072</t>
  </si>
  <si>
    <t>R00072</t>
  </si>
  <si>
    <t>DT0072</t>
  </si>
  <si>
    <t>BI6NRQDWA</t>
  </si>
  <si>
    <t>C00073</t>
  </si>
  <si>
    <t>Pooja Patel</t>
  </si>
  <si>
    <t>HB0073</t>
  </si>
  <si>
    <t>R00073</t>
  </si>
  <si>
    <t>DT0073</t>
  </si>
  <si>
    <t>BLOQVCJVV</t>
  </si>
  <si>
    <t>C00074</t>
  </si>
  <si>
    <t>Divya Sharma</t>
  </si>
  <si>
    <t>HB0074</t>
  </si>
  <si>
    <t>R00074</t>
  </si>
  <si>
    <t>DT0074</t>
  </si>
  <si>
    <t>BSSTCFHD8</t>
  </si>
  <si>
    <t>C00075</t>
  </si>
  <si>
    <t>Pooja Singh</t>
  </si>
  <si>
    <t>HB0075</t>
  </si>
  <si>
    <t>R00075</t>
  </si>
  <si>
    <t>DT0075</t>
  </si>
  <si>
    <t>BYUSL42N3</t>
  </si>
  <si>
    <t>C00076</t>
  </si>
  <si>
    <t>Lucas Singh</t>
  </si>
  <si>
    <t>HB0076</t>
  </si>
  <si>
    <t>R00076</t>
  </si>
  <si>
    <t>DT0076</t>
  </si>
  <si>
    <t>BQS7JP1IL</t>
  </si>
  <si>
    <t>C00077</t>
  </si>
  <si>
    <t>Pooja Khan</t>
  </si>
  <si>
    <t>HB0077</t>
  </si>
  <si>
    <t>R00077</t>
  </si>
  <si>
    <t>DT0077</t>
  </si>
  <si>
    <t>BJHULURSF</t>
  </si>
  <si>
    <t>C00078</t>
  </si>
  <si>
    <t>HB0078</t>
  </si>
  <si>
    <t>R00078</t>
  </si>
  <si>
    <t>DT0078</t>
  </si>
  <si>
    <t>BMCD6XHMK</t>
  </si>
  <si>
    <t>C00079</t>
  </si>
  <si>
    <t>HB0079</t>
  </si>
  <si>
    <t>R00079</t>
  </si>
  <si>
    <t>DT0079</t>
  </si>
  <si>
    <t>BW0V0I1IT</t>
  </si>
  <si>
    <t>C00080</t>
  </si>
  <si>
    <t>Priya Patel</t>
  </si>
  <si>
    <t>HB0080</t>
  </si>
  <si>
    <t>R00080</t>
  </si>
  <si>
    <t>DT0080</t>
  </si>
  <si>
    <t>B4S764623</t>
  </si>
  <si>
    <t>C00081</t>
  </si>
  <si>
    <t>Henry Mehta</t>
  </si>
  <si>
    <t>HB0081</t>
  </si>
  <si>
    <t>R00081</t>
  </si>
  <si>
    <t>DT0081</t>
  </si>
  <si>
    <t>BYXADHIYU</t>
  </si>
  <si>
    <t>C00082</t>
  </si>
  <si>
    <t>Benjamin Iyer</t>
  </si>
  <si>
    <t>HB0082</t>
  </si>
  <si>
    <t>R00082</t>
  </si>
  <si>
    <t>DT0082</t>
  </si>
  <si>
    <t>BS5QMLCLI</t>
  </si>
  <si>
    <t>C00083</t>
  </si>
  <si>
    <t>Arjun Singh</t>
  </si>
  <si>
    <t>HB0083</t>
  </si>
  <si>
    <t>R00083</t>
  </si>
  <si>
    <t>DT0083</t>
  </si>
  <si>
    <t>BOQCEZ5XT</t>
  </si>
  <si>
    <t>C00084</t>
  </si>
  <si>
    <t>Oliver Verma</t>
  </si>
  <si>
    <t>HB0084</t>
  </si>
  <si>
    <t>R00084</t>
  </si>
  <si>
    <t>DT0084</t>
  </si>
  <si>
    <t>B2JMW6I4H</t>
  </si>
  <si>
    <t>C00085</t>
  </si>
  <si>
    <t>James Gupta</t>
  </si>
  <si>
    <t>HB0085</t>
  </si>
  <si>
    <t>R00085</t>
  </si>
  <si>
    <t>DT0085</t>
  </si>
  <si>
    <t>B1Q7NM5C7</t>
  </si>
  <si>
    <t>C00086</t>
  </si>
  <si>
    <t>Benjamin Mehta</t>
  </si>
  <si>
    <t>HB0086</t>
  </si>
  <si>
    <t>R00086</t>
  </si>
  <si>
    <t>DT0086</t>
  </si>
  <si>
    <t>BQ1MZ9K33</t>
  </si>
  <si>
    <t>C00087</t>
  </si>
  <si>
    <t>HB0087</t>
  </si>
  <si>
    <t>R00087</t>
  </si>
  <si>
    <t>DT0087</t>
  </si>
  <si>
    <t>B1DE0RII5</t>
  </si>
  <si>
    <t>C00088</t>
  </si>
  <si>
    <t>Neha Gupta</t>
  </si>
  <si>
    <t>HB0088</t>
  </si>
  <si>
    <t>R00088</t>
  </si>
  <si>
    <t>DT0088</t>
  </si>
  <si>
    <t>BX14T8TSH</t>
  </si>
  <si>
    <t>C00089</t>
  </si>
  <si>
    <t>HB0089</t>
  </si>
  <si>
    <t>R00089</t>
  </si>
  <si>
    <t>DT0089</t>
  </si>
  <si>
    <t>B8B7K0MHI</t>
  </si>
  <si>
    <t>C00090</t>
  </si>
  <si>
    <t>Ananya Iyer</t>
  </si>
  <si>
    <t>HB0090</t>
  </si>
  <si>
    <t>R00090</t>
  </si>
  <si>
    <t>DT0090</t>
  </si>
  <si>
    <t>BKLBC5504</t>
  </si>
  <si>
    <t>C00091</t>
  </si>
  <si>
    <t>Lucas Patel</t>
  </si>
  <si>
    <t>HB0091</t>
  </si>
  <si>
    <t>R00091</t>
  </si>
  <si>
    <t>DT0091</t>
  </si>
  <si>
    <t>BQNX0OF7S</t>
  </si>
  <si>
    <t>C00092</t>
  </si>
  <si>
    <t>HB0092</t>
  </si>
  <si>
    <t>R00092</t>
  </si>
  <si>
    <t>DT0092</t>
  </si>
  <si>
    <t>BWAYM9Q11</t>
  </si>
  <si>
    <t>C00093</t>
  </si>
  <si>
    <t>Priya Iyer</t>
  </si>
  <si>
    <t>HB0093</t>
  </si>
  <si>
    <t>R00093</t>
  </si>
  <si>
    <t>DT0093</t>
  </si>
  <si>
    <t>B8D287ZF1</t>
  </si>
  <si>
    <t>C00094</t>
  </si>
  <si>
    <t>Benjamin Verma</t>
  </si>
  <si>
    <t>HB0094</t>
  </si>
  <si>
    <t>R00094</t>
  </si>
  <si>
    <t>DT0094</t>
  </si>
  <si>
    <t>BMMK4WL65</t>
  </si>
  <si>
    <t>C00095</t>
  </si>
  <si>
    <t>Divya Khan</t>
  </si>
  <si>
    <t>HB0095</t>
  </si>
  <si>
    <t>R00095</t>
  </si>
  <si>
    <t>DT0095</t>
  </si>
  <si>
    <t>BB6FFRLKW</t>
  </si>
  <si>
    <t>C00096</t>
  </si>
  <si>
    <t>William Patel</t>
  </si>
  <si>
    <t>HB0096</t>
  </si>
  <si>
    <t>R00096</t>
  </si>
  <si>
    <t>DT0096</t>
  </si>
  <si>
    <t>BVPFH22CP</t>
  </si>
  <si>
    <t>C00097</t>
  </si>
  <si>
    <t>HB0097</t>
  </si>
  <si>
    <t>R00097</t>
  </si>
  <si>
    <t>DT0097</t>
  </si>
  <si>
    <t>BNYS5THU4</t>
  </si>
  <si>
    <t>C00098</t>
  </si>
  <si>
    <t>Simran Sharma</t>
  </si>
  <si>
    <t>HB0098</t>
  </si>
  <si>
    <t>R00098</t>
  </si>
  <si>
    <t>DT0098</t>
  </si>
  <si>
    <t>BOCHATNDF</t>
  </si>
  <si>
    <t>C00099</t>
  </si>
  <si>
    <t>Priya Mehta</t>
  </si>
  <si>
    <t>HB0099</t>
  </si>
  <si>
    <t>R00099</t>
  </si>
  <si>
    <t>DT0099</t>
  </si>
  <si>
    <t>BLB3K5RUW</t>
  </si>
  <si>
    <t>C00100</t>
  </si>
  <si>
    <t>HB0100</t>
  </si>
  <si>
    <t>R00100</t>
  </si>
  <si>
    <t>DT0100</t>
  </si>
  <si>
    <t>BNING1FJ4</t>
  </si>
  <si>
    <t>C00101</t>
  </si>
  <si>
    <t>Alexander Sharma</t>
  </si>
  <si>
    <t>HB0101</t>
  </si>
  <si>
    <t>R00101</t>
  </si>
  <si>
    <t>DT0101</t>
  </si>
  <si>
    <t>BF6M1DALP</t>
  </si>
  <si>
    <t>C00102</t>
  </si>
  <si>
    <t>Benjamin Gupta</t>
  </si>
  <si>
    <t>HB0102</t>
  </si>
  <si>
    <t>R00102</t>
  </si>
  <si>
    <t>DT0102</t>
  </si>
  <si>
    <t>BPADJXH3W</t>
  </si>
  <si>
    <t>C00103</t>
  </si>
  <si>
    <t>Karan Khan</t>
  </si>
  <si>
    <t>HB0103</t>
  </si>
  <si>
    <t>R00103</t>
  </si>
  <si>
    <t>DT0103</t>
  </si>
  <si>
    <t>BNRTLQ74F</t>
  </si>
  <si>
    <t>C00104</t>
  </si>
  <si>
    <t>Aisha Singh</t>
  </si>
  <si>
    <t>HB0104</t>
  </si>
  <si>
    <t>R00104</t>
  </si>
  <si>
    <t>DT0104</t>
  </si>
  <si>
    <t>BHJJ4Q2XA</t>
  </si>
  <si>
    <t>C00105</t>
  </si>
  <si>
    <t>HB0105</t>
  </si>
  <si>
    <t>R00105</t>
  </si>
  <si>
    <t>DT0105</t>
  </si>
  <si>
    <t>B9W04PDTI</t>
  </si>
  <si>
    <t>C00106</t>
  </si>
  <si>
    <t>HB0106</t>
  </si>
  <si>
    <t>R00106</t>
  </si>
  <si>
    <t>DT0106</t>
  </si>
  <si>
    <t>BJ3G75ZK1</t>
  </si>
  <si>
    <t>C00107</t>
  </si>
  <si>
    <t>Alexander Singh</t>
  </si>
  <si>
    <t>HB0107</t>
  </si>
  <si>
    <t>R00107</t>
  </si>
  <si>
    <t>DT0107</t>
  </si>
  <si>
    <t>BV9MDPOA8</t>
  </si>
  <si>
    <t>C00108</t>
  </si>
  <si>
    <t>Noah Singh</t>
  </si>
  <si>
    <t>HB0108</t>
  </si>
  <si>
    <t>R00108</t>
  </si>
  <si>
    <t>DT0108</t>
  </si>
  <si>
    <t>B9E0VIVII</t>
  </si>
  <si>
    <t>C00109</t>
  </si>
  <si>
    <t>Aarav Iyer</t>
  </si>
  <si>
    <t>HB0109</t>
  </si>
  <si>
    <t>R00109</t>
  </si>
  <si>
    <t>DT0109</t>
  </si>
  <si>
    <t>B2II8K179</t>
  </si>
  <si>
    <t>C00110</t>
  </si>
  <si>
    <t>Ananya Khan</t>
  </si>
  <si>
    <t>HB0110</t>
  </si>
  <si>
    <t>R00110</t>
  </si>
  <si>
    <t>DT0110</t>
  </si>
  <si>
    <t>BJ4UMSG9S</t>
  </si>
  <si>
    <t>C00111</t>
  </si>
  <si>
    <t>Aarav Joshi</t>
  </si>
  <si>
    <t>HB0111</t>
  </si>
  <si>
    <t>R00111</t>
  </si>
  <si>
    <t>DT0111</t>
  </si>
  <si>
    <t>BS3LC37SR</t>
  </si>
  <si>
    <t>C00112</t>
  </si>
  <si>
    <t>Karan Singh</t>
  </si>
  <si>
    <t>HB0112</t>
  </si>
  <si>
    <t>R00112</t>
  </si>
  <si>
    <t>DT0112</t>
  </si>
  <si>
    <t>BGCBJJUID</t>
  </si>
  <si>
    <t>C00113</t>
  </si>
  <si>
    <t>Noah Iyer</t>
  </si>
  <si>
    <t>HB0113</t>
  </si>
  <si>
    <t>R00113</t>
  </si>
  <si>
    <t>DT0113</t>
  </si>
  <si>
    <t>BT6Y6TL71</t>
  </si>
  <si>
    <t>C00114</t>
  </si>
  <si>
    <t>Pooja Joshi</t>
  </si>
  <si>
    <t>HB0114</t>
  </si>
  <si>
    <t>R00114</t>
  </si>
  <si>
    <t>DT0114</t>
  </si>
  <si>
    <t>BO0142JFU</t>
  </si>
  <si>
    <t>C00115</t>
  </si>
  <si>
    <t>HB0115</t>
  </si>
  <si>
    <t>R00115</t>
  </si>
  <si>
    <t>DT0115</t>
  </si>
  <si>
    <t>B2YVKLU1E</t>
  </si>
  <si>
    <t>C00116</t>
  </si>
  <si>
    <t>Sana Gupta</t>
  </si>
  <si>
    <t>HB0116</t>
  </si>
  <si>
    <t>R00116</t>
  </si>
  <si>
    <t>DT0116</t>
  </si>
  <si>
    <t>BPKUBXDHQ</t>
  </si>
  <si>
    <t>C00117</t>
  </si>
  <si>
    <t>HB0117</t>
  </si>
  <si>
    <t>R00117</t>
  </si>
  <si>
    <t>DT0117</t>
  </si>
  <si>
    <t>BF38IWA81</t>
  </si>
  <si>
    <t>C00118</t>
  </si>
  <si>
    <t>HB0118</t>
  </si>
  <si>
    <t>R00118</t>
  </si>
  <si>
    <t>DT0118</t>
  </si>
  <si>
    <t>BGVUQIZBD</t>
  </si>
  <si>
    <t>C00119</t>
  </si>
  <si>
    <t>HB0119</t>
  </si>
  <si>
    <t>R00119</t>
  </si>
  <si>
    <t>DT0119</t>
  </si>
  <si>
    <t>BH5QQJVWU</t>
  </si>
  <si>
    <t>C00120</t>
  </si>
  <si>
    <t>Karan Mehta</t>
  </si>
  <si>
    <t>HB0120</t>
  </si>
  <si>
    <t>R00120</t>
  </si>
  <si>
    <t>DT0120</t>
  </si>
  <si>
    <t>B8IN2BHYA</t>
  </si>
  <si>
    <t>C00121</t>
  </si>
  <si>
    <t>HB0121</t>
  </si>
  <si>
    <t>R00121</t>
  </si>
  <si>
    <t>DT0121</t>
  </si>
  <si>
    <t>B3ZR5PX6B</t>
  </si>
  <si>
    <t>C00122</t>
  </si>
  <si>
    <t>Henry Singh</t>
  </si>
  <si>
    <t>HB0122</t>
  </si>
  <si>
    <t>R00122</t>
  </si>
  <si>
    <t>DT0122</t>
  </si>
  <si>
    <t>B8UDLQII1</t>
  </si>
  <si>
    <t>C00123</t>
  </si>
  <si>
    <t>HB0123</t>
  </si>
  <si>
    <t>R00123</t>
  </si>
  <si>
    <t>DT0123</t>
  </si>
  <si>
    <t>BQ67N3YTC</t>
  </si>
  <si>
    <t>C00124</t>
  </si>
  <si>
    <t>William Mehta</t>
  </si>
  <si>
    <t>HB0124</t>
  </si>
  <si>
    <t>R00124</t>
  </si>
  <si>
    <t>DT0124</t>
  </si>
  <si>
    <t>BS6FUYC5A</t>
  </si>
  <si>
    <t>C00125</t>
  </si>
  <si>
    <t>HB0125</t>
  </si>
  <si>
    <t>R00125</t>
  </si>
  <si>
    <t>DT0125</t>
  </si>
  <si>
    <t>BZKQOELU8</t>
  </si>
  <si>
    <t>C00126</t>
  </si>
  <si>
    <t>Simran Mehta</t>
  </si>
  <si>
    <t>HB0126</t>
  </si>
  <si>
    <t>R00126</t>
  </si>
  <si>
    <t>DT0126</t>
  </si>
  <si>
    <t>BJKA0J2NB</t>
  </si>
  <si>
    <t>C00127</t>
  </si>
  <si>
    <t>Vivaan Khan</t>
  </si>
  <si>
    <t>HB0127</t>
  </si>
  <si>
    <t>R00127</t>
  </si>
  <si>
    <t>DT0127</t>
  </si>
  <si>
    <t>BRVSF0S60</t>
  </si>
  <si>
    <t>C00128</t>
  </si>
  <si>
    <t>Henry Gupta</t>
  </si>
  <si>
    <t>HB0128</t>
  </si>
  <si>
    <t>R00128</t>
  </si>
  <si>
    <t>DT0128</t>
  </si>
  <si>
    <t>BF5E47RHO</t>
  </si>
  <si>
    <t>C00129</t>
  </si>
  <si>
    <t>Lucas Khan</t>
  </si>
  <si>
    <t>HB0129</t>
  </si>
  <si>
    <t>R00129</t>
  </si>
  <si>
    <t>DT0129</t>
  </si>
  <si>
    <t>BZ78IY664</t>
  </si>
  <si>
    <t>C00130</t>
  </si>
  <si>
    <t>Liam Joshi</t>
  </si>
  <si>
    <t>HB0130</t>
  </si>
  <si>
    <t>R00130</t>
  </si>
  <si>
    <t>DT0130</t>
  </si>
  <si>
    <t>BQUHO1DKI</t>
  </si>
  <si>
    <t>C00131</t>
  </si>
  <si>
    <t>HB0131</t>
  </si>
  <si>
    <t>R00131</t>
  </si>
  <si>
    <t>DT0131</t>
  </si>
  <si>
    <t>BOORMR9P9</t>
  </si>
  <si>
    <t>C00132</t>
  </si>
  <si>
    <t>HB0132</t>
  </si>
  <si>
    <t>R00132</t>
  </si>
  <si>
    <t>DT0132</t>
  </si>
  <si>
    <t>BA51GZFZ7</t>
  </si>
  <si>
    <t>C00133</t>
  </si>
  <si>
    <t>Noah Gupta</t>
  </si>
  <si>
    <t>HB0133</t>
  </si>
  <si>
    <t>R00133</t>
  </si>
  <si>
    <t>DT0133</t>
  </si>
  <si>
    <t>BE54PFMIC</t>
  </si>
  <si>
    <t>C00134</t>
  </si>
  <si>
    <t>HB0134</t>
  </si>
  <si>
    <t>R00134</t>
  </si>
  <si>
    <t>DT0134</t>
  </si>
  <si>
    <t>BP3NQ6FXY</t>
  </si>
  <si>
    <t>C00135</t>
  </si>
  <si>
    <t>HB0135</t>
  </si>
  <si>
    <t>R00135</t>
  </si>
  <si>
    <t>DT0135</t>
  </si>
  <si>
    <t>BXG6IBW9I</t>
  </si>
  <si>
    <t>C00136</t>
  </si>
  <si>
    <t>HB0136</t>
  </si>
  <si>
    <t>R00136</t>
  </si>
  <si>
    <t>DT0136</t>
  </si>
  <si>
    <t>BKAIWJWXY</t>
  </si>
  <si>
    <t>C00137</t>
  </si>
  <si>
    <t>Arjun Khan</t>
  </si>
  <si>
    <t>HB0137</t>
  </si>
  <si>
    <t>R00137</t>
  </si>
  <si>
    <t>DT0137</t>
  </si>
  <si>
    <t>B6QXN6I8B</t>
  </si>
  <si>
    <t>C00138</t>
  </si>
  <si>
    <t>Aarav Khan</t>
  </si>
  <si>
    <t>HB0138</t>
  </si>
  <si>
    <t>R00138</t>
  </si>
  <si>
    <t>DT0138</t>
  </si>
  <si>
    <t>B16UKLNOL</t>
  </si>
  <si>
    <t>C00139</t>
  </si>
  <si>
    <t>Aisha Iyer</t>
  </si>
  <si>
    <t>HB0139</t>
  </si>
  <si>
    <t>R00139</t>
  </si>
  <si>
    <t>DT0139</t>
  </si>
  <si>
    <t>BWNUT6JD1</t>
  </si>
  <si>
    <t>C00140</t>
  </si>
  <si>
    <t>Ishaan Iyer</t>
  </si>
  <si>
    <t>HB0140</t>
  </si>
  <si>
    <t>R00140</t>
  </si>
  <si>
    <t>DT0140</t>
  </si>
  <si>
    <t>BV5IPBXMM</t>
  </si>
  <si>
    <t>C00141</t>
  </si>
  <si>
    <t>Vivaan Iyer</t>
  </si>
  <si>
    <t>HB0141</t>
  </si>
  <si>
    <t>R00141</t>
  </si>
  <si>
    <t>DT0141</t>
  </si>
  <si>
    <t>B5JMC9QH1</t>
  </si>
  <si>
    <t>C00142</t>
  </si>
  <si>
    <t>Sana Sharma</t>
  </si>
  <si>
    <t>HB0142</t>
  </si>
  <si>
    <t>R00142</t>
  </si>
  <si>
    <t>DT0142</t>
  </si>
  <si>
    <t>BE7PDJNL7</t>
  </si>
  <si>
    <t>C00143</t>
  </si>
  <si>
    <t>Siddharth Nair</t>
  </si>
  <si>
    <t>HB0143</t>
  </si>
  <si>
    <t>R00143</t>
  </si>
  <si>
    <t>DT0143</t>
  </si>
  <si>
    <t>BBYD9DTDU</t>
  </si>
  <si>
    <t>C00144</t>
  </si>
  <si>
    <t>Priya Nair</t>
  </si>
  <si>
    <t>HB0144</t>
  </si>
  <si>
    <t>R00144</t>
  </si>
  <si>
    <t>DT0144</t>
  </si>
  <si>
    <t>BI18T1500</t>
  </si>
  <si>
    <t>C00145</t>
  </si>
  <si>
    <t>Ananya Joshi</t>
  </si>
  <si>
    <t>HB0145</t>
  </si>
  <si>
    <t>R00145</t>
  </si>
  <si>
    <t>DT0145</t>
  </si>
  <si>
    <t>B0SAS3VA4</t>
  </si>
  <si>
    <t>C00146</t>
  </si>
  <si>
    <t>HB0146</t>
  </si>
  <si>
    <t>R00146</t>
  </si>
  <si>
    <t>DT0146</t>
  </si>
  <si>
    <t>BMB4EZBN8</t>
  </si>
  <si>
    <t>C00147</t>
  </si>
  <si>
    <t>Priya Singh</t>
  </si>
  <si>
    <t>HB0147</t>
  </si>
  <si>
    <t>R00147</t>
  </si>
  <si>
    <t>DT0147</t>
  </si>
  <si>
    <t>B29DZUP68</t>
  </si>
  <si>
    <t>C00148</t>
  </si>
  <si>
    <t>HB0148</t>
  </si>
  <si>
    <t>R00148</t>
  </si>
  <si>
    <t>DT0148</t>
  </si>
  <si>
    <t>BU5OFQ3W3</t>
  </si>
  <si>
    <t>C00149</t>
  </si>
  <si>
    <t>Elijah Sharma</t>
  </si>
  <si>
    <t>HB0149</t>
  </si>
  <si>
    <t>R00149</t>
  </si>
  <si>
    <t>DT0149</t>
  </si>
  <si>
    <t>B5FIC40N8</t>
  </si>
  <si>
    <t>C00150</t>
  </si>
  <si>
    <t>Aditya Khan</t>
  </si>
  <si>
    <t>HB0150</t>
  </si>
  <si>
    <t>R00150</t>
  </si>
  <si>
    <t>DT0150</t>
  </si>
  <si>
    <t>BWHKUMCIS</t>
  </si>
  <si>
    <t>C00151</t>
  </si>
  <si>
    <t>HB0151</t>
  </si>
  <si>
    <t>R00151</t>
  </si>
  <si>
    <t>DT0151</t>
  </si>
  <si>
    <t>B5ZUL2EEI</t>
  </si>
  <si>
    <t>C00152</t>
  </si>
  <si>
    <t>Vivaan Patel</t>
  </si>
  <si>
    <t>HB0152</t>
  </si>
  <si>
    <t>R00152</t>
  </si>
  <si>
    <t>DT0152</t>
  </si>
  <si>
    <t>B6YU37NJT</t>
  </si>
  <si>
    <t>C00153</t>
  </si>
  <si>
    <t>Benjamin Joshi</t>
  </si>
  <si>
    <t>HB0153</t>
  </si>
  <si>
    <t>R00153</t>
  </si>
  <si>
    <t>DT0153</t>
  </si>
  <si>
    <t>BSNW74YRT</t>
  </si>
  <si>
    <t>C00154</t>
  </si>
  <si>
    <t>HB0154</t>
  </si>
  <si>
    <t>R00154</t>
  </si>
  <si>
    <t>DT0154</t>
  </si>
  <si>
    <t>BHN6OFQYE</t>
  </si>
  <si>
    <t>C00155</t>
  </si>
  <si>
    <t>Alexander Iyer</t>
  </si>
  <si>
    <t>HB0155</t>
  </si>
  <si>
    <t>R00155</t>
  </si>
  <si>
    <t>DT0155</t>
  </si>
  <si>
    <t>BH0Z98WQU</t>
  </si>
  <si>
    <t>C00156</t>
  </si>
  <si>
    <t>Ritika Patel</t>
  </si>
  <si>
    <t>HB0156</t>
  </si>
  <si>
    <t>R00156</t>
  </si>
  <si>
    <t>DT0156</t>
  </si>
  <si>
    <t>BC9PUN6EN</t>
  </si>
  <si>
    <t>C00157</t>
  </si>
  <si>
    <t>Arjun Nair</t>
  </si>
  <si>
    <t>HB0157</t>
  </si>
  <si>
    <t>R00157</t>
  </si>
  <si>
    <t>DT0157</t>
  </si>
  <si>
    <t>BZWBH80ET</t>
  </si>
  <si>
    <t>C00158</t>
  </si>
  <si>
    <t>HB0158</t>
  </si>
  <si>
    <t>R00158</t>
  </si>
  <si>
    <t>DT0158</t>
  </si>
  <si>
    <t>BQXEB7C5K</t>
  </si>
  <si>
    <t>C00159</t>
  </si>
  <si>
    <t>HB0159</t>
  </si>
  <si>
    <t>R00159</t>
  </si>
  <si>
    <t>DT0159</t>
  </si>
  <si>
    <t>BXQZ21XG7</t>
  </si>
  <si>
    <t>C00160</t>
  </si>
  <si>
    <t>Shruti Gupta</t>
  </si>
  <si>
    <t>HB0160</t>
  </si>
  <si>
    <t>R00160</t>
  </si>
  <si>
    <t>DT0160</t>
  </si>
  <si>
    <t>BJM1R1QJQ</t>
  </si>
  <si>
    <t>C00161</t>
  </si>
  <si>
    <t>Neha Iyer</t>
  </si>
  <si>
    <t>HB0161</t>
  </si>
  <si>
    <t>R00161</t>
  </si>
  <si>
    <t>DT0161</t>
  </si>
  <si>
    <t>BSPBZGI3Z</t>
  </si>
  <si>
    <t>C00162</t>
  </si>
  <si>
    <t>HB0162</t>
  </si>
  <si>
    <t>R00162</t>
  </si>
  <si>
    <t>DT0162</t>
  </si>
  <si>
    <t>BQ6W51IX2</t>
  </si>
  <si>
    <t>C00163</t>
  </si>
  <si>
    <t>HB0163</t>
  </si>
  <si>
    <t>R00163</t>
  </si>
  <si>
    <t>DT0163</t>
  </si>
  <si>
    <t>BXB97LCPX</t>
  </si>
  <si>
    <t>C00164</t>
  </si>
  <si>
    <t>HB0164</t>
  </si>
  <si>
    <t>R00164</t>
  </si>
  <si>
    <t>DT0164</t>
  </si>
  <si>
    <t>B9U2HO755</t>
  </si>
  <si>
    <t>C00165</t>
  </si>
  <si>
    <t>Vivaan Verma</t>
  </si>
  <si>
    <t>HB0165</t>
  </si>
  <si>
    <t>R00165</t>
  </si>
  <si>
    <t>DT0165</t>
  </si>
  <si>
    <t>BZMPIW8BW</t>
  </si>
  <si>
    <t>C00166</t>
  </si>
  <si>
    <t>HB0166</t>
  </si>
  <si>
    <t>R00166</t>
  </si>
  <si>
    <t>DT0166</t>
  </si>
  <si>
    <t>BN3K875YU</t>
  </si>
  <si>
    <t>C00167</t>
  </si>
  <si>
    <t>HB0167</t>
  </si>
  <si>
    <t>R00167</t>
  </si>
  <si>
    <t>DT0167</t>
  </si>
  <si>
    <t>BAB0G3YVO</t>
  </si>
  <si>
    <t>C00168</t>
  </si>
  <si>
    <t>HB0168</t>
  </si>
  <si>
    <t>R00168</t>
  </si>
  <si>
    <t>DT0168</t>
  </si>
  <si>
    <t>BUODZY2XA</t>
  </si>
  <si>
    <t>C00169</t>
  </si>
  <si>
    <t>HB0169</t>
  </si>
  <si>
    <t>R00169</t>
  </si>
  <si>
    <t>DT0169</t>
  </si>
  <si>
    <t>B46K9Y8PZ</t>
  </si>
  <si>
    <t>C00170</t>
  </si>
  <si>
    <t>James Iyer</t>
  </si>
  <si>
    <t>HB0170</t>
  </si>
  <si>
    <t>R00170</t>
  </si>
  <si>
    <t>DT0170</t>
  </si>
  <si>
    <t>BFLGH6H7L</t>
  </si>
  <si>
    <t>C00171</t>
  </si>
  <si>
    <t>Reyansh Verma</t>
  </si>
  <si>
    <t>HB0171</t>
  </si>
  <si>
    <t>R00171</t>
  </si>
  <si>
    <t>DT0171</t>
  </si>
  <si>
    <t>BN3M4LHCK</t>
  </si>
  <si>
    <t>C00172</t>
  </si>
  <si>
    <t>HB0172</t>
  </si>
  <si>
    <t>R00172</t>
  </si>
  <si>
    <t>DT0172</t>
  </si>
  <si>
    <t>B5B2DXUB4</t>
  </si>
  <si>
    <t>C00173</t>
  </si>
  <si>
    <t>HB0173</t>
  </si>
  <si>
    <t>R00173</t>
  </si>
  <si>
    <t>DT0173</t>
  </si>
  <si>
    <t>BQ1G1NPXI</t>
  </si>
  <si>
    <t>C00174</t>
  </si>
  <si>
    <t>Ritika Singh</t>
  </si>
  <si>
    <t>HB0174</t>
  </si>
  <si>
    <t>R00174</t>
  </si>
  <si>
    <t>DT0174</t>
  </si>
  <si>
    <t>BNFNT06RL</t>
  </si>
  <si>
    <t>C00175</t>
  </si>
  <si>
    <t>Shruti Singh</t>
  </si>
  <si>
    <t>HB0175</t>
  </si>
  <si>
    <t>R00175</t>
  </si>
  <si>
    <t>DT0175</t>
  </si>
  <si>
    <t>BKQN8OY7G</t>
  </si>
  <si>
    <t>C00176</t>
  </si>
  <si>
    <t>HB0176</t>
  </si>
  <si>
    <t>R00176</t>
  </si>
  <si>
    <t>DT0176</t>
  </si>
  <si>
    <t>BO46MZJU1</t>
  </si>
  <si>
    <t>C00177</t>
  </si>
  <si>
    <t>HB0177</t>
  </si>
  <si>
    <t>R00177</t>
  </si>
  <si>
    <t>DT0177</t>
  </si>
  <si>
    <t>BCOOZE9MC</t>
  </si>
  <si>
    <t>C00178</t>
  </si>
  <si>
    <t>Reyansh Patel</t>
  </si>
  <si>
    <t>HB0178</t>
  </si>
  <si>
    <t>R00178</t>
  </si>
  <si>
    <t>DT0178</t>
  </si>
  <si>
    <t>BHX16H700</t>
  </si>
  <si>
    <t>C00179</t>
  </si>
  <si>
    <t>HB0179</t>
  </si>
  <si>
    <t>R00179</t>
  </si>
  <si>
    <t>DT0179</t>
  </si>
  <si>
    <t>B1VUTPQCM</t>
  </si>
  <si>
    <t>C00180</t>
  </si>
  <si>
    <t>HB0180</t>
  </si>
  <si>
    <t>R00180</t>
  </si>
  <si>
    <t>DT0180</t>
  </si>
  <si>
    <t>B7LZG3RBE</t>
  </si>
  <si>
    <t>C00181</t>
  </si>
  <si>
    <t>Divya Iyer</t>
  </si>
  <si>
    <t>HB0181</t>
  </si>
  <si>
    <t>R00181</t>
  </si>
  <si>
    <t>DT0181</t>
  </si>
  <si>
    <t>BH3PFI14K</t>
  </si>
  <si>
    <t>C00182</t>
  </si>
  <si>
    <t>Sana Patel</t>
  </si>
  <si>
    <t>HB0182</t>
  </si>
  <si>
    <t>R00182</t>
  </si>
  <si>
    <t>DT0182</t>
  </si>
  <si>
    <t>BCV21RX6M</t>
  </si>
  <si>
    <t>C00183</t>
  </si>
  <si>
    <t>HB0183</t>
  </si>
  <si>
    <t>R00183</t>
  </si>
  <si>
    <t>DT0183</t>
  </si>
  <si>
    <t>BUY56H2FF</t>
  </si>
  <si>
    <t>C00184</t>
  </si>
  <si>
    <t>HB0184</t>
  </si>
  <si>
    <t>R00184</t>
  </si>
  <si>
    <t>DT0184</t>
  </si>
  <si>
    <t>BSRN6M6XK</t>
  </si>
  <si>
    <t>C00185</t>
  </si>
  <si>
    <t>Benjamin Khan</t>
  </si>
  <si>
    <t>HB0185</t>
  </si>
  <si>
    <t>R00185</t>
  </si>
  <si>
    <t>DT0185</t>
  </si>
  <si>
    <t>BLQFSDA89</t>
  </si>
  <si>
    <t>C00186</t>
  </si>
  <si>
    <t>Ritika Gupta</t>
  </si>
  <si>
    <t>HB0186</t>
  </si>
  <si>
    <t>R00186</t>
  </si>
  <si>
    <t>DT0186</t>
  </si>
  <si>
    <t>B3710MEAT</t>
  </si>
  <si>
    <t>C00187</t>
  </si>
  <si>
    <t>Karan Iyer</t>
  </si>
  <si>
    <t>HB0187</t>
  </si>
  <si>
    <t>R00187</t>
  </si>
  <si>
    <t>DT0187</t>
  </si>
  <si>
    <t>BJPVQ308N</t>
  </si>
  <si>
    <t>C00188</t>
  </si>
  <si>
    <t>Ananya Patel</t>
  </si>
  <si>
    <t>HB0188</t>
  </si>
  <si>
    <t>R00188</t>
  </si>
  <si>
    <t>DT0188</t>
  </si>
  <si>
    <t>BP0OI8U4F</t>
  </si>
  <si>
    <t>C00189</t>
  </si>
  <si>
    <t>Vivaan Gupta</t>
  </si>
  <si>
    <t>HB0189</t>
  </si>
  <si>
    <t>R00189</t>
  </si>
  <si>
    <t>DT0189</t>
  </si>
  <si>
    <t>BHKTWI9B8</t>
  </si>
  <si>
    <t>C00190</t>
  </si>
  <si>
    <t>HB0190</t>
  </si>
  <si>
    <t>R00190</t>
  </si>
  <si>
    <t>DT0190</t>
  </si>
  <si>
    <t>BW5XPVJ8R</t>
  </si>
  <si>
    <t>C00191</t>
  </si>
  <si>
    <t>HB0191</t>
  </si>
  <si>
    <t>R00191</t>
  </si>
  <si>
    <t>DT0191</t>
  </si>
  <si>
    <t>B1RZNNWXS</t>
  </si>
  <si>
    <t>C00192</t>
  </si>
  <si>
    <t>HB0192</t>
  </si>
  <si>
    <t>R00192</t>
  </si>
  <si>
    <t>DT0192</t>
  </si>
  <si>
    <t>BT8J2VO7I</t>
  </si>
  <si>
    <t>C00193</t>
  </si>
  <si>
    <t>HB0193</t>
  </si>
  <si>
    <t>R00193</t>
  </si>
  <si>
    <t>DT0193</t>
  </si>
  <si>
    <t>BXCIJQN6C</t>
  </si>
  <si>
    <t>C00194</t>
  </si>
  <si>
    <t>Reyansh Iyer</t>
  </si>
  <si>
    <t>HB0194</t>
  </si>
  <si>
    <t>R00194</t>
  </si>
  <si>
    <t>DT0194</t>
  </si>
  <si>
    <t>B4H03B27L</t>
  </si>
  <si>
    <t>C00195</t>
  </si>
  <si>
    <t>Liam Gupta</t>
  </si>
  <si>
    <t>HB0195</t>
  </si>
  <si>
    <t>R00195</t>
  </si>
  <si>
    <t>DT0195</t>
  </si>
  <si>
    <t>BKLUUJ7KE</t>
  </si>
  <si>
    <t>C00196</t>
  </si>
  <si>
    <t>Siddharth Sharma</t>
  </si>
  <si>
    <t>HB0196</t>
  </si>
  <si>
    <t>R00196</t>
  </si>
  <si>
    <t>DT0196</t>
  </si>
  <si>
    <t>BMH5HZWR7</t>
  </si>
  <si>
    <t>C00197</t>
  </si>
  <si>
    <t>Henry Sharma</t>
  </si>
  <si>
    <t>HB0197</t>
  </si>
  <si>
    <t>R00197</t>
  </si>
  <si>
    <t>DT0197</t>
  </si>
  <si>
    <t>BV6SU1LQX</t>
  </si>
  <si>
    <t>C00198</t>
  </si>
  <si>
    <t>Rohan Verma</t>
  </si>
  <si>
    <t>HB0198</t>
  </si>
  <si>
    <t>R00198</t>
  </si>
  <si>
    <t>DT0198</t>
  </si>
  <si>
    <t>BB7QU3054</t>
  </si>
  <si>
    <t>C00199</t>
  </si>
  <si>
    <t>HB0199</t>
  </si>
  <si>
    <t>R00199</t>
  </si>
  <si>
    <t>DT0199</t>
  </si>
  <si>
    <t>B21YK9XPF</t>
  </si>
  <si>
    <t>C00200</t>
  </si>
  <si>
    <t>Elijah Iyer</t>
  </si>
  <si>
    <t>HB0200</t>
  </si>
  <si>
    <t>R00200</t>
  </si>
  <si>
    <t>DT0200</t>
  </si>
  <si>
    <t>BOFSMNAWY</t>
  </si>
  <si>
    <t>C00201</t>
  </si>
  <si>
    <t>HB0201</t>
  </si>
  <si>
    <t>R00201</t>
  </si>
  <si>
    <t>DT0201</t>
  </si>
  <si>
    <t>B488PKWTZ</t>
  </si>
  <si>
    <t>C00202</t>
  </si>
  <si>
    <t>Rohan Patel</t>
  </si>
  <si>
    <t>HB0202</t>
  </si>
  <si>
    <t>R00202</t>
  </si>
  <si>
    <t>DT0202</t>
  </si>
  <si>
    <t>BY3N0MWFS</t>
  </si>
  <si>
    <t>C00203</t>
  </si>
  <si>
    <t>HB0203</t>
  </si>
  <si>
    <t>R00203</t>
  </si>
  <si>
    <t>DT0203</t>
  </si>
  <si>
    <t>BOOG2TLTT</t>
  </si>
  <si>
    <t>C00204</t>
  </si>
  <si>
    <t>HB0204</t>
  </si>
  <si>
    <t>R00204</t>
  </si>
  <si>
    <t>DT0204</t>
  </si>
  <si>
    <t>B1E90GDRR</t>
  </si>
  <si>
    <t>C00205</t>
  </si>
  <si>
    <t>HB0205</t>
  </si>
  <si>
    <t>R00205</t>
  </si>
  <si>
    <t>DT0205</t>
  </si>
  <si>
    <t>BUYS9P7SE</t>
  </si>
  <si>
    <t>C00206</t>
  </si>
  <si>
    <t>Liam Iyer</t>
  </si>
  <si>
    <t>HB0206</t>
  </si>
  <si>
    <t>R00206</t>
  </si>
  <si>
    <t>DT0206</t>
  </si>
  <si>
    <t>BRN7UQI62</t>
  </si>
  <si>
    <t>C00207</t>
  </si>
  <si>
    <t>Arjun Mehta</t>
  </si>
  <si>
    <t>HB0207</t>
  </si>
  <si>
    <t>R00207</t>
  </si>
  <si>
    <t>DT0207</t>
  </si>
  <si>
    <t>BKGY2TWSC</t>
  </si>
  <si>
    <t>C00208</t>
  </si>
  <si>
    <t>HB0208</t>
  </si>
  <si>
    <t>R00208</t>
  </si>
  <si>
    <t>DT0208</t>
  </si>
  <si>
    <t>B12WBAKE2</t>
  </si>
  <si>
    <t>C00209</t>
  </si>
  <si>
    <t>HB0209</t>
  </si>
  <si>
    <t>R00209</t>
  </si>
  <si>
    <t>DT0209</t>
  </si>
  <si>
    <t>BSE13DWW8</t>
  </si>
  <si>
    <t>C00210</t>
  </si>
  <si>
    <t>Shruti Joshi</t>
  </si>
  <si>
    <t>HB0210</t>
  </si>
  <si>
    <t>R00210</t>
  </si>
  <si>
    <t>DT0210</t>
  </si>
  <si>
    <t>BB3MK8TEW</t>
  </si>
  <si>
    <t>C00211</t>
  </si>
  <si>
    <t>HB0211</t>
  </si>
  <si>
    <t>R00211</t>
  </si>
  <si>
    <t>DT0211</t>
  </si>
  <si>
    <t>BIPMZ6387</t>
  </si>
  <si>
    <t>C00212</t>
  </si>
  <si>
    <t>HB0212</t>
  </si>
  <si>
    <t>R00212</t>
  </si>
  <si>
    <t>DT0212</t>
  </si>
  <si>
    <t>BKLS0RSHM</t>
  </si>
  <si>
    <t>C00213</t>
  </si>
  <si>
    <t>HB0213</t>
  </si>
  <si>
    <t>R00213</t>
  </si>
  <si>
    <t>DT0213</t>
  </si>
  <si>
    <t>BWZOIV10J</t>
  </si>
  <si>
    <t>C00214</t>
  </si>
  <si>
    <t>Sana Joshi</t>
  </si>
  <si>
    <t>HB0214</t>
  </si>
  <si>
    <t>R00214</t>
  </si>
  <si>
    <t>DT0214</t>
  </si>
  <si>
    <t>BKYN0BU8H</t>
  </si>
  <si>
    <t>C00215</t>
  </si>
  <si>
    <t>HB0215</t>
  </si>
  <si>
    <t>R00215</t>
  </si>
  <si>
    <t>DT0215</t>
  </si>
  <si>
    <t>BD6IWKVYT</t>
  </si>
  <si>
    <t>C00216</t>
  </si>
  <si>
    <t>HB0216</t>
  </si>
  <si>
    <t>R00216</t>
  </si>
  <si>
    <t>DT0216</t>
  </si>
  <si>
    <t>BNIFMPEOS</t>
  </si>
  <si>
    <t>C00217</t>
  </si>
  <si>
    <t>HB0217</t>
  </si>
  <si>
    <t>R00217</t>
  </si>
  <si>
    <t>DT0217</t>
  </si>
  <si>
    <t>BRNTWXWQQ</t>
  </si>
  <si>
    <t>C00218</t>
  </si>
  <si>
    <t>Ishaan Sharma</t>
  </si>
  <si>
    <t>HB0218</t>
  </si>
  <si>
    <t>R00218</t>
  </si>
  <si>
    <t>DT0218</t>
  </si>
  <si>
    <t>BG73J6JDP</t>
  </si>
  <si>
    <t>C00219</t>
  </si>
  <si>
    <t>HB0219</t>
  </si>
  <si>
    <t>R00219</t>
  </si>
  <si>
    <t>DT0219</t>
  </si>
  <si>
    <t>BYSWV20K9</t>
  </si>
  <si>
    <t>C00220</t>
  </si>
  <si>
    <t>Pooja Mehta</t>
  </si>
  <si>
    <t>HB0220</t>
  </si>
  <si>
    <t>R00220</t>
  </si>
  <si>
    <t>DT0220</t>
  </si>
  <si>
    <t>BBVRPAGTG</t>
  </si>
  <si>
    <t>C00221</t>
  </si>
  <si>
    <t>Karan Sharma</t>
  </si>
  <si>
    <t>HB0221</t>
  </si>
  <si>
    <t>R00221</t>
  </si>
  <si>
    <t>DT0221</t>
  </si>
  <si>
    <t>BA2KYLJ1J</t>
  </si>
  <si>
    <t>C00222</t>
  </si>
  <si>
    <t>HB0222</t>
  </si>
  <si>
    <t>R00222</t>
  </si>
  <si>
    <t>DT0222</t>
  </si>
  <si>
    <t>BMDH3PFDT</t>
  </si>
  <si>
    <t>C00223</t>
  </si>
  <si>
    <t>HB0223</t>
  </si>
  <si>
    <t>R00223</t>
  </si>
  <si>
    <t>DT0223</t>
  </si>
  <si>
    <t>B5W15MN6S</t>
  </si>
  <si>
    <t>C00224</t>
  </si>
  <si>
    <t>HB0224</t>
  </si>
  <si>
    <t>R00224</t>
  </si>
  <si>
    <t>DT0224</t>
  </si>
  <si>
    <t>BOHBXXHTD</t>
  </si>
  <si>
    <t>C00225</t>
  </si>
  <si>
    <t>HB0225</t>
  </si>
  <si>
    <t>R00225</t>
  </si>
  <si>
    <t>DT0225</t>
  </si>
  <si>
    <t>BEQZPPW62</t>
  </si>
  <si>
    <t>C00226</t>
  </si>
  <si>
    <t>HB0226</t>
  </si>
  <si>
    <t>R00226</t>
  </si>
  <si>
    <t>DT0226</t>
  </si>
  <si>
    <t>B1VFUJV2H</t>
  </si>
  <si>
    <t>C00227</t>
  </si>
  <si>
    <t>HB0227</t>
  </si>
  <si>
    <t>R00227</t>
  </si>
  <si>
    <t>DT0227</t>
  </si>
  <si>
    <t>B8AYIX6XH</t>
  </si>
  <si>
    <t>C00228</t>
  </si>
  <si>
    <t>Sana Iyer</t>
  </si>
  <si>
    <t>HB0228</t>
  </si>
  <si>
    <t>R00228</t>
  </si>
  <si>
    <t>DT0228</t>
  </si>
  <si>
    <t>BIBHYHHX2</t>
  </si>
  <si>
    <t>C00229</t>
  </si>
  <si>
    <t>Siddharth Joshi</t>
  </si>
  <si>
    <t>HB0229</t>
  </si>
  <si>
    <t>R00229</t>
  </si>
  <si>
    <t>DT0229</t>
  </si>
  <si>
    <t>BFPT55HTY</t>
  </si>
  <si>
    <t>C00230</t>
  </si>
  <si>
    <t>HB0230</t>
  </si>
  <si>
    <t>R00230</t>
  </si>
  <si>
    <t>DT0230</t>
  </si>
  <si>
    <t>BUTDRJDL2</t>
  </si>
  <si>
    <t>C00231</t>
  </si>
  <si>
    <t>HB0231</t>
  </si>
  <si>
    <t>R00231</t>
  </si>
  <si>
    <t>DT0231</t>
  </si>
  <si>
    <t>BKBF6X3L8</t>
  </si>
  <si>
    <t>C00232</t>
  </si>
  <si>
    <t>HB0232</t>
  </si>
  <si>
    <t>R00232</t>
  </si>
  <si>
    <t>DT0232</t>
  </si>
  <si>
    <t>B8D2IBOCT</t>
  </si>
  <si>
    <t>C00233</t>
  </si>
  <si>
    <t>HB0233</t>
  </si>
  <si>
    <t>R00233</t>
  </si>
  <si>
    <t>DT0233</t>
  </si>
  <si>
    <t>BCUWXG8TP</t>
  </si>
  <si>
    <t>C00234</t>
  </si>
  <si>
    <t>HB0234</t>
  </si>
  <si>
    <t>R00234</t>
  </si>
  <si>
    <t>DT0234</t>
  </si>
  <si>
    <t>BEB8QHS9C</t>
  </si>
  <si>
    <t>C00235</t>
  </si>
  <si>
    <t>Lucas Verma</t>
  </si>
  <si>
    <t>HB0235</t>
  </si>
  <si>
    <t>R00235</t>
  </si>
  <si>
    <t>DT0235</t>
  </si>
  <si>
    <t>BAB40OOBA</t>
  </si>
  <si>
    <t>C00236</t>
  </si>
  <si>
    <t>Aditya Joshi</t>
  </si>
  <si>
    <t>HB0236</t>
  </si>
  <si>
    <t>R00236</t>
  </si>
  <si>
    <t>DT0236</t>
  </si>
  <si>
    <t>BWCGIELGV</t>
  </si>
  <si>
    <t>C00237</t>
  </si>
  <si>
    <t>HB0237</t>
  </si>
  <si>
    <t>R00237</t>
  </si>
  <si>
    <t>DT0237</t>
  </si>
  <si>
    <t>BEV4IY4K1</t>
  </si>
  <si>
    <t>C00238</t>
  </si>
  <si>
    <t>HB0238</t>
  </si>
  <si>
    <t>R00238</t>
  </si>
  <si>
    <t>DT0238</t>
  </si>
  <si>
    <t>BBRW3G91H</t>
  </si>
  <si>
    <t>C00239</t>
  </si>
  <si>
    <t>Aarav Singh</t>
  </si>
  <si>
    <t>HB0239</t>
  </si>
  <si>
    <t>R00239</t>
  </si>
  <si>
    <t>DT0239</t>
  </si>
  <si>
    <t>BK7TTMA00</t>
  </si>
  <si>
    <t>C00240</t>
  </si>
  <si>
    <t>HB0240</t>
  </si>
  <si>
    <t>R00240</t>
  </si>
  <si>
    <t>DT0240</t>
  </si>
  <si>
    <t>B219ZAGI3</t>
  </si>
  <si>
    <t>C00241</t>
  </si>
  <si>
    <t>HB0241</t>
  </si>
  <si>
    <t>R00241</t>
  </si>
  <si>
    <t>DT0241</t>
  </si>
  <si>
    <t>BB5Y97LA7</t>
  </si>
  <si>
    <t>C00242</t>
  </si>
  <si>
    <t>Gaurav Singh</t>
  </si>
  <si>
    <t>HB0242</t>
  </si>
  <si>
    <t>R00242</t>
  </si>
  <si>
    <t>DT0242</t>
  </si>
  <si>
    <t>B1O7INK68</t>
  </si>
  <si>
    <t>C00243</t>
  </si>
  <si>
    <t>HB0243</t>
  </si>
  <si>
    <t>R00243</t>
  </si>
  <si>
    <t>DT0243</t>
  </si>
  <si>
    <t>BL7JMDXUB</t>
  </si>
  <si>
    <t>C00244</t>
  </si>
  <si>
    <t>HB0244</t>
  </si>
  <si>
    <t>R00244</t>
  </si>
  <si>
    <t>DT0244</t>
  </si>
  <si>
    <t>BWFPIVD2I</t>
  </si>
  <si>
    <t>C00245</t>
  </si>
  <si>
    <t>HB0245</t>
  </si>
  <si>
    <t>R00245</t>
  </si>
  <si>
    <t>DT0245</t>
  </si>
  <si>
    <t>B2N9BO0AK</t>
  </si>
  <si>
    <t>C00246</t>
  </si>
  <si>
    <t>Aditya Sharma</t>
  </si>
  <si>
    <t>HB0246</t>
  </si>
  <si>
    <t>R00246</t>
  </si>
  <si>
    <t>DT0246</t>
  </si>
  <si>
    <t>BBQRGERY7</t>
  </si>
  <si>
    <t>C00247</t>
  </si>
  <si>
    <t>HB0247</t>
  </si>
  <si>
    <t>R00247</t>
  </si>
  <si>
    <t>DT0247</t>
  </si>
  <si>
    <t>BQ6W67VZO</t>
  </si>
  <si>
    <t>C00248</t>
  </si>
  <si>
    <t>Gaurav Iyer</t>
  </si>
  <si>
    <t>HB0248</t>
  </si>
  <si>
    <t>R00248</t>
  </si>
  <si>
    <t>DT0248</t>
  </si>
  <si>
    <t>BEK3LNKOH</t>
  </si>
  <si>
    <t>C00249</t>
  </si>
  <si>
    <t>HB0249</t>
  </si>
  <si>
    <t>R00249</t>
  </si>
  <si>
    <t>DT0249</t>
  </si>
  <si>
    <t>BYOL6LBM0</t>
  </si>
  <si>
    <t>C00250</t>
  </si>
  <si>
    <t>HB0250</t>
  </si>
  <si>
    <t>R00250</t>
  </si>
  <si>
    <t>DT0250</t>
  </si>
  <si>
    <t>BBDXBDEHH</t>
  </si>
  <si>
    <t>C00251</t>
  </si>
  <si>
    <t>Lucas Gupta</t>
  </si>
  <si>
    <t>HB0251</t>
  </si>
  <si>
    <t>R00251</t>
  </si>
  <si>
    <t>DT0251</t>
  </si>
  <si>
    <t>BQN8PACC1</t>
  </si>
  <si>
    <t>C00252</t>
  </si>
  <si>
    <t>Simran Nair</t>
  </si>
  <si>
    <t>HB0252</t>
  </si>
  <si>
    <t>R00252</t>
  </si>
  <si>
    <t>DT0252</t>
  </si>
  <si>
    <t>BT84CPKJY</t>
  </si>
  <si>
    <t>C00253</t>
  </si>
  <si>
    <t>HB0253</t>
  </si>
  <si>
    <t>R00253</t>
  </si>
  <si>
    <t>DT0253</t>
  </si>
  <si>
    <t>B5X7F6TE8</t>
  </si>
  <si>
    <t>C00254</t>
  </si>
  <si>
    <t>Elijah Nair</t>
  </si>
  <si>
    <t>HB0254</t>
  </si>
  <si>
    <t>R00254</t>
  </si>
  <si>
    <t>DT0254</t>
  </si>
  <si>
    <t>BBS8VMWMF</t>
  </si>
  <si>
    <t>C00255</t>
  </si>
  <si>
    <t>Alexander Mehta</t>
  </si>
  <si>
    <t>HB0255</t>
  </si>
  <si>
    <t>R00255</t>
  </si>
  <si>
    <t>DT0255</t>
  </si>
  <si>
    <t>BJG7DP5UL</t>
  </si>
  <si>
    <t>C00256</t>
  </si>
  <si>
    <t>Liam Mehta</t>
  </si>
  <si>
    <t>HB0256</t>
  </si>
  <si>
    <t>R00256</t>
  </si>
  <si>
    <t>DT0256</t>
  </si>
  <si>
    <t>B97DIYX02</t>
  </si>
  <si>
    <t>C00257</t>
  </si>
  <si>
    <t>William Joshi</t>
  </si>
  <si>
    <t>HB0257</t>
  </si>
  <si>
    <t>R00257</t>
  </si>
  <si>
    <t>DT0257</t>
  </si>
  <si>
    <t>BTUYL0BU1</t>
  </si>
  <si>
    <t>C00258</t>
  </si>
  <si>
    <t>HB0258</t>
  </si>
  <si>
    <t>R00258</t>
  </si>
  <si>
    <t>DT0258</t>
  </si>
  <si>
    <t>BIJI934QP</t>
  </si>
  <si>
    <t>C00259</t>
  </si>
  <si>
    <t>HB0259</t>
  </si>
  <si>
    <t>R00259</t>
  </si>
  <si>
    <t>DT0259</t>
  </si>
  <si>
    <t>B4C3Z2LJA</t>
  </si>
  <si>
    <t>C00260</t>
  </si>
  <si>
    <t>Aisha Nair</t>
  </si>
  <si>
    <t>HB0260</t>
  </si>
  <si>
    <t>R00260</t>
  </si>
  <si>
    <t>DT0260</t>
  </si>
  <si>
    <t>BZJAWGA0X</t>
  </si>
  <si>
    <t>C00261</t>
  </si>
  <si>
    <t>HB0261</t>
  </si>
  <si>
    <t>R00261</t>
  </si>
  <si>
    <t>DT0261</t>
  </si>
  <si>
    <t>BOSOH5V6K</t>
  </si>
  <si>
    <t>C00262</t>
  </si>
  <si>
    <t>HB0262</t>
  </si>
  <si>
    <t>R00262</t>
  </si>
  <si>
    <t>DT0262</t>
  </si>
  <si>
    <t>BGRX6A990</t>
  </si>
  <si>
    <t>C00263</t>
  </si>
  <si>
    <t>HB0263</t>
  </si>
  <si>
    <t>R00263</t>
  </si>
  <si>
    <t>DT0263</t>
  </si>
  <si>
    <t>B7LFT25H8</t>
  </si>
  <si>
    <t>C00264</t>
  </si>
  <si>
    <t>HB0264</t>
  </si>
  <si>
    <t>R00264</t>
  </si>
  <si>
    <t>DT0264</t>
  </si>
  <si>
    <t>BSM1PPYZ8</t>
  </si>
  <si>
    <t>C00265</t>
  </si>
  <si>
    <t>HB0265</t>
  </si>
  <si>
    <t>R00265</t>
  </si>
  <si>
    <t>DT0265</t>
  </si>
  <si>
    <t>BHXIRJ6D6</t>
  </si>
  <si>
    <t>C00266</t>
  </si>
  <si>
    <t>HB0266</t>
  </si>
  <si>
    <t>R00266</t>
  </si>
  <si>
    <t>DT0266</t>
  </si>
  <si>
    <t>BJNSCZKM9</t>
  </si>
  <si>
    <t>C00267</t>
  </si>
  <si>
    <t>HB0267</t>
  </si>
  <si>
    <t>R00267</t>
  </si>
  <si>
    <t>DT0267</t>
  </si>
  <si>
    <t>B5UM4YRV8</t>
  </si>
  <si>
    <t>C00268</t>
  </si>
  <si>
    <t>Simran Iyer</t>
  </si>
  <si>
    <t>HB0268</t>
  </si>
  <si>
    <t>R00268</t>
  </si>
  <si>
    <t>DT0268</t>
  </si>
  <si>
    <t>BFSWPY6EF</t>
  </si>
  <si>
    <t>C00269</t>
  </si>
  <si>
    <t>Ananya Sharma</t>
  </si>
  <si>
    <t>HB0269</t>
  </si>
  <si>
    <t>R00269</t>
  </si>
  <si>
    <t>DT0269</t>
  </si>
  <si>
    <t>BRG8YGJ9K</t>
  </si>
  <si>
    <t>C00270</t>
  </si>
  <si>
    <t>William Verma</t>
  </si>
  <si>
    <t>HB0270</t>
  </si>
  <si>
    <t>R00270</t>
  </si>
  <si>
    <t>DT0270</t>
  </si>
  <si>
    <t>BG46U2SLZ</t>
  </si>
  <si>
    <t>C00271</t>
  </si>
  <si>
    <t>Vivaan Nair</t>
  </si>
  <si>
    <t>HB0271</t>
  </si>
  <si>
    <t>R00271</t>
  </si>
  <si>
    <t>DT0271</t>
  </si>
  <si>
    <t>BASM58HWE</t>
  </si>
  <si>
    <t>C00272</t>
  </si>
  <si>
    <t>HB0272</t>
  </si>
  <si>
    <t>R00272</t>
  </si>
  <si>
    <t>DT0272</t>
  </si>
  <si>
    <t>B9VQNWCQT</t>
  </si>
  <si>
    <t>C00273</t>
  </si>
  <si>
    <t>Karan Nair</t>
  </si>
  <si>
    <t>HB0273</t>
  </si>
  <si>
    <t>R00273</t>
  </si>
  <si>
    <t>DT0273</t>
  </si>
  <si>
    <t>B9P0IEIHC</t>
  </si>
  <si>
    <t>C00274</t>
  </si>
  <si>
    <t>HB0274</t>
  </si>
  <si>
    <t>R00274</t>
  </si>
  <si>
    <t>DT0274</t>
  </si>
  <si>
    <t>B5ALIMXSE</t>
  </si>
  <si>
    <t>C00275</t>
  </si>
  <si>
    <t>HB0275</t>
  </si>
  <si>
    <t>R00275</t>
  </si>
  <si>
    <t>DT0275</t>
  </si>
  <si>
    <t>B3U0SL3E6</t>
  </si>
  <si>
    <t>C00276</t>
  </si>
  <si>
    <t>HB0276</t>
  </si>
  <si>
    <t>R00276</t>
  </si>
  <si>
    <t>DT0276</t>
  </si>
  <si>
    <t>BQ9PKL48H</t>
  </si>
  <si>
    <t>C00277</t>
  </si>
  <si>
    <t>HB0277</t>
  </si>
  <si>
    <t>R00277</t>
  </si>
  <si>
    <t>DT0277</t>
  </si>
  <si>
    <t>BH6DU9ZZ9</t>
  </si>
  <si>
    <t>C00278</t>
  </si>
  <si>
    <t>Neha Joshi</t>
  </si>
  <si>
    <t>HB0278</t>
  </si>
  <si>
    <t>R00278</t>
  </si>
  <si>
    <t>DT0278</t>
  </si>
  <si>
    <t>B4JCRW9A8</t>
  </si>
  <si>
    <t>C00279</t>
  </si>
  <si>
    <t>HB0279</t>
  </si>
  <si>
    <t>R00279</t>
  </si>
  <si>
    <t>DT0279</t>
  </si>
  <si>
    <t>B56K7SBFD</t>
  </si>
  <si>
    <t>C00280</t>
  </si>
  <si>
    <t>HB0280</t>
  </si>
  <si>
    <t>R00280</t>
  </si>
  <si>
    <t>DT0280</t>
  </si>
  <si>
    <t>BIM2L184U</t>
  </si>
  <si>
    <t>C00281</t>
  </si>
  <si>
    <t>Siddharth Khan</t>
  </si>
  <si>
    <t>HB0281</t>
  </si>
  <si>
    <t>R00281</t>
  </si>
  <si>
    <t>DT0281</t>
  </si>
  <si>
    <t>B960BMTXV</t>
  </si>
  <si>
    <t>C00282</t>
  </si>
  <si>
    <t>HB0282</t>
  </si>
  <si>
    <t>R00282</t>
  </si>
  <si>
    <t>DT0282</t>
  </si>
  <si>
    <t>BV28O470J</t>
  </si>
  <si>
    <t>C00283</t>
  </si>
  <si>
    <t>HB0283</t>
  </si>
  <si>
    <t>R00283</t>
  </si>
  <si>
    <t>DT0283</t>
  </si>
  <si>
    <t>B8J7W6977</t>
  </si>
  <si>
    <t>C00284</t>
  </si>
  <si>
    <t>Lucas Sharma</t>
  </si>
  <si>
    <t>HB0284</t>
  </si>
  <si>
    <t>R00284</t>
  </si>
  <si>
    <t>DT0284</t>
  </si>
  <si>
    <t>B0X2VVI7A</t>
  </si>
  <si>
    <t>C00285</t>
  </si>
  <si>
    <t>HB0285</t>
  </si>
  <si>
    <t>R00285</t>
  </si>
  <si>
    <t>DT0285</t>
  </si>
  <si>
    <t>BNRU42JPL</t>
  </si>
  <si>
    <t>C00286</t>
  </si>
  <si>
    <t>William Iyer</t>
  </si>
  <si>
    <t>HB0286</t>
  </si>
  <si>
    <t>R00286</t>
  </si>
  <si>
    <t>DT0286</t>
  </si>
  <si>
    <t>B4JQTH0TP</t>
  </si>
  <si>
    <t>C00287</t>
  </si>
  <si>
    <t>Shruti Nair</t>
  </si>
  <si>
    <t>HB0287</t>
  </si>
  <si>
    <t>R00287</t>
  </si>
  <si>
    <t>DT0287</t>
  </si>
  <si>
    <t>BPCGBQLC9</t>
  </si>
  <si>
    <t>C00288</t>
  </si>
  <si>
    <t>Vivaan Singh</t>
  </si>
  <si>
    <t>HB0288</t>
  </si>
  <si>
    <t>R00288</t>
  </si>
  <si>
    <t>DT0288</t>
  </si>
  <si>
    <t>BUEUVLD7P</t>
  </si>
  <si>
    <t>C00289</t>
  </si>
  <si>
    <t>HB0289</t>
  </si>
  <si>
    <t>R00289</t>
  </si>
  <si>
    <t>DT0289</t>
  </si>
  <si>
    <t>B48X533DB</t>
  </si>
  <si>
    <t>C00290</t>
  </si>
  <si>
    <t>Shruti Khan</t>
  </si>
  <si>
    <t>HB0290</t>
  </si>
  <si>
    <t>R00290</t>
  </si>
  <si>
    <t>DT0290</t>
  </si>
  <si>
    <t>BFLNOJKNP</t>
  </si>
  <si>
    <t>C00291</t>
  </si>
  <si>
    <t>Neha Nair</t>
  </si>
  <si>
    <t>HB0291</t>
  </si>
  <si>
    <t>R00291</t>
  </si>
  <si>
    <t>DT0291</t>
  </si>
  <si>
    <t>BIS15425W</t>
  </si>
  <si>
    <t>C00292</t>
  </si>
  <si>
    <t>HB0292</t>
  </si>
  <si>
    <t>R00292</t>
  </si>
  <si>
    <t>DT0292</t>
  </si>
  <si>
    <t>B2QZ9D46K</t>
  </si>
  <si>
    <t>C00293</t>
  </si>
  <si>
    <t>HB0293</t>
  </si>
  <si>
    <t>R00293</t>
  </si>
  <si>
    <t>DT0293</t>
  </si>
  <si>
    <t>BJO52F0U4</t>
  </si>
  <si>
    <t>C00294</t>
  </si>
  <si>
    <t>William Singh</t>
  </si>
  <si>
    <t>HB0294</t>
  </si>
  <si>
    <t>R00294</t>
  </si>
  <si>
    <t>DT0294</t>
  </si>
  <si>
    <t>BPJU7QBI4</t>
  </si>
  <si>
    <t>C00295</t>
  </si>
  <si>
    <t>HB0295</t>
  </si>
  <si>
    <t>R00295</t>
  </si>
  <si>
    <t>DT0295</t>
  </si>
  <si>
    <t>BQP3PYOCV</t>
  </si>
  <si>
    <t>C00296</t>
  </si>
  <si>
    <t>Rohan Mehta</t>
  </si>
  <si>
    <t>HB0296</t>
  </si>
  <si>
    <t>R00296</t>
  </si>
  <si>
    <t>DT0296</t>
  </si>
  <si>
    <t>BXWEPU44T</t>
  </si>
  <si>
    <t>C00297</t>
  </si>
  <si>
    <t>Ritika Joshi</t>
  </si>
  <si>
    <t>HB0297</t>
  </si>
  <si>
    <t>R00297</t>
  </si>
  <si>
    <t>DT0297</t>
  </si>
  <si>
    <t>B0H6VY9RX</t>
  </si>
  <si>
    <t>C00298</t>
  </si>
  <si>
    <t>HB0298</t>
  </si>
  <si>
    <t>R00298</t>
  </si>
  <si>
    <t>DT0298</t>
  </si>
  <si>
    <t>B8B890ZM8</t>
  </si>
  <si>
    <t>C00299</t>
  </si>
  <si>
    <t>Neha Sharma</t>
  </si>
  <si>
    <t>HB0299</t>
  </si>
  <si>
    <t>R00299</t>
  </si>
  <si>
    <t>DT0299</t>
  </si>
  <si>
    <t>B9HJ67TM0</t>
  </si>
  <si>
    <t>C00300</t>
  </si>
  <si>
    <t>HB0300</t>
  </si>
  <si>
    <t>R00300</t>
  </si>
  <si>
    <t>DT0300</t>
  </si>
  <si>
    <t>B8A6M9682</t>
  </si>
  <si>
    <t>C00301</t>
  </si>
  <si>
    <t>HB0301</t>
  </si>
  <si>
    <t>R00301</t>
  </si>
  <si>
    <t>DT0301</t>
  </si>
  <si>
    <t>BRUY5R8T9</t>
  </si>
  <si>
    <t>C00302</t>
  </si>
  <si>
    <t>HB0302</t>
  </si>
  <si>
    <t>R00302</t>
  </si>
  <si>
    <t>DT0302</t>
  </si>
  <si>
    <t>BT2GQYLTX</t>
  </si>
  <si>
    <t>C00303</t>
  </si>
  <si>
    <t>HB0303</t>
  </si>
  <si>
    <t>R00303</t>
  </si>
  <si>
    <t>DT0303</t>
  </si>
  <si>
    <t>B2PIR2YJK</t>
  </si>
  <si>
    <t>C00304</t>
  </si>
  <si>
    <t>HB0304</t>
  </si>
  <si>
    <t>R00304</t>
  </si>
  <si>
    <t>DT0304</t>
  </si>
  <si>
    <t>BM4Y2MGBN</t>
  </si>
  <si>
    <t>C00305</t>
  </si>
  <si>
    <t>HB0305</t>
  </si>
  <si>
    <t>R00305</t>
  </si>
  <si>
    <t>DT0305</t>
  </si>
  <si>
    <t>BRBSH103U</t>
  </si>
  <si>
    <t>C00306</t>
  </si>
  <si>
    <t>HB0306</t>
  </si>
  <si>
    <t>R00306</t>
  </si>
  <si>
    <t>DT0306</t>
  </si>
  <si>
    <t>BWDAZYW6W</t>
  </si>
  <si>
    <t>C00307</t>
  </si>
  <si>
    <t>Vivaan Joshi</t>
  </si>
  <si>
    <t>HB0307</t>
  </si>
  <si>
    <t>R00307</t>
  </si>
  <si>
    <t>DT0307</t>
  </si>
  <si>
    <t>B9TT96J6V</t>
  </si>
  <si>
    <t>C00308</t>
  </si>
  <si>
    <t>Divya Gupta</t>
  </si>
  <si>
    <t>HB0308</t>
  </si>
  <si>
    <t>R00308</t>
  </si>
  <si>
    <t>DT0308</t>
  </si>
  <si>
    <t>B9VNPPUFU</t>
  </si>
  <si>
    <t>C00309</t>
  </si>
  <si>
    <t>Aarav Nair</t>
  </si>
  <si>
    <t>HB0309</t>
  </si>
  <si>
    <t>R00309</t>
  </si>
  <si>
    <t>DT0309</t>
  </si>
  <si>
    <t>B5TKIZIWW</t>
  </si>
  <si>
    <t>C00310</t>
  </si>
  <si>
    <t>HB0310</t>
  </si>
  <si>
    <t>R00310</t>
  </si>
  <si>
    <t>DT0310</t>
  </si>
  <si>
    <t>B9U3OM8LH</t>
  </si>
  <si>
    <t>C00311</t>
  </si>
  <si>
    <t>HB0311</t>
  </si>
  <si>
    <t>R00311</t>
  </si>
  <si>
    <t>DT0311</t>
  </si>
  <si>
    <t>BYF8Z1R50</t>
  </si>
  <si>
    <t>C00312</t>
  </si>
  <si>
    <t>HB0312</t>
  </si>
  <si>
    <t>R00312</t>
  </si>
  <si>
    <t>DT0312</t>
  </si>
  <si>
    <t>B8PSRRT7D</t>
  </si>
  <si>
    <t>C00313</t>
  </si>
  <si>
    <t>HB0313</t>
  </si>
  <si>
    <t>R00313</t>
  </si>
  <si>
    <t>DT0313</t>
  </si>
  <si>
    <t>BL4K0RCSF</t>
  </si>
  <si>
    <t>C00314</t>
  </si>
  <si>
    <t>HB0314</t>
  </si>
  <si>
    <t>R00314</t>
  </si>
  <si>
    <t>DT0314</t>
  </si>
  <si>
    <t>BIYQ9GNTD</t>
  </si>
  <si>
    <t>C00315</t>
  </si>
  <si>
    <t>Lucas Mehta</t>
  </si>
  <si>
    <t>HB0315</t>
  </si>
  <si>
    <t>R00315</t>
  </si>
  <si>
    <t>DT0315</t>
  </si>
  <si>
    <t>BXBELKO48</t>
  </si>
  <si>
    <t>C00316</t>
  </si>
  <si>
    <t>HB0316</t>
  </si>
  <si>
    <t>R00316</t>
  </si>
  <si>
    <t>DT0316</t>
  </si>
  <si>
    <t>BUD8M829A</t>
  </si>
  <si>
    <t>C00317</t>
  </si>
  <si>
    <t>HB0317</t>
  </si>
  <si>
    <t>R00317</t>
  </si>
  <si>
    <t>DT0317</t>
  </si>
  <si>
    <t>BRWB45D5K</t>
  </si>
  <si>
    <t>C00318</t>
  </si>
  <si>
    <t>Oliver Khan</t>
  </si>
  <si>
    <t>HB0318</t>
  </si>
  <si>
    <t>R00318</t>
  </si>
  <si>
    <t>DT0318</t>
  </si>
  <si>
    <t>BAACSM4V7</t>
  </si>
  <si>
    <t>C00319</t>
  </si>
  <si>
    <t>HB0319</t>
  </si>
  <si>
    <t>R00319</t>
  </si>
  <si>
    <t>DT0319</t>
  </si>
  <si>
    <t>B3D3ZB28M</t>
  </si>
  <si>
    <t>C00320</t>
  </si>
  <si>
    <t>HB0320</t>
  </si>
  <si>
    <t>R00320</t>
  </si>
  <si>
    <t>DT0320</t>
  </si>
  <si>
    <t>BC8RVG552</t>
  </si>
  <si>
    <t>C00321</t>
  </si>
  <si>
    <t>Simran Gupta</t>
  </si>
  <si>
    <t>HB0321</t>
  </si>
  <si>
    <t>R00321</t>
  </si>
  <si>
    <t>DT0321</t>
  </si>
  <si>
    <t>B4LFQAJGO</t>
  </si>
  <si>
    <t>C00322</t>
  </si>
  <si>
    <t>HB0322</t>
  </si>
  <si>
    <t>R00322</t>
  </si>
  <si>
    <t>DT0322</t>
  </si>
  <si>
    <t>BMJDSRR2K</t>
  </si>
  <si>
    <t>C00323</t>
  </si>
  <si>
    <t>HB0323</t>
  </si>
  <si>
    <t>R00323</t>
  </si>
  <si>
    <t>DT0323</t>
  </si>
  <si>
    <t>BY5MRUO0N</t>
  </si>
  <si>
    <t>C00324</t>
  </si>
  <si>
    <t>HB0324</t>
  </si>
  <si>
    <t>R00324</t>
  </si>
  <si>
    <t>DT0324</t>
  </si>
  <si>
    <t>B0W710RWT</t>
  </si>
  <si>
    <t>C00325</t>
  </si>
  <si>
    <t>HB0325</t>
  </si>
  <si>
    <t>R00325</t>
  </si>
  <si>
    <t>DT0325</t>
  </si>
  <si>
    <t>B95OJW9BF</t>
  </si>
  <si>
    <t>C00326</t>
  </si>
  <si>
    <t>HB0326</t>
  </si>
  <si>
    <t>R00326</t>
  </si>
  <si>
    <t>DT0326</t>
  </si>
  <si>
    <t>BQNTPAPCJ</t>
  </si>
  <si>
    <t>C00327</t>
  </si>
  <si>
    <t>HB0327</t>
  </si>
  <si>
    <t>R00327</t>
  </si>
  <si>
    <t>DT0327</t>
  </si>
  <si>
    <t>BODBJ52LB</t>
  </si>
  <si>
    <t>C00328</t>
  </si>
  <si>
    <t>HB0328</t>
  </si>
  <si>
    <t>R00328</t>
  </si>
  <si>
    <t>DT0328</t>
  </si>
  <si>
    <t>B5AQRJS9N</t>
  </si>
  <si>
    <t>C00329</t>
  </si>
  <si>
    <t>HB0329</t>
  </si>
  <si>
    <t>R00329</t>
  </si>
  <si>
    <t>DT0329</t>
  </si>
  <si>
    <t>BED02G1K5</t>
  </si>
  <si>
    <t>C00330</t>
  </si>
  <si>
    <t>HB0330</t>
  </si>
  <si>
    <t>R00330</t>
  </si>
  <si>
    <t>DT0330</t>
  </si>
  <si>
    <t>B0WTH8Q92</t>
  </si>
  <si>
    <t>C00331</t>
  </si>
  <si>
    <t>HB0331</t>
  </si>
  <si>
    <t>R00331</t>
  </si>
  <si>
    <t>DT0331</t>
  </si>
  <si>
    <t>BVJKQ5O0T</t>
  </si>
  <si>
    <t>C00332</t>
  </si>
  <si>
    <t>HB0332</t>
  </si>
  <si>
    <t>R00332</t>
  </si>
  <si>
    <t>DT0332</t>
  </si>
  <si>
    <t>BTO04TFRX</t>
  </si>
  <si>
    <t>C00333</t>
  </si>
  <si>
    <t>HB0333</t>
  </si>
  <si>
    <t>R00333</t>
  </si>
  <si>
    <t>DT0333</t>
  </si>
  <si>
    <t>B67W5WLO6</t>
  </si>
  <si>
    <t>C00334</t>
  </si>
  <si>
    <t>HB0334</t>
  </si>
  <si>
    <t>R00334</t>
  </si>
  <si>
    <t>DT0334</t>
  </si>
  <si>
    <t>BTO5G4B2I</t>
  </si>
  <si>
    <t>C00335</t>
  </si>
  <si>
    <t>HB0335</t>
  </si>
  <si>
    <t>R00335</t>
  </si>
  <si>
    <t>DT0335</t>
  </si>
  <si>
    <t>BM296NJWU</t>
  </si>
  <si>
    <t>C00336</t>
  </si>
  <si>
    <t>HB0336</t>
  </si>
  <si>
    <t>R00336</t>
  </si>
  <si>
    <t>DT0336</t>
  </si>
  <si>
    <t>BWKECBAOT</t>
  </si>
  <si>
    <t>C00337</t>
  </si>
  <si>
    <t>HB0337</t>
  </si>
  <si>
    <t>R00337</t>
  </si>
  <si>
    <t>DT0337</t>
  </si>
  <si>
    <t>BI34ZATZ8</t>
  </si>
  <si>
    <t>C00338</t>
  </si>
  <si>
    <t>HB0338</t>
  </si>
  <si>
    <t>R00338</t>
  </si>
  <si>
    <t>DT0338</t>
  </si>
  <si>
    <t>BK59W803C</t>
  </si>
  <si>
    <t>C00339</t>
  </si>
  <si>
    <t>HB0339</t>
  </si>
  <si>
    <t>R00339</t>
  </si>
  <si>
    <t>DT0339</t>
  </si>
  <si>
    <t>BEGY1LWB4</t>
  </si>
  <si>
    <t>C00340</t>
  </si>
  <si>
    <t>HB0340</t>
  </si>
  <si>
    <t>R00340</t>
  </si>
  <si>
    <t>DT0340</t>
  </si>
  <si>
    <t>B1TGLNSS2</t>
  </si>
  <si>
    <t>C00341</t>
  </si>
  <si>
    <t>HB0341</t>
  </si>
  <si>
    <t>R00341</t>
  </si>
  <si>
    <t>DT0341</t>
  </si>
  <si>
    <t>BMLNCGFQD</t>
  </si>
  <si>
    <t>C00342</t>
  </si>
  <si>
    <t>HB0342</t>
  </si>
  <si>
    <t>R00342</t>
  </si>
  <si>
    <t>DT0342</t>
  </si>
  <si>
    <t>B0ETJSMDK</t>
  </si>
  <si>
    <t>C00343</t>
  </si>
  <si>
    <t>HB0343</t>
  </si>
  <si>
    <t>R00343</t>
  </si>
  <si>
    <t>DT0343</t>
  </si>
  <si>
    <t>BPV4H1RZF</t>
  </si>
  <si>
    <t>C00344</t>
  </si>
  <si>
    <t>HB0344</t>
  </si>
  <si>
    <t>R00344</t>
  </si>
  <si>
    <t>DT0344</t>
  </si>
  <si>
    <t>BHUFN4VNB</t>
  </si>
  <si>
    <t>C00345</t>
  </si>
  <si>
    <t>HB0345</t>
  </si>
  <si>
    <t>R00345</t>
  </si>
  <si>
    <t>DT0345</t>
  </si>
  <si>
    <t>BRVKDXT3U</t>
  </si>
  <si>
    <t>C00346</t>
  </si>
  <si>
    <t>HB0346</t>
  </si>
  <si>
    <t>R00346</t>
  </si>
  <si>
    <t>DT0346</t>
  </si>
  <si>
    <t>BYHX68YV2</t>
  </si>
  <si>
    <t>C00347</t>
  </si>
  <si>
    <t>HB0347</t>
  </si>
  <si>
    <t>R00347</t>
  </si>
  <si>
    <t>DT0347</t>
  </si>
  <si>
    <t>B96NIX9TW</t>
  </si>
  <si>
    <t>C00348</t>
  </si>
  <si>
    <t>HB0348</t>
  </si>
  <si>
    <t>R00348</t>
  </si>
  <si>
    <t>DT0348</t>
  </si>
  <si>
    <t>BIHSWIXN1</t>
  </si>
  <si>
    <t>C00349</t>
  </si>
  <si>
    <t>HB0349</t>
  </si>
  <si>
    <t>R00349</t>
  </si>
  <si>
    <t>DT0349</t>
  </si>
  <si>
    <t>BI477PKBR</t>
  </si>
  <si>
    <t>C00350</t>
  </si>
  <si>
    <t>Gaurav Gupta</t>
  </si>
  <si>
    <t>HB0350</t>
  </si>
  <si>
    <t>R00350</t>
  </si>
  <si>
    <t>DT0350</t>
  </si>
  <si>
    <t>BHSM8RT41</t>
  </si>
  <si>
    <t>C00351</t>
  </si>
  <si>
    <t>HB0351</t>
  </si>
  <si>
    <t>R00351</t>
  </si>
  <si>
    <t>DT0351</t>
  </si>
  <si>
    <t>BTKRWQDYO</t>
  </si>
  <si>
    <t>C00352</t>
  </si>
  <si>
    <t>Ananya Mehta</t>
  </si>
  <si>
    <t>HB0352</t>
  </si>
  <si>
    <t>R00352</t>
  </si>
  <si>
    <t>DT0352</t>
  </si>
  <si>
    <t>BSX5TUAN5</t>
  </si>
  <si>
    <t>C00353</t>
  </si>
  <si>
    <t>HB0353</t>
  </si>
  <si>
    <t>R00353</t>
  </si>
  <si>
    <t>DT0353</t>
  </si>
  <si>
    <t>BNTJL7P1Y</t>
  </si>
  <si>
    <t>C00354</t>
  </si>
  <si>
    <t>HB0354</t>
  </si>
  <si>
    <t>R00354</t>
  </si>
  <si>
    <t>DT0354</t>
  </si>
  <si>
    <t>BPHBCHUAT</t>
  </si>
  <si>
    <t>C00355</t>
  </si>
  <si>
    <t>HB0355</t>
  </si>
  <si>
    <t>R00355</t>
  </si>
  <si>
    <t>DT0355</t>
  </si>
  <si>
    <t>B6TGO2T7Q</t>
  </si>
  <si>
    <t>C00356</t>
  </si>
  <si>
    <t>HB0356</t>
  </si>
  <si>
    <t>R00356</t>
  </si>
  <si>
    <t>DT0356</t>
  </si>
  <si>
    <t>BYPP0KLX5</t>
  </si>
  <si>
    <t>C00357</t>
  </si>
  <si>
    <t>HB0357</t>
  </si>
  <si>
    <t>R00357</t>
  </si>
  <si>
    <t>DT0357</t>
  </si>
  <si>
    <t>BQG91Z4PE</t>
  </si>
  <si>
    <t>C00358</t>
  </si>
  <si>
    <t>HB0358</t>
  </si>
  <si>
    <t>R00358</t>
  </si>
  <si>
    <t>DT0358</t>
  </si>
  <si>
    <t>BR8DWPZKG</t>
  </si>
  <si>
    <t>C00359</t>
  </si>
  <si>
    <t>Aditya Patel</t>
  </si>
  <si>
    <t>HB0359</t>
  </si>
  <si>
    <t>R00359</t>
  </si>
  <si>
    <t>DT0359</t>
  </si>
  <si>
    <t>B8JHE9FI3</t>
  </si>
  <si>
    <t>C00360</t>
  </si>
  <si>
    <t>HB0360</t>
  </si>
  <si>
    <t>R00360</t>
  </si>
  <si>
    <t>DT0360</t>
  </si>
  <si>
    <t>BSZO61LQO</t>
  </si>
  <si>
    <t>C00361</t>
  </si>
  <si>
    <t>HB0361</t>
  </si>
  <si>
    <t>R00361</t>
  </si>
  <si>
    <t>DT0361</t>
  </si>
  <si>
    <t>BWLM4FM2O</t>
  </si>
  <si>
    <t>C00362</t>
  </si>
  <si>
    <t>Pooja Sharma</t>
  </si>
  <si>
    <t>HB0362</t>
  </si>
  <si>
    <t>R00362</t>
  </si>
  <si>
    <t>DT0362</t>
  </si>
  <si>
    <t>BQJPAL1DS</t>
  </si>
  <si>
    <t>C00363</t>
  </si>
  <si>
    <t>Simran Patel</t>
  </si>
  <si>
    <t>HB0363</t>
  </si>
  <si>
    <t>R00363</t>
  </si>
  <si>
    <t>DT0363</t>
  </si>
  <si>
    <t>BXVOFXJX0</t>
  </si>
  <si>
    <t>C00364</t>
  </si>
  <si>
    <t>HB0364</t>
  </si>
  <si>
    <t>R00364</t>
  </si>
  <si>
    <t>DT0364</t>
  </si>
  <si>
    <t>BXB6HXCK1</t>
  </si>
  <si>
    <t>C00365</t>
  </si>
  <si>
    <t>HB0365</t>
  </si>
  <si>
    <t>R00365</t>
  </si>
  <si>
    <t>DT0365</t>
  </si>
  <si>
    <t>BFP54WB2C</t>
  </si>
  <si>
    <t>C00366</t>
  </si>
  <si>
    <t>HB0366</t>
  </si>
  <si>
    <t>R00366</t>
  </si>
  <si>
    <t>DT0366</t>
  </si>
  <si>
    <t>BMX5L77IB</t>
  </si>
  <si>
    <t>C00367</t>
  </si>
  <si>
    <t>James Nair</t>
  </si>
  <si>
    <t>HB0367</t>
  </si>
  <si>
    <t>R00367</t>
  </si>
  <si>
    <t>DT0367</t>
  </si>
  <si>
    <t>B2AXGZMYU</t>
  </si>
  <si>
    <t>C00368</t>
  </si>
  <si>
    <t>HB0368</t>
  </si>
  <si>
    <t>R00368</t>
  </si>
  <si>
    <t>DT0368</t>
  </si>
  <si>
    <t>BD9N1O5BQ</t>
  </si>
  <si>
    <t>C00369</t>
  </si>
  <si>
    <t>Elijah Gupta</t>
  </si>
  <si>
    <t>HB0369</t>
  </si>
  <si>
    <t>R00369</t>
  </si>
  <si>
    <t>DT0369</t>
  </si>
  <si>
    <t>BAFBAJFQP</t>
  </si>
  <si>
    <t>C00370</t>
  </si>
  <si>
    <t>Benjamin Sharma</t>
  </si>
  <si>
    <t>HB0370</t>
  </si>
  <si>
    <t>R00370</t>
  </si>
  <si>
    <t>DT0370</t>
  </si>
  <si>
    <t>BCLGRR4C9</t>
  </si>
  <si>
    <t>C00371</t>
  </si>
  <si>
    <t>Arjun Joshi</t>
  </si>
  <si>
    <t>HB0371</t>
  </si>
  <si>
    <t>R00371</t>
  </si>
  <si>
    <t>DT0371</t>
  </si>
  <si>
    <t>BTRMXU7U0</t>
  </si>
  <si>
    <t>C00372</t>
  </si>
  <si>
    <t>HB0372</t>
  </si>
  <si>
    <t>R00372</t>
  </si>
  <si>
    <t>DT0372</t>
  </si>
  <si>
    <t>B1B5O70AX</t>
  </si>
  <si>
    <t>C00373</t>
  </si>
  <si>
    <t>HB0373</t>
  </si>
  <si>
    <t>R00373</t>
  </si>
  <si>
    <t>DT0373</t>
  </si>
  <si>
    <t>BIZFZMQP7</t>
  </si>
  <si>
    <t>C00374</t>
  </si>
  <si>
    <t>Neha Singh</t>
  </si>
  <si>
    <t>HB0374</t>
  </si>
  <si>
    <t>R00374</t>
  </si>
  <si>
    <t>DT0374</t>
  </si>
  <si>
    <t>BEW1Z6R22</t>
  </si>
  <si>
    <t>C00375</t>
  </si>
  <si>
    <t>HB0375</t>
  </si>
  <si>
    <t>R00375</t>
  </si>
  <si>
    <t>DT0375</t>
  </si>
  <si>
    <t>BW25AVPK9</t>
  </si>
  <si>
    <t>C00376</t>
  </si>
  <si>
    <t>Shruti Verma</t>
  </si>
  <si>
    <t>HB0376</t>
  </si>
  <si>
    <t>R00376</t>
  </si>
  <si>
    <t>DT0376</t>
  </si>
  <si>
    <t>BEEMMV8B7</t>
  </si>
  <si>
    <t>C00377</t>
  </si>
  <si>
    <t>HB0377</t>
  </si>
  <si>
    <t>R00377</t>
  </si>
  <si>
    <t>DT0377</t>
  </si>
  <si>
    <t>BUD130IYM</t>
  </si>
  <si>
    <t>C00378</t>
  </si>
  <si>
    <t>HB0378</t>
  </si>
  <si>
    <t>R00378</t>
  </si>
  <si>
    <t>DT0378</t>
  </si>
  <si>
    <t>BZQA1OXC0</t>
  </si>
  <si>
    <t>C00379</t>
  </si>
  <si>
    <t>HB0379</t>
  </si>
  <si>
    <t>R00379</t>
  </si>
  <si>
    <t>DT0379</t>
  </si>
  <si>
    <t>B4W0HY3FF</t>
  </si>
  <si>
    <t>C00380</t>
  </si>
  <si>
    <t>HB0380</t>
  </si>
  <si>
    <t>R00380</t>
  </si>
  <si>
    <t>DT0380</t>
  </si>
  <si>
    <t>BLJRTV1WQ</t>
  </si>
  <si>
    <t>C00381</t>
  </si>
  <si>
    <t>HB0381</t>
  </si>
  <si>
    <t>R00381</t>
  </si>
  <si>
    <t>DT0381</t>
  </si>
  <si>
    <t>BYGO7Z55H</t>
  </si>
  <si>
    <t>C00382</t>
  </si>
  <si>
    <t>Ishaan Singh</t>
  </si>
  <si>
    <t>HB0382</t>
  </si>
  <si>
    <t>R00382</t>
  </si>
  <si>
    <t>DT0382</t>
  </si>
  <si>
    <t>BBS90XP7R</t>
  </si>
  <si>
    <t>C00383</t>
  </si>
  <si>
    <t>HB0383</t>
  </si>
  <si>
    <t>R00383</t>
  </si>
  <si>
    <t>DT0383</t>
  </si>
  <si>
    <t>BN23KJDYV</t>
  </si>
  <si>
    <t>C00384</t>
  </si>
  <si>
    <t>Neha Verma</t>
  </si>
  <si>
    <t>HB0384</t>
  </si>
  <si>
    <t>R00384</t>
  </si>
  <si>
    <t>DT0384</t>
  </si>
  <si>
    <t>BAP7DVUF7</t>
  </si>
  <si>
    <t>C00385</t>
  </si>
  <si>
    <t>HB0385</t>
  </si>
  <si>
    <t>R00385</t>
  </si>
  <si>
    <t>DT0385</t>
  </si>
  <si>
    <t>BCXU1CXX3</t>
  </si>
  <si>
    <t>C00386</t>
  </si>
  <si>
    <t>HB0386</t>
  </si>
  <si>
    <t>R00386</t>
  </si>
  <si>
    <t>DT0386</t>
  </si>
  <si>
    <t>BF222GTLV</t>
  </si>
  <si>
    <t>C00387</t>
  </si>
  <si>
    <t>HB0387</t>
  </si>
  <si>
    <t>R00387</t>
  </si>
  <si>
    <t>DT0387</t>
  </si>
  <si>
    <t>B7I6BXPDZ</t>
  </si>
  <si>
    <t>C00388</t>
  </si>
  <si>
    <t>Arjun Verma</t>
  </si>
  <si>
    <t>HB0388</t>
  </si>
  <si>
    <t>R00388</t>
  </si>
  <si>
    <t>DT0388</t>
  </si>
  <si>
    <t>BW6YZ7RY2</t>
  </si>
  <si>
    <t>C00389</t>
  </si>
  <si>
    <t>HB0389</t>
  </si>
  <si>
    <t>R00389</t>
  </si>
  <si>
    <t>DT0389</t>
  </si>
  <si>
    <t>BFJ2TEXQQ</t>
  </si>
  <si>
    <t>C00390</t>
  </si>
  <si>
    <t>HB0390</t>
  </si>
  <si>
    <t>R00390</t>
  </si>
  <si>
    <t>DT0390</t>
  </si>
  <si>
    <t>BVUXLY81X</t>
  </si>
  <si>
    <t>C00391</t>
  </si>
  <si>
    <t>HB0391</t>
  </si>
  <si>
    <t>R00391</t>
  </si>
  <si>
    <t>DT0391</t>
  </si>
  <si>
    <t>B1QX4Q7XO</t>
  </si>
  <si>
    <t>C00392</t>
  </si>
  <si>
    <t>Reyansh Singh</t>
  </si>
  <si>
    <t>HB0392</t>
  </si>
  <si>
    <t>R00392</t>
  </si>
  <si>
    <t>DT0392</t>
  </si>
  <si>
    <t>B27DTQ9RU</t>
  </si>
  <si>
    <t>C00393</t>
  </si>
  <si>
    <t>Benjamin Singh</t>
  </si>
  <si>
    <t>HB0393</t>
  </si>
  <si>
    <t>R00393</t>
  </si>
  <si>
    <t>DT0393</t>
  </si>
  <si>
    <t>BY28ZBJJA</t>
  </si>
  <si>
    <t>C00394</t>
  </si>
  <si>
    <t>HB0394</t>
  </si>
  <si>
    <t>R00394</t>
  </si>
  <si>
    <t>DT0394</t>
  </si>
  <si>
    <t>BN444O050</t>
  </si>
  <si>
    <t>C00395</t>
  </si>
  <si>
    <t>HB0395</t>
  </si>
  <si>
    <t>R00395</t>
  </si>
  <si>
    <t>DT0395</t>
  </si>
  <si>
    <t>BW22FIWK5</t>
  </si>
  <si>
    <t>C00396</t>
  </si>
  <si>
    <t>HB0396</t>
  </si>
  <si>
    <t>R00396</t>
  </si>
  <si>
    <t>DT0396</t>
  </si>
  <si>
    <t>B8M46H4AH</t>
  </si>
  <si>
    <t>C00397</t>
  </si>
  <si>
    <t>HB0397</t>
  </si>
  <si>
    <t>R00397</t>
  </si>
  <si>
    <t>DT0397</t>
  </si>
  <si>
    <t>BFH72NMCE</t>
  </si>
  <si>
    <t>C00398</t>
  </si>
  <si>
    <t>HB0398</t>
  </si>
  <si>
    <t>R00398</t>
  </si>
  <si>
    <t>DT0398</t>
  </si>
  <si>
    <t>BCUJEXU4Q</t>
  </si>
  <si>
    <t>C00399</t>
  </si>
  <si>
    <t>Rohan Sharma</t>
  </si>
  <si>
    <t>HB0399</t>
  </si>
  <si>
    <t>R00399</t>
  </si>
  <si>
    <t>DT0399</t>
  </si>
  <si>
    <t>BNBQW35F5</t>
  </si>
  <si>
    <t>C00400</t>
  </si>
  <si>
    <t>HB0400</t>
  </si>
  <si>
    <t>R00400</t>
  </si>
  <si>
    <t>DT0400</t>
  </si>
  <si>
    <t>B4T6F1QW9</t>
  </si>
  <si>
    <t>C00401</t>
  </si>
  <si>
    <t>Aditya Iyer</t>
  </si>
  <si>
    <t>HB0401</t>
  </si>
  <si>
    <t>R00401</t>
  </si>
  <si>
    <t>DT0401</t>
  </si>
  <si>
    <t>B7I58UP6J</t>
  </si>
  <si>
    <t>C00402</t>
  </si>
  <si>
    <t>HB0402</t>
  </si>
  <si>
    <t>R00402</t>
  </si>
  <si>
    <t>DT0402</t>
  </si>
  <si>
    <t>BCLQ08JT6</t>
  </si>
  <si>
    <t>C00403</t>
  </si>
  <si>
    <t>HB0403</t>
  </si>
  <si>
    <t>R00403</t>
  </si>
  <si>
    <t>DT0403</t>
  </si>
  <si>
    <t>BCKXX2XNU</t>
  </si>
  <si>
    <t>C00404</t>
  </si>
  <si>
    <t>HB0404</t>
  </si>
  <si>
    <t>R00404</t>
  </si>
  <si>
    <t>DT0404</t>
  </si>
  <si>
    <t>BNSCI32A6</t>
  </si>
  <si>
    <t>C00405</t>
  </si>
  <si>
    <t>HB0405</t>
  </si>
  <si>
    <t>R00405</t>
  </si>
  <si>
    <t>DT0405</t>
  </si>
  <si>
    <t>BYTLVIJFU</t>
  </si>
  <si>
    <t>C00406</t>
  </si>
  <si>
    <t>Aditya Gupta</t>
  </si>
  <si>
    <t>HB0406</t>
  </si>
  <si>
    <t>R00406</t>
  </si>
  <si>
    <t>DT0406</t>
  </si>
  <si>
    <t>BAS98BP7C</t>
  </si>
  <si>
    <t>C00407</t>
  </si>
  <si>
    <t>William Gupta</t>
  </si>
  <si>
    <t>HB0407</t>
  </si>
  <si>
    <t>R00407</t>
  </si>
  <si>
    <t>DT0407</t>
  </si>
  <si>
    <t>BDRQFVFA5</t>
  </si>
  <si>
    <t>C00408</t>
  </si>
  <si>
    <t>HB0408</t>
  </si>
  <si>
    <t>R00408</t>
  </si>
  <si>
    <t>DT0408</t>
  </si>
  <si>
    <t>BJXRY9LRK</t>
  </si>
  <si>
    <t>C00409</t>
  </si>
  <si>
    <t>HB0409</t>
  </si>
  <si>
    <t>R00409</t>
  </si>
  <si>
    <t>DT0409</t>
  </si>
  <si>
    <t>BDMUP1YVW</t>
  </si>
  <si>
    <t>C00410</t>
  </si>
  <si>
    <t>HB0410</t>
  </si>
  <si>
    <t>R00410</t>
  </si>
  <si>
    <t>DT0410</t>
  </si>
  <si>
    <t>B7GNVBA43</t>
  </si>
  <si>
    <t>C00411</t>
  </si>
  <si>
    <t>Priya Joshi</t>
  </si>
  <si>
    <t>HB0411</t>
  </si>
  <si>
    <t>R00411</t>
  </si>
  <si>
    <t>DT0411</t>
  </si>
  <si>
    <t>BBLLYPGW0</t>
  </si>
  <si>
    <t>C00412</t>
  </si>
  <si>
    <t>HB0412</t>
  </si>
  <si>
    <t>R00412</t>
  </si>
  <si>
    <t>DT0412</t>
  </si>
  <si>
    <t>BSAEXMOJD</t>
  </si>
  <si>
    <t>C00413</t>
  </si>
  <si>
    <t>HB0413</t>
  </si>
  <si>
    <t>R00413</t>
  </si>
  <si>
    <t>DT0413</t>
  </si>
  <si>
    <t>BQA1VIQ63</t>
  </si>
  <si>
    <t>C00414</t>
  </si>
  <si>
    <t>Divya Patel</t>
  </si>
  <si>
    <t>HB0414</t>
  </si>
  <si>
    <t>R00414</t>
  </si>
  <si>
    <t>DT0414</t>
  </si>
  <si>
    <t>BU2RUP7FA</t>
  </si>
  <si>
    <t>C00415</t>
  </si>
  <si>
    <t>HB0415</t>
  </si>
  <si>
    <t>R00415</t>
  </si>
  <si>
    <t>DT0415</t>
  </si>
  <si>
    <t>B1ZB62G6B</t>
  </si>
  <si>
    <t>C00416</t>
  </si>
  <si>
    <t>HB0416</t>
  </si>
  <si>
    <t>R00416</t>
  </si>
  <si>
    <t>DT0416</t>
  </si>
  <si>
    <t>BU50AP1WN</t>
  </si>
  <si>
    <t>C00417</t>
  </si>
  <si>
    <t>Gaurav Khan</t>
  </si>
  <si>
    <t>HB0417</t>
  </si>
  <si>
    <t>R00417</t>
  </si>
  <si>
    <t>DT0417</t>
  </si>
  <si>
    <t>BP17X89NA</t>
  </si>
  <si>
    <t>C00418</t>
  </si>
  <si>
    <t>HB0418</t>
  </si>
  <si>
    <t>R00418</t>
  </si>
  <si>
    <t>DT0418</t>
  </si>
  <si>
    <t>B1357P714</t>
  </si>
  <si>
    <t>C00419</t>
  </si>
  <si>
    <t>HB0419</t>
  </si>
  <si>
    <t>R00419</t>
  </si>
  <si>
    <t>DT0419</t>
  </si>
  <si>
    <t>BVRS5Y4IG</t>
  </si>
  <si>
    <t>C00420</t>
  </si>
  <si>
    <t>HB0420</t>
  </si>
  <si>
    <t>R00420</t>
  </si>
  <si>
    <t>DT0420</t>
  </si>
  <si>
    <t>B2LYNHX2O</t>
  </si>
  <si>
    <t>C00421</t>
  </si>
  <si>
    <t>HB0421</t>
  </si>
  <si>
    <t>R00421</t>
  </si>
  <si>
    <t>DT0421</t>
  </si>
  <si>
    <t>BT5HKOJJ9</t>
  </si>
  <si>
    <t>C00422</t>
  </si>
  <si>
    <t>HB0422</t>
  </si>
  <si>
    <t>R00422</t>
  </si>
  <si>
    <t>DT0422</t>
  </si>
  <si>
    <t>BB0U2HVMB</t>
  </si>
  <si>
    <t>C00423</t>
  </si>
  <si>
    <t>HB0423</t>
  </si>
  <si>
    <t>R00423</t>
  </si>
  <si>
    <t>DT0423</t>
  </si>
  <si>
    <t>BS0AYRNR2</t>
  </si>
  <si>
    <t>C00424</t>
  </si>
  <si>
    <t>HB0424</t>
  </si>
  <si>
    <t>R00424</t>
  </si>
  <si>
    <t>DT0424</t>
  </si>
  <si>
    <t>B6LBUWCHG</t>
  </si>
  <si>
    <t>C00425</t>
  </si>
  <si>
    <t>HB0425</t>
  </si>
  <si>
    <t>R00425</t>
  </si>
  <si>
    <t>DT0425</t>
  </si>
  <si>
    <t>B71SD6QK0</t>
  </si>
  <si>
    <t>C00426</t>
  </si>
  <si>
    <t>HB0426</t>
  </si>
  <si>
    <t>R00426</t>
  </si>
  <si>
    <t>DT0426</t>
  </si>
  <si>
    <t>BSMUSJ1H3</t>
  </si>
  <si>
    <t>C00427</t>
  </si>
  <si>
    <t>HB0427</t>
  </si>
  <si>
    <t>R00427</t>
  </si>
  <si>
    <t>DT0427</t>
  </si>
  <si>
    <t>B52I7ZC7B</t>
  </si>
  <si>
    <t>C00428</t>
  </si>
  <si>
    <t>HB0428</t>
  </si>
  <si>
    <t>R00428</t>
  </si>
  <si>
    <t>DT0428</t>
  </si>
  <si>
    <t>BL1S2GTU8</t>
  </si>
  <si>
    <t>C00429</t>
  </si>
  <si>
    <t>HB0429</t>
  </si>
  <si>
    <t>R00429</t>
  </si>
  <si>
    <t>DT0429</t>
  </si>
  <si>
    <t>BDFNWPNHE</t>
  </si>
  <si>
    <t>C00430</t>
  </si>
  <si>
    <t>HB0430</t>
  </si>
  <si>
    <t>R00430</t>
  </si>
  <si>
    <t>DT0430</t>
  </si>
  <si>
    <t>BZ5RLTDCL</t>
  </si>
  <si>
    <t>C00431</t>
  </si>
  <si>
    <t>HB0431</t>
  </si>
  <si>
    <t>R00431</t>
  </si>
  <si>
    <t>DT0431</t>
  </si>
  <si>
    <t>BGOTUAMDB</t>
  </si>
  <si>
    <t>C00432</t>
  </si>
  <si>
    <t>HB0432</t>
  </si>
  <si>
    <t>R00432</t>
  </si>
  <si>
    <t>DT0432</t>
  </si>
  <si>
    <t>BFTAHQBBU</t>
  </si>
  <si>
    <t>C00433</t>
  </si>
  <si>
    <t>HB0433</t>
  </si>
  <si>
    <t>R00433</t>
  </si>
  <si>
    <t>DT0433</t>
  </si>
  <si>
    <t>BWCZ3BQFR</t>
  </si>
  <si>
    <t>C00434</t>
  </si>
  <si>
    <t>HB0434</t>
  </si>
  <si>
    <t>R00434</t>
  </si>
  <si>
    <t>DT0434</t>
  </si>
  <si>
    <t>BI8NEOGE9</t>
  </si>
  <si>
    <t>C00435</t>
  </si>
  <si>
    <t>Liam Patel</t>
  </si>
  <si>
    <t>HB0435</t>
  </si>
  <si>
    <t>R00435</t>
  </si>
  <si>
    <t>DT0435</t>
  </si>
  <si>
    <t>B38DHEVPB</t>
  </si>
  <si>
    <t>C00436</t>
  </si>
  <si>
    <t>HB0436</t>
  </si>
  <si>
    <t>R00436</t>
  </si>
  <si>
    <t>DT0436</t>
  </si>
  <si>
    <t>BUYOIUINX</t>
  </si>
  <si>
    <t>C00437</t>
  </si>
  <si>
    <t>HB0437</t>
  </si>
  <si>
    <t>R00437</t>
  </si>
  <si>
    <t>DT0437</t>
  </si>
  <si>
    <t>BAA2KOYRB</t>
  </si>
  <si>
    <t>C00438</t>
  </si>
  <si>
    <t>HB0438</t>
  </si>
  <si>
    <t>R00438</t>
  </si>
  <si>
    <t>DT0438</t>
  </si>
  <si>
    <t>BIJW95MZ0</t>
  </si>
  <si>
    <t>C00439</t>
  </si>
  <si>
    <t>HB0439</t>
  </si>
  <si>
    <t>R00439</t>
  </si>
  <si>
    <t>DT0439</t>
  </si>
  <si>
    <t>BAHANMVTV</t>
  </si>
  <si>
    <t>C00440</t>
  </si>
  <si>
    <t>HB0440</t>
  </si>
  <si>
    <t>R00440</t>
  </si>
  <si>
    <t>DT0440</t>
  </si>
  <si>
    <t>B707O6RMA</t>
  </si>
  <si>
    <t>C00441</t>
  </si>
  <si>
    <t>Rohan Joshi</t>
  </si>
  <si>
    <t>HB0441</t>
  </si>
  <si>
    <t>R00441</t>
  </si>
  <si>
    <t>DT0441</t>
  </si>
  <si>
    <t>B0YMT0W3X</t>
  </si>
  <si>
    <t>C00442</t>
  </si>
  <si>
    <t>Noah Nair</t>
  </si>
  <si>
    <t>HB0442</t>
  </si>
  <si>
    <t>R00442</t>
  </si>
  <si>
    <t>DT0442</t>
  </si>
  <si>
    <t>B3NYIR1DK</t>
  </si>
  <si>
    <t>C00443</t>
  </si>
  <si>
    <t>Aisha Patel</t>
  </si>
  <si>
    <t>HB0443</t>
  </si>
  <si>
    <t>R00443</t>
  </si>
  <si>
    <t>DT0443</t>
  </si>
  <si>
    <t>BNNAUBFWA</t>
  </si>
  <si>
    <t>C00444</t>
  </si>
  <si>
    <t>HB0444</t>
  </si>
  <si>
    <t>R00444</t>
  </si>
  <si>
    <t>DT0444</t>
  </si>
  <si>
    <t>B3YVHWB2A</t>
  </si>
  <si>
    <t>C00445</t>
  </si>
  <si>
    <t>Pooja Nair</t>
  </si>
  <si>
    <t>HB0445</t>
  </si>
  <si>
    <t>R00445</t>
  </si>
  <si>
    <t>DT0445</t>
  </si>
  <si>
    <t>BPFHAKR2A</t>
  </si>
  <si>
    <t>C00446</t>
  </si>
  <si>
    <t>HB0446</t>
  </si>
  <si>
    <t>R00446</t>
  </si>
  <si>
    <t>DT0446</t>
  </si>
  <si>
    <t>BP9T6M7RJ</t>
  </si>
  <si>
    <t>C00447</t>
  </si>
  <si>
    <t>HB0447</t>
  </si>
  <si>
    <t>R00447</t>
  </si>
  <si>
    <t>DT0447</t>
  </si>
  <si>
    <t>BTQWH40W6</t>
  </si>
  <si>
    <t>C00448</t>
  </si>
  <si>
    <t>HB0448</t>
  </si>
  <si>
    <t>R00448</t>
  </si>
  <si>
    <t>DT0448</t>
  </si>
  <si>
    <t>B27KJO7RJ</t>
  </si>
  <si>
    <t>C00449</t>
  </si>
  <si>
    <t>HB0449</t>
  </si>
  <si>
    <t>R00449</t>
  </si>
  <si>
    <t>DT0449</t>
  </si>
  <si>
    <t>B0C55L23U</t>
  </si>
  <si>
    <t>C00450</t>
  </si>
  <si>
    <t>HB0450</t>
  </si>
  <si>
    <t>R00450</t>
  </si>
  <si>
    <t>DT0450</t>
  </si>
  <si>
    <t>BMM3JT4LM</t>
  </si>
  <si>
    <t>C00451</t>
  </si>
  <si>
    <t>HB0451</t>
  </si>
  <si>
    <t>R00451</t>
  </si>
  <si>
    <t>DT0451</t>
  </si>
  <si>
    <t>B4U4BMTHV</t>
  </si>
  <si>
    <t>C00452</t>
  </si>
  <si>
    <t>Pooja Verma</t>
  </si>
  <si>
    <t>HB0452</t>
  </si>
  <si>
    <t>R00452</t>
  </si>
  <si>
    <t>DT0452</t>
  </si>
  <si>
    <t>BIBUSA0WQ</t>
  </si>
  <si>
    <t>C00453</t>
  </si>
  <si>
    <t>HB0453</t>
  </si>
  <si>
    <t>R00453</t>
  </si>
  <si>
    <t>DT0453</t>
  </si>
  <si>
    <t>BL45UBMR8</t>
  </si>
  <si>
    <t>C00454</t>
  </si>
  <si>
    <t>HB0454</t>
  </si>
  <si>
    <t>R00454</t>
  </si>
  <si>
    <t>DT0454</t>
  </si>
  <si>
    <t>B6IQPHXI1</t>
  </si>
  <si>
    <t>C00455</t>
  </si>
  <si>
    <t>HB0455</t>
  </si>
  <si>
    <t>R00455</t>
  </si>
  <si>
    <t>DT0455</t>
  </si>
  <si>
    <t>BWUGOFRGJ</t>
  </si>
  <si>
    <t>C00456</t>
  </si>
  <si>
    <t>HB0456</t>
  </si>
  <si>
    <t>R00456</t>
  </si>
  <si>
    <t>DT0456</t>
  </si>
  <si>
    <t>BOL3D7CIG</t>
  </si>
  <si>
    <t>C00457</t>
  </si>
  <si>
    <t>HB0457</t>
  </si>
  <si>
    <t>R00457</t>
  </si>
  <si>
    <t>DT0457</t>
  </si>
  <si>
    <t>BNZDWP73W</t>
  </si>
  <si>
    <t>C00458</t>
  </si>
  <si>
    <t>HB0458</t>
  </si>
  <si>
    <t>R00458</t>
  </si>
  <si>
    <t>DT0458</t>
  </si>
  <si>
    <t>BP0HIBHC9</t>
  </si>
  <si>
    <t>C00459</t>
  </si>
  <si>
    <t>HB0459</t>
  </si>
  <si>
    <t>R00459</t>
  </si>
  <si>
    <t>DT0459</t>
  </si>
  <si>
    <t>BOC0KN6AH</t>
  </si>
  <si>
    <t>C00460</t>
  </si>
  <si>
    <t>HB0460</t>
  </si>
  <si>
    <t>R00460</t>
  </si>
  <si>
    <t>DT0460</t>
  </si>
  <si>
    <t>B2PK69CDO</t>
  </si>
  <si>
    <t>C00461</t>
  </si>
  <si>
    <t>HB0461</t>
  </si>
  <si>
    <t>R00461</t>
  </si>
  <si>
    <t>DT0461</t>
  </si>
  <si>
    <t>B5SVIGETN</t>
  </si>
  <si>
    <t>C00462</t>
  </si>
  <si>
    <t>HB0462</t>
  </si>
  <si>
    <t>R00462</t>
  </si>
  <si>
    <t>DT0462</t>
  </si>
  <si>
    <t>B6SW1YK83</t>
  </si>
  <si>
    <t>C00463</t>
  </si>
  <si>
    <t>HB0463</t>
  </si>
  <si>
    <t>R00463</t>
  </si>
  <si>
    <t>DT0463</t>
  </si>
  <si>
    <t>BQ1PHJHDD</t>
  </si>
  <si>
    <t>C00464</t>
  </si>
  <si>
    <t>HB0464</t>
  </si>
  <si>
    <t>R00464</t>
  </si>
  <si>
    <t>DT0464</t>
  </si>
  <si>
    <t>BAI1X2IUX</t>
  </si>
  <si>
    <t>C00465</t>
  </si>
  <si>
    <t>HB0465</t>
  </si>
  <si>
    <t>R00465</t>
  </si>
  <si>
    <t>DT0465</t>
  </si>
  <si>
    <t>BTD57REZW</t>
  </si>
  <si>
    <t>C00466</t>
  </si>
  <si>
    <t>HB0466</t>
  </si>
  <si>
    <t>R00466</t>
  </si>
  <si>
    <t>DT0466</t>
  </si>
  <si>
    <t>BGYTBGHRO</t>
  </si>
  <si>
    <t>C00467</t>
  </si>
  <si>
    <t>HB0467</t>
  </si>
  <si>
    <t>R00467</t>
  </si>
  <si>
    <t>DT0467</t>
  </si>
  <si>
    <t>BFRVAF6YT</t>
  </si>
  <si>
    <t>C00468</t>
  </si>
  <si>
    <t>HB0468</t>
  </si>
  <si>
    <t>R00468</t>
  </si>
  <si>
    <t>DT0468</t>
  </si>
  <si>
    <t>BGSIVHXLW</t>
  </si>
  <si>
    <t>C00469</t>
  </si>
  <si>
    <t>HB0469</t>
  </si>
  <si>
    <t>R00469</t>
  </si>
  <si>
    <t>DT0469</t>
  </si>
  <si>
    <t>BDPMVI1V0</t>
  </si>
  <si>
    <t>C00470</t>
  </si>
  <si>
    <t>HB0470</t>
  </si>
  <si>
    <t>R00470</t>
  </si>
  <si>
    <t>DT0470</t>
  </si>
  <si>
    <t>BM2Y21IBZ</t>
  </si>
  <si>
    <t>C00471</t>
  </si>
  <si>
    <t>HB0471</t>
  </si>
  <si>
    <t>R00471</t>
  </si>
  <si>
    <t>DT0471</t>
  </si>
  <si>
    <t>BZCF5AKD9</t>
  </si>
  <si>
    <t>C00472</t>
  </si>
  <si>
    <t>HB0472</t>
  </si>
  <si>
    <t>R00472</t>
  </si>
  <si>
    <t>DT0472</t>
  </si>
  <si>
    <t>BLG3T9PC7</t>
  </si>
  <si>
    <t>C00473</t>
  </si>
  <si>
    <t>HB0473</t>
  </si>
  <si>
    <t>R00473</t>
  </si>
  <si>
    <t>DT0473</t>
  </si>
  <si>
    <t>BWXLCIU4B</t>
  </si>
  <si>
    <t>C00474</t>
  </si>
  <si>
    <t>HB0474</t>
  </si>
  <si>
    <t>R00474</t>
  </si>
  <si>
    <t>DT0474</t>
  </si>
  <si>
    <t>BOZYR4N26</t>
  </si>
  <si>
    <t>C00475</t>
  </si>
  <si>
    <t>HB0475</t>
  </si>
  <si>
    <t>R00475</t>
  </si>
  <si>
    <t>DT0475</t>
  </si>
  <si>
    <t>BUYJMIC97</t>
  </si>
  <si>
    <t>C00476</t>
  </si>
  <si>
    <t>HB0476</t>
  </si>
  <si>
    <t>R00476</t>
  </si>
  <si>
    <t>DT0476</t>
  </si>
  <si>
    <t>B15NKJLG3</t>
  </si>
  <si>
    <t>C00477</t>
  </si>
  <si>
    <t>Pooja Iyer</t>
  </si>
  <si>
    <t>HB0477</t>
  </si>
  <si>
    <t>R00477</t>
  </si>
  <si>
    <t>DT0477</t>
  </si>
  <si>
    <t>BT66108PO</t>
  </si>
  <si>
    <t>C00478</t>
  </si>
  <si>
    <t>Noah Patel</t>
  </si>
  <si>
    <t>HB0478</t>
  </si>
  <si>
    <t>R00478</t>
  </si>
  <si>
    <t>DT0478</t>
  </si>
  <si>
    <t>BP6TA0L4A</t>
  </si>
  <si>
    <t>C00479</t>
  </si>
  <si>
    <t>HB0479</t>
  </si>
  <si>
    <t>R00479</t>
  </si>
  <si>
    <t>DT0479</t>
  </si>
  <si>
    <t>BH2YIWBY2</t>
  </si>
  <si>
    <t>C00480</t>
  </si>
  <si>
    <t>HB0480</t>
  </si>
  <si>
    <t>R00480</t>
  </si>
  <si>
    <t>DT0480</t>
  </si>
  <si>
    <t>BRSHFCA6R</t>
  </si>
  <si>
    <t>C00481</t>
  </si>
  <si>
    <t>HB0481</t>
  </si>
  <si>
    <t>R00481</t>
  </si>
  <si>
    <t>DT0481</t>
  </si>
  <si>
    <t>BZ14EUABP</t>
  </si>
  <si>
    <t>C00482</t>
  </si>
  <si>
    <t>Aditya Singh</t>
  </si>
  <si>
    <t>HB0482</t>
  </si>
  <si>
    <t>R00482</t>
  </si>
  <si>
    <t>DT0482</t>
  </si>
  <si>
    <t>BO2FKNVZD</t>
  </si>
  <si>
    <t>C00483</t>
  </si>
  <si>
    <t>HB0483</t>
  </si>
  <si>
    <t>R00483</t>
  </si>
  <si>
    <t>DT0483</t>
  </si>
  <si>
    <t>B4NOAUJ9P</t>
  </si>
  <si>
    <t>C00484</t>
  </si>
  <si>
    <t>HB0484</t>
  </si>
  <si>
    <t>R00484</t>
  </si>
  <si>
    <t>DT0484</t>
  </si>
  <si>
    <t>BVNBZ40YS</t>
  </si>
  <si>
    <t>C00485</t>
  </si>
  <si>
    <t>HB0485</t>
  </si>
  <si>
    <t>R00485</t>
  </si>
  <si>
    <t>DT0485</t>
  </si>
  <si>
    <t>B97SJD2O6</t>
  </si>
  <si>
    <t>C00486</t>
  </si>
  <si>
    <t>HB0486</t>
  </si>
  <si>
    <t>R00486</t>
  </si>
  <si>
    <t>DT0486</t>
  </si>
  <si>
    <t>B5VYK7CF2</t>
  </si>
  <si>
    <t>C00487</t>
  </si>
  <si>
    <t>James Mehta</t>
  </si>
  <si>
    <t>HB0487</t>
  </si>
  <si>
    <t>R00487</t>
  </si>
  <si>
    <t>DT0487</t>
  </si>
  <si>
    <t>BRMN41R7C</t>
  </si>
  <si>
    <t>C00488</t>
  </si>
  <si>
    <t>HB0488</t>
  </si>
  <si>
    <t>R00488</t>
  </si>
  <si>
    <t>DT0488</t>
  </si>
  <si>
    <t>BD2KIRRNR</t>
  </si>
  <si>
    <t>C00489</t>
  </si>
  <si>
    <t>HB0489</t>
  </si>
  <si>
    <t>R00489</t>
  </si>
  <si>
    <t>DT0489</t>
  </si>
  <si>
    <t>BNHCPL2UE</t>
  </si>
  <si>
    <t>C00490</t>
  </si>
  <si>
    <t>HB0490</t>
  </si>
  <si>
    <t>R00490</t>
  </si>
  <si>
    <t>DT0490</t>
  </si>
  <si>
    <t>B6H7TNVOK</t>
  </si>
  <si>
    <t>C00491</t>
  </si>
  <si>
    <t>HB0491</t>
  </si>
  <si>
    <t>R00491</t>
  </si>
  <si>
    <t>DT0491</t>
  </si>
  <si>
    <t>B9O5SRPUC</t>
  </si>
  <si>
    <t>C00492</t>
  </si>
  <si>
    <t>HB0492</t>
  </si>
  <si>
    <t>R00492</t>
  </si>
  <si>
    <t>DT0492</t>
  </si>
  <si>
    <t>BKBKKQGBE</t>
  </si>
  <si>
    <t>C00493</t>
  </si>
  <si>
    <t>James Joshi</t>
  </si>
  <si>
    <t>HB0493</t>
  </si>
  <si>
    <t>R00493</t>
  </si>
  <si>
    <t>DT0493</t>
  </si>
  <si>
    <t>B3FR6Q95I</t>
  </si>
  <si>
    <t>C00494</t>
  </si>
  <si>
    <t>Vivaan Sharma</t>
  </si>
  <si>
    <t>HB0494</t>
  </si>
  <si>
    <t>R00494</t>
  </si>
  <si>
    <t>DT0494</t>
  </si>
  <si>
    <t>B7BLSVYYA</t>
  </si>
  <si>
    <t>C00495</t>
  </si>
  <si>
    <t>HB0495</t>
  </si>
  <si>
    <t>R00495</t>
  </si>
  <si>
    <t>DT0495</t>
  </si>
  <si>
    <t>BBGXW4VGL</t>
  </si>
  <si>
    <t>C00496</t>
  </si>
  <si>
    <t>HB0496</t>
  </si>
  <si>
    <t>R00496</t>
  </si>
  <si>
    <t>DT0496</t>
  </si>
  <si>
    <t>B1COO004O</t>
  </si>
  <si>
    <t>C00497</t>
  </si>
  <si>
    <t>Ishaan Mehta</t>
  </si>
  <si>
    <t>HB0497</t>
  </si>
  <si>
    <t>R00497</t>
  </si>
  <si>
    <t>DT0497</t>
  </si>
  <si>
    <t>B7F2EYWPA</t>
  </si>
  <si>
    <t>C00498</t>
  </si>
  <si>
    <t>HB0498</t>
  </si>
  <si>
    <t>R00498</t>
  </si>
  <si>
    <t>DT0498</t>
  </si>
  <si>
    <t>BIK8238XK</t>
  </si>
  <si>
    <t>C00499</t>
  </si>
  <si>
    <t>HB0499</t>
  </si>
  <si>
    <t>R00499</t>
  </si>
  <si>
    <t>DT0499</t>
  </si>
  <si>
    <t>B5W67FAAY</t>
  </si>
  <si>
    <t>C00500</t>
  </si>
  <si>
    <t>HB0500</t>
  </si>
  <si>
    <t>R00500</t>
  </si>
  <si>
    <t>DT0500</t>
  </si>
  <si>
    <t>BSWVBCGHD</t>
  </si>
  <si>
    <t>C00501</t>
  </si>
  <si>
    <t>HB0501</t>
  </si>
  <si>
    <t>R00501</t>
  </si>
  <si>
    <t>DT0501</t>
  </si>
  <si>
    <t>BSJ2QS9D3</t>
  </si>
  <si>
    <t>C00502</t>
  </si>
  <si>
    <t>HB0502</t>
  </si>
  <si>
    <t>R00502</t>
  </si>
  <si>
    <t>DT0502</t>
  </si>
  <si>
    <t>B7W6ATJLO</t>
  </si>
  <si>
    <t>C00503</t>
  </si>
  <si>
    <t>HB0503</t>
  </si>
  <si>
    <t>R00503</t>
  </si>
  <si>
    <t>DT0503</t>
  </si>
  <si>
    <t>BHTCX5RIG</t>
  </si>
  <si>
    <t>C00504</t>
  </si>
  <si>
    <t>Shruti Iyer</t>
  </si>
  <si>
    <t>HB0504</t>
  </si>
  <si>
    <t>R00504</t>
  </si>
  <si>
    <t>DT0504</t>
  </si>
  <si>
    <t>BPC32H1K9</t>
  </si>
  <si>
    <t>C00505</t>
  </si>
  <si>
    <t>HB0505</t>
  </si>
  <si>
    <t>R00505</t>
  </si>
  <si>
    <t>DT0505</t>
  </si>
  <si>
    <t>BWZSV6Y39</t>
  </si>
  <si>
    <t>C00506</t>
  </si>
  <si>
    <t>HB0506</t>
  </si>
  <si>
    <t>R00506</t>
  </si>
  <si>
    <t>DT0506</t>
  </si>
  <si>
    <t>B3XR9D129</t>
  </si>
  <si>
    <t>C00507</t>
  </si>
  <si>
    <t>HB0507</t>
  </si>
  <si>
    <t>R00507</t>
  </si>
  <si>
    <t>DT0507</t>
  </si>
  <si>
    <t>BQJD5LN55</t>
  </si>
  <si>
    <t>C00508</t>
  </si>
  <si>
    <t>HB0508</t>
  </si>
  <si>
    <t>R00508</t>
  </si>
  <si>
    <t>DT0508</t>
  </si>
  <si>
    <t>BCWXXDW2M</t>
  </si>
  <si>
    <t>C00509</t>
  </si>
  <si>
    <t>James Patel</t>
  </si>
  <si>
    <t>HB0509</t>
  </si>
  <si>
    <t>R00509</t>
  </si>
  <si>
    <t>DT0509</t>
  </si>
  <si>
    <t>BLJL8VJ61</t>
  </si>
  <si>
    <t>C00510</t>
  </si>
  <si>
    <t>HB0510</t>
  </si>
  <si>
    <t>R00510</t>
  </si>
  <si>
    <t>DT0510</t>
  </si>
  <si>
    <t>BDM78UI5M</t>
  </si>
  <si>
    <t>C00511</t>
  </si>
  <si>
    <t>Ananya Verma</t>
  </si>
  <si>
    <t>HB0511</t>
  </si>
  <si>
    <t>R00511</t>
  </si>
  <si>
    <t>DT0511</t>
  </si>
  <si>
    <t>B5F6Y1NM7</t>
  </si>
  <si>
    <t>C00512</t>
  </si>
  <si>
    <t>HB0512</t>
  </si>
  <si>
    <t>R00512</t>
  </si>
  <si>
    <t>DT0512</t>
  </si>
  <si>
    <t>BTH9IIUKC</t>
  </si>
  <si>
    <t>C00513</t>
  </si>
  <si>
    <t>HB0513</t>
  </si>
  <si>
    <t>R00513</t>
  </si>
  <si>
    <t>DT0513</t>
  </si>
  <si>
    <t>B2T4YUR03</t>
  </si>
  <si>
    <t>C00514</t>
  </si>
  <si>
    <t>Divya Verma</t>
  </si>
  <si>
    <t>HB0514</t>
  </si>
  <si>
    <t>R00514</t>
  </si>
  <si>
    <t>DT0514</t>
  </si>
  <si>
    <t>BWV1SO2YA</t>
  </si>
  <si>
    <t>C00515</t>
  </si>
  <si>
    <t>Liam Sharma</t>
  </si>
  <si>
    <t>HB0515</t>
  </si>
  <si>
    <t>R00515</t>
  </si>
  <si>
    <t>DT0515</t>
  </si>
  <si>
    <t>BXAHFDTWQ</t>
  </si>
  <si>
    <t>C00516</t>
  </si>
  <si>
    <t>HB0516</t>
  </si>
  <si>
    <t>R00516</t>
  </si>
  <si>
    <t>DT0516</t>
  </si>
  <si>
    <t>BBO6659HA</t>
  </si>
  <si>
    <t>C00517</t>
  </si>
  <si>
    <t>HB0517</t>
  </si>
  <si>
    <t>R00517</t>
  </si>
  <si>
    <t>DT0517</t>
  </si>
  <si>
    <t>BK232ARWU</t>
  </si>
  <si>
    <t>C00518</t>
  </si>
  <si>
    <t>HB0518</t>
  </si>
  <si>
    <t>R00518</t>
  </si>
  <si>
    <t>DT0518</t>
  </si>
  <si>
    <t>B1RGYX0WW</t>
  </si>
  <si>
    <t>C00519</t>
  </si>
  <si>
    <t>HB0519</t>
  </si>
  <si>
    <t>R00519</t>
  </si>
  <si>
    <t>DT0519</t>
  </si>
  <si>
    <t>B9RUMPPEZ</t>
  </si>
  <si>
    <t>C00520</t>
  </si>
  <si>
    <t>Vivaan Mehta</t>
  </si>
  <si>
    <t>HB0520</t>
  </si>
  <si>
    <t>R00520</t>
  </si>
  <si>
    <t>DT0520</t>
  </si>
  <si>
    <t>BC5HDFUB4</t>
  </si>
  <si>
    <t>C00521</t>
  </si>
  <si>
    <t>HB0521</t>
  </si>
  <si>
    <t>R00521</t>
  </si>
  <si>
    <t>DT0521</t>
  </si>
  <si>
    <t>B2F4IOFE9</t>
  </si>
  <si>
    <t>C00522</t>
  </si>
  <si>
    <t>HB0522</t>
  </si>
  <si>
    <t>R00522</t>
  </si>
  <si>
    <t>DT0522</t>
  </si>
  <si>
    <t>BP8I6T5FJ</t>
  </si>
  <si>
    <t>C00523</t>
  </si>
  <si>
    <t>HB0523</t>
  </si>
  <si>
    <t>R00523</t>
  </si>
  <si>
    <t>DT0523</t>
  </si>
  <si>
    <t>BW7TBDDCM</t>
  </si>
  <si>
    <t>C00524</t>
  </si>
  <si>
    <t>HB0524</t>
  </si>
  <si>
    <t>R00524</t>
  </si>
  <si>
    <t>DT0524</t>
  </si>
  <si>
    <t>BQAI0OQ0W</t>
  </si>
  <si>
    <t>C00525</t>
  </si>
  <si>
    <t>HB0525</t>
  </si>
  <si>
    <t>R00525</t>
  </si>
  <si>
    <t>DT0525</t>
  </si>
  <si>
    <t>BVW07TT4L</t>
  </si>
  <si>
    <t>C00526</t>
  </si>
  <si>
    <t>HB0526</t>
  </si>
  <si>
    <t>R00526</t>
  </si>
  <si>
    <t>DT0526</t>
  </si>
  <si>
    <t>BAWTAQBAO</t>
  </si>
  <si>
    <t>C00527</t>
  </si>
  <si>
    <t>HB0527</t>
  </si>
  <si>
    <t>R00527</t>
  </si>
  <si>
    <t>DT0527</t>
  </si>
  <si>
    <t>BPKZ8HFCQ</t>
  </si>
  <si>
    <t>C00528</t>
  </si>
  <si>
    <t>HB0528</t>
  </si>
  <si>
    <t>R00528</t>
  </si>
  <si>
    <t>DT0528</t>
  </si>
  <si>
    <t>B98Y5T620</t>
  </si>
  <si>
    <t>C00529</t>
  </si>
  <si>
    <t>HB0529</t>
  </si>
  <si>
    <t>R00529</t>
  </si>
  <si>
    <t>DT0529</t>
  </si>
  <si>
    <t>BAK5C9Y27</t>
  </si>
  <si>
    <t>C00530</t>
  </si>
  <si>
    <t>HB0530</t>
  </si>
  <si>
    <t>R00530</t>
  </si>
  <si>
    <t>DT0530</t>
  </si>
  <si>
    <t>B68459696</t>
  </si>
  <si>
    <t>C00531</t>
  </si>
  <si>
    <t>HB0531</t>
  </si>
  <si>
    <t>R00531</t>
  </si>
  <si>
    <t>DT0531</t>
  </si>
  <si>
    <t>BA17TSPP0</t>
  </si>
  <si>
    <t>C00532</t>
  </si>
  <si>
    <t>Oliver Singh</t>
  </si>
  <si>
    <t>HB0532</t>
  </si>
  <si>
    <t>R00532</t>
  </si>
  <si>
    <t>DT0532</t>
  </si>
  <si>
    <t>BMWKGGQ7T</t>
  </si>
  <si>
    <t>C00533</t>
  </si>
  <si>
    <t>HB0533</t>
  </si>
  <si>
    <t>R00533</t>
  </si>
  <si>
    <t>DT0533</t>
  </si>
  <si>
    <t>BN6B09XX0</t>
  </si>
  <si>
    <t>C00534</t>
  </si>
  <si>
    <t>HB0534</t>
  </si>
  <si>
    <t>R00534</t>
  </si>
  <si>
    <t>DT0534</t>
  </si>
  <si>
    <t>BY23M9DVN</t>
  </si>
  <si>
    <t>C00535</t>
  </si>
  <si>
    <t>HB0535</t>
  </si>
  <si>
    <t>R00535</t>
  </si>
  <si>
    <t>DT0535</t>
  </si>
  <si>
    <t>BZPZN8VZY</t>
  </si>
  <si>
    <t>C00536</t>
  </si>
  <si>
    <t>Siddharth Singh</t>
  </si>
  <si>
    <t>HB0536</t>
  </si>
  <si>
    <t>R00536</t>
  </si>
  <si>
    <t>DT0536</t>
  </si>
  <si>
    <t>BY61PT1DZ</t>
  </si>
  <si>
    <t>C00537</t>
  </si>
  <si>
    <t>HB0537</t>
  </si>
  <si>
    <t>R00537</t>
  </si>
  <si>
    <t>DT0537</t>
  </si>
  <si>
    <t>BMDSJH3HI</t>
  </si>
  <si>
    <t>C00538</t>
  </si>
  <si>
    <t>HB0538</t>
  </si>
  <si>
    <t>R00538</t>
  </si>
  <si>
    <t>DT0538</t>
  </si>
  <si>
    <t>BKF6JZQF2</t>
  </si>
  <si>
    <t>C00539</t>
  </si>
  <si>
    <t>HB0539</t>
  </si>
  <si>
    <t>R00539</t>
  </si>
  <si>
    <t>DT0539</t>
  </si>
  <si>
    <t>BFT0SAZWV</t>
  </si>
  <si>
    <t>C00540</t>
  </si>
  <si>
    <t>HB0540</t>
  </si>
  <si>
    <t>R00540</t>
  </si>
  <si>
    <t>DT0540</t>
  </si>
  <si>
    <t>BNP6I5GSE</t>
  </si>
  <si>
    <t>C00541</t>
  </si>
  <si>
    <t>HB0541</t>
  </si>
  <si>
    <t>R00541</t>
  </si>
  <si>
    <t>DT0541</t>
  </si>
  <si>
    <t>BP5J7QMG1</t>
  </si>
  <si>
    <t>C00542</t>
  </si>
  <si>
    <t>HB0542</t>
  </si>
  <si>
    <t>R00542</t>
  </si>
  <si>
    <t>DT0542</t>
  </si>
  <si>
    <t>BNQIYFTLX</t>
  </si>
  <si>
    <t>C00543</t>
  </si>
  <si>
    <t>HB0543</t>
  </si>
  <si>
    <t>R00543</t>
  </si>
  <si>
    <t>DT0543</t>
  </si>
  <si>
    <t>BZ8RPTSET</t>
  </si>
  <si>
    <t>C00544</t>
  </si>
  <si>
    <t>HB0544</t>
  </si>
  <si>
    <t>R00544</t>
  </si>
  <si>
    <t>DT0544</t>
  </si>
  <si>
    <t>BVTW5EJE3</t>
  </si>
  <si>
    <t>C00545</t>
  </si>
  <si>
    <t>HB0545</t>
  </si>
  <si>
    <t>R00545</t>
  </si>
  <si>
    <t>DT0545</t>
  </si>
  <si>
    <t>BLRZMO3DX</t>
  </si>
  <si>
    <t>C00546</t>
  </si>
  <si>
    <t>HB0546</t>
  </si>
  <si>
    <t>R00546</t>
  </si>
  <si>
    <t>DT0546</t>
  </si>
  <si>
    <t>BUX5W3SX7</t>
  </si>
  <si>
    <t>C00547</t>
  </si>
  <si>
    <t>HB0547</t>
  </si>
  <si>
    <t>R00547</t>
  </si>
  <si>
    <t>DT0547</t>
  </si>
  <si>
    <t>B59Z6NSM3</t>
  </si>
  <si>
    <t>C00548</t>
  </si>
  <si>
    <t>HB0548</t>
  </si>
  <si>
    <t>R00548</t>
  </si>
  <si>
    <t>DT0548</t>
  </si>
  <si>
    <t>BASXB25T0</t>
  </si>
  <si>
    <t>C00549</t>
  </si>
  <si>
    <t>HB0549</t>
  </si>
  <si>
    <t>R00549</t>
  </si>
  <si>
    <t>DT0549</t>
  </si>
  <si>
    <t>BUKFUQJEO</t>
  </si>
  <si>
    <t>C00550</t>
  </si>
  <si>
    <t>HB0550</t>
  </si>
  <si>
    <t>R00550</t>
  </si>
  <si>
    <t>DT0550</t>
  </si>
  <si>
    <t>BGO9TNTYE</t>
  </si>
  <si>
    <t>C00551</t>
  </si>
  <si>
    <t>HB0551</t>
  </si>
  <si>
    <t>R00551</t>
  </si>
  <si>
    <t>DT0551</t>
  </si>
  <si>
    <t>BQF850W2X</t>
  </si>
  <si>
    <t>C00552</t>
  </si>
  <si>
    <t>HB0552</t>
  </si>
  <si>
    <t>R00552</t>
  </si>
  <si>
    <t>DT0552</t>
  </si>
  <si>
    <t>B6P07HZQ8</t>
  </si>
  <si>
    <t>C00553</t>
  </si>
  <si>
    <t>HB0553</t>
  </si>
  <si>
    <t>R00553</t>
  </si>
  <si>
    <t>DT0553</t>
  </si>
  <si>
    <t>B9CA26QEX</t>
  </si>
  <si>
    <t>C00554</t>
  </si>
  <si>
    <t>HB0554</t>
  </si>
  <si>
    <t>R00554</t>
  </si>
  <si>
    <t>DT0554</t>
  </si>
  <si>
    <t>BLG5HU63R</t>
  </si>
  <si>
    <t>C00555</t>
  </si>
  <si>
    <t>HB0555</t>
  </si>
  <si>
    <t>R00555</t>
  </si>
  <si>
    <t>DT0555</t>
  </si>
  <si>
    <t>B7M4SQ86X</t>
  </si>
  <si>
    <t>C00556</t>
  </si>
  <si>
    <t>HB0556</t>
  </si>
  <si>
    <t>R00556</t>
  </si>
  <si>
    <t>DT0556</t>
  </si>
  <si>
    <t>BL6RHZFOJ</t>
  </si>
  <si>
    <t>C00557</t>
  </si>
  <si>
    <t>HB0557</t>
  </si>
  <si>
    <t>R00557</t>
  </si>
  <si>
    <t>DT0557</t>
  </si>
  <si>
    <t>BXGV6W0DL</t>
  </si>
  <si>
    <t>C00558</t>
  </si>
  <si>
    <t>HB0558</t>
  </si>
  <si>
    <t>R00558</t>
  </si>
  <si>
    <t>DT0558</t>
  </si>
  <si>
    <t>B2K0JJ4UG</t>
  </si>
  <si>
    <t>C00559</t>
  </si>
  <si>
    <t>Divya Nair</t>
  </si>
  <si>
    <t>HB0559</t>
  </si>
  <si>
    <t>R00559</t>
  </si>
  <si>
    <t>DT0559</t>
  </si>
  <si>
    <t>BUXM2C6KH</t>
  </si>
  <si>
    <t>C00560</t>
  </si>
  <si>
    <t>HB0560</t>
  </si>
  <si>
    <t>R00560</t>
  </si>
  <si>
    <t>DT0560</t>
  </si>
  <si>
    <t>B5PAYJ30A</t>
  </si>
  <si>
    <t>C00561</t>
  </si>
  <si>
    <t>HB0561</t>
  </si>
  <si>
    <t>R00561</t>
  </si>
  <si>
    <t>DT0561</t>
  </si>
  <si>
    <t>BKXY2YA9M</t>
  </si>
  <si>
    <t>C00562</t>
  </si>
  <si>
    <t>HB0562</t>
  </si>
  <si>
    <t>R00562</t>
  </si>
  <si>
    <t>DT0562</t>
  </si>
  <si>
    <t>BB73RRFKR</t>
  </si>
  <si>
    <t>C00563</t>
  </si>
  <si>
    <t>HB0563</t>
  </si>
  <si>
    <t>R00563</t>
  </si>
  <si>
    <t>DT0563</t>
  </si>
  <si>
    <t>BBW4YBYPJ</t>
  </si>
  <si>
    <t>C00564</t>
  </si>
  <si>
    <t>HB0564</t>
  </si>
  <si>
    <t>R00564</t>
  </si>
  <si>
    <t>DT0564</t>
  </si>
  <si>
    <t>BFA2U5QH1</t>
  </si>
  <si>
    <t>C00565</t>
  </si>
  <si>
    <t>HB0565</t>
  </si>
  <si>
    <t>R00565</t>
  </si>
  <si>
    <t>DT0565</t>
  </si>
  <si>
    <t>BMLOLNTA8</t>
  </si>
  <si>
    <t>C00566</t>
  </si>
  <si>
    <t>HB0566</t>
  </si>
  <si>
    <t>R00566</t>
  </si>
  <si>
    <t>DT0566</t>
  </si>
  <si>
    <t>BEBBMJXMI</t>
  </si>
  <si>
    <t>C00567</t>
  </si>
  <si>
    <t>HB0567</t>
  </si>
  <si>
    <t>R00567</t>
  </si>
  <si>
    <t>DT0567</t>
  </si>
  <si>
    <t>B3YLBXN1R</t>
  </si>
  <si>
    <t>C00568</t>
  </si>
  <si>
    <t>HB0568</t>
  </si>
  <si>
    <t>R00568</t>
  </si>
  <si>
    <t>DT0568</t>
  </si>
  <si>
    <t>BHX4NWLKG</t>
  </si>
  <si>
    <t>C00569</t>
  </si>
  <si>
    <t>Henry Joshi</t>
  </si>
  <si>
    <t>HB0569</t>
  </si>
  <si>
    <t>R00569</t>
  </si>
  <si>
    <t>DT0569</t>
  </si>
  <si>
    <t>BQ8QDS4ZN</t>
  </si>
  <si>
    <t>C00570</t>
  </si>
  <si>
    <t>Karan Patel</t>
  </si>
  <si>
    <t>HB0570</t>
  </si>
  <si>
    <t>R00570</t>
  </si>
  <si>
    <t>DT0570</t>
  </si>
  <si>
    <t>B85SVP9IO</t>
  </si>
  <si>
    <t>C00571</t>
  </si>
  <si>
    <t>Rohan Nair</t>
  </si>
  <si>
    <t>HB0571</t>
  </si>
  <si>
    <t>R00571</t>
  </si>
  <si>
    <t>DT0571</t>
  </si>
  <si>
    <t>BUZPO0ZSR</t>
  </si>
  <si>
    <t>C00572</t>
  </si>
  <si>
    <t>HB0572</t>
  </si>
  <si>
    <t>R00572</t>
  </si>
  <si>
    <t>DT0572</t>
  </si>
  <si>
    <t>BOL06QUB2</t>
  </si>
  <si>
    <t>C00573</t>
  </si>
  <si>
    <t>HB0573</t>
  </si>
  <si>
    <t>R00573</t>
  </si>
  <si>
    <t>DT0573</t>
  </si>
  <si>
    <t>BKFW21KMN</t>
  </si>
  <si>
    <t>C00574</t>
  </si>
  <si>
    <t>HB0574</t>
  </si>
  <si>
    <t>R00574</t>
  </si>
  <si>
    <t>DT0574</t>
  </si>
  <si>
    <t>BODBSQH2Z</t>
  </si>
  <si>
    <t>C00575</t>
  </si>
  <si>
    <t>HB0575</t>
  </si>
  <si>
    <t>R00575</t>
  </si>
  <si>
    <t>DT0575</t>
  </si>
  <si>
    <t>BGNS8GM4C</t>
  </si>
  <si>
    <t>C00576</t>
  </si>
  <si>
    <t>HB0576</t>
  </si>
  <si>
    <t>R00576</t>
  </si>
  <si>
    <t>DT0576</t>
  </si>
  <si>
    <t>BVSOEZFDJ</t>
  </si>
  <si>
    <t>C00577</t>
  </si>
  <si>
    <t>HB0577</t>
  </si>
  <si>
    <t>R00577</t>
  </si>
  <si>
    <t>DT0577</t>
  </si>
  <si>
    <t>BN3JHYAX8</t>
  </si>
  <si>
    <t>C00578</t>
  </si>
  <si>
    <t>HB0578</t>
  </si>
  <si>
    <t>R00578</t>
  </si>
  <si>
    <t>DT0578</t>
  </si>
  <si>
    <t>BVT7BGFMZ</t>
  </si>
  <si>
    <t>C00579</t>
  </si>
  <si>
    <t>HB0579</t>
  </si>
  <si>
    <t>R00579</t>
  </si>
  <si>
    <t>DT0579</t>
  </si>
  <si>
    <t>BXY7NJ0XT</t>
  </si>
  <si>
    <t>C00580</t>
  </si>
  <si>
    <t>HB0580</t>
  </si>
  <si>
    <t>R00580</t>
  </si>
  <si>
    <t>DT0580</t>
  </si>
  <si>
    <t>B5J67726B</t>
  </si>
  <si>
    <t>C00581</t>
  </si>
  <si>
    <t>HB0581</t>
  </si>
  <si>
    <t>R00581</t>
  </si>
  <si>
    <t>DT0581</t>
  </si>
  <si>
    <t>BENWHBR1P</t>
  </si>
  <si>
    <t>C00582</t>
  </si>
  <si>
    <t>HB0582</t>
  </si>
  <si>
    <t>R00582</t>
  </si>
  <si>
    <t>DT0582</t>
  </si>
  <si>
    <t>BTSFJHUPT</t>
  </si>
  <si>
    <t>C00583</t>
  </si>
  <si>
    <t>HB0583</t>
  </si>
  <si>
    <t>R00583</t>
  </si>
  <si>
    <t>DT0583</t>
  </si>
  <si>
    <t>B6AW0EWAY</t>
  </si>
  <si>
    <t>C00584</t>
  </si>
  <si>
    <t>HB0584</t>
  </si>
  <si>
    <t>R00584</t>
  </si>
  <si>
    <t>DT0584</t>
  </si>
  <si>
    <t>BO4MLVW8B</t>
  </si>
  <si>
    <t>C00585</t>
  </si>
  <si>
    <t>HB0585</t>
  </si>
  <si>
    <t>R00585</t>
  </si>
  <si>
    <t>DT0585</t>
  </si>
  <si>
    <t>BBICICDBP</t>
  </si>
  <si>
    <t>C00586</t>
  </si>
  <si>
    <t>HB0586</t>
  </si>
  <si>
    <t>R00586</t>
  </si>
  <si>
    <t>DT0586</t>
  </si>
  <si>
    <t>B49FB4TD3</t>
  </si>
  <si>
    <t>C00587</t>
  </si>
  <si>
    <t>HB0587</t>
  </si>
  <si>
    <t>R00587</t>
  </si>
  <si>
    <t>DT0587</t>
  </si>
  <si>
    <t>B7KF0FKAI</t>
  </si>
  <si>
    <t>C00588</t>
  </si>
  <si>
    <t>Oliver Iyer</t>
  </si>
  <si>
    <t>HB0588</t>
  </si>
  <si>
    <t>R00588</t>
  </si>
  <si>
    <t>DT0588</t>
  </si>
  <si>
    <t>BGXFXLX4U</t>
  </si>
  <si>
    <t>C00589</t>
  </si>
  <si>
    <t>Aarav Gupta</t>
  </si>
  <si>
    <t>HB0589</t>
  </si>
  <si>
    <t>R00589</t>
  </si>
  <si>
    <t>DT0589</t>
  </si>
  <si>
    <t>B9GK0SORN</t>
  </si>
  <si>
    <t>C00590</t>
  </si>
  <si>
    <t>HB0590</t>
  </si>
  <si>
    <t>R00590</t>
  </si>
  <si>
    <t>DT0590</t>
  </si>
  <si>
    <t>BCJTAQVO6</t>
  </si>
  <si>
    <t>C00591</t>
  </si>
  <si>
    <t>HB0591</t>
  </si>
  <si>
    <t>R00591</t>
  </si>
  <si>
    <t>DT0591</t>
  </si>
  <si>
    <t>B4FC06HGF</t>
  </si>
  <si>
    <t>C00592</t>
  </si>
  <si>
    <t>HB0592</t>
  </si>
  <si>
    <t>R00592</t>
  </si>
  <si>
    <t>DT0592</t>
  </si>
  <si>
    <t>BYGSCPVF9</t>
  </si>
  <si>
    <t>C00593</t>
  </si>
  <si>
    <t>HB0593</t>
  </si>
  <si>
    <t>R00593</t>
  </si>
  <si>
    <t>DT0593</t>
  </si>
  <si>
    <t>BZHVBFY15</t>
  </si>
  <si>
    <t>C00594</t>
  </si>
  <si>
    <t>HB0594</t>
  </si>
  <si>
    <t>R00594</t>
  </si>
  <si>
    <t>DT0594</t>
  </si>
  <si>
    <t>BG9JNPAXX</t>
  </si>
  <si>
    <t>C00595</t>
  </si>
  <si>
    <t>HB0595</t>
  </si>
  <si>
    <t>R00595</t>
  </si>
  <si>
    <t>DT0595</t>
  </si>
  <si>
    <t>BYH8KMHM3</t>
  </si>
  <si>
    <t>C00596</t>
  </si>
  <si>
    <t>HB0596</t>
  </si>
  <si>
    <t>R00596</t>
  </si>
  <si>
    <t>DT0596</t>
  </si>
  <si>
    <t>BC67AIBXJ</t>
  </si>
  <si>
    <t>C00597</t>
  </si>
  <si>
    <t>Noah Sharma</t>
  </si>
  <si>
    <t>HB0597</t>
  </si>
  <si>
    <t>R00597</t>
  </si>
  <si>
    <t>DT0597</t>
  </si>
  <si>
    <t>BEGZGAAP5</t>
  </si>
  <si>
    <t>C00598</t>
  </si>
  <si>
    <t>HB0598</t>
  </si>
  <si>
    <t>R00598</t>
  </si>
  <si>
    <t>DT0598</t>
  </si>
  <si>
    <t>BGWJINX5B</t>
  </si>
  <si>
    <t>C00599</t>
  </si>
  <si>
    <t>HB0599</t>
  </si>
  <si>
    <t>R00599</t>
  </si>
  <si>
    <t>DT0599</t>
  </si>
  <si>
    <t>B0LEY2WZ6</t>
  </si>
  <si>
    <t>C00600</t>
  </si>
  <si>
    <t>HB0600</t>
  </si>
  <si>
    <t>R00600</t>
  </si>
  <si>
    <t>DT0600</t>
  </si>
  <si>
    <t>B9FXQ6S27</t>
  </si>
  <si>
    <t>C00601</t>
  </si>
  <si>
    <t>HB0601</t>
  </si>
  <si>
    <t>R00601</t>
  </si>
  <si>
    <t>DT0601</t>
  </si>
  <si>
    <t>B3GK119FP</t>
  </si>
  <si>
    <t>C00602</t>
  </si>
  <si>
    <t>HB0602</t>
  </si>
  <si>
    <t>R00602</t>
  </si>
  <si>
    <t>DT0602</t>
  </si>
  <si>
    <t>BZ649HCF4</t>
  </si>
  <si>
    <t>C00603</t>
  </si>
  <si>
    <t>HB0603</t>
  </si>
  <si>
    <t>R00603</t>
  </si>
  <si>
    <t>DT0603</t>
  </si>
  <si>
    <t>BI6W6N080</t>
  </si>
  <si>
    <t>C00604</t>
  </si>
  <si>
    <t>HB0604</t>
  </si>
  <si>
    <t>R00604</t>
  </si>
  <si>
    <t>DT0604</t>
  </si>
  <si>
    <t>BQPXYKFO7</t>
  </si>
  <si>
    <t>C00605</t>
  </si>
  <si>
    <t>HB0605</t>
  </si>
  <si>
    <t>R00605</t>
  </si>
  <si>
    <t>DT0605</t>
  </si>
  <si>
    <t>B0DK4K1NV</t>
  </si>
  <si>
    <t>C00606</t>
  </si>
  <si>
    <t>HB0606</t>
  </si>
  <si>
    <t>R00606</t>
  </si>
  <si>
    <t>DT0606</t>
  </si>
  <si>
    <t>BKV3X2CGG</t>
  </si>
  <si>
    <t>C00607</t>
  </si>
  <si>
    <t>HB0607</t>
  </si>
  <si>
    <t>R00607</t>
  </si>
  <si>
    <t>DT0607</t>
  </si>
  <si>
    <t>BK5DCQYJ8</t>
  </si>
  <si>
    <t>C00608</t>
  </si>
  <si>
    <t>HB0608</t>
  </si>
  <si>
    <t>R00608</t>
  </si>
  <si>
    <t>DT0608</t>
  </si>
  <si>
    <t>BQLNAP8ME</t>
  </si>
  <si>
    <t>C00609</t>
  </si>
  <si>
    <t>HB0609</t>
  </si>
  <si>
    <t>R00609</t>
  </si>
  <si>
    <t>DT0609</t>
  </si>
  <si>
    <t>BZ7RYC2TE</t>
  </si>
  <si>
    <t>C00610</t>
  </si>
  <si>
    <t>HB0610</t>
  </si>
  <si>
    <t>R00610</t>
  </si>
  <si>
    <t>DT0610</t>
  </si>
  <si>
    <t>BJ1WJBD48</t>
  </si>
  <si>
    <t>C00611</t>
  </si>
  <si>
    <t>HB0611</t>
  </si>
  <si>
    <t>R00611</t>
  </si>
  <si>
    <t>DT0611</t>
  </si>
  <si>
    <t>B4BH6GAF0</t>
  </si>
  <si>
    <t>C00612</t>
  </si>
  <si>
    <t>HB0612</t>
  </si>
  <si>
    <t>R00612</t>
  </si>
  <si>
    <t>DT0612</t>
  </si>
  <si>
    <t>BZBVYE1II</t>
  </si>
  <si>
    <t>C00613</t>
  </si>
  <si>
    <t>HB0613</t>
  </si>
  <si>
    <t>R00613</t>
  </si>
  <si>
    <t>DT0613</t>
  </si>
  <si>
    <t>B7ZJC3WSF</t>
  </si>
  <si>
    <t>C00614</t>
  </si>
  <si>
    <t>HB0614</t>
  </si>
  <si>
    <t>R00614</t>
  </si>
  <si>
    <t>DT0614</t>
  </si>
  <si>
    <t>BSQ60MV6W</t>
  </si>
  <si>
    <t>C00615</t>
  </si>
  <si>
    <t>HB0615</t>
  </si>
  <si>
    <t>R00615</t>
  </si>
  <si>
    <t>DT0615</t>
  </si>
  <si>
    <t>BJGI7PVOP</t>
  </si>
  <si>
    <t>C00616</t>
  </si>
  <si>
    <t>HB0616</t>
  </si>
  <si>
    <t>R00616</t>
  </si>
  <si>
    <t>DT0616</t>
  </si>
  <si>
    <t>BZQ3G0RRS</t>
  </si>
  <si>
    <t>C00617</t>
  </si>
  <si>
    <t>HB0617</t>
  </si>
  <si>
    <t>R00617</t>
  </si>
  <si>
    <t>DT0617</t>
  </si>
  <si>
    <t>BJBVIMZ5H</t>
  </si>
  <si>
    <t>C00618</t>
  </si>
  <si>
    <t>HB0618</t>
  </si>
  <si>
    <t>R00618</t>
  </si>
  <si>
    <t>DT0618</t>
  </si>
  <si>
    <t>BN3NFC37V</t>
  </si>
  <si>
    <t>C00619</t>
  </si>
  <si>
    <t>HB0619</t>
  </si>
  <si>
    <t>R00619</t>
  </si>
  <si>
    <t>DT0619</t>
  </si>
  <si>
    <t>B8PDD8TAI</t>
  </si>
  <si>
    <t>C00620</t>
  </si>
  <si>
    <t>HB0620</t>
  </si>
  <si>
    <t>R00620</t>
  </si>
  <si>
    <t>DT0620</t>
  </si>
  <si>
    <t>BATI2HUXM</t>
  </si>
  <si>
    <t>C00621</t>
  </si>
  <si>
    <t>HB0621</t>
  </si>
  <si>
    <t>R00621</t>
  </si>
  <si>
    <t>DT0621</t>
  </si>
  <si>
    <t>BSAB3BVTB</t>
  </si>
  <si>
    <t>C00622</t>
  </si>
  <si>
    <t>HB0622</t>
  </si>
  <si>
    <t>R00622</t>
  </si>
  <si>
    <t>DT0622</t>
  </si>
  <si>
    <t>B7LCUKCEH</t>
  </si>
  <si>
    <t>C00623</t>
  </si>
  <si>
    <t>HB0623</t>
  </si>
  <si>
    <t>R00623</t>
  </si>
  <si>
    <t>DT0623</t>
  </si>
  <si>
    <t>B8PDEWD6L</t>
  </si>
  <si>
    <t>C00624</t>
  </si>
  <si>
    <t>HB0624</t>
  </si>
  <si>
    <t>R00624</t>
  </si>
  <si>
    <t>DT0624</t>
  </si>
  <si>
    <t>BQK4Z91PL</t>
  </si>
  <si>
    <t>C00625</t>
  </si>
  <si>
    <t>HB0625</t>
  </si>
  <si>
    <t>R00625</t>
  </si>
  <si>
    <t>DT0625</t>
  </si>
  <si>
    <t>B0D3M746W</t>
  </si>
  <si>
    <t>C00626</t>
  </si>
  <si>
    <t>HB0626</t>
  </si>
  <si>
    <t>R00626</t>
  </si>
  <si>
    <t>DT0626</t>
  </si>
  <si>
    <t>BHRTPMO84</t>
  </si>
  <si>
    <t>C00627</t>
  </si>
  <si>
    <t>HB0627</t>
  </si>
  <si>
    <t>R00627</t>
  </si>
  <si>
    <t>DT0627</t>
  </si>
  <si>
    <t>BKVEADCT1</t>
  </si>
  <si>
    <t>C00628</t>
  </si>
  <si>
    <t>HB0628</t>
  </si>
  <si>
    <t>R00628</t>
  </si>
  <si>
    <t>DT0628</t>
  </si>
  <si>
    <t>B2AFI63OV</t>
  </si>
  <si>
    <t>C00629</t>
  </si>
  <si>
    <t>HB0629</t>
  </si>
  <si>
    <t>R00629</t>
  </si>
  <si>
    <t>DT0629</t>
  </si>
  <si>
    <t>BA5JJVK2K</t>
  </si>
  <si>
    <t>C00630</t>
  </si>
  <si>
    <t>HB0630</t>
  </si>
  <si>
    <t>R00630</t>
  </si>
  <si>
    <t>DT0630</t>
  </si>
  <si>
    <t>BEDM228GN</t>
  </si>
  <si>
    <t>C00631</t>
  </si>
  <si>
    <t>HB0631</t>
  </si>
  <si>
    <t>R00631</t>
  </si>
  <si>
    <t>DT0631</t>
  </si>
  <si>
    <t>B6ZVNSOJ9</t>
  </si>
  <si>
    <t>C00632</t>
  </si>
  <si>
    <t>HB0632</t>
  </si>
  <si>
    <t>R00632</t>
  </si>
  <si>
    <t>DT0632</t>
  </si>
  <si>
    <t>BTGTUO2KJ</t>
  </si>
  <si>
    <t>C00633</t>
  </si>
  <si>
    <t>HB0633</t>
  </si>
  <si>
    <t>R00633</t>
  </si>
  <si>
    <t>DT0633</t>
  </si>
  <si>
    <t>BW4SPI0VP</t>
  </si>
  <si>
    <t>C00634</t>
  </si>
  <si>
    <t>HB0634</t>
  </si>
  <si>
    <t>R00634</t>
  </si>
  <si>
    <t>DT0634</t>
  </si>
  <si>
    <t>BF7FR7M4K</t>
  </si>
  <si>
    <t>C00635</t>
  </si>
  <si>
    <t>Henry Nair</t>
  </si>
  <si>
    <t>HB0635</t>
  </si>
  <si>
    <t>R00635</t>
  </si>
  <si>
    <t>DT0635</t>
  </si>
  <si>
    <t>B037ODN65</t>
  </si>
  <si>
    <t>C00636</t>
  </si>
  <si>
    <t>HB0636</t>
  </si>
  <si>
    <t>R00636</t>
  </si>
  <si>
    <t>DT0636</t>
  </si>
  <si>
    <t>BMEUULZ6W</t>
  </si>
  <si>
    <t>C00637</t>
  </si>
  <si>
    <t>HB0637</t>
  </si>
  <si>
    <t>R00637</t>
  </si>
  <si>
    <t>DT0637</t>
  </si>
  <si>
    <t>BS60N8O1S</t>
  </si>
  <si>
    <t>C00638</t>
  </si>
  <si>
    <t>HB0638</t>
  </si>
  <si>
    <t>R00638</t>
  </si>
  <si>
    <t>DT0638</t>
  </si>
  <si>
    <t>B9GU65M7A</t>
  </si>
  <si>
    <t>C00639</t>
  </si>
  <si>
    <t>HB0639</t>
  </si>
  <si>
    <t>R00639</t>
  </si>
  <si>
    <t>DT0639</t>
  </si>
  <si>
    <t>BCCZWI87J</t>
  </si>
  <si>
    <t>C00640</t>
  </si>
  <si>
    <t>HB0640</t>
  </si>
  <si>
    <t>R00640</t>
  </si>
  <si>
    <t>DT0640</t>
  </si>
  <si>
    <t>BJDH2UDX1</t>
  </si>
  <si>
    <t>C00641</t>
  </si>
  <si>
    <t>HB0641</t>
  </si>
  <si>
    <t>R00641</t>
  </si>
  <si>
    <t>DT0641</t>
  </si>
  <si>
    <t>B3V3CZBSQ</t>
  </si>
  <si>
    <t>C00642</t>
  </si>
  <si>
    <t>HB0642</t>
  </si>
  <si>
    <t>R00642</t>
  </si>
  <si>
    <t>DT0642</t>
  </si>
  <si>
    <t>BZXOQHOJ8</t>
  </si>
  <si>
    <t>C00643</t>
  </si>
  <si>
    <t>HB0643</t>
  </si>
  <si>
    <t>R00643</t>
  </si>
  <si>
    <t>DT0643</t>
  </si>
  <si>
    <t>BPZXS12FZ</t>
  </si>
  <si>
    <t>C00644</t>
  </si>
  <si>
    <t>Aditya Mehta</t>
  </si>
  <si>
    <t>HB0644</t>
  </si>
  <si>
    <t>R00644</t>
  </si>
  <si>
    <t>DT0644</t>
  </si>
  <si>
    <t>B0RCNJ6BR</t>
  </si>
  <si>
    <t>C00645</t>
  </si>
  <si>
    <t>HB0645</t>
  </si>
  <si>
    <t>R00645</t>
  </si>
  <si>
    <t>DT0645</t>
  </si>
  <si>
    <t>BFOSH4LV7</t>
  </si>
  <si>
    <t>C00646</t>
  </si>
  <si>
    <t>HB0646</t>
  </si>
  <si>
    <t>R00646</t>
  </si>
  <si>
    <t>DT0646</t>
  </si>
  <si>
    <t>BEK91KEGJ</t>
  </si>
  <si>
    <t>C00647</t>
  </si>
  <si>
    <t>HB0647</t>
  </si>
  <si>
    <t>R00647</t>
  </si>
  <si>
    <t>DT0647</t>
  </si>
  <si>
    <t>B8GIYRNQ1</t>
  </si>
  <si>
    <t>C00648</t>
  </si>
  <si>
    <t>HB0648</t>
  </si>
  <si>
    <t>R00648</t>
  </si>
  <si>
    <t>DT0648</t>
  </si>
  <si>
    <t>BIQWLOK7G</t>
  </si>
  <si>
    <t>C00649</t>
  </si>
  <si>
    <t>HB0649</t>
  </si>
  <si>
    <t>R00649</t>
  </si>
  <si>
    <t>DT0649</t>
  </si>
  <si>
    <t>BM5ZV9Z8C</t>
  </si>
  <si>
    <t>C00650</t>
  </si>
  <si>
    <t>Rohan Gupta</t>
  </si>
  <si>
    <t>HB0650</t>
  </si>
  <si>
    <t>R00650</t>
  </si>
  <si>
    <t>DT0650</t>
  </si>
  <si>
    <t>BT6F5Q4MY</t>
  </si>
  <si>
    <t>C00651</t>
  </si>
  <si>
    <t>HB0651</t>
  </si>
  <si>
    <t>R00651</t>
  </si>
  <si>
    <t>DT0651</t>
  </si>
  <si>
    <t>BYQZTL5GK</t>
  </si>
  <si>
    <t>C00652</t>
  </si>
  <si>
    <t>HB0652</t>
  </si>
  <si>
    <t>R00652</t>
  </si>
  <si>
    <t>DT0652</t>
  </si>
  <si>
    <t>BZ6W8WBZO</t>
  </si>
  <si>
    <t>C00653</t>
  </si>
  <si>
    <t>HB0653</t>
  </si>
  <si>
    <t>R00653</t>
  </si>
  <si>
    <t>DT0653</t>
  </si>
  <si>
    <t>BEQQR7D6E</t>
  </si>
  <si>
    <t>C00654</t>
  </si>
  <si>
    <t>HB0654</t>
  </si>
  <si>
    <t>R00654</t>
  </si>
  <si>
    <t>DT0654</t>
  </si>
  <si>
    <t>B00HKZ96U</t>
  </si>
  <si>
    <t>C00655</t>
  </si>
  <si>
    <t>HB0655</t>
  </si>
  <si>
    <t>R00655</t>
  </si>
  <si>
    <t>DT0655</t>
  </si>
  <si>
    <t>BWT0XP5O7</t>
  </si>
  <si>
    <t>C00656</t>
  </si>
  <si>
    <t>HB0656</t>
  </si>
  <si>
    <t>R00656</t>
  </si>
  <si>
    <t>DT0656</t>
  </si>
  <si>
    <t>BJO97PBYD</t>
  </si>
  <si>
    <t>C00657</t>
  </si>
  <si>
    <t>HB0657</t>
  </si>
  <si>
    <t>R00657</t>
  </si>
  <si>
    <t>DT0657</t>
  </si>
  <si>
    <t>BNG89VB92</t>
  </si>
  <si>
    <t>C00658</t>
  </si>
  <si>
    <t>HB0658</t>
  </si>
  <si>
    <t>R00658</t>
  </si>
  <si>
    <t>DT0658</t>
  </si>
  <si>
    <t>BR518ML94</t>
  </si>
  <si>
    <t>C00659</t>
  </si>
  <si>
    <t>HB0659</t>
  </si>
  <si>
    <t>R00659</t>
  </si>
  <si>
    <t>DT0659</t>
  </si>
  <si>
    <t>BQAQX9V3E</t>
  </si>
  <si>
    <t>C00660</t>
  </si>
  <si>
    <t>HB0660</t>
  </si>
  <si>
    <t>R00660</t>
  </si>
  <si>
    <t>DT0660</t>
  </si>
  <si>
    <t>BLAIMI708</t>
  </si>
  <si>
    <t>C00661</t>
  </si>
  <si>
    <t>HB0661</t>
  </si>
  <si>
    <t>R00661</t>
  </si>
  <si>
    <t>DT0661</t>
  </si>
  <si>
    <t>BL4CUYMU4</t>
  </si>
  <si>
    <t>C00662</t>
  </si>
  <si>
    <t>Shruti Mehta</t>
  </si>
  <si>
    <t>HB0662</t>
  </si>
  <si>
    <t>R00662</t>
  </si>
  <si>
    <t>DT0662</t>
  </si>
  <si>
    <t>BNHB62HLN</t>
  </si>
  <si>
    <t>C00663</t>
  </si>
  <si>
    <t>HB0663</t>
  </si>
  <si>
    <t>R00663</t>
  </si>
  <si>
    <t>DT0663</t>
  </si>
  <si>
    <t>BPPP4KYZ6</t>
  </si>
  <si>
    <t>C00664</t>
  </si>
  <si>
    <t>HB0664</t>
  </si>
  <si>
    <t>R00664</t>
  </si>
  <si>
    <t>DT0664</t>
  </si>
  <si>
    <t>B1UWNZAF9</t>
  </si>
  <si>
    <t>C00665</t>
  </si>
  <si>
    <t>HB0665</t>
  </si>
  <si>
    <t>R00665</t>
  </si>
  <si>
    <t>DT0665</t>
  </si>
  <si>
    <t>BQ8X2MPXT</t>
  </si>
  <si>
    <t>C00666</t>
  </si>
  <si>
    <t>HB0666</t>
  </si>
  <si>
    <t>R00666</t>
  </si>
  <si>
    <t>DT0666</t>
  </si>
  <si>
    <t>BEAS0WG18</t>
  </si>
  <si>
    <t>C00667</t>
  </si>
  <si>
    <t>HB0667</t>
  </si>
  <si>
    <t>R00667</t>
  </si>
  <si>
    <t>DT0667</t>
  </si>
  <si>
    <t>B9CU109S8</t>
  </si>
  <si>
    <t>C00668</t>
  </si>
  <si>
    <t>HB0668</t>
  </si>
  <si>
    <t>R00668</t>
  </si>
  <si>
    <t>DT0668</t>
  </si>
  <si>
    <t>B21E5J7O6</t>
  </si>
  <si>
    <t>C00669</t>
  </si>
  <si>
    <t>HB0669</t>
  </si>
  <si>
    <t>R00669</t>
  </si>
  <si>
    <t>DT0669</t>
  </si>
  <si>
    <t>BLWXWU1R0</t>
  </si>
  <si>
    <t>C00670</t>
  </si>
  <si>
    <t>HB0670</t>
  </si>
  <si>
    <t>R00670</t>
  </si>
  <si>
    <t>DT0670</t>
  </si>
  <si>
    <t>BCXLZE639</t>
  </si>
  <si>
    <t>C00671</t>
  </si>
  <si>
    <t>HB0671</t>
  </si>
  <si>
    <t>R00671</t>
  </si>
  <si>
    <t>DT0671</t>
  </si>
  <si>
    <t>BPSDC63H0</t>
  </si>
  <si>
    <t>C00672</t>
  </si>
  <si>
    <t>HB0672</t>
  </si>
  <si>
    <t>R00672</t>
  </si>
  <si>
    <t>DT0672</t>
  </si>
  <si>
    <t>B6REAVBEH</t>
  </si>
  <si>
    <t>C00673</t>
  </si>
  <si>
    <t>HB0673</t>
  </si>
  <si>
    <t>R00673</t>
  </si>
  <si>
    <t>DT0673</t>
  </si>
  <si>
    <t>BY9T4XY8A</t>
  </si>
  <si>
    <t>C00674</t>
  </si>
  <si>
    <t>HB0674</t>
  </si>
  <si>
    <t>R00674</t>
  </si>
  <si>
    <t>DT0674</t>
  </si>
  <si>
    <t>BM9YUHZBL</t>
  </si>
  <si>
    <t>C00675</t>
  </si>
  <si>
    <t>HB0675</t>
  </si>
  <si>
    <t>R00675</t>
  </si>
  <si>
    <t>DT0675</t>
  </si>
  <si>
    <t>BNUWIXUY3</t>
  </si>
  <si>
    <t>C00676</t>
  </si>
  <si>
    <t>HB0676</t>
  </si>
  <si>
    <t>R00676</t>
  </si>
  <si>
    <t>DT0676</t>
  </si>
  <si>
    <t>BY4N5BZGJ</t>
  </si>
  <si>
    <t>C00677</t>
  </si>
  <si>
    <t>HB0677</t>
  </si>
  <si>
    <t>R00677</t>
  </si>
  <si>
    <t>DT0677</t>
  </si>
  <si>
    <t>BR2V3TGAQ</t>
  </si>
  <si>
    <t>C00678</t>
  </si>
  <si>
    <t>HB0678</t>
  </si>
  <si>
    <t>R00678</t>
  </si>
  <si>
    <t>DT0678</t>
  </si>
  <si>
    <t>BSHCJQT2J</t>
  </si>
  <si>
    <t>C00679</t>
  </si>
  <si>
    <t>HB0679</t>
  </si>
  <si>
    <t>R00679</t>
  </si>
  <si>
    <t>DT0679</t>
  </si>
  <si>
    <t>BTI4NRBBJ</t>
  </si>
  <si>
    <t>C00680</t>
  </si>
  <si>
    <t>HB0680</t>
  </si>
  <si>
    <t>R00680</t>
  </si>
  <si>
    <t>DT0680</t>
  </si>
  <si>
    <t>BA0KLL5ZN</t>
  </si>
  <si>
    <t>C00681</t>
  </si>
  <si>
    <t>HB0681</t>
  </si>
  <si>
    <t>R00681</t>
  </si>
  <si>
    <t>DT0681</t>
  </si>
  <si>
    <t>BTC6CGELV</t>
  </si>
  <si>
    <t>C00682</t>
  </si>
  <si>
    <t>HB0682</t>
  </si>
  <si>
    <t>R00682</t>
  </si>
  <si>
    <t>DT0682</t>
  </si>
  <si>
    <t>BV07EY3EN</t>
  </si>
  <si>
    <t>C00683</t>
  </si>
  <si>
    <t>HB0683</t>
  </si>
  <si>
    <t>R00683</t>
  </si>
  <si>
    <t>DT0683</t>
  </si>
  <si>
    <t>BHZEQ3MN9</t>
  </si>
  <si>
    <t>C00684</t>
  </si>
  <si>
    <t>HB0684</t>
  </si>
  <si>
    <t>R00684</t>
  </si>
  <si>
    <t>DT0684</t>
  </si>
  <si>
    <t>BLOG2ARXX</t>
  </si>
  <si>
    <t>C00685</t>
  </si>
  <si>
    <t>HB0685</t>
  </si>
  <si>
    <t>R00685</t>
  </si>
  <si>
    <t>DT0685</t>
  </si>
  <si>
    <t>B178FXPIF</t>
  </si>
  <si>
    <t>C00686</t>
  </si>
  <si>
    <t>HB0686</t>
  </si>
  <si>
    <t>R00686</t>
  </si>
  <si>
    <t>DT0686</t>
  </si>
  <si>
    <t>B83NC8MQ5</t>
  </si>
  <si>
    <t>C00687</t>
  </si>
  <si>
    <t>HB0687</t>
  </si>
  <si>
    <t>R00687</t>
  </si>
  <si>
    <t>DT0687</t>
  </si>
  <si>
    <t>BGPILEREK</t>
  </si>
  <si>
    <t>C00688</t>
  </si>
  <si>
    <t>HB0688</t>
  </si>
  <si>
    <t>R00688</t>
  </si>
  <si>
    <t>DT0688</t>
  </si>
  <si>
    <t>B6WXQGLDX</t>
  </si>
  <si>
    <t>C00689</t>
  </si>
  <si>
    <t>HB0689</t>
  </si>
  <si>
    <t>R00689</t>
  </si>
  <si>
    <t>DT0689</t>
  </si>
  <si>
    <t>BDN1NZIH5</t>
  </si>
  <si>
    <t>C00690</t>
  </si>
  <si>
    <t>HB0690</t>
  </si>
  <si>
    <t>R00690</t>
  </si>
  <si>
    <t>DT0690</t>
  </si>
  <si>
    <t>BKLDIXS5B</t>
  </si>
  <si>
    <t>C00691</t>
  </si>
  <si>
    <t>HB0691</t>
  </si>
  <si>
    <t>R00691</t>
  </si>
  <si>
    <t>DT0691</t>
  </si>
  <si>
    <t>B7EBLQWXW</t>
  </si>
  <si>
    <t>C00692</t>
  </si>
  <si>
    <t>HB0692</t>
  </si>
  <si>
    <t>R00692</t>
  </si>
  <si>
    <t>DT0692</t>
  </si>
  <si>
    <t>BCHAQPKWQ</t>
  </si>
  <si>
    <t>C00693</t>
  </si>
  <si>
    <t>HB0693</t>
  </si>
  <si>
    <t>R00693</t>
  </si>
  <si>
    <t>DT0693</t>
  </si>
  <si>
    <t>B6WKLX2WE</t>
  </si>
  <si>
    <t>C00694</t>
  </si>
  <si>
    <t>HB0694</t>
  </si>
  <si>
    <t>R00694</t>
  </si>
  <si>
    <t>DT0694</t>
  </si>
  <si>
    <t>B70IZE1DK</t>
  </si>
  <si>
    <t>C00695</t>
  </si>
  <si>
    <t>HB0695</t>
  </si>
  <si>
    <t>R00695</t>
  </si>
  <si>
    <t>DT0695</t>
  </si>
  <si>
    <t>BUBEVSZLC</t>
  </si>
  <si>
    <t>C00696</t>
  </si>
  <si>
    <t>HB0696</t>
  </si>
  <si>
    <t>R00696</t>
  </si>
  <si>
    <t>DT0696</t>
  </si>
  <si>
    <t>BRLN7OGKH</t>
  </si>
  <si>
    <t>C00697</t>
  </si>
  <si>
    <t>Simran Singh</t>
  </si>
  <si>
    <t>HB0697</t>
  </si>
  <si>
    <t>R00697</t>
  </si>
  <si>
    <t>DT0697</t>
  </si>
  <si>
    <t>BCKXR5SAX</t>
  </si>
  <si>
    <t>C00698</t>
  </si>
  <si>
    <t>HB0698</t>
  </si>
  <si>
    <t>R00698</t>
  </si>
  <si>
    <t>DT0698</t>
  </si>
  <si>
    <t>BC031VGLI</t>
  </si>
  <si>
    <t>C00699</t>
  </si>
  <si>
    <t>HB0699</t>
  </si>
  <si>
    <t>R00699</t>
  </si>
  <si>
    <t>DT0699</t>
  </si>
  <si>
    <t>B20ETCCGR</t>
  </si>
  <si>
    <t>C00700</t>
  </si>
  <si>
    <t>HB0700</t>
  </si>
  <si>
    <t>R00700</t>
  </si>
  <si>
    <t>DT0700</t>
  </si>
  <si>
    <t>B0NE6YIWD</t>
  </si>
  <si>
    <t>C00701</t>
  </si>
  <si>
    <t>Rohan Khan</t>
  </si>
  <si>
    <t>HB0701</t>
  </si>
  <si>
    <t>R00701</t>
  </si>
  <si>
    <t>DT0701</t>
  </si>
  <si>
    <t>B2J1WMPQ3</t>
  </si>
  <si>
    <t>C00702</t>
  </si>
  <si>
    <t>HB0702</t>
  </si>
  <si>
    <t>R00702</t>
  </si>
  <si>
    <t>DT0702</t>
  </si>
  <si>
    <t>BAARD7DQ8</t>
  </si>
  <si>
    <t>C00703</t>
  </si>
  <si>
    <t>HB0703</t>
  </si>
  <si>
    <t>R00703</t>
  </si>
  <si>
    <t>DT0703</t>
  </si>
  <si>
    <t>BNMXWL4RK</t>
  </si>
  <si>
    <t>C00704</t>
  </si>
  <si>
    <t>HB0704</t>
  </si>
  <si>
    <t>R00704</t>
  </si>
  <si>
    <t>DT0704</t>
  </si>
  <si>
    <t>BHLSEFGBC</t>
  </si>
  <si>
    <t>C00705</t>
  </si>
  <si>
    <t>HB0705</t>
  </si>
  <si>
    <t>R00705</t>
  </si>
  <si>
    <t>DT0705</t>
  </si>
  <si>
    <t>B0SPWQIGB</t>
  </si>
  <si>
    <t>C00706</t>
  </si>
  <si>
    <t>HB0706</t>
  </si>
  <si>
    <t>R00706</t>
  </si>
  <si>
    <t>DT0706</t>
  </si>
  <si>
    <t>B2C0PMOU6</t>
  </si>
  <si>
    <t>C00707</t>
  </si>
  <si>
    <t>HB0707</t>
  </si>
  <si>
    <t>R00707</t>
  </si>
  <si>
    <t>DT0707</t>
  </si>
  <si>
    <t>BJ6C6AB5G</t>
  </si>
  <si>
    <t>C00708</t>
  </si>
  <si>
    <t>HB0708</t>
  </si>
  <si>
    <t>R00708</t>
  </si>
  <si>
    <t>DT0708</t>
  </si>
  <si>
    <t>BIG4E8QEN</t>
  </si>
  <si>
    <t>C00709</t>
  </si>
  <si>
    <t>HB0709</t>
  </si>
  <si>
    <t>R00709</t>
  </si>
  <si>
    <t>DT0709</t>
  </si>
  <si>
    <t>B8YH6GRBK</t>
  </si>
  <si>
    <t>C00710</t>
  </si>
  <si>
    <t>HB0710</t>
  </si>
  <si>
    <t>R00710</t>
  </si>
  <si>
    <t>DT0710</t>
  </si>
  <si>
    <t>BW856U0RK</t>
  </si>
  <si>
    <t>C00711</t>
  </si>
  <si>
    <t>HB0711</t>
  </si>
  <si>
    <t>R00711</t>
  </si>
  <si>
    <t>DT0711</t>
  </si>
  <si>
    <t>B61SECHXG</t>
  </si>
  <si>
    <t>C00712</t>
  </si>
  <si>
    <t>HB0712</t>
  </si>
  <si>
    <t>R00712</t>
  </si>
  <si>
    <t>DT0712</t>
  </si>
  <si>
    <t>BQMJ22OIG</t>
  </si>
  <si>
    <t>C00713</t>
  </si>
  <si>
    <t>HB0713</t>
  </si>
  <si>
    <t>R00713</t>
  </si>
  <si>
    <t>DT0713</t>
  </si>
  <si>
    <t>BPO0LLQIX</t>
  </si>
  <si>
    <t>C00714</t>
  </si>
  <si>
    <t>HB0714</t>
  </si>
  <si>
    <t>R00714</t>
  </si>
  <si>
    <t>DT0714</t>
  </si>
  <si>
    <t>BLYCFVP1X</t>
  </si>
  <si>
    <t>C00715</t>
  </si>
  <si>
    <t>HB0715</t>
  </si>
  <si>
    <t>R00715</t>
  </si>
  <si>
    <t>DT0715</t>
  </si>
  <si>
    <t>BGXQ5LHO3</t>
  </si>
  <si>
    <t>C00716</t>
  </si>
  <si>
    <t>HB0716</t>
  </si>
  <si>
    <t>R00716</t>
  </si>
  <si>
    <t>DT0716</t>
  </si>
  <si>
    <t>BAT6MDVBO</t>
  </si>
  <si>
    <t>C00717</t>
  </si>
  <si>
    <t>HB0717</t>
  </si>
  <si>
    <t>R00717</t>
  </si>
  <si>
    <t>DT0717</t>
  </si>
  <si>
    <t>BCRMGVGQ2</t>
  </si>
  <si>
    <t>C00718</t>
  </si>
  <si>
    <t>HB0718</t>
  </si>
  <si>
    <t>R00718</t>
  </si>
  <si>
    <t>DT0718</t>
  </si>
  <si>
    <t>B7IJTL48O</t>
  </si>
  <si>
    <t>C00719</t>
  </si>
  <si>
    <t>HB0719</t>
  </si>
  <si>
    <t>R00719</t>
  </si>
  <si>
    <t>DT0719</t>
  </si>
  <si>
    <t>B46S5IPRU</t>
  </si>
  <si>
    <t>C00720</t>
  </si>
  <si>
    <t>HB0720</t>
  </si>
  <si>
    <t>R00720</t>
  </si>
  <si>
    <t>DT0720</t>
  </si>
  <si>
    <t>BMWGOSNST</t>
  </si>
  <si>
    <t>C00721</t>
  </si>
  <si>
    <t>HB0721</t>
  </si>
  <si>
    <t>R00721</t>
  </si>
  <si>
    <t>DT0721</t>
  </si>
  <si>
    <t>BRNWYXAQA</t>
  </si>
  <si>
    <t>C00722</t>
  </si>
  <si>
    <t>HB0722</t>
  </si>
  <si>
    <t>R00722</t>
  </si>
  <si>
    <t>DT0722</t>
  </si>
  <si>
    <t>B2K3RUUWY</t>
  </si>
  <si>
    <t>C00723</t>
  </si>
  <si>
    <t>HB0723</t>
  </si>
  <si>
    <t>R00723</t>
  </si>
  <si>
    <t>DT0723</t>
  </si>
  <si>
    <t>BV01705SF</t>
  </si>
  <si>
    <t>C00724</t>
  </si>
  <si>
    <t>HB0724</t>
  </si>
  <si>
    <t>R00724</t>
  </si>
  <si>
    <t>DT0724</t>
  </si>
  <si>
    <t>BWY7XA23B</t>
  </si>
  <si>
    <t>C00725</t>
  </si>
  <si>
    <t>HB0725</t>
  </si>
  <si>
    <t>R00725</t>
  </si>
  <si>
    <t>DT0725</t>
  </si>
  <si>
    <t>B91LERVER</t>
  </si>
  <si>
    <t>C00726</t>
  </si>
  <si>
    <t>HB0726</t>
  </si>
  <si>
    <t>R00726</t>
  </si>
  <si>
    <t>DT0726</t>
  </si>
  <si>
    <t>B9IL1O5G5</t>
  </si>
  <si>
    <t>C00727</t>
  </si>
  <si>
    <t>HB0727</t>
  </si>
  <si>
    <t>R00727</t>
  </si>
  <si>
    <t>DT0727</t>
  </si>
  <si>
    <t>BPTG8325I</t>
  </si>
  <si>
    <t>C00728</t>
  </si>
  <si>
    <t>HB0728</t>
  </si>
  <si>
    <t>R00728</t>
  </si>
  <si>
    <t>DT0728</t>
  </si>
  <si>
    <t>BO06R9DD6</t>
  </si>
  <si>
    <t>C00729</t>
  </si>
  <si>
    <t>HB0729</t>
  </si>
  <si>
    <t>R00729</t>
  </si>
  <si>
    <t>DT0729</t>
  </si>
  <si>
    <t>BJO7417PZ</t>
  </si>
  <si>
    <t>C00730</t>
  </si>
  <si>
    <t>Aditya Verma</t>
  </si>
  <si>
    <t>HB0730</t>
  </si>
  <si>
    <t>R00730</t>
  </si>
  <si>
    <t>DT0730</t>
  </si>
  <si>
    <t>BC8N3VO0E</t>
  </si>
  <si>
    <t>C00731</t>
  </si>
  <si>
    <t>HB0731</t>
  </si>
  <si>
    <t>R00731</t>
  </si>
  <si>
    <t>DT0731</t>
  </si>
  <si>
    <t>B0HY9KDPP</t>
  </si>
  <si>
    <t>C00732</t>
  </si>
  <si>
    <t>HB0732</t>
  </si>
  <si>
    <t>R00732</t>
  </si>
  <si>
    <t>DT0732</t>
  </si>
  <si>
    <t>BYEX324GS</t>
  </si>
  <si>
    <t>C00733</t>
  </si>
  <si>
    <t>HB0733</t>
  </si>
  <si>
    <t>R00733</t>
  </si>
  <si>
    <t>DT0733</t>
  </si>
  <si>
    <t>BBG7T0LSH</t>
  </si>
  <si>
    <t>C00734</t>
  </si>
  <si>
    <t>HB0734</t>
  </si>
  <si>
    <t>R00734</t>
  </si>
  <si>
    <t>DT0734</t>
  </si>
  <si>
    <t>BLPHYKIZ8</t>
  </si>
  <si>
    <t>C00735</t>
  </si>
  <si>
    <t>HB0735</t>
  </si>
  <si>
    <t>R00735</t>
  </si>
  <si>
    <t>DT0735</t>
  </si>
  <si>
    <t>BZ55H7W8F</t>
  </si>
  <si>
    <t>C00736</t>
  </si>
  <si>
    <t>HB0736</t>
  </si>
  <si>
    <t>R00736</t>
  </si>
  <si>
    <t>DT0736</t>
  </si>
  <si>
    <t>BUX6J1YGS</t>
  </si>
  <si>
    <t>C00737</t>
  </si>
  <si>
    <t>HB0737</t>
  </si>
  <si>
    <t>R00737</t>
  </si>
  <si>
    <t>DT0737</t>
  </si>
  <si>
    <t>BXSD0NKVD</t>
  </si>
  <si>
    <t>C00738</t>
  </si>
  <si>
    <t>HB0738</t>
  </si>
  <si>
    <t>R00738</t>
  </si>
  <si>
    <t>DT0738</t>
  </si>
  <si>
    <t>BDIQKNPPA</t>
  </si>
  <si>
    <t>C00739</t>
  </si>
  <si>
    <t>Alexander Khan</t>
  </si>
  <si>
    <t>HB0739</t>
  </si>
  <si>
    <t>R00739</t>
  </si>
  <si>
    <t>DT0739</t>
  </si>
  <si>
    <t>BNCRJAV6N</t>
  </si>
  <si>
    <t>C00740</t>
  </si>
  <si>
    <t>HB0740</t>
  </si>
  <si>
    <t>R00740</t>
  </si>
  <si>
    <t>DT0740</t>
  </si>
  <si>
    <t>BXN1FVQFB</t>
  </si>
  <si>
    <t>C00741</t>
  </si>
  <si>
    <t>HB0741</t>
  </si>
  <si>
    <t>R00741</t>
  </si>
  <si>
    <t>DT0741</t>
  </si>
  <si>
    <t>B5T5Q07NJ</t>
  </si>
  <si>
    <t>C00742</t>
  </si>
  <si>
    <t>HB0742</t>
  </si>
  <si>
    <t>R00742</t>
  </si>
  <si>
    <t>DT0742</t>
  </si>
  <si>
    <t>B9LAODEZT</t>
  </si>
  <si>
    <t>C00743</t>
  </si>
  <si>
    <t>HB0743</t>
  </si>
  <si>
    <t>R00743</t>
  </si>
  <si>
    <t>DT0743</t>
  </si>
  <si>
    <t>BMPVCKJMX</t>
  </si>
  <si>
    <t>C00744</t>
  </si>
  <si>
    <t>HB0744</t>
  </si>
  <si>
    <t>R00744</t>
  </si>
  <si>
    <t>DT0744</t>
  </si>
  <si>
    <t>BF1GEHW9R</t>
  </si>
  <si>
    <t>C00745</t>
  </si>
  <si>
    <t>HB0745</t>
  </si>
  <si>
    <t>R00745</t>
  </si>
  <si>
    <t>DT0745</t>
  </si>
  <si>
    <t>B5QIN7ZXF</t>
  </si>
  <si>
    <t>C00746</t>
  </si>
  <si>
    <t>HB0746</t>
  </si>
  <si>
    <t>R00746</t>
  </si>
  <si>
    <t>DT0746</t>
  </si>
  <si>
    <t>BGRC38P58</t>
  </si>
  <si>
    <t>C00747</t>
  </si>
  <si>
    <t>HB0747</t>
  </si>
  <si>
    <t>R00747</t>
  </si>
  <si>
    <t>DT0747</t>
  </si>
  <si>
    <t>BSM2EJO2C</t>
  </si>
  <si>
    <t>C00748</t>
  </si>
  <si>
    <t>HB0748</t>
  </si>
  <si>
    <t>R00748</t>
  </si>
  <si>
    <t>DT0748</t>
  </si>
  <si>
    <t>BUZ1KHLUE</t>
  </si>
  <si>
    <t>C00749</t>
  </si>
  <si>
    <t>HB0749</t>
  </si>
  <si>
    <t>R00749</t>
  </si>
  <si>
    <t>DT0749</t>
  </si>
  <si>
    <t>BF6T8RBA2</t>
  </si>
  <si>
    <t>C00750</t>
  </si>
  <si>
    <t>HB0750</t>
  </si>
  <si>
    <t>R00750</t>
  </si>
  <si>
    <t>DT0750</t>
  </si>
  <si>
    <t>BP72I82XP</t>
  </si>
  <si>
    <t>C00751</t>
  </si>
  <si>
    <t>HB0751</t>
  </si>
  <si>
    <t>R00751</t>
  </si>
  <si>
    <t>DT0751</t>
  </si>
  <si>
    <t>B18D4AG2I</t>
  </si>
  <si>
    <t>C00752</t>
  </si>
  <si>
    <t>HB0752</t>
  </si>
  <si>
    <t>R00752</t>
  </si>
  <si>
    <t>DT0752</t>
  </si>
  <si>
    <t>BBFFBFL1H</t>
  </si>
  <si>
    <t>C00753</t>
  </si>
  <si>
    <t>HB0753</t>
  </si>
  <si>
    <t>R00753</t>
  </si>
  <si>
    <t>DT0753</t>
  </si>
  <si>
    <t>BP63QWBMN</t>
  </si>
  <si>
    <t>C00754</t>
  </si>
  <si>
    <t>HB0754</t>
  </si>
  <si>
    <t>R00754</t>
  </si>
  <si>
    <t>DT0754</t>
  </si>
  <si>
    <t>BR1L7KENH</t>
  </si>
  <si>
    <t>C00755</t>
  </si>
  <si>
    <t>HB0755</t>
  </si>
  <si>
    <t>R00755</t>
  </si>
  <si>
    <t>DT0755</t>
  </si>
  <si>
    <t>BHKHBEDBP</t>
  </si>
  <si>
    <t>C00756</t>
  </si>
  <si>
    <t>HB0756</t>
  </si>
  <si>
    <t>R00756</t>
  </si>
  <si>
    <t>DT0756</t>
  </si>
  <si>
    <t>BI97ERR59</t>
  </si>
  <si>
    <t>C00757</t>
  </si>
  <si>
    <t>HB0757</t>
  </si>
  <si>
    <t>R00757</t>
  </si>
  <si>
    <t>DT0757</t>
  </si>
  <si>
    <t>BDZF9WTDN</t>
  </si>
  <si>
    <t>C00758</t>
  </si>
  <si>
    <t>HB0758</t>
  </si>
  <si>
    <t>R00758</t>
  </si>
  <si>
    <t>DT0758</t>
  </si>
  <si>
    <t>B9XED3A27</t>
  </si>
  <si>
    <t>C00759</t>
  </si>
  <si>
    <t>HB0759</t>
  </si>
  <si>
    <t>R00759</t>
  </si>
  <si>
    <t>DT0759</t>
  </si>
  <si>
    <t>B1F42Q5IM</t>
  </si>
  <si>
    <t>C00760</t>
  </si>
  <si>
    <t>Karan Joshi</t>
  </si>
  <si>
    <t>HB0760</t>
  </si>
  <si>
    <t>R00760</t>
  </si>
  <si>
    <t>DT0760</t>
  </si>
  <si>
    <t>BSI9ZF3XI</t>
  </si>
  <si>
    <t>C00761</t>
  </si>
  <si>
    <t>HB0761</t>
  </si>
  <si>
    <t>R00761</t>
  </si>
  <si>
    <t>DT0761</t>
  </si>
  <si>
    <t>BLVVAGY1E</t>
  </si>
  <si>
    <t>C00762</t>
  </si>
  <si>
    <t>HB0762</t>
  </si>
  <si>
    <t>R00762</t>
  </si>
  <si>
    <t>DT0762</t>
  </si>
  <si>
    <t>BA4RH7GN9</t>
  </si>
  <si>
    <t>C00763</t>
  </si>
  <si>
    <t>HB0763</t>
  </si>
  <si>
    <t>R00763</t>
  </si>
  <si>
    <t>DT0763</t>
  </si>
  <si>
    <t>BSUG8NMLG</t>
  </si>
  <si>
    <t>C00764</t>
  </si>
  <si>
    <t>HB0764</t>
  </si>
  <si>
    <t>R00764</t>
  </si>
  <si>
    <t>DT0764</t>
  </si>
  <si>
    <t>BRFQCD0Y4</t>
  </si>
  <si>
    <t>C00765</t>
  </si>
  <si>
    <t>HB0765</t>
  </si>
  <si>
    <t>R00765</t>
  </si>
  <si>
    <t>DT0765</t>
  </si>
  <si>
    <t>BWBMJ6V9I</t>
  </si>
  <si>
    <t>C00766</t>
  </si>
  <si>
    <t>HB0766</t>
  </si>
  <si>
    <t>R00766</t>
  </si>
  <si>
    <t>DT0766</t>
  </si>
  <si>
    <t>BE1BF1VGM</t>
  </si>
  <si>
    <t>C00767</t>
  </si>
  <si>
    <t>HB0767</t>
  </si>
  <si>
    <t>R00767</t>
  </si>
  <si>
    <t>DT0767</t>
  </si>
  <si>
    <t>BRV170HAG</t>
  </si>
  <si>
    <t>C00768</t>
  </si>
  <si>
    <t>HB0768</t>
  </si>
  <si>
    <t>R00768</t>
  </si>
  <si>
    <t>DT0768</t>
  </si>
  <si>
    <t>BRPDHKUZU</t>
  </si>
  <si>
    <t>C00769</t>
  </si>
  <si>
    <t>HB0769</t>
  </si>
  <si>
    <t>R00769</t>
  </si>
  <si>
    <t>DT0769</t>
  </si>
  <si>
    <t>B7LVV0KK1</t>
  </si>
  <si>
    <t>C00770</t>
  </si>
  <si>
    <t>HB0770</t>
  </si>
  <si>
    <t>R00770</t>
  </si>
  <si>
    <t>DT0770</t>
  </si>
  <si>
    <t>BMPKST69P</t>
  </si>
  <si>
    <t>C00771</t>
  </si>
  <si>
    <t>HB0771</t>
  </si>
  <si>
    <t>R00771</t>
  </si>
  <si>
    <t>DT0771</t>
  </si>
  <si>
    <t>B7BQ0U75C</t>
  </si>
  <si>
    <t>C00772</t>
  </si>
  <si>
    <t>HB0772</t>
  </si>
  <si>
    <t>R00772</t>
  </si>
  <si>
    <t>DT0772</t>
  </si>
  <si>
    <t>B5PNVWB0B</t>
  </si>
  <si>
    <t>C00773</t>
  </si>
  <si>
    <t>HB0773</t>
  </si>
  <si>
    <t>R00773</t>
  </si>
  <si>
    <t>DT0773</t>
  </si>
  <si>
    <t>BSBKP1L4W</t>
  </si>
  <si>
    <t>C00774</t>
  </si>
  <si>
    <t>HB0774</t>
  </si>
  <si>
    <t>R00774</t>
  </si>
  <si>
    <t>DT0774</t>
  </si>
  <si>
    <t>BUG3ZJ395</t>
  </si>
  <si>
    <t>C00775</t>
  </si>
  <si>
    <t>HB0775</t>
  </si>
  <si>
    <t>R00775</t>
  </si>
  <si>
    <t>DT0775</t>
  </si>
  <si>
    <t>BWLDY8J1U</t>
  </si>
  <si>
    <t>C00776</t>
  </si>
  <si>
    <t>HB0776</t>
  </si>
  <si>
    <t>R00776</t>
  </si>
  <si>
    <t>DT0776</t>
  </si>
  <si>
    <t>BV4Y4CVIM</t>
  </si>
  <si>
    <t>C00777</t>
  </si>
  <si>
    <t>HB0777</t>
  </si>
  <si>
    <t>R00777</t>
  </si>
  <si>
    <t>DT0777</t>
  </si>
  <si>
    <t>BC9UBTRKU</t>
  </si>
  <si>
    <t>C00778</t>
  </si>
  <si>
    <t>HB0778</t>
  </si>
  <si>
    <t>R00778</t>
  </si>
  <si>
    <t>DT0778</t>
  </si>
  <si>
    <t>BUVD5LAY1</t>
  </si>
  <si>
    <t>C00779</t>
  </si>
  <si>
    <t>HB0779</t>
  </si>
  <si>
    <t>R00779</t>
  </si>
  <si>
    <t>DT0779</t>
  </si>
  <si>
    <t>BC4NR1H69</t>
  </si>
  <si>
    <t>C00780</t>
  </si>
  <si>
    <t>HB0780</t>
  </si>
  <si>
    <t>R00780</t>
  </si>
  <si>
    <t>DT0780</t>
  </si>
  <si>
    <t>B35GW8LU3</t>
  </si>
  <si>
    <t>C00781</t>
  </si>
  <si>
    <t>HB0781</t>
  </si>
  <si>
    <t>R00781</t>
  </si>
  <si>
    <t>DT0781</t>
  </si>
  <si>
    <t>BVUQ41994</t>
  </si>
  <si>
    <t>C00782</t>
  </si>
  <si>
    <t>HB0782</t>
  </si>
  <si>
    <t>R00782</t>
  </si>
  <si>
    <t>DT0782</t>
  </si>
  <si>
    <t>BE13GT2UN</t>
  </si>
  <si>
    <t>C00783</t>
  </si>
  <si>
    <t>HB0783</t>
  </si>
  <si>
    <t>R00783</t>
  </si>
  <si>
    <t>DT0783</t>
  </si>
  <si>
    <t>BYU45O4DN</t>
  </si>
  <si>
    <t>C00784</t>
  </si>
  <si>
    <t>HB0784</t>
  </si>
  <si>
    <t>R00784</t>
  </si>
  <si>
    <t>DT0784</t>
  </si>
  <si>
    <t>BPAGI3XAW</t>
  </si>
  <si>
    <t>C00785</t>
  </si>
  <si>
    <t>HB0785</t>
  </si>
  <si>
    <t>R00785</t>
  </si>
  <si>
    <t>DT0785</t>
  </si>
  <si>
    <t>BHJJHMWPH</t>
  </si>
  <si>
    <t>C00786</t>
  </si>
  <si>
    <t>HB0786</t>
  </si>
  <si>
    <t>R00786</t>
  </si>
  <si>
    <t>DT0786</t>
  </si>
  <si>
    <t>B06T5ESWX</t>
  </si>
  <si>
    <t>C00787</t>
  </si>
  <si>
    <t>HB0787</t>
  </si>
  <si>
    <t>R00787</t>
  </si>
  <si>
    <t>DT0787</t>
  </si>
  <si>
    <t>BHDIJWPY5</t>
  </si>
  <si>
    <t>C00788</t>
  </si>
  <si>
    <t>HB0788</t>
  </si>
  <si>
    <t>R00788</t>
  </si>
  <si>
    <t>DT0788</t>
  </si>
  <si>
    <t>BR3X40G8G</t>
  </si>
  <si>
    <t>C00789</t>
  </si>
  <si>
    <t>HB0789</t>
  </si>
  <si>
    <t>R00789</t>
  </si>
  <si>
    <t>DT0789</t>
  </si>
  <si>
    <t>B5ER12D5V</t>
  </si>
  <si>
    <t>C00790</t>
  </si>
  <si>
    <t>HB0790</t>
  </si>
  <si>
    <t>R00790</t>
  </si>
  <si>
    <t>DT0790</t>
  </si>
  <si>
    <t>BZ5GKE1RZ</t>
  </si>
  <si>
    <t>C00791</t>
  </si>
  <si>
    <t>HB0791</t>
  </si>
  <si>
    <t>R00791</t>
  </si>
  <si>
    <t>DT0791</t>
  </si>
  <si>
    <t>BJI6CMYUL</t>
  </si>
  <si>
    <t>C00792</t>
  </si>
  <si>
    <t>HB0792</t>
  </si>
  <si>
    <t>R00792</t>
  </si>
  <si>
    <t>DT0792</t>
  </si>
  <si>
    <t>BOFFC54W7</t>
  </si>
  <si>
    <t>C00793</t>
  </si>
  <si>
    <t>HB0793</t>
  </si>
  <si>
    <t>R00793</t>
  </si>
  <si>
    <t>DT0793</t>
  </si>
  <si>
    <t>BABFS83JQ</t>
  </si>
  <si>
    <t>C00794</t>
  </si>
  <si>
    <t>Karan Gupta</t>
  </si>
  <si>
    <t>HB0794</t>
  </si>
  <si>
    <t>R00794</t>
  </si>
  <si>
    <t>DT0794</t>
  </si>
  <si>
    <t>BEZ5LWDIJ</t>
  </si>
  <si>
    <t>C00795</t>
  </si>
  <si>
    <t>HB0795</t>
  </si>
  <si>
    <t>R00795</t>
  </si>
  <si>
    <t>DT0795</t>
  </si>
  <si>
    <t>B4SSVVMYZ</t>
  </si>
  <si>
    <t>C00796</t>
  </si>
  <si>
    <t>HB0796</t>
  </si>
  <si>
    <t>R00796</t>
  </si>
  <si>
    <t>DT0796</t>
  </si>
  <si>
    <t>BKJ49YQMI</t>
  </si>
  <si>
    <t>C00797</t>
  </si>
  <si>
    <t>HB0797</t>
  </si>
  <si>
    <t>R00797</t>
  </si>
  <si>
    <t>DT0797</t>
  </si>
  <si>
    <t>BKYNLCKLL</t>
  </si>
  <si>
    <t>C00798</t>
  </si>
  <si>
    <t>HB0798</t>
  </si>
  <si>
    <t>R00798</t>
  </si>
  <si>
    <t>DT0798</t>
  </si>
  <si>
    <t>BV6J9RUFI</t>
  </si>
  <si>
    <t>C00799</t>
  </si>
  <si>
    <t>HB0799</t>
  </si>
  <si>
    <t>R00799</t>
  </si>
  <si>
    <t>DT0799</t>
  </si>
  <si>
    <t>BRR90909J</t>
  </si>
  <si>
    <t>C00800</t>
  </si>
  <si>
    <t>HB0800</t>
  </si>
  <si>
    <t>R00800</t>
  </si>
  <si>
    <t>DT0800</t>
  </si>
  <si>
    <t>B1GRG946B</t>
  </si>
  <si>
    <t>C00801</t>
  </si>
  <si>
    <t>HB0801</t>
  </si>
  <si>
    <t>R00801</t>
  </si>
  <si>
    <t>DT0801</t>
  </si>
  <si>
    <t>B4II7VXTR</t>
  </si>
  <si>
    <t>C00802</t>
  </si>
  <si>
    <t>HB0802</t>
  </si>
  <si>
    <t>R00802</t>
  </si>
  <si>
    <t>DT0802</t>
  </si>
  <si>
    <t>B8QM76287</t>
  </si>
  <si>
    <t>C00803</t>
  </si>
  <si>
    <t>HB0803</t>
  </si>
  <si>
    <t>R00803</t>
  </si>
  <si>
    <t>DT0803</t>
  </si>
  <si>
    <t>BS1UYSZDE</t>
  </si>
  <si>
    <t>C00804</t>
  </si>
  <si>
    <t>HB0804</t>
  </si>
  <si>
    <t>R00804</t>
  </si>
  <si>
    <t>DT0804</t>
  </si>
  <si>
    <t>BIEXOGXVX</t>
  </si>
  <si>
    <t>C00805</t>
  </si>
  <si>
    <t>HB0805</t>
  </si>
  <si>
    <t>R00805</t>
  </si>
  <si>
    <t>DT0805</t>
  </si>
  <si>
    <t>B1QWJ35YH</t>
  </si>
  <si>
    <t>C00806</t>
  </si>
  <si>
    <t>HB0806</t>
  </si>
  <si>
    <t>R00806</t>
  </si>
  <si>
    <t>DT0806</t>
  </si>
  <si>
    <t>BINHKIXXX</t>
  </si>
  <si>
    <t>C00807</t>
  </si>
  <si>
    <t>HB0807</t>
  </si>
  <si>
    <t>R00807</t>
  </si>
  <si>
    <t>DT0807</t>
  </si>
  <si>
    <t>B7EE6GR37</t>
  </si>
  <si>
    <t>C00808</t>
  </si>
  <si>
    <t>HB0808</t>
  </si>
  <si>
    <t>R00808</t>
  </si>
  <si>
    <t>DT0808</t>
  </si>
  <si>
    <t>BQFKXM9PU</t>
  </si>
  <si>
    <t>C00809</t>
  </si>
  <si>
    <t>Benjamin Patel</t>
  </si>
  <si>
    <t>HB0809</t>
  </si>
  <si>
    <t>R00809</t>
  </si>
  <si>
    <t>DT0809</t>
  </si>
  <si>
    <t>BRUDO4CDT</t>
  </si>
  <si>
    <t>C00810</t>
  </si>
  <si>
    <t>HB0810</t>
  </si>
  <si>
    <t>R00810</t>
  </si>
  <si>
    <t>DT0810</t>
  </si>
  <si>
    <t>BIOMQD9AN</t>
  </si>
  <si>
    <t>C00811</t>
  </si>
  <si>
    <t>HB0811</t>
  </si>
  <si>
    <t>R00811</t>
  </si>
  <si>
    <t>DT0811</t>
  </si>
  <si>
    <t>B9IJ283DY</t>
  </si>
  <si>
    <t>C00812</t>
  </si>
  <si>
    <t>HB0812</t>
  </si>
  <si>
    <t>R00812</t>
  </si>
  <si>
    <t>DT0812</t>
  </si>
  <si>
    <t>BG2TGG48L</t>
  </si>
  <si>
    <t>C00813</t>
  </si>
  <si>
    <t>HB0813</t>
  </si>
  <si>
    <t>R00813</t>
  </si>
  <si>
    <t>DT0813</t>
  </si>
  <si>
    <t>BFFPNNQK0</t>
  </si>
  <si>
    <t>C00814</t>
  </si>
  <si>
    <t>HB0814</t>
  </si>
  <si>
    <t>R00814</t>
  </si>
  <si>
    <t>DT0814</t>
  </si>
  <si>
    <t>BM3ZKN3PD</t>
  </si>
  <si>
    <t>C00815</t>
  </si>
  <si>
    <t>Neha Mehta</t>
  </si>
  <si>
    <t>HB0815</t>
  </si>
  <si>
    <t>R00815</t>
  </si>
  <si>
    <t>DT0815</t>
  </si>
  <si>
    <t>BF7P9JP50</t>
  </si>
  <si>
    <t>C00816</t>
  </si>
  <si>
    <t>HB0816</t>
  </si>
  <si>
    <t>R00816</t>
  </si>
  <si>
    <t>DT0816</t>
  </si>
  <si>
    <t>BA29MFF0G</t>
  </si>
  <si>
    <t>C00817</t>
  </si>
  <si>
    <t>Oliver Patel</t>
  </si>
  <si>
    <t>HB0817</t>
  </si>
  <si>
    <t>R00817</t>
  </si>
  <si>
    <t>DT0817</t>
  </si>
  <si>
    <t>BJRW7XOZG</t>
  </si>
  <si>
    <t>C00818</t>
  </si>
  <si>
    <t>HB0818</t>
  </si>
  <si>
    <t>R00818</t>
  </si>
  <si>
    <t>DT0818</t>
  </si>
  <si>
    <t>BNM5UN7D0</t>
  </si>
  <si>
    <t>C00819</t>
  </si>
  <si>
    <t>HB0819</t>
  </si>
  <si>
    <t>R00819</t>
  </si>
  <si>
    <t>DT0819</t>
  </si>
  <si>
    <t>BHXV2ZOTT</t>
  </si>
  <si>
    <t>C00820</t>
  </si>
  <si>
    <t>HB0820</t>
  </si>
  <si>
    <t>R00820</t>
  </si>
  <si>
    <t>DT0820</t>
  </si>
  <si>
    <t>BPLWQ1QU1</t>
  </si>
  <si>
    <t>C00821</t>
  </si>
  <si>
    <t>HB0821</t>
  </si>
  <si>
    <t>R00821</t>
  </si>
  <si>
    <t>DT0821</t>
  </si>
  <si>
    <t>B04HT2LSV</t>
  </si>
  <si>
    <t>C00822</t>
  </si>
  <si>
    <t>HB0822</t>
  </si>
  <si>
    <t>R00822</t>
  </si>
  <si>
    <t>DT0822</t>
  </si>
  <si>
    <t>B71I1DTTO</t>
  </si>
  <si>
    <t>C00823</t>
  </si>
  <si>
    <t>HB0823</t>
  </si>
  <si>
    <t>R00823</t>
  </si>
  <si>
    <t>DT0823</t>
  </si>
  <si>
    <t>B6Y42OCZU</t>
  </si>
  <si>
    <t>C00824</t>
  </si>
  <si>
    <t>HB0824</t>
  </si>
  <si>
    <t>R00824</t>
  </si>
  <si>
    <t>DT0824</t>
  </si>
  <si>
    <t>B0W25XGC1</t>
  </si>
  <si>
    <t>C00825</t>
  </si>
  <si>
    <t>HB0825</t>
  </si>
  <si>
    <t>R00825</t>
  </si>
  <si>
    <t>DT0825</t>
  </si>
  <si>
    <t>BNHWCLO2D</t>
  </si>
  <si>
    <t>C00826</t>
  </si>
  <si>
    <t>HB0826</t>
  </si>
  <si>
    <t>R00826</t>
  </si>
  <si>
    <t>DT0826</t>
  </si>
  <si>
    <t>BL8N2HZ10</t>
  </si>
  <si>
    <t>C00827</t>
  </si>
  <si>
    <t>HB0827</t>
  </si>
  <si>
    <t>R00827</t>
  </si>
  <si>
    <t>DT0827</t>
  </si>
  <si>
    <t>B8RWDJ4VT</t>
  </si>
  <si>
    <t>C00828</t>
  </si>
  <si>
    <t>HB0828</t>
  </si>
  <si>
    <t>R00828</t>
  </si>
  <si>
    <t>DT0828</t>
  </si>
  <si>
    <t>BMGL7DAOV</t>
  </si>
  <si>
    <t>C00829</t>
  </si>
  <si>
    <t>HB0829</t>
  </si>
  <si>
    <t>R00829</t>
  </si>
  <si>
    <t>DT0829</t>
  </si>
  <si>
    <t>BSEWYO0CA</t>
  </si>
  <si>
    <t>C00830</t>
  </si>
  <si>
    <t>Alexander Nair</t>
  </si>
  <si>
    <t>HB0830</t>
  </si>
  <si>
    <t>R00830</t>
  </si>
  <si>
    <t>DT0830</t>
  </si>
  <si>
    <t>BD71EEZUH</t>
  </si>
  <si>
    <t>C00831</t>
  </si>
  <si>
    <t>HB0831</t>
  </si>
  <si>
    <t>R00831</t>
  </si>
  <si>
    <t>DT0831</t>
  </si>
  <si>
    <t>B60U20E26</t>
  </si>
  <si>
    <t>C00832</t>
  </si>
  <si>
    <t>HB0832</t>
  </si>
  <si>
    <t>R00832</t>
  </si>
  <si>
    <t>DT0832</t>
  </si>
  <si>
    <t>BKC21P4U0</t>
  </si>
  <si>
    <t>C00833</t>
  </si>
  <si>
    <t>HB0833</t>
  </si>
  <si>
    <t>R00833</t>
  </si>
  <si>
    <t>DT0833</t>
  </si>
  <si>
    <t>BEQD6R5FL</t>
  </si>
  <si>
    <t>C00834</t>
  </si>
  <si>
    <t>HB0834</t>
  </si>
  <si>
    <t>R00834</t>
  </si>
  <si>
    <t>DT0834</t>
  </si>
  <si>
    <t>B6DS8FL2W</t>
  </si>
  <si>
    <t>C00835</t>
  </si>
  <si>
    <t>HB0835</t>
  </si>
  <si>
    <t>R00835</t>
  </si>
  <si>
    <t>DT0835</t>
  </si>
  <si>
    <t>B8XEH8GEQ</t>
  </si>
  <si>
    <t>C00836</t>
  </si>
  <si>
    <t>HB0836</t>
  </si>
  <si>
    <t>R00836</t>
  </si>
  <si>
    <t>DT0836</t>
  </si>
  <si>
    <t>BDH2EI2OP</t>
  </si>
  <si>
    <t>C00837</t>
  </si>
  <si>
    <t>HB0837</t>
  </si>
  <si>
    <t>R00837</t>
  </si>
  <si>
    <t>DT0837</t>
  </si>
  <si>
    <t>BRHC76WIZ</t>
  </si>
  <si>
    <t>C00838</t>
  </si>
  <si>
    <t>HB0838</t>
  </si>
  <si>
    <t>R00838</t>
  </si>
  <si>
    <t>DT0838</t>
  </si>
  <si>
    <t>B8Z48LVC9</t>
  </si>
  <si>
    <t>C00839</t>
  </si>
  <si>
    <t>HB0839</t>
  </si>
  <si>
    <t>R00839</t>
  </si>
  <si>
    <t>DT0839</t>
  </si>
  <si>
    <t>BW406MQ8I</t>
  </si>
  <si>
    <t>C00840</t>
  </si>
  <si>
    <t>HB0840</t>
  </si>
  <si>
    <t>R00840</t>
  </si>
  <si>
    <t>DT0840</t>
  </si>
  <si>
    <t>BH4S41F2G</t>
  </si>
  <si>
    <t>C00841</t>
  </si>
  <si>
    <t>HB0841</t>
  </si>
  <si>
    <t>R00841</t>
  </si>
  <si>
    <t>DT0841</t>
  </si>
  <si>
    <t>B11KPKWXG</t>
  </si>
  <si>
    <t>C00842</t>
  </si>
  <si>
    <t>HB0842</t>
  </si>
  <si>
    <t>R00842</t>
  </si>
  <si>
    <t>DT0842</t>
  </si>
  <si>
    <t>BK6H9G9EI</t>
  </si>
  <si>
    <t>C00843</t>
  </si>
  <si>
    <t>HB0843</t>
  </si>
  <si>
    <t>R00843</t>
  </si>
  <si>
    <t>DT0843</t>
  </si>
  <si>
    <t>B1S8131YK</t>
  </si>
  <si>
    <t>C00844</t>
  </si>
  <si>
    <t>HB0844</t>
  </si>
  <si>
    <t>R00844</t>
  </si>
  <si>
    <t>DT0844</t>
  </si>
  <si>
    <t>B3QO2CNQ8</t>
  </si>
  <si>
    <t>C00845</t>
  </si>
  <si>
    <t>Reyansh Nair</t>
  </si>
  <si>
    <t>HB0845</t>
  </si>
  <si>
    <t>R00845</t>
  </si>
  <si>
    <t>DT0845</t>
  </si>
  <si>
    <t>BHMVFCMQ0</t>
  </si>
  <si>
    <t>C00846</t>
  </si>
  <si>
    <t>HB0846</t>
  </si>
  <si>
    <t>R00846</t>
  </si>
  <si>
    <t>DT0846</t>
  </si>
  <si>
    <t>BA53V2E5N</t>
  </si>
  <si>
    <t>C00847</t>
  </si>
  <si>
    <t>HB0847</t>
  </si>
  <si>
    <t>R00847</t>
  </si>
  <si>
    <t>DT0847</t>
  </si>
  <si>
    <t>BKAFREANO</t>
  </si>
  <si>
    <t>C00848</t>
  </si>
  <si>
    <t>HB0848</t>
  </si>
  <si>
    <t>R00848</t>
  </si>
  <si>
    <t>DT0848</t>
  </si>
  <si>
    <t>BNHFOQ0ZD</t>
  </si>
  <si>
    <t>C00849</t>
  </si>
  <si>
    <t>HB0849</t>
  </si>
  <si>
    <t>R00849</t>
  </si>
  <si>
    <t>DT0849</t>
  </si>
  <si>
    <t>B9JJ9GZKV</t>
  </si>
  <si>
    <t>C00850</t>
  </si>
  <si>
    <t>HB0850</t>
  </si>
  <si>
    <t>R00850</t>
  </si>
  <si>
    <t>DT0850</t>
  </si>
  <si>
    <t>BSH6S0OK0</t>
  </si>
  <si>
    <t>C00851</t>
  </si>
  <si>
    <t>HB0851</t>
  </si>
  <si>
    <t>R00851</t>
  </si>
  <si>
    <t>DT0851</t>
  </si>
  <si>
    <t>BJUVRM28R</t>
  </si>
  <si>
    <t>C00852</t>
  </si>
  <si>
    <t>HB0852</t>
  </si>
  <si>
    <t>R00852</t>
  </si>
  <si>
    <t>DT0852</t>
  </si>
  <si>
    <t>BG2MYAXKE</t>
  </si>
  <si>
    <t>C00853</t>
  </si>
  <si>
    <t>HB0853</t>
  </si>
  <si>
    <t>R00853</t>
  </si>
  <si>
    <t>DT0853</t>
  </si>
  <si>
    <t>BQLKH0XZP</t>
  </si>
  <si>
    <t>C00854</t>
  </si>
  <si>
    <t>HB0854</t>
  </si>
  <si>
    <t>R00854</t>
  </si>
  <si>
    <t>DT0854</t>
  </si>
  <si>
    <t>BU270A0WE</t>
  </si>
  <si>
    <t>C00855</t>
  </si>
  <si>
    <t>HB0855</t>
  </si>
  <si>
    <t>R00855</t>
  </si>
  <si>
    <t>DT0855</t>
  </si>
  <si>
    <t>BYHGMLT43</t>
  </si>
  <si>
    <t>C00856</t>
  </si>
  <si>
    <t>HB0856</t>
  </si>
  <si>
    <t>R00856</t>
  </si>
  <si>
    <t>DT0856</t>
  </si>
  <si>
    <t>BNHFKUGMM</t>
  </si>
  <si>
    <t>C00857</t>
  </si>
  <si>
    <t>HB0857</t>
  </si>
  <si>
    <t>R00857</t>
  </si>
  <si>
    <t>DT0857</t>
  </si>
  <si>
    <t>B85H6YYDC</t>
  </si>
  <si>
    <t>C00858</t>
  </si>
  <si>
    <t>HB0858</t>
  </si>
  <si>
    <t>R00858</t>
  </si>
  <si>
    <t>DT0858</t>
  </si>
  <si>
    <t>BHPKYHECF</t>
  </si>
  <si>
    <t>C00859</t>
  </si>
  <si>
    <t>HB0859</t>
  </si>
  <si>
    <t>R00859</t>
  </si>
  <si>
    <t>DT0859</t>
  </si>
  <si>
    <t>BKXQLLOPE</t>
  </si>
  <si>
    <t>C00860</t>
  </si>
  <si>
    <t>HB0860</t>
  </si>
  <si>
    <t>R00860</t>
  </si>
  <si>
    <t>DT0860</t>
  </si>
  <si>
    <t>B9T80SUJC</t>
  </si>
  <si>
    <t>C00861</t>
  </si>
  <si>
    <t>HB0861</t>
  </si>
  <si>
    <t>R00861</t>
  </si>
  <si>
    <t>DT0861</t>
  </si>
  <si>
    <t>BL8G0ESOY</t>
  </si>
  <si>
    <t>C00862</t>
  </si>
  <si>
    <t>HB0862</t>
  </si>
  <si>
    <t>R00862</t>
  </si>
  <si>
    <t>DT0862</t>
  </si>
  <si>
    <t>BT5FXPMDZ</t>
  </si>
  <si>
    <t>C00863</t>
  </si>
  <si>
    <t>HB0863</t>
  </si>
  <si>
    <t>R00863</t>
  </si>
  <si>
    <t>DT0863</t>
  </si>
  <si>
    <t>BY8L5BQKM</t>
  </si>
  <si>
    <t>C00864</t>
  </si>
  <si>
    <t>HB0864</t>
  </si>
  <si>
    <t>R00864</t>
  </si>
  <si>
    <t>DT0864</t>
  </si>
  <si>
    <t>B3025SDI1</t>
  </si>
  <si>
    <t>C00865</t>
  </si>
  <si>
    <t>HB0865</t>
  </si>
  <si>
    <t>R00865</t>
  </si>
  <si>
    <t>DT0865</t>
  </si>
  <si>
    <t>BQSN5QC35</t>
  </si>
  <si>
    <t>C00866</t>
  </si>
  <si>
    <t>HB0866</t>
  </si>
  <si>
    <t>R00866</t>
  </si>
  <si>
    <t>DT0866</t>
  </si>
  <si>
    <t>BSMFCBSOM</t>
  </si>
  <si>
    <t>C00867</t>
  </si>
  <si>
    <t>HB0867</t>
  </si>
  <si>
    <t>R00867</t>
  </si>
  <si>
    <t>DT0867</t>
  </si>
  <si>
    <t>BCYA1JUSS</t>
  </si>
  <si>
    <t>C00868</t>
  </si>
  <si>
    <t>HB0868</t>
  </si>
  <si>
    <t>R00868</t>
  </si>
  <si>
    <t>DT0868</t>
  </si>
  <si>
    <t>B6RNH5EHY</t>
  </si>
  <si>
    <t>C00869</t>
  </si>
  <si>
    <t>HB0869</t>
  </si>
  <si>
    <t>R00869</t>
  </si>
  <si>
    <t>DT0869</t>
  </si>
  <si>
    <t>B4DVRVDLD</t>
  </si>
  <si>
    <t>C00870</t>
  </si>
  <si>
    <t>HB0870</t>
  </si>
  <si>
    <t>R00870</t>
  </si>
  <si>
    <t>DT0870</t>
  </si>
  <si>
    <t>BBSZYLEOL</t>
  </si>
  <si>
    <t>C00871</t>
  </si>
  <si>
    <t>HB0871</t>
  </si>
  <si>
    <t>R00871</t>
  </si>
  <si>
    <t>DT0871</t>
  </si>
  <si>
    <t>B5M0RRCDW</t>
  </si>
  <si>
    <t>C00872</t>
  </si>
  <si>
    <t>Liam Khan</t>
  </si>
  <si>
    <t>HB0872</t>
  </si>
  <si>
    <t>R00872</t>
  </si>
  <si>
    <t>DT0872</t>
  </si>
  <si>
    <t>BYPG2MIRX</t>
  </si>
  <si>
    <t>C00873</t>
  </si>
  <si>
    <t>HB0873</t>
  </si>
  <si>
    <t>R00873</t>
  </si>
  <si>
    <t>DT0873</t>
  </si>
  <si>
    <t>BQQ1JYOT5</t>
  </si>
  <si>
    <t>C00874</t>
  </si>
  <si>
    <t>HB0874</t>
  </si>
  <si>
    <t>R00874</t>
  </si>
  <si>
    <t>DT0874</t>
  </si>
  <si>
    <t>BZLV48PQX</t>
  </si>
  <si>
    <t>C00875</t>
  </si>
  <si>
    <t>HB0875</t>
  </si>
  <si>
    <t>R00875</t>
  </si>
  <si>
    <t>DT0875</t>
  </si>
  <si>
    <t>BH9XDELLT</t>
  </si>
  <si>
    <t>C00876</t>
  </si>
  <si>
    <t>William Khan</t>
  </si>
  <si>
    <t>HB0876</t>
  </si>
  <si>
    <t>R00876</t>
  </si>
  <si>
    <t>DT0876</t>
  </si>
  <si>
    <t>BH1NBZOYW</t>
  </si>
  <si>
    <t>C00877</t>
  </si>
  <si>
    <t>HB0877</t>
  </si>
  <si>
    <t>R00877</t>
  </si>
  <si>
    <t>DT0877</t>
  </si>
  <si>
    <t>BLF0XSZ6X</t>
  </si>
  <si>
    <t>C00878</t>
  </si>
  <si>
    <t>HB0878</t>
  </si>
  <si>
    <t>R00878</t>
  </si>
  <si>
    <t>DT0878</t>
  </si>
  <si>
    <t>B7PNPFZBP</t>
  </si>
  <si>
    <t>C00879</t>
  </si>
  <si>
    <t>HB0879</t>
  </si>
  <si>
    <t>R00879</t>
  </si>
  <si>
    <t>DT0879</t>
  </si>
  <si>
    <t>BQLD56YJV</t>
  </si>
  <si>
    <t>C00880</t>
  </si>
  <si>
    <t>HB0880</t>
  </si>
  <si>
    <t>R00880</t>
  </si>
  <si>
    <t>DT0880</t>
  </si>
  <si>
    <t>BB0M1G0E5</t>
  </si>
  <si>
    <t>C00881</t>
  </si>
  <si>
    <t>HB0881</t>
  </si>
  <si>
    <t>R00881</t>
  </si>
  <si>
    <t>DT0881</t>
  </si>
  <si>
    <t>BKPM4SJSS</t>
  </si>
  <si>
    <t>C00882</t>
  </si>
  <si>
    <t>HB0882</t>
  </si>
  <si>
    <t>R00882</t>
  </si>
  <si>
    <t>DT0882</t>
  </si>
  <si>
    <t>BW5QUDKVQ</t>
  </si>
  <si>
    <t>C00883</t>
  </si>
  <si>
    <t>HB0883</t>
  </si>
  <si>
    <t>R00883</t>
  </si>
  <si>
    <t>DT0883</t>
  </si>
  <si>
    <t>B2WUMA480</t>
  </si>
  <si>
    <t>C00884</t>
  </si>
  <si>
    <t>HB0884</t>
  </si>
  <si>
    <t>R00884</t>
  </si>
  <si>
    <t>DT0884</t>
  </si>
  <si>
    <t>BTXVSFAGN</t>
  </si>
  <si>
    <t>C00885</t>
  </si>
  <si>
    <t>HB0885</t>
  </si>
  <si>
    <t>R00885</t>
  </si>
  <si>
    <t>DT0885</t>
  </si>
  <si>
    <t>BJG09ND3H</t>
  </si>
  <si>
    <t>C00886</t>
  </si>
  <si>
    <t>HB0886</t>
  </si>
  <si>
    <t>R00886</t>
  </si>
  <si>
    <t>DT0886</t>
  </si>
  <si>
    <t>BPY9T27YF</t>
  </si>
  <si>
    <t>C00887</t>
  </si>
  <si>
    <t>HB0887</t>
  </si>
  <si>
    <t>R00887</t>
  </si>
  <si>
    <t>DT0887</t>
  </si>
  <si>
    <t>BOF1QRF87</t>
  </si>
  <si>
    <t>C00888</t>
  </si>
  <si>
    <t>HB0888</t>
  </si>
  <si>
    <t>R00888</t>
  </si>
  <si>
    <t>DT0888</t>
  </si>
  <si>
    <t>BMHXSG5U4</t>
  </si>
  <si>
    <t>C00889</t>
  </si>
  <si>
    <t>HB0889</t>
  </si>
  <si>
    <t>R00889</t>
  </si>
  <si>
    <t>DT0889</t>
  </si>
  <si>
    <t>BB1UBB25K</t>
  </si>
  <si>
    <t>C00890</t>
  </si>
  <si>
    <t>Oliver Gupta</t>
  </si>
  <si>
    <t>HB0890</t>
  </si>
  <si>
    <t>R00890</t>
  </si>
  <si>
    <t>DT0890</t>
  </si>
  <si>
    <t>BHH3FC5P2</t>
  </si>
  <si>
    <t>C00891</t>
  </si>
  <si>
    <t>HB0891</t>
  </si>
  <si>
    <t>R00891</t>
  </si>
  <si>
    <t>DT0891</t>
  </si>
  <si>
    <t>B08XGBDE6</t>
  </si>
  <si>
    <t>C00892</t>
  </si>
  <si>
    <t>Aarav Verma</t>
  </si>
  <si>
    <t>HB0892</t>
  </si>
  <si>
    <t>R00892</t>
  </si>
  <si>
    <t>DT0892</t>
  </si>
  <si>
    <t>B0RUIIJC5</t>
  </si>
  <si>
    <t>C00893</t>
  </si>
  <si>
    <t>HB0893</t>
  </si>
  <si>
    <t>R00893</t>
  </si>
  <si>
    <t>DT0893</t>
  </si>
  <si>
    <t>BRJR9LY6P</t>
  </si>
  <si>
    <t>C00894</t>
  </si>
  <si>
    <t>HB0894</t>
  </si>
  <si>
    <t>R00894</t>
  </si>
  <si>
    <t>DT0894</t>
  </si>
  <si>
    <t>BECV84XVD</t>
  </si>
  <si>
    <t>C00895</t>
  </si>
  <si>
    <t>HB0895</t>
  </si>
  <si>
    <t>R00895</t>
  </si>
  <si>
    <t>DT0895</t>
  </si>
  <si>
    <t>BUPFJMP9K</t>
  </si>
  <si>
    <t>C00896</t>
  </si>
  <si>
    <t>HB0896</t>
  </si>
  <si>
    <t>R00896</t>
  </si>
  <si>
    <t>DT0896</t>
  </si>
  <si>
    <t>BP84LVX4O</t>
  </si>
  <si>
    <t>C00897</t>
  </si>
  <si>
    <t>HB0897</t>
  </si>
  <si>
    <t>R00897</t>
  </si>
  <si>
    <t>DT0897</t>
  </si>
  <si>
    <t>BAZFN4OQX</t>
  </si>
  <si>
    <t>C00898</t>
  </si>
  <si>
    <t>HB0898</t>
  </si>
  <si>
    <t>R00898</t>
  </si>
  <si>
    <t>DT0898</t>
  </si>
  <si>
    <t>BRYNLAF0P</t>
  </si>
  <si>
    <t>C00899</t>
  </si>
  <si>
    <t>HB0899</t>
  </si>
  <si>
    <t>R00899</t>
  </si>
  <si>
    <t>DT0899</t>
  </si>
  <si>
    <t>BJEPLI20A</t>
  </si>
  <si>
    <t>C00900</t>
  </si>
  <si>
    <t>HB0900</t>
  </si>
  <si>
    <t>R00900</t>
  </si>
  <si>
    <t>DT0900</t>
  </si>
  <si>
    <t>BXPG3JPA9</t>
  </si>
  <si>
    <t>C00901</t>
  </si>
  <si>
    <t>HB0901</t>
  </si>
  <si>
    <t>R00901</t>
  </si>
  <si>
    <t>DT0901</t>
  </si>
  <si>
    <t>B1ZYPEQVV</t>
  </si>
  <si>
    <t>C00902</t>
  </si>
  <si>
    <t>HB0902</t>
  </si>
  <si>
    <t>R00902</t>
  </si>
  <si>
    <t>DT0902</t>
  </si>
  <si>
    <t>B0S3THZOU</t>
  </si>
  <si>
    <t>C00903</t>
  </si>
  <si>
    <t>HB0903</t>
  </si>
  <si>
    <t>R00903</t>
  </si>
  <si>
    <t>DT0903</t>
  </si>
  <si>
    <t>BD9M0IB3W</t>
  </si>
  <si>
    <t>C00904</t>
  </si>
  <si>
    <t>HB0904</t>
  </si>
  <si>
    <t>R00904</t>
  </si>
  <si>
    <t>DT0904</t>
  </si>
  <si>
    <t>BEUSNS7VB</t>
  </si>
  <si>
    <t>C00905</t>
  </si>
  <si>
    <t>HB0905</t>
  </si>
  <si>
    <t>R00905</t>
  </si>
  <si>
    <t>DT0905</t>
  </si>
  <si>
    <t>BOWGDCOQ9</t>
  </si>
  <si>
    <t>C00906</t>
  </si>
  <si>
    <t>HB0906</t>
  </si>
  <si>
    <t>R00906</t>
  </si>
  <si>
    <t>DT0906</t>
  </si>
  <si>
    <t>B9BXP6S26</t>
  </si>
  <si>
    <t>C00907</t>
  </si>
  <si>
    <t>HB0907</t>
  </si>
  <si>
    <t>R00907</t>
  </si>
  <si>
    <t>DT0907</t>
  </si>
  <si>
    <t>BFEZIKURG</t>
  </si>
  <si>
    <t>C00908</t>
  </si>
  <si>
    <t>HB0908</t>
  </si>
  <si>
    <t>R00908</t>
  </si>
  <si>
    <t>DT0908</t>
  </si>
  <si>
    <t>BCFKO78GQ</t>
  </si>
  <si>
    <t>C00909</t>
  </si>
  <si>
    <t>HB0909</t>
  </si>
  <si>
    <t>R00909</t>
  </si>
  <si>
    <t>DT0909</t>
  </si>
  <si>
    <t>BLAF7Z4SZ</t>
  </si>
  <si>
    <t>C00910</t>
  </si>
  <si>
    <t>HB0910</t>
  </si>
  <si>
    <t>R00910</t>
  </si>
  <si>
    <t>DT0910</t>
  </si>
  <si>
    <t>BFZJ29Y7C</t>
  </si>
  <si>
    <t>C00911</t>
  </si>
  <si>
    <t>HB0911</t>
  </si>
  <si>
    <t>R00911</t>
  </si>
  <si>
    <t>DT0911</t>
  </si>
  <si>
    <t>BJ48L94WO</t>
  </si>
  <si>
    <t>C00912</t>
  </si>
  <si>
    <t>HB0912</t>
  </si>
  <si>
    <t>R00912</t>
  </si>
  <si>
    <t>DT0912</t>
  </si>
  <si>
    <t>BL60D97IB</t>
  </si>
  <si>
    <t>C00913</t>
  </si>
  <si>
    <t>HB0913</t>
  </si>
  <si>
    <t>R00913</t>
  </si>
  <si>
    <t>DT0913</t>
  </si>
  <si>
    <t>B29W1YYIT</t>
  </si>
  <si>
    <t>C00914</t>
  </si>
  <si>
    <t>HB0914</t>
  </si>
  <si>
    <t>R00914</t>
  </si>
  <si>
    <t>DT0914</t>
  </si>
  <si>
    <t>BEP6C15R5</t>
  </si>
  <si>
    <t>C00915</t>
  </si>
  <si>
    <t>HB0915</t>
  </si>
  <si>
    <t>R00915</t>
  </si>
  <si>
    <t>DT0915</t>
  </si>
  <si>
    <t>B7HVX55JM</t>
  </si>
  <si>
    <t>C00916</t>
  </si>
  <si>
    <t>HB0916</t>
  </si>
  <si>
    <t>R00916</t>
  </si>
  <si>
    <t>DT0916</t>
  </si>
  <si>
    <t>BL1G2UNDQ</t>
  </si>
  <si>
    <t>C00917</t>
  </si>
  <si>
    <t>HB0917</t>
  </si>
  <si>
    <t>R00917</t>
  </si>
  <si>
    <t>DT0917</t>
  </si>
  <si>
    <t>BVBA0YPNC</t>
  </si>
  <si>
    <t>C00918</t>
  </si>
  <si>
    <t>HB0918</t>
  </si>
  <si>
    <t>R00918</t>
  </si>
  <si>
    <t>DT0918</t>
  </si>
  <si>
    <t>BZSEQGAN2</t>
  </si>
  <si>
    <t>C00919</t>
  </si>
  <si>
    <t>HB0919</t>
  </si>
  <si>
    <t>R00919</t>
  </si>
  <si>
    <t>DT0919</t>
  </si>
  <si>
    <t>BU15OS8I2</t>
  </si>
  <si>
    <t>C00920</t>
  </si>
  <si>
    <t>Elijah Mehta</t>
  </si>
  <si>
    <t>HB0920</t>
  </si>
  <si>
    <t>R00920</t>
  </si>
  <si>
    <t>DT0920</t>
  </si>
  <si>
    <t>BUGDDXBZT</t>
  </si>
  <si>
    <t>C00921</t>
  </si>
  <si>
    <t>HB0921</t>
  </si>
  <si>
    <t>R00921</t>
  </si>
  <si>
    <t>DT0921</t>
  </si>
  <si>
    <t>BVI73MLC1</t>
  </si>
  <si>
    <t>C00922</t>
  </si>
  <si>
    <t>HB0922</t>
  </si>
  <si>
    <t>R00922</t>
  </si>
  <si>
    <t>DT0922</t>
  </si>
  <si>
    <t>BMNI47BN9</t>
  </si>
  <si>
    <t>C00923</t>
  </si>
  <si>
    <t>HB0923</t>
  </si>
  <si>
    <t>R00923</t>
  </si>
  <si>
    <t>DT0923</t>
  </si>
  <si>
    <t>B46Y07BON</t>
  </si>
  <si>
    <t>C00924</t>
  </si>
  <si>
    <t>HB0924</t>
  </si>
  <si>
    <t>R00924</t>
  </si>
  <si>
    <t>DT0924</t>
  </si>
  <si>
    <t>BXZPR6H2U</t>
  </si>
  <si>
    <t>C00925</t>
  </si>
  <si>
    <t>HB0925</t>
  </si>
  <si>
    <t>R00925</t>
  </si>
  <si>
    <t>DT0925</t>
  </si>
  <si>
    <t>B4BG5C210</t>
  </si>
  <si>
    <t>C00926</t>
  </si>
  <si>
    <t>HB0926</t>
  </si>
  <si>
    <t>R00926</t>
  </si>
  <si>
    <t>DT0926</t>
  </si>
  <si>
    <t>BR61LJXGD</t>
  </si>
  <si>
    <t>C00927</t>
  </si>
  <si>
    <t>HB0927</t>
  </si>
  <si>
    <t>R00927</t>
  </si>
  <si>
    <t>DT0927</t>
  </si>
  <si>
    <t>BDH4IW9I9</t>
  </si>
  <si>
    <t>C00928</t>
  </si>
  <si>
    <t>HB0928</t>
  </si>
  <si>
    <t>R00928</t>
  </si>
  <si>
    <t>DT0928</t>
  </si>
  <si>
    <t>B0GPW2PO6</t>
  </si>
  <si>
    <t>C00929</t>
  </si>
  <si>
    <t>HB0929</t>
  </si>
  <si>
    <t>R00929</t>
  </si>
  <si>
    <t>DT0929</t>
  </si>
  <si>
    <t>B6UM51TL3</t>
  </si>
  <si>
    <t>C00930</t>
  </si>
  <si>
    <t>HB0930</t>
  </si>
  <si>
    <t>R00930</t>
  </si>
  <si>
    <t>DT0930</t>
  </si>
  <si>
    <t>BQDW8Q8ZJ</t>
  </si>
  <si>
    <t>C00931</t>
  </si>
  <si>
    <t>HB0931</t>
  </si>
  <si>
    <t>R00931</t>
  </si>
  <si>
    <t>DT0931</t>
  </si>
  <si>
    <t>B8JO5XMDD</t>
  </si>
  <si>
    <t>C00932</t>
  </si>
  <si>
    <t>HB0932</t>
  </si>
  <si>
    <t>R00932</t>
  </si>
  <si>
    <t>DT0932</t>
  </si>
  <si>
    <t>BK2YI5YH7</t>
  </si>
  <si>
    <t>C00933</t>
  </si>
  <si>
    <t>HB0933</t>
  </si>
  <si>
    <t>R00933</t>
  </si>
  <si>
    <t>DT0933</t>
  </si>
  <si>
    <t>BJ72I2DPG</t>
  </si>
  <si>
    <t>C00934</t>
  </si>
  <si>
    <t>HB0934</t>
  </si>
  <si>
    <t>R00934</t>
  </si>
  <si>
    <t>DT0934</t>
  </si>
  <si>
    <t>BDNFSOZTC</t>
  </si>
  <si>
    <t>C00935</t>
  </si>
  <si>
    <t>HB0935</t>
  </si>
  <si>
    <t>R00935</t>
  </si>
  <si>
    <t>DT0935</t>
  </si>
  <si>
    <t>BMEDPARKG</t>
  </si>
  <si>
    <t>C00936</t>
  </si>
  <si>
    <t>HB0936</t>
  </si>
  <si>
    <t>R00936</t>
  </si>
  <si>
    <t>DT0936</t>
  </si>
  <si>
    <t>BRNV8OFGS</t>
  </si>
  <si>
    <t>C00937</t>
  </si>
  <si>
    <t>HB0937</t>
  </si>
  <si>
    <t>R00937</t>
  </si>
  <si>
    <t>DT0937</t>
  </si>
  <si>
    <t>BKSLJ5HRU</t>
  </si>
  <si>
    <t>C00938</t>
  </si>
  <si>
    <t>Arjun Sharma</t>
  </si>
  <si>
    <t>HB0938</t>
  </si>
  <si>
    <t>R00938</t>
  </si>
  <si>
    <t>DT0938</t>
  </si>
  <si>
    <t>BNSIKFESV</t>
  </si>
  <si>
    <t>C00939</t>
  </si>
  <si>
    <t>HB0939</t>
  </si>
  <si>
    <t>R00939</t>
  </si>
  <si>
    <t>DT0939</t>
  </si>
  <si>
    <t>B8ITA84DQ</t>
  </si>
  <si>
    <t>C00940</t>
  </si>
  <si>
    <t>HB0940</t>
  </si>
  <si>
    <t>R00940</t>
  </si>
  <si>
    <t>DT0940</t>
  </si>
  <si>
    <t>BHIYMGDMW</t>
  </si>
  <si>
    <t>C00941</t>
  </si>
  <si>
    <t>HB0941</t>
  </si>
  <si>
    <t>R00941</t>
  </si>
  <si>
    <t>DT0941</t>
  </si>
  <si>
    <t>BR6SAWHCR</t>
  </si>
  <si>
    <t>C00942</t>
  </si>
  <si>
    <t>HB0942</t>
  </si>
  <si>
    <t>R00942</t>
  </si>
  <si>
    <t>DT0942</t>
  </si>
  <si>
    <t>B6DUDUYMT</t>
  </si>
  <si>
    <t>C00943</t>
  </si>
  <si>
    <t>HB0943</t>
  </si>
  <si>
    <t>R00943</t>
  </si>
  <si>
    <t>DT0943</t>
  </si>
  <si>
    <t>B4STIS5NT</t>
  </si>
  <si>
    <t>C00944</t>
  </si>
  <si>
    <t>HB0944</t>
  </si>
  <si>
    <t>R00944</t>
  </si>
  <si>
    <t>DT0944</t>
  </si>
  <si>
    <t>B720NJAAA</t>
  </si>
  <si>
    <t>C00945</t>
  </si>
  <si>
    <t>HB0945</t>
  </si>
  <si>
    <t>R00945</t>
  </si>
  <si>
    <t>DT0945</t>
  </si>
  <si>
    <t>BRHBR3I93</t>
  </si>
  <si>
    <t>C00946</t>
  </si>
  <si>
    <t>HB0946</t>
  </si>
  <si>
    <t>R00946</t>
  </si>
  <si>
    <t>DT0946</t>
  </si>
  <si>
    <t>BC3FX6LBQ</t>
  </si>
  <si>
    <t>C00947</t>
  </si>
  <si>
    <t>HB0947</t>
  </si>
  <si>
    <t>R00947</t>
  </si>
  <si>
    <t>DT0947</t>
  </si>
  <si>
    <t>B58U514DY</t>
  </si>
  <si>
    <t>C00948</t>
  </si>
  <si>
    <t>HB0948</t>
  </si>
  <si>
    <t>R00948</t>
  </si>
  <si>
    <t>DT0948</t>
  </si>
  <si>
    <t>BZVWQQ5ZD</t>
  </si>
  <si>
    <t>C00949</t>
  </si>
  <si>
    <t>HB0949</t>
  </si>
  <si>
    <t>R00949</t>
  </si>
  <si>
    <t>DT0949</t>
  </si>
  <si>
    <t>B4ZPPZ99F</t>
  </si>
  <si>
    <t>C00950</t>
  </si>
  <si>
    <t>HB0950</t>
  </si>
  <si>
    <t>R00950</t>
  </si>
  <si>
    <t>DT0950</t>
  </si>
  <si>
    <t>BXGSH4VWT</t>
  </si>
  <si>
    <t>C00951</t>
  </si>
  <si>
    <t>HB0951</t>
  </si>
  <si>
    <t>R00951</t>
  </si>
  <si>
    <t>DT0951</t>
  </si>
  <si>
    <t>B5LVWQOLF</t>
  </si>
  <si>
    <t>C00952</t>
  </si>
  <si>
    <t>HB0952</t>
  </si>
  <si>
    <t>R00952</t>
  </si>
  <si>
    <t>DT0952</t>
  </si>
  <si>
    <t>BOMQH0CEC</t>
  </si>
  <si>
    <t>C00953</t>
  </si>
  <si>
    <t>HB0953</t>
  </si>
  <si>
    <t>R00953</t>
  </si>
  <si>
    <t>DT0953</t>
  </si>
  <si>
    <t>BGK0H2K1L</t>
  </si>
  <si>
    <t>C00954</t>
  </si>
  <si>
    <t>HB0954</t>
  </si>
  <si>
    <t>R00954</t>
  </si>
  <si>
    <t>DT0954</t>
  </si>
  <si>
    <t>BUEF5HWGM</t>
  </si>
  <si>
    <t>C00955</t>
  </si>
  <si>
    <t>HB0955</t>
  </si>
  <si>
    <t>R00955</t>
  </si>
  <si>
    <t>DT0955</t>
  </si>
  <si>
    <t>B2P47PTUU</t>
  </si>
  <si>
    <t>C00956</t>
  </si>
  <si>
    <t>Gaurav Nair</t>
  </si>
  <si>
    <t>HB0956</t>
  </si>
  <si>
    <t>R00956</t>
  </si>
  <si>
    <t>DT0956</t>
  </si>
  <si>
    <t>BAB6BHAGD</t>
  </si>
  <si>
    <t>C00957</t>
  </si>
  <si>
    <t>HB0957</t>
  </si>
  <si>
    <t>R00957</t>
  </si>
  <si>
    <t>DT0957</t>
  </si>
  <si>
    <t>BSEFMJJEF</t>
  </si>
  <si>
    <t>C00958</t>
  </si>
  <si>
    <t>HB0958</t>
  </si>
  <si>
    <t>R00958</t>
  </si>
  <si>
    <t>DT0958</t>
  </si>
  <si>
    <t>BDXJEWR5R</t>
  </si>
  <si>
    <t>C00959</t>
  </si>
  <si>
    <t>HB0959</t>
  </si>
  <si>
    <t>R00959</t>
  </si>
  <si>
    <t>DT0959</t>
  </si>
  <si>
    <t>BPKHGYGMJ</t>
  </si>
  <si>
    <t>C00960</t>
  </si>
  <si>
    <t>HB0960</t>
  </si>
  <si>
    <t>R00960</t>
  </si>
  <si>
    <t>DT0960</t>
  </si>
  <si>
    <t>BPUIHTMME</t>
  </si>
  <si>
    <t>C00961</t>
  </si>
  <si>
    <t>HB0961</t>
  </si>
  <si>
    <t>R00961</t>
  </si>
  <si>
    <t>DT0961</t>
  </si>
  <si>
    <t>BLK9UAWWP</t>
  </si>
  <si>
    <t>C00962</t>
  </si>
  <si>
    <t>HB0962</t>
  </si>
  <si>
    <t>R00962</t>
  </si>
  <si>
    <t>DT0962</t>
  </si>
  <si>
    <t>BUUY899E6</t>
  </si>
  <si>
    <t>C00963</t>
  </si>
  <si>
    <t>HB0963</t>
  </si>
  <si>
    <t>R00963</t>
  </si>
  <si>
    <t>DT0963</t>
  </si>
  <si>
    <t>BVXBKNE4L</t>
  </si>
  <si>
    <t>C00964</t>
  </si>
  <si>
    <t>HB0964</t>
  </si>
  <si>
    <t>R00964</t>
  </si>
  <si>
    <t>DT0964</t>
  </si>
  <si>
    <t>BE1VO8S37</t>
  </si>
  <si>
    <t>C00965</t>
  </si>
  <si>
    <t>HB0965</t>
  </si>
  <si>
    <t>R00965</t>
  </si>
  <si>
    <t>DT0965</t>
  </si>
  <si>
    <t>BM4DZJQ27</t>
  </si>
  <si>
    <t>C00966</t>
  </si>
  <si>
    <t>HB0966</t>
  </si>
  <si>
    <t>R00966</t>
  </si>
  <si>
    <t>DT0966</t>
  </si>
  <si>
    <t>BX7Y91QUB</t>
  </si>
  <si>
    <t>C00967</t>
  </si>
  <si>
    <t>HB0967</t>
  </si>
  <si>
    <t>R00967</t>
  </si>
  <si>
    <t>DT0967</t>
  </si>
  <si>
    <t>B95KJFDU1</t>
  </si>
  <si>
    <t>C00968</t>
  </si>
  <si>
    <t>HB0968</t>
  </si>
  <si>
    <t>R00968</t>
  </si>
  <si>
    <t>DT0968</t>
  </si>
  <si>
    <t>B16DBJX5Z</t>
  </si>
  <si>
    <t>C00969</t>
  </si>
  <si>
    <t>HB0969</t>
  </si>
  <si>
    <t>R00969</t>
  </si>
  <si>
    <t>DT0969</t>
  </si>
  <si>
    <t>BKMCMXZYR</t>
  </si>
  <si>
    <t>C00970</t>
  </si>
  <si>
    <t>HB0970</t>
  </si>
  <si>
    <t>R00970</t>
  </si>
  <si>
    <t>DT0970</t>
  </si>
  <si>
    <t>BGOQLJHU5</t>
  </si>
  <si>
    <t>C00971</t>
  </si>
  <si>
    <t>HB0971</t>
  </si>
  <si>
    <t>R00971</t>
  </si>
  <si>
    <t>DT0971</t>
  </si>
  <si>
    <t>BTDKWEY7Z</t>
  </si>
  <si>
    <t>C00972</t>
  </si>
  <si>
    <t>William Nair</t>
  </si>
  <si>
    <t>HB0972</t>
  </si>
  <si>
    <t>R00972</t>
  </si>
  <si>
    <t>DT0972</t>
  </si>
  <si>
    <t>BSGUTTFL9</t>
  </si>
  <si>
    <t>C00973</t>
  </si>
  <si>
    <t>HB0973</t>
  </si>
  <si>
    <t>R00973</t>
  </si>
  <si>
    <t>DT0973</t>
  </si>
  <si>
    <t>BV4VAPI5D</t>
  </si>
  <si>
    <t>C00974</t>
  </si>
  <si>
    <t>HB0974</t>
  </si>
  <si>
    <t>R00974</t>
  </si>
  <si>
    <t>DT0974</t>
  </si>
  <si>
    <t>BPE46IVAO</t>
  </si>
  <si>
    <t>C00975</t>
  </si>
  <si>
    <t>HB0975</t>
  </si>
  <si>
    <t>R00975</t>
  </si>
  <si>
    <t>DT0975</t>
  </si>
  <si>
    <t>BHDEYLIAH</t>
  </si>
  <si>
    <t>C00976</t>
  </si>
  <si>
    <t>HB0976</t>
  </si>
  <si>
    <t>R00976</t>
  </si>
  <si>
    <t>DT0976</t>
  </si>
  <si>
    <t>BG6CDDOIK</t>
  </si>
  <si>
    <t>C00977</t>
  </si>
  <si>
    <t>HB0977</t>
  </si>
  <si>
    <t>R00977</t>
  </si>
  <si>
    <t>DT0977</t>
  </si>
  <si>
    <t>BA5W9XXLU</t>
  </si>
  <si>
    <t>C00978</t>
  </si>
  <si>
    <t>HB0978</t>
  </si>
  <si>
    <t>R00978</t>
  </si>
  <si>
    <t>DT0978</t>
  </si>
  <si>
    <t>BRHL5ZL0K</t>
  </si>
  <si>
    <t>C00979</t>
  </si>
  <si>
    <t>HB0979</t>
  </si>
  <si>
    <t>R00979</t>
  </si>
  <si>
    <t>DT0979</t>
  </si>
  <si>
    <t>BSLGZQWHJ</t>
  </si>
  <si>
    <t>C00980</t>
  </si>
  <si>
    <t>HB0980</t>
  </si>
  <si>
    <t>R00980</t>
  </si>
  <si>
    <t>DT0980</t>
  </si>
  <si>
    <t>BGYR9NAPD</t>
  </si>
  <si>
    <t>C00981</t>
  </si>
  <si>
    <t>HB0981</t>
  </si>
  <si>
    <t>R00981</t>
  </si>
  <si>
    <t>DT0981</t>
  </si>
  <si>
    <t>BSA86AOFW</t>
  </si>
  <si>
    <t>C00982</t>
  </si>
  <si>
    <t>HB0982</t>
  </si>
  <si>
    <t>R00982</t>
  </si>
  <si>
    <t>DT0982</t>
  </si>
  <si>
    <t>BNVO3OKQF</t>
  </si>
  <si>
    <t>C00983</t>
  </si>
  <si>
    <t>HB0983</t>
  </si>
  <si>
    <t>R00983</t>
  </si>
  <si>
    <t>DT0983</t>
  </si>
  <si>
    <t>BWPXOW7NS</t>
  </si>
  <si>
    <t>C00984</t>
  </si>
  <si>
    <t>HB0984</t>
  </si>
  <si>
    <t>R00984</t>
  </si>
  <si>
    <t>DT0984</t>
  </si>
  <si>
    <t>B07TEDQG8</t>
  </si>
  <si>
    <t>C00985</t>
  </si>
  <si>
    <t>HB0985</t>
  </si>
  <si>
    <t>R00985</t>
  </si>
  <si>
    <t>DT0985</t>
  </si>
  <si>
    <t>BDTE0M890</t>
  </si>
  <si>
    <t>C00986</t>
  </si>
  <si>
    <t>HB0986</t>
  </si>
  <si>
    <t>R00986</t>
  </si>
  <si>
    <t>DT0986</t>
  </si>
  <si>
    <t>B48QLOLDA</t>
  </si>
  <si>
    <t>C00987</t>
  </si>
  <si>
    <t>Reyansh Mehta</t>
  </si>
  <si>
    <t>HB0987</t>
  </si>
  <si>
    <t>R00987</t>
  </si>
  <si>
    <t>DT0987</t>
  </si>
  <si>
    <t>B8QV6S2BU</t>
  </si>
  <si>
    <t>C00988</t>
  </si>
  <si>
    <t>HB0988</t>
  </si>
  <si>
    <t>R00988</t>
  </si>
  <si>
    <t>DT0988</t>
  </si>
  <si>
    <t>BH3X65W8W</t>
  </si>
  <si>
    <t>C00989</t>
  </si>
  <si>
    <t>HB0989</t>
  </si>
  <si>
    <t>R00989</t>
  </si>
  <si>
    <t>DT0989</t>
  </si>
  <si>
    <t>BQFBHNTIU</t>
  </si>
  <si>
    <t>C00990</t>
  </si>
  <si>
    <t>HB0990</t>
  </si>
  <si>
    <t>R00990</t>
  </si>
  <si>
    <t>DT0990</t>
  </si>
  <si>
    <t>BR07I3QFT</t>
  </si>
  <si>
    <t>C00991</t>
  </si>
  <si>
    <t>HB0991</t>
  </si>
  <si>
    <t>R00991</t>
  </si>
  <si>
    <t>DT0991</t>
  </si>
  <si>
    <t>BGVN54ODJ</t>
  </si>
  <si>
    <t>C00992</t>
  </si>
  <si>
    <t>HB0992</t>
  </si>
  <si>
    <t>R00992</t>
  </si>
  <si>
    <t>DT0992</t>
  </si>
  <si>
    <t>BNCY9UKUW</t>
  </si>
  <si>
    <t>C00993</t>
  </si>
  <si>
    <t>HB0993</t>
  </si>
  <si>
    <t>R00993</t>
  </si>
  <si>
    <t>DT0993</t>
  </si>
  <si>
    <t>B1SIXV96U</t>
  </si>
  <si>
    <t>C00994</t>
  </si>
  <si>
    <t>Rohan Singh</t>
  </si>
  <si>
    <t>HB0994</t>
  </si>
  <si>
    <t>R00994</t>
  </si>
  <si>
    <t>DT0994</t>
  </si>
  <si>
    <t>BW991K8BK</t>
  </si>
  <si>
    <t>C00995</t>
  </si>
  <si>
    <t>HB0995</t>
  </si>
  <si>
    <t>R00995</t>
  </si>
  <si>
    <t>DT0995</t>
  </si>
  <si>
    <t>BFS9X1E2D</t>
  </si>
  <si>
    <t>C00996</t>
  </si>
  <si>
    <t>HB0996</t>
  </si>
  <si>
    <t>R00996</t>
  </si>
  <si>
    <t>DT0996</t>
  </si>
  <si>
    <t>B19E6XIID</t>
  </si>
  <si>
    <t>C00997</t>
  </si>
  <si>
    <t>HB0997</t>
  </si>
  <si>
    <t>R00997</t>
  </si>
  <si>
    <t>DT0997</t>
  </si>
  <si>
    <t>BG4MJZE72</t>
  </si>
  <si>
    <t>C00998</t>
  </si>
  <si>
    <t>HB0998</t>
  </si>
  <si>
    <t>R00998</t>
  </si>
  <si>
    <t>DT0998</t>
  </si>
  <si>
    <t>BO2KP3JR3</t>
  </si>
  <si>
    <t>C00999</t>
  </si>
  <si>
    <t>Ishaan Joshi</t>
  </si>
  <si>
    <t>HB0999</t>
  </si>
  <si>
    <t>R00999</t>
  </si>
  <si>
    <t>DT0999</t>
  </si>
  <si>
    <t>BS445Y4TS</t>
  </si>
  <si>
    <t>C01000</t>
  </si>
  <si>
    <t>HB1000</t>
  </si>
  <si>
    <t>R01000</t>
  </si>
  <si>
    <t>DT1000</t>
  </si>
  <si>
    <t>BIM28SSA2</t>
  </si>
  <si>
    <t>C01001</t>
  </si>
  <si>
    <t>HB1001</t>
  </si>
  <si>
    <t>R01001</t>
  </si>
  <si>
    <t>DT1001</t>
  </si>
  <si>
    <t>BRNBQOUQ6</t>
  </si>
  <si>
    <t>C01002</t>
  </si>
  <si>
    <t>HB1002</t>
  </si>
  <si>
    <t>R01002</t>
  </si>
  <si>
    <t>DT1002</t>
  </si>
  <si>
    <t>B4TLYPB9A</t>
  </si>
  <si>
    <t>C01003</t>
  </si>
  <si>
    <t>HB1003</t>
  </si>
  <si>
    <t>R01003</t>
  </si>
  <si>
    <t>DT1003</t>
  </si>
  <si>
    <t>B7HZZ4GW4</t>
  </si>
  <si>
    <t>C01004</t>
  </si>
  <si>
    <t>HB1004</t>
  </si>
  <si>
    <t>R01004</t>
  </si>
  <si>
    <t>DT1004</t>
  </si>
  <si>
    <t>BWK2UHU4A</t>
  </si>
  <si>
    <t>C01005</t>
  </si>
  <si>
    <t>HB1005</t>
  </si>
  <si>
    <t>R01005</t>
  </si>
  <si>
    <t>DT1005</t>
  </si>
  <si>
    <t>BJAJWDDWH</t>
  </si>
  <si>
    <t>C01006</t>
  </si>
  <si>
    <t>HB1006</t>
  </si>
  <si>
    <t>R01006</t>
  </si>
  <si>
    <t>DT1006</t>
  </si>
  <si>
    <t>BYO04LYYE</t>
  </si>
  <si>
    <t>C01007</t>
  </si>
  <si>
    <t>HB1007</t>
  </si>
  <si>
    <t>R01007</t>
  </si>
  <si>
    <t>DT1007</t>
  </si>
  <si>
    <t>BSTUVIK6C</t>
  </si>
  <si>
    <t>C01008</t>
  </si>
  <si>
    <t>HB1008</t>
  </si>
  <si>
    <t>R01008</t>
  </si>
  <si>
    <t>DT1008</t>
  </si>
  <si>
    <t>BOH8FZUO8</t>
  </si>
  <si>
    <t>C01009</t>
  </si>
  <si>
    <t>HB1009</t>
  </si>
  <si>
    <t>R01009</t>
  </si>
  <si>
    <t>DT1009</t>
  </si>
  <si>
    <t>BCWCC2P37</t>
  </si>
  <si>
    <t>C01010</t>
  </si>
  <si>
    <t>HB1010</t>
  </si>
  <si>
    <t>R01010</t>
  </si>
  <si>
    <t>DT1010</t>
  </si>
  <si>
    <t>B707X3KB5</t>
  </si>
  <si>
    <t>C01011</t>
  </si>
  <si>
    <t>HB1011</t>
  </si>
  <si>
    <t>R01011</t>
  </si>
  <si>
    <t>DT1011</t>
  </si>
  <si>
    <t>B4YDPOPDQ</t>
  </si>
  <si>
    <t>C01012</t>
  </si>
  <si>
    <t>HB1012</t>
  </si>
  <si>
    <t>R01012</t>
  </si>
  <si>
    <t>DT1012</t>
  </si>
  <si>
    <t>BSXYW1GNP</t>
  </si>
  <si>
    <t>C01013</t>
  </si>
  <si>
    <t>HB1013</t>
  </si>
  <si>
    <t>R01013</t>
  </si>
  <si>
    <t>DT1013</t>
  </si>
  <si>
    <t>BMZ69IM32</t>
  </si>
  <si>
    <t>C01014</t>
  </si>
  <si>
    <t>Arjun Iyer</t>
  </si>
  <si>
    <t>HB1014</t>
  </si>
  <si>
    <t>R01014</t>
  </si>
  <si>
    <t>DT1014</t>
  </si>
  <si>
    <t>B0GAJKFV5</t>
  </si>
  <si>
    <t>C01015</t>
  </si>
  <si>
    <t>HB1015</t>
  </si>
  <si>
    <t>R01015</t>
  </si>
  <si>
    <t>DT1015</t>
  </si>
  <si>
    <t>BT3AAAI75</t>
  </si>
  <si>
    <t>C01016</t>
  </si>
  <si>
    <t>HB1016</t>
  </si>
  <si>
    <t>R01016</t>
  </si>
  <si>
    <t>DT1016</t>
  </si>
  <si>
    <t>BP0FMTB02</t>
  </si>
  <si>
    <t>C01017</t>
  </si>
  <si>
    <t>HB1017</t>
  </si>
  <si>
    <t>R01017</t>
  </si>
  <si>
    <t>DT1017</t>
  </si>
  <si>
    <t>BOO4116SG</t>
  </si>
  <si>
    <t>C01018</t>
  </si>
  <si>
    <t>HB1018</t>
  </si>
  <si>
    <t>R01018</t>
  </si>
  <si>
    <t>DT1018</t>
  </si>
  <si>
    <t>BCZNQ85QZ</t>
  </si>
  <si>
    <t>C01019</t>
  </si>
  <si>
    <t>HB1019</t>
  </si>
  <si>
    <t>R01019</t>
  </si>
  <si>
    <t>DT1019</t>
  </si>
  <si>
    <t>B4ZWQT0YJ</t>
  </si>
  <si>
    <t>C01020</t>
  </si>
  <si>
    <t>HB1020</t>
  </si>
  <si>
    <t>R01020</t>
  </si>
  <si>
    <t>DT1020</t>
  </si>
  <si>
    <t>BBT9MMLFK</t>
  </si>
  <si>
    <t>C01021</t>
  </si>
  <si>
    <t>HB1021</t>
  </si>
  <si>
    <t>R01021</t>
  </si>
  <si>
    <t>DT1021</t>
  </si>
  <si>
    <t>B5D5EUSC7</t>
  </si>
  <si>
    <t>C01022</t>
  </si>
  <si>
    <t>HB1022</t>
  </si>
  <si>
    <t>R01022</t>
  </si>
  <si>
    <t>DT1022</t>
  </si>
  <si>
    <t>B4H90T1C6</t>
  </si>
  <si>
    <t>C01023</t>
  </si>
  <si>
    <t>HB1023</t>
  </si>
  <si>
    <t>R01023</t>
  </si>
  <si>
    <t>DT1023</t>
  </si>
  <si>
    <t>BHXRIBXAL</t>
  </si>
  <si>
    <t>C01024</t>
  </si>
  <si>
    <t>HB1024</t>
  </si>
  <si>
    <t>R01024</t>
  </si>
  <si>
    <t>DT1024</t>
  </si>
  <si>
    <t>B97B6L8NP</t>
  </si>
  <si>
    <t>C01025</t>
  </si>
  <si>
    <t>Ishaan Khan</t>
  </si>
  <si>
    <t>HB1025</t>
  </si>
  <si>
    <t>R01025</t>
  </si>
  <si>
    <t>DT1025</t>
  </si>
  <si>
    <t>BC5UX8X4S</t>
  </si>
  <si>
    <t>C01026</t>
  </si>
  <si>
    <t>HB1026</t>
  </si>
  <si>
    <t>R01026</t>
  </si>
  <si>
    <t>DT1026</t>
  </si>
  <si>
    <t>BE1H4O8LY</t>
  </si>
  <si>
    <t>C01027</t>
  </si>
  <si>
    <t>HB1027</t>
  </si>
  <si>
    <t>R01027</t>
  </si>
  <si>
    <t>DT1027</t>
  </si>
  <si>
    <t>B9MA21KCP</t>
  </si>
  <si>
    <t>C01028</t>
  </si>
  <si>
    <t>HB1028</t>
  </si>
  <si>
    <t>R01028</t>
  </si>
  <si>
    <t>DT1028</t>
  </si>
  <si>
    <t>BNF55AELU</t>
  </si>
  <si>
    <t>C01029</t>
  </si>
  <si>
    <t>HB1029</t>
  </si>
  <si>
    <t>R01029</t>
  </si>
  <si>
    <t>DT1029</t>
  </si>
  <si>
    <t>BXZZB7QA4</t>
  </si>
  <si>
    <t>C01030</t>
  </si>
  <si>
    <t>HB1030</t>
  </si>
  <si>
    <t>R01030</t>
  </si>
  <si>
    <t>DT1030</t>
  </si>
  <si>
    <t>B6PR77NTH</t>
  </si>
  <si>
    <t>C01031</t>
  </si>
  <si>
    <t>HB1031</t>
  </si>
  <si>
    <t>R01031</t>
  </si>
  <si>
    <t>DT1031</t>
  </si>
  <si>
    <t>BSTBRM57P</t>
  </si>
  <si>
    <t>C01032</t>
  </si>
  <si>
    <t>HB1032</t>
  </si>
  <si>
    <t>R01032</t>
  </si>
  <si>
    <t>DT1032</t>
  </si>
  <si>
    <t>BDZGEUJTE</t>
  </si>
  <si>
    <t>C01033</t>
  </si>
  <si>
    <t>HB1033</t>
  </si>
  <si>
    <t>R01033</t>
  </si>
  <si>
    <t>DT1033</t>
  </si>
  <si>
    <t>BR5LDQTI9</t>
  </si>
  <si>
    <t>C01034</t>
  </si>
  <si>
    <t>HB1034</t>
  </si>
  <si>
    <t>R01034</t>
  </si>
  <si>
    <t>DT1034</t>
  </si>
  <si>
    <t>BVXC8ACT4</t>
  </si>
  <si>
    <t>C01035</t>
  </si>
  <si>
    <t>HB1035</t>
  </si>
  <si>
    <t>R01035</t>
  </si>
  <si>
    <t>DT1035</t>
  </si>
  <si>
    <t>B2YPZK78L</t>
  </si>
  <si>
    <t>C01036</t>
  </si>
  <si>
    <t>HB1036</t>
  </si>
  <si>
    <t>R01036</t>
  </si>
  <si>
    <t>DT1036</t>
  </si>
  <si>
    <t>BH1LTOLEI</t>
  </si>
  <si>
    <t>C01037</t>
  </si>
  <si>
    <t>HB1037</t>
  </si>
  <si>
    <t>R01037</t>
  </si>
  <si>
    <t>DT1037</t>
  </si>
  <si>
    <t>BWT3PSLDX</t>
  </si>
  <si>
    <t>C01038</t>
  </si>
  <si>
    <t>HB1038</t>
  </si>
  <si>
    <t>R01038</t>
  </si>
  <si>
    <t>DT1038</t>
  </si>
  <si>
    <t>BUWQD6YN5</t>
  </si>
  <si>
    <t>C01039</t>
  </si>
  <si>
    <t>HB1039</t>
  </si>
  <si>
    <t>R01039</t>
  </si>
  <si>
    <t>DT1039</t>
  </si>
  <si>
    <t>BY7VZU88H</t>
  </si>
  <si>
    <t>C01040</t>
  </si>
  <si>
    <t>HB1040</t>
  </si>
  <si>
    <t>R01040</t>
  </si>
  <si>
    <t>DT1040</t>
  </si>
  <si>
    <t>BZCXSCCKS</t>
  </si>
  <si>
    <t>C01041</t>
  </si>
  <si>
    <t>HB1041</t>
  </si>
  <si>
    <t>R01041</t>
  </si>
  <si>
    <t>DT1041</t>
  </si>
  <si>
    <t>BKXFG5CEX</t>
  </si>
  <si>
    <t>C01042</t>
  </si>
  <si>
    <t>HB1042</t>
  </si>
  <si>
    <t>R01042</t>
  </si>
  <si>
    <t>DT1042</t>
  </si>
  <si>
    <t>BXSOS1HU2</t>
  </si>
  <si>
    <t>C01043</t>
  </si>
  <si>
    <t>HB1043</t>
  </si>
  <si>
    <t>R01043</t>
  </si>
  <si>
    <t>DT1043</t>
  </si>
  <si>
    <t>BQWJK4SMT</t>
  </si>
  <si>
    <t>C01044</t>
  </si>
  <si>
    <t>HB1044</t>
  </si>
  <si>
    <t>R01044</t>
  </si>
  <si>
    <t>DT1044</t>
  </si>
  <si>
    <t>BQHBP7PO9</t>
  </si>
  <si>
    <t>C01045</t>
  </si>
  <si>
    <t>HB1045</t>
  </si>
  <si>
    <t>R01045</t>
  </si>
  <si>
    <t>DT1045</t>
  </si>
  <si>
    <t>BN8IFTKF7</t>
  </si>
  <si>
    <t>C01046</t>
  </si>
  <si>
    <t>HB1046</t>
  </si>
  <si>
    <t>R01046</t>
  </si>
  <si>
    <t>DT1046</t>
  </si>
  <si>
    <t>BYFB8CX9X</t>
  </si>
  <si>
    <t>C01047</t>
  </si>
  <si>
    <t>HB1047</t>
  </si>
  <si>
    <t>R01047</t>
  </si>
  <si>
    <t>DT1047</t>
  </si>
  <si>
    <t>BYFIA14QR</t>
  </si>
  <si>
    <t>C01048</t>
  </si>
  <si>
    <t>HB1048</t>
  </si>
  <si>
    <t>R01048</t>
  </si>
  <si>
    <t>DT1048</t>
  </si>
  <si>
    <t>BI1Q0IP85</t>
  </si>
  <si>
    <t>C01049</t>
  </si>
  <si>
    <t>HB1049</t>
  </si>
  <si>
    <t>R01049</t>
  </si>
  <si>
    <t>DT1049</t>
  </si>
  <si>
    <t>BHI733IZ8</t>
  </si>
  <si>
    <t>C01050</t>
  </si>
  <si>
    <t>HB1050</t>
  </si>
  <si>
    <t>R01050</t>
  </si>
  <si>
    <t>DT1050</t>
  </si>
  <si>
    <t>B1VWTEH6Y</t>
  </si>
  <si>
    <t>C01051</t>
  </si>
  <si>
    <t>HB1051</t>
  </si>
  <si>
    <t>R01051</t>
  </si>
  <si>
    <t>DT1051</t>
  </si>
  <si>
    <t>BTJE1LAO6</t>
  </si>
  <si>
    <t>C01052</t>
  </si>
  <si>
    <t>HB1052</t>
  </si>
  <si>
    <t>R01052</t>
  </si>
  <si>
    <t>DT1052</t>
  </si>
  <si>
    <t>BK3QX8CID</t>
  </si>
  <si>
    <t>C01053</t>
  </si>
  <si>
    <t>HB1053</t>
  </si>
  <si>
    <t>R01053</t>
  </si>
  <si>
    <t>DT1053</t>
  </si>
  <si>
    <t>BF2L0PI88</t>
  </si>
  <si>
    <t>C01054</t>
  </si>
  <si>
    <t>HB1054</t>
  </si>
  <si>
    <t>R01054</t>
  </si>
  <si>
    <t>DT1054</t>
  </si>
  <si>
    <t>BTMZEGG2M</t>
  </si>
  <si>
    <t>C01055</t>
  </si>
  <si>
    <t>HB1055</t>
  </si>
  <si>
    <t>R01055</t>
  </si>
  <si>
    <t>DT1055</t>
  </si>
  <si>
    <t>BGTPF48TR</t>
  </si>
  <si>
    <t>C01056</t>
  </si>
  <si>
    <t>HB1056</t>
  </si>
  <si>
    <t>R01056</t>
  </si>
  <si>
    <t>DT1056</t>
  </si>
  <si>
    <t>BUW0YE3X3</t>
  </si>
  <si>
    <t>C01057</t>
  </si>
  <si>
    <t>HB1057</t>
  </si>
  <si>
    <t>R01057</t>
  </si>
  <si>
    <t>DT1057</t>
  </si>
  <si>
    <t>BG6559QY8</t>
  </si>
  <si>
    <t>C01058</t>
  </si>
  <si>
    <t>HB1058</t>
  </si>
  <si>
    <t>R01058</t>
  </si>
  <si>
    <t>DT1058</t>
  </si>
  <si>
    <t>BTIZN1TTK</t>
  </si>
  <si>
    <t>C01059</t>
  </si>
  <si>
    <t>HB1059</t>
  </si>
  <si>
    <t>R01059</t>
  </si>
  <si>
    <t>DT1059</t>
  </si>
  <si>
    <t>BJQMUZ16G</t>
  </si>
  <si>
    <t>C01060</t>
  </si>
  <si>
    <t>HB1060</t>
  </si>
  <si>
    <t>R01060</t>
  </si>
  <si>
    <t>DT1060</t>
  </si>
  <si>
    <t>BNZ2G8HPI</t>
  </si>
  <si>
    <t>C01061</t>
  </si>
  <si>
    <t>HB1061</t>
  </si>
  <si>
    <t>R01061</t>
  </si>
  <si>
    <t>DT1061</t>
  </si>
  <si>
    <t>BEQ4CYYF6</t>
  </si>
  <si>
    <t>C01062</t>
  </si>
  <si>
    <t>HB1062</t>
  </si>
  <si>
    <t>R01062</t>
  </si>
  <si>
    <t>DT1062</t>
  </si>
  <si>
    <t>BOQ170JW7</t>
  </si>
  <si>
    <t>C01063</t>
  </si>
  <si>
    <t>HB1063</t>
  </si>
  <si>
    <t>R01063</t>
  </si>
  <si>
    <t>DT1063</t>
  </si>
  <si>
    <t>BH7PGSRD1</t>
  </si>
  <si>
    <t>C01064</t>
  </si>
  <si>
    <t>HB1064</t>
  </si>
  <si>
    <t>R01064</t>
  </si>
  <si>
    <t>DT1064</t>
  </si>
  <si>
    <t>BYIP1F05H</t>
  </si>
  <si>
    <t>C01065</t>
  </si>
  <si>
    <t>HB1065</t>
  </si>
  <si>
    <t>R01065</t>
  </si>
  <si>
    <t>DT1065</t>
  </si>
  <si>
    <t>BTP3CZBAM</t>
  </si>
  <si>
    <t>C01066</t>
  </si>
  <si>
    <t>HB1066</t>
  </si>
  <si>
    <t>R01066</t>
  </si>
  <si>
    <t>DT1066</t>
  </si>
  <si>
    <t>BH88SUKE8</t>
  </si>
  <si>
    <t>C01067</t>
  </si>
  <si>
    <t>HB1067</t>
  </si>
  <si>
    <t>R01067</t>
  </si>
  <si>
    <t>DT1067</t>
  </si>
  <si>
    <t>BSN1QDYD7</t>
  </si>
  <si>
    <t>C01068</t>
  </si>
  <si>
    <t>HB1068</t>
  </si>
  <si>
    <t>R01068</t>
  </si>
  <si>
    <t>DT1068</t>
  </si>
  <si>
    <t>BJTWAYWDS</t>
  </si>
  <si>
    <t>C01069</t>
  </si>
  <si>
    <t>HB1069</t>
  </si>
  <si>
    <t>R01069</t>
  </si>
  <si>
    <t>DT1069</t>
  </si>
  <si>
    <t>B09QC588I</t>
  </si>
  <si>
    <t>C01070</t>
  </si>
  <si>
    <t>HB1070</t>
  </si>
  <si>
    <t>R01070</t>
  </si>
  <si>
    <t>DT1070</t>
  </si>
  <si>
    <t>BM23RGUCB</t>
  </si>
  <si>
    <t>C01071</t>
  </si>
  <si>
    <t>HB1071</t>
  </si>
  <si>
    <t>R01071</t>
  </si>
  <si>
    <t>DT1071</t>
  </si>
  <si>
    <t>BVWAZKSWN</t>
  </si>
  <si>
    <t>C01072</t>
  </si>
  <si>
    <t>HB1072</t>
  </si>
  <si>
    <t>R01072</t>
  </si>
  <si>
    <t>DT1072</t>
  </si>
  <si>
    <t>BTEDARSKM</t>
  </si>
  <si>
    <t>C01073</t>
  </si>
  <si>
    <t>HB1073</t>
  </si>
  <si>
    <t>R01073</t>
  </si>
  <si>
    <t>DT1073</t>
  </si>
  <si>
    <t>BEJ57SV9D</t>
  </si>
  <si>
    <t>C01074</t>
  </si>
  <si>
    <t>HB1074</t>
  </si>
  <si>
    <t>R01074</t>
  </si>
  <si>
    <t>DT1074</t>
  </si>
  <si>
    <t>BX287YGB3</t>
  </si>
  <si>
    <t>C01075</t>
  </si>
  <si>
    <t>HB1075</t>
  </si>
  <si>
    <t>R01075</t>
  </si>
  <si>
    <t>DT1075</t>
  </si>
  <si>
    <t>BH3TXZ1NW</t>
  </si>
  <si>
    <t>C01076</t>
  </si>
  <si>
    <t>HB1076</t>
  </si>
  <si>
    <t>R01076</t>
  </si>
  <si>
    <t>DT1076</t>
  </si>
  <si>
    <t>BKUT7646P</t>
  </si>
  <si>
    <t>C01077</t>
  </si>
  <si>
    <t>HB1077</t>
  </si>
  <si>
    <t>R01077</t>
  </si>
  <si>
    <t>DT1077</t>
  </si>
  <si>
    <t>BE8CUNR6R</t>
  </si>
  <si>
    <t>C01078</t>
  </si>
  <si>
    <t>HB1078</t>
  </si>
  <si>
    <t>R01078</t>
  </si>
  <si>
    <t>DT1078</t>
  </si>
  <si>
    <t>BPRL1JRWS</t>
  </si>
  <si>
    <t>C01079</t>
  </si>
  <si>
    <t>HB1079</t>
  </si>
  <si>
    <t>R01079</t>
  </si>
  <si>
    <t>DT1079</t>
  </si>
  <si>
    <t>BIC4WZJTA</t>
  </si>
  <si>
    <t>C01080</t>
  </si>
  <si>
    <t>HB1080</t>
  </si>
  <si>
    <t>R01080</t>
  </si>
  <si>
    <t>DT1080</t>
  </si>
  <si>
    <t>B55UQRFKX</t>
  </si>
  <si>
    <t>C01081</t>
  </si>
  <si>
    <t>HB1081</t>
  </si>
  <si>
    <t>R01081</t>
  </si>
  <si>
    <t>DT1081</t>
  </si>
  <si>
    <t>BPUD6W0H6</t>
  </si>
  <si>
    <t>C01082</t>
  </si>
  <si>
    <t>HB1082</t>
  </si>
  <si>
    <t>R01082</t>
  </si>
  <si>
    <t>DT1082</t>
  </si>
  <si>
    <t>BVZVASI75</t>
  </si>
  <si>
    <t>C01083</t>
  </si>
  <si>
    <t>HB1083</t>
  </si>
  <si>
    <t>R01083</t>
  </si>
  <si>
    <t>DT1083</t>
  </si>
  <si>
    <t>BN5EOYUN4</t>
  </si>
  <si>
    <t>C01084</t>
  </si>
  <si>
    <t>HB1084</t>
  </si>
  <si>
    <t>R01084</t>
  </si>
  <si>
    <t>DT1084</t>
  </si>
  <si>
    <t>BZNQ6KTP4</t>
  </si>
  <si>
    <t>C01085</t>
  </si>
  <si>
    <t>HB1085</t>
  </si>
  <si>
    <t>R01085</t>
  </si>
  <si>
    <t>DT1085</t>
  </si>
  <si>
    <t>BA6L0OEXI</t>
  </si>
  <si>
    <t>C01086</t>
  </si>
  <si>
    <t>HB1086</t>
  </si>
  <si>
    <t>R01086</t>
  </si>
  <si>
    <t>DT1086</t>
  </si>
  <si>
    <t>BPUOMBI36</t>
  </si>
  <si>
    <t>C01087</t>
  </si>
  <si>
    <t>HB1087</t>
  </si>
  <si>
    <t>R01087</t>
  </si>
  <si>
    <t>DT1087</t>
  </si>
  <si>
    <t>BEIAL2YV2</t>
  </si>
  <si>
    <t>C01088</t>
  </si>
  <si>
    <t>HB1088</t>
  </si>
  <si>
    <t>R01088</t>
  </si>
  <si>
    <t>DT1088</t>
  </si>
  <si>
    <t>BO1BSH3BV</t>
  </si>
  <si>
    <t>C01089</t>
  </si>
  <si>
    <t>Liam Verma</t>
  </si>
  <si>
    <t>HB1089</t>
  </si>
  <si>
    <t>R01089</t>
  </si>
  <si>
    <t>DT1089</t>
  </si>
  <si>
    <t>BMK1KC3L4</t>
  </si>
  <si>
    <t>C01090</t>
  </si>
  <si>
    <t>HB1090</t>
  </si>
  <si>
    <t>R01090</t>
  </si>
  <si>
    <t>DT1090</t>
  </si>
  <si>
    <t>BKTLVIHN2</t>
  </si>
  <si>
    <t>C01091</t>
  </si>
  <si>
    <t>HB1091</t>
  </si>
  <si>
    <t>R01091</t>
  </si>
  <si>
    <t>DT1091</t>
  </si>
  <si>
    <t>B8GAVFXC6</t>
  </si>
  <si>
    <t>C01092</t>
  </si>
  <si>
    <t>HB1092</t>
  </si>
  <si>
    <t>R01092</t>
  </si>
  <si>
    <t>DT1092</t>
  </si>
  <si>
    <t>BCQQA2ZUV</t>
  </si>
  <si>
    <t>C01093</t>
  </si>
  <si>
    <t>HB1093</t>
  </si>
  <si>
    <t>R01093</t>
  </si>
  <si>
    <t>DT1093</t>
  </si>
  <si>
    <t>BFCDTXBB7</t>
  </si>
  <si>
    <t>C01094</t>
  </si>
  <si>
    <t>HB1094</t>
  </si>
  <si>
    <t>R01094</t>
  </si>
  <si>
    <t>DT1094</t>
  </si>
  <si>
    <t>B6K4MKD98</t>
  </si>
  <si>
    <t>C01095</t>
  </si>
  <si>
    <t>HB1095</t>
  </si>
  <si>
    <t>R01095</t>
  </si>
  <si>
    <t>DT1095</t>
  </si>
  <si>
    <t>BDXOAHHSZ</t>
  </si>
  <si>
    <t>C01096</t>
  </si>
  <si>
    <t>HB1096</t>
  </si>
  <si>
    <t>R01096</t>
  </si>
  <si>
    <t>DT1096</t>
  </si>
  <si>
    <t>B4A9DNOQ3</t>
  </si>
  <si>
    <t>C01097</t>
  </si>
  <si>
    <t>HB1097</t>
  </si>
  <si>
    <t>R01097</t>
  </si>
  <si>
    <t>DT1097</t>
  </si>
  <si>
    <t>BJLMJ4TP1</t>
  </si>
  <si>
    <t>C01098</t>
  </si>
  <si>
    <t>HB1098</t>
  </si>
  <si>
    <t>R01098</t>
  </si>
  <si>
    <t>DT1098</t>
  </si>
  <si>
    <t>B4J8NHFZW</t>
  </si>
  <si>
    <t>C01099</t>
  </si>
  <si>
    <t>HB1099</t>
  </si>
  <si>
    <t>R01099</t>
  </si>
  <si>
    <t>DT1099</t>
  </si>
  <si>
    <t>BDG1919IS</t>
  </si>
  <si>
    <t>C01100</t>
  </si>
  <si>
    <t>HB1100</t>
  </si>
  <si>
    <t>R01100</t>
  </si>
  <si>
    <t>DT1100</t>
  </si>
  <si>
    <t>BBV94IY7X</t>
  </si>
  <si>
    <t>C01101</t>
  </si>
  <si>
    <t>HB1101</t>
  </si>
  <si>
    <t>R01101</t>
  </si>
  <si>
    <t>DT1101</t>
  </si>
  <si>
    <t>B0E95VZ90</t>
  </si>
  <si>
    <t>C01102</t>
  </si>
  <si>
    <t>HB1102</t>
  </si>
  <si>
    <t>R01102</t>
  </si>
  <si>
    <t>DT1102</t>
  </si>
  <si>
    <t>BS69WJERD</t>
  </si>
  <si>
    <t>C01103</t>
  </si>
  <si>
    <t>HB1103</t>
  </si>
  <si>
    <t>R01103</t>
  </si>
  <si>
    <t>DT1103</t>
  </si>
  <si>
    <t>BRW6FI9LE</t>
  </si>
  <si>
    <t>C01104</t>
  </si>
  <si>
    <t>HB1104</t>
  </si>
  <si>
    <t>R01104</t>
  </si>
  <si>
    <t>DT1104</t>
  </si>
  <si>
    <t>B4ZZ9ZW1Z</t>
  </si>
  <si>
    <t>C01105</t>
  </si>
  <si>
    <t>HB1105</t>
  </si>
  <si>
    <t>R01105</t>
  </si>
  <si>
    <t>DT1105</t>
  </si>
  <si>
    <t>B1PFXTCXK</t>
  </si>
  <si>
    <t>C01106</t>
  </si>
  <si>
    <t>HB1106</t>
  </si>
  <si>
    <t>R01106</t>
  </si>
  <si>
    <t>DT1106</t>
  </si>
  <si>
    <t>BS4K586XP</t>
  </si>
  <si>
    <t>C01107</t>
  </si>
  <si>
    <t>HB1107</t>
  </si>
  <si>
    <t>R01107</t>
  </si>
  <si>
    <t>DT1107</t>
  </si>
  <si>
    <t>B9UHSCMDM</t>
  </si>
  <si>
    <t>C01108</t>
  </si>
  <si>
    <t>HB1108</t>
  </si>
  <si>
    <t>R01108</t>
  </si>
  <si>
    <t>DT1108</t>
  </si>
  <si>
    <t>BQZPLJCMV</t>
  </si>
  <si>
    <t>C01109</t>
  </si>
  <si>
    <t>HB1109</t>
  </si>
  <si>
    <t>R01109</t>
  </si>
  <si>
    <t>DT1109</t>
  </si>
  <si>
    <t>BIEKJTI0E</t>
  </si>
  <si>
    <t>C01110</t>
  </si>
  <si>
    <t>HB1110</t>
  </si>
  <si>
    <t>R01110</t>
  </si>
  <si>
    <t>DT1110</t>
  </si>
  <si>
    <t>BETELQ6PM</t>
  </si>
  <si>
    <t>C01111</t>
  </si>
  <si>
    <t>HB1111</t>
  </si>
  <si>
    <t>R01111</t>
  </si>
  <si>
    <t>DT1111</t>
  </si>
  <si>
    <t>BPEWK7FSV</t>
  </si>
  <si>
    <t>C01112</t>
  </si>
  <si>
    <t>HB1112</t>
  </si>
  <si>
    <t>R01112</t>
  </si>
  <si>
    <t>DT1112</t>
  </si>
  <si>
    <t>B04UBG0X4</t>
  </si>
  <si>
    <t>C01113</t>
  </si>
  <si>
    <t>HB1113</t>
  </si>
  <si>
    <t>R01113</t>
  </si>
  <si>
    <t>DT1113</t>
  </si>
  <si>
    <t>BJFWYRCBF</t>
  </si>
  <si>
    <t>C01114</t>
  </si>
  <si>
    <t>HB1114</t>
  </si>
  <si>
    <t>R01114</t>
  </si>
  <si>
    <t>DT1114</t>
  </si>
  <si>
    <t>BGV7ENQ9U</t>
  </si>
  <si>
    <t>C01115</t>
  </si>
  <si>
    <t>HB1115</t>
  </si>
  <si>
    <t>R01115</t>
  </si>
  <si>
    <t>DT1115</t>
  </si>
  <si>
    <t>BGGBAXRBI</t>
  </si>
  <si>
    <t>C01116</t>
  </si>
  <si>
    <t>HB1116</t>
  </si>
  <si>
    <t>R01116</t>
  </si>
  <si>
    <t>DT1116</t>
  </si>
  <si>
    <t>BKAS92NU8</t>
  </si>
  <si>
    <t>C01117</t>
  </si>
  <si>
    <t>HB1117</t>
  </si>
  <si>
    <t>R01117</t>
  </si>
  <si>
    <t>DT1117</t>
  </si>
  <si>
    <t>B68AUWQYU</t>
  </si>
  <si>
    <t>C01118</t>
  </si>
  <si>
    <t>HB1118</t>
  </si>
  <si>
    <t>R01118</t>
  </si>
  <si>
    <t>DT1118</t>
  </si>
  <si>
    <t>B3SRQZW21</t>
  </si>
  <si>
    <t>C01119</t>
  </si>
  <si>
    <t>HB1119</t>
  </si>
  <si>
    <t>R01119</t>
  </si>
  <si>
    <t>DT1119</t>
  </si>
  <si>
    <t>B1Z97YTXW</t>
  </si>
  <si>
    <t>C01120</t>
  </si>
  <si>
    <t>HB1120</t>
  </si>
  <si>
    <t>R01120</t>
  </si>
  <si>
    <t>DT1120</t>
  </si>
  <si>
    <t>B7V62CUP5</t>
  </si>
  <si>
    <t>C01121</t>
  </si>
  <si>
    <t>Liam Nair</t>
  </si>
  <si>
    <t>HB1121</t>
  </si>
  <si>
    <t>R01121</t>
  </si>
  <si>
    <t>DT1121</t>
  </si>
  <si>
    <t>B36WE7GJ8</t>
  </si>
  <si>
    <t>C01122</t>
  </si>
  <si>
    <t>HB1122</t>
  </si>
  <si>
    <t>R01122</t>
  </si>
  <si>
    <t>DT1122</t>
  </si>
  <si>
    <t>BYTCDMF6E</t>
  </si>
  <si>
    <t>C01123</t>
  </si>
  <si>
    <t>HB1123</t>
  </si>
  <si>
    <t>R01123</t>
  </si>
  <si>
    <t>DT1123</t>
  </si>
  <si>
    <t>BW0NYMRIX</t>
  </si>
  <si>
    <t>C01124</t>
  </si>
  <si>
    <t>HB1124</t>
  </si>
  <si>
    <t>R01124</t>
  </si>
  <si>
    <t>DT1124</t>
  </si>
  <si>
    <t>B90ZUCED6</t>
  </si>
  <si>
    <t>C01125</t>
  </si>
  <si>
    <t>HB1125</t>
  </si>
  <si>
    <t>R01125</t>
  </si>
  <si>
    <t>DT1125</t>
  </si>
  <si>
    <t>B8U0CSWSX</t>
  </si>
  <si>
    <t>C01126</t>
  </si>
  <si>
    <t>HB1126</t>
  </si>
  <si>
    <t>R01126</t>
  </si>
  <si>
    <t>DT1126</t>
  </si>
  <si>
    <t>BKIU6BXHN</t>
  </si>
  <si>
    <t>C01127</t>
  </si>
  <si>
    <t>HB1127</t>
  </si>
  <si>
    <t>R01127</t>
  </si>
  <si>
    <t>DT1127</t>
  </si>
  <si>
    <t>BVC8OLWDT</t>
  </si>
  <si>
    <t>C01128</t>
  </si>
  <si>
    <t>HB1128</t>
  </si>
  <si>
    <t>R01128</t>
  </si>
  <si>
    <t>DT1128</t>
  </si>
  <si>
    <t>BZQAUUA8K</t>
  </si>
  <si>
    <t>C01129</t>
  </si>
  <si>
    <t>HB1129</t>
  </si>
  <si>
    <t>R01129</t>
  </si>
  <si>
    <t>DT1129</t>
  </si>
  <si>
    <t>BNA2LF4TL</t>
  </si>
  <si>
    <t>C01130</t>
  </si>
  <si>
    <t>HB1130</t>
  </si>
  <si>
    <t>R01130</t>
  </si>
  <si>
    <t>DT1130</t>
  </si>
  <si>
    <t>BDN4P0L58</t>
  </si>
  <si>
    <t>C01131</t>
  </si>
  <si>
    <t>HB1131</t>
  </si>
  <si>
    <t>R01131</t>
  </si>
  <si>
    <t>DT1131</t>
  </si>
  <si>
    <t>BAW2059ZY</t>
  </si>
  <si>
    <t>C01132</t>
  </si>
  <si>
    <t>HB1132</t>
  </si>
  <si>
    <t>R01132</t>
  </si>
  <si>
    <t>DT1132</t>
  </si>
  <si>
    <t>BE0E8GMTE</t>
  </si>
  <si>
    <t>C01133</t>
  </si>
  <si>
    <t>HB1133</t>
  </si>
  <si>
    <t>R01133</t>
  </si>
  <si>
    <t>DT1133</t>
  </si>
  <si>
    <t>B4TQSJEOP</t>
  </si>
  <si>
    <t>C01134</t>
  </si>
  <si>
    <t>HB1134</t>
  </si>
  <si>
    <t>R01134</t>
  </si>
  <si>
    <t>DT1134</t>
  </si>
  <si>
    <t>BRGJ5T2PX</t>
  </si>
  <si>
    <t>C01135</t>
  </si>
  <si>
    <t>HB1135</t>
  </si>
  <si>
    <t>R01135</t>
  </si>
  <si>
    <t>DT1135</t>
  </si>
  <si>
    <t>B8C3ZB58M</t>
  </si>
  <si>
    <t>C01136</t>
  </si>
  <si>
    <t>HB1136</t>
  </si>
  <si>
    <t>R01136</t>
  </si>
  <si>
    <t>DT1136</t>
  </si>
  <si>
    <t>B3PI6W380</t>
  </si>
  <si>
    <t>C01137</t>
  </si>
  <si>
    <t>HB1137</t>
  </si>
  <si>
    <t>R01137</t>
  </si>
  <si>
    <t>DT1137</t>
  </si>
  <si>
    <t>BXG8I41RV</t>
  </si>
  <si>
    <t>C01138</t>
  </si>
  <si>
    <t>HB1138</t>
  </si>
  <si>
    <t>R01138</t>
  </si>
  <si>
    <t>DT1138</t>
  </si>
  <si>
    <t>BPIIB2PS5</t>
  </si>
  <si>
    <t>C01139</t>
  </si>
  <si>
    <t>HB1139</t>
  </si>
  <si>
    <t>R01139</t>
  </si>
  <si>
    <t>DT1139</t>
  </si>
  <si>
    <t>BXM6AQWQ4</t>
  </si>
  <si>
    <t>C01140</t>
  </si>
  <si>
    <t>HB1140</t>
  </si>
  <si>
    <t>R01140</t>
  </si>
  <si>
    <t>DT1140</t>
  </si>
  <si>
    <t>B7375C98T</t>
  </si>
  <si>
    <t>C01141</t>
  </si>
  <si>
    <t>HB1141</t>
  </si>
  <si>
    <t>R01141</t>
  </si>
  <si>
    <t>DT1141</t>
  </si>
  <si>
    <t>BB35O0AQT</t>
  </si>
  <si>
    <t>C01142</t>
  </si>
  <si>
    <t>HB1142</t>
  </si>
  <si>
    <t>R01142</t>
  </si>
  <si>
    <t>DT1142</t>
  </si>
  <si>
    <t>BLO87TQGD</t>
  </si>
  <si>
    <t>C01143</t>
  </si>
  <si>
    <t>HB1143</t>
  </si>
  <si>
    <t>R01143</t>
  </si>
  <si>
    <t>DT1143</t>
  </si>
  <si>
    <t>BONS1NGWZ</t>
  </si>
  <si>
    <t>C01144</t>
  </si>
  <si>
    <t>HB1144</t>
  </si>
  <si>
    <t>R01144</t>
  </si>
  <si>
    <t>DT1144</t>
  </si>
  <si>
    <t>B335MR83D</t>
  </si>
  <si>
    <t>C01145</t>
  </si>
  <si>
    <t>James Sharma</t>
  </si>
  <si>
    <t>HB1145</t>
  </si>
  <si>
    <t>R01145</t>
  </si>
  <si>
    <t>DT1145</t>
  </si>
  <si>
    <t>BK4CUC6JZ</t>
  </si>
  <si>
    <t>C01146</t>
  </si>
  <si>
    <t>HB1146</t>
  </si>
  <si>
    <t>R01146</t>
  </si>
  <si>
    <t>DT1146</t>
  </si>
  <si>
    <t>BHQDR0BKN</t>
  </si>
  <si>
    <t>C01147</t>
  </si>
  <si>
    <t>HB1147</t>
  </si>
  <si>
    <t>R01147</t>
  </si>
  <si>
    <t>DT1147</t>
  </si>
  <si>
    <t>BZG9BEKGI</t>
  </si>
  <si>
    <t>C01148</t>
  </si>
  <si>
    <t>Ishaan Gupta</t>
  </si>
  <si>
    <t>HB1148</t>
  </si>
  <si>
    <t>R01148</t>
  </si>
  <si>
    <t>DT1148</t>
  </si>
  <si>
    <t>B04Y63WQ0</t>
  </si>
  <si>
    <t>C01149</t>
  </si>
  <si>
    <t>HB1149</t>
  </si>
  <si>
    <t>R01149</t>
  </si>
  <si>
    <t>DT1149</t>
  </si>
  <si>
    <t>B497U0PQW</t>
  </si>
  <si>
    <t>C01150</t>
  </si>
  <si>
    <t>HB1150</t>
  </si>
  <si>
    <t>R01150</t>
  </si>
  <si>
    <t>DT1150</t>
  </si>
  <si>
    <t>BCCWE81OB</t>
  </si>
  <si>
    <t>C01151</t>
  </si>
  <si>
    <t>HB1151</t>
  </si>
  <si>
    <t>R01151</t>
  </si>
  <si>
    <t>DT1151</t>
  </si>
  <si>
    <t>BZDH4MQWE</t>
  </si>
  <si>
    <t>C01152</t>
  </si>
  <si>
    <t>HB1152</t>
  </si>
  <si>
    <t>R01152</t>
  </si>
  <si>
    <t>DT1152</t>
  </si>
  <si>
    <t>BGJT5A1O3</t>
  </si>
  <si>
    <t>C01153</t>
  </si>
  <si>
    <t>HB1153</t>
  </si>
  <si>
    <t>R01153</t>
  </si>
  <si>
    <t>DT1153</t>
  </si>
  <si>
    <t>B8TDP1FXK</t>
  </si>
  <si>
    <t>C01154</t>
  </si>
  <si>
    <t>HB1154</t>
  </si>
  <si>
    <t>R01154</t>
  </si>
  <si>
    <t>DT1154</t>
  </si>
  <si>
    <t>BYQYEFFXJ</t>
  </si>
  <si>
    <t>C01155</t>
  </si>
  <si>
    <t>HB1155</t>
  </si>
  <si>
    <t>R01155</t>
  </si>
  <si>
    <t>DT1155</t>
  </si>
  <si>
    <t>B220KLZGW</t>
  </si>
  <si>
    <t>C01156</t>
  </si>
  <si>
    <t>HB1156</t>
  </si>
  <si>
    <t>R01156</t>
  </si>
  <si>
    <t>DT1156</t>
  </si>
  <si>
    <t>BH2DITP2X</t>
  </si>
  <si>
    <t>C01157</t>
  </si>
  <si>
    <t>HB1157</t>
  </si>
  <si>
    <t>R01157</t>
  </si>
  <si>
    <t>DT1157</t>
  </si>
  <si>
    <t>B6024P4AO</t>
  </si>
  <si>
    <t>C01158</t>
  </si>
  <si>
    <t>HB1158</t>
  </si>
  <si>
    <t>R01158</t>
  </si>
  <si>
    <t>DT1158</t>
  </si>
  <si>
    <t>BIW0JUFZM</t>
  </si>
  <si>
    <t>C01159</t>
  </si>
  <si>
    <t>HB1159</t>
  </si>
  <si>
    <t>R01159</t>
  </si>
  <si>
    <t>DT1159</t>
  </si>
  <si>
    <t>BSY3SZ50A</t>
  </si>
  <si>
    <t>C01160</t>
  </si>
  <si>
    <t>HB1160</t>
  </si>
  <si>
    <t>R01160</t>
  </si>
  <si>
    <t>DT1160</t>
  </si>
  <si>
    <t>BEDDOQSO9</t>
  </si>
  <si>
    <t>C01161</t>
  </si>
  <si>
    <t>HB1161</t>
  </si>
  <si>
    <t>R01161</t>
  </si>
  <si>
    <t>DT1161</t>
  </si>
  <si>
    <t>BL338K5O3</t>
  </si>
  <si>
    <t>C01162</t>
  </si>
  <si>
    <t>HB1162</t>
  </si>
  <si>
    <t>R01162</t>
  </si>
  <si>
    <t>DT1162</t>
  </si>
  <si>
    <t>BJ0IJLMAE</t>
  </si>
  <si>
    <t>C01163</t>
  </si>
  <si>
    <t>HB1163</t>
  </si>
  <si>
    <t>R01163</t>
  </si>
  <si>
    <t>DT1163</t>
  </si>
  <si>
    <t>B85ITSZAU</t>
  </si>
  <si>
    <t>C01164</t>
  </si>
  <si>
    <t>HB1164</t>
  </si>
  <si>
    <t>R01164</t>
  </si>
  <si>
    <t>DT1164</t>
  </si>
  <si>
    <t>B3P6VB23O</t>
  </si>
  <si>
    <t>C01165</t>
  </si>
  <si>
    <t>HB1165</t>
  </si>
  <si>
    <t>R01165</t>
  </si>
  <si>
    <t>DT1165</t>
  </si>
  <si>
    <t>BYAA8XRL4</t>
  </si>
  <si>
    <t>C01166</t>
  </si>
  <si>
    <t>James Verma</t>
  </si>
  <si>
    <t>HB1166</t>
  </si>
  <si>
    <t>R01166</t>
  </si>
  <si>
    <t>DT1166</t>
  </si>
  <si>
    <t>BHLGEMJ9P</t>
  </si>
  <si>
    <t>C01167</t>
  </si>
  <si>
    <t>HB1167</t>
  </si>
  <si>
    <t>R01167</t>
  </si>
  <si>
    <t>DT1167</t>
  </si>
  <si>
    <t>BKAWJGEWJ</t>
  </si>
  <si>
    <t>C01168</t>
  </si>
  <si>
    <t>HB1168</t>
  </si>
  <si>
    <t>R01168</t>
  </si>
  <si>
    <t>DT1168</t>
  </si>
  <si>
    <t>B9FO80X25</t>
  </si>
  <si>
    <t>C01169</t>
  </si>
  <si>
    <t>HB1169</t>
  </si>
  <si>
    <t>R01169</t>
  </si>
  <si>
    <t>DT1169</t>
  </si>
  <si>
    <t>BA830BF9S</t>
  </si>
  <si>
    <t>C01170</t>
  </si>
  <si>
    <t>HB1170</t>
  </si>
  <si>
    <t>R01170</t>
  </si>
  <si>
    <t>DT1170</t>
  </si>
  <si>
    <t>B5STDOY76</t>
  </si>
  <si>
    <t>C01171</t>
  </si>
  <si>
    <t>HB1171</t>
  </si>
  <si>
    <t>R01171</t>
  </si>
  <si>
    <t>DT1171</t>
  </si>
  <si>
    <t>BDJ8D37IQ</t>
  </si>
  <si>
    <t>C01172</t>
  </si>
  <si>
    <t>HB1172</t>
  </si>
  <si>
    <t>R01172</t>
  </si>
  <si>
    <t>DT1172</t>
  </si>
  <si>
    <t>BBXK25PWI</t>
  </si>
  <si>
    <t>C01173</t>
  </si>
  <si>
    <t>HB1173</t>
  </si>
  <si>
    <t>R01173</t>
  </si>
  <si>
    <t>DT1173</t>
  </si>
  <si>
    <t>BDMV05G3U</t>
  </si>
  <si>
    <t>C01174</t>
  </si>
  <si>
    <t>HB1174</t>
  </si>
  <si>
    <t>R01174</t>
  </si>
  <si>
    <t>DT1174</t>
  </si>
  <si>
    <t>BJY46SRUM</t>
  </si>
  <si>
    <t>C01175</t>
  </si>
  <si>
    <t>Oliver Mehta</t>
  </si>
  <si>
    <t>HB1175</t>
  </si>
  <si>
    <t>R01175</t>
  </si>
  <si>
    <t>DT1175</t>
  </si>
  <si>
    <t>BQ1BCTKAZ</t>
  </si>
  <si>
    <t>C01176</t>
  </si>
  <si>
    <t>HB1176</t>
  </si>
  <si>
    <t>R01176</t>
  </si>
  <si>
    <t>DT1176</t>
  </si>
  <si>
    <t>BDL9U16KQ</t>
  </si>
  <si>
    <t>C01177</t>
  </si>
  <si>
    <t>HB1177</t>
  </si>
  <si>
    <t>R01177</t>
  </si>
  <si>
    <t>DT1177</t>
  </si>
  <si>
    <t>B701PMPYD</t>
  </si>
  <si>
    <t>C01178</t>
  </si>
  <si>
    <t>HB1178</t>
  </si>
  <si>
    <t>R01178</t>
  </si>
  <si>
    <t>DT1178</t>
  </si>
  <si>
    <t>BVN5L6ESK</t>
  </si>
  <si>
    <t>C01179</t>
  </si>
  <si>
    <t>Ritika Verma</t>
  </si>
  <si>
    <t>HB1179</t>
  </si>
  <si>
    <t>R01179</t>
  </si>
  <si>
    <t>DT1179</t>
  </si>
  <si>
    <t>BDECF77SY</t>
  </si>
  <si>
    <t>C01180</t>
  </si>
  <si>
    <t>HB1180</t>
  </si>
  <si>
    <t>R01180</t>
  </si>
  <si>
    <t>DT1180</t>
  </si>
  <si>
    <t>BBCQKJU9Y</t>
  </si>
  <si>
    <t>C01181</t>
  </si>
  <si>
    <t>HB1181</t>
  </si>
  <si>
    <t>R01181</t>
  </si>
  <si>
    <t>DT1181</t>
  </si>
  <si>
    <t>B0GLYF4RA</t>
  </si>
  <si>
    <t>C01182</t>
  </si>
  <si>
    <t>HB1182</t>
  </si>
  <si>
    <t>R01182</t>
  </si>
  <si>
    <t>DT1182</t>
  </si>
  <si>
    <t>BJGYFJYYC</t>
  </si>
  <si>
    <t>C01183</t>
  </si>
  <si>
    <t>HB1183</t>
  </si>
  <si>
    <t>R01183</t>
  </si>
  <si>
    <t>DT1183</t>
  </si>
  <si>
    <t>B7A1GQE1I</t>
  </si>
  <si>
    <t>C01184</t>
  </si>
  <si>
    <t>HB1184</t>
  </si>
  <si>
    <t>R01184</t>
  </si>
  <si>
    <t>DT1184</t>
  </si>
  <si>
    <t>BH91JIPM6</t>
  </si>
  <si>
    <t>C01185</t>
  </si>
  <si>
    <t>HB1185</t>
  </si>
  <si>
    <t>R01185</t>
  </si>
  <si>
    <t>DT1185</t>
  </si>
  <si>
    <t>BS8UK7FSP</t>
  </si>
  <si>
    <t>C01186</t>
  </si>
  <si>
    <t>HB1186</t>
  </si>
  <si>
    <t>R01186</t>
  </si>
  <si>
    <t>DT1186</t>
  </si>
  <si>
    <t>B3QBKLM6W</t>
  </si>
  <si>
    <t>C01187</t>
  </si>
  <si>
    <t>HB1187</t>
  </si>
  <si>
    <t>R01187</t>
  </si>
  <si>
    <t>DT1187</t>
  </si>
  <si>
    <t>BISAYAWVT</t>
  </si>
  <si>
    <t>C01188</t>
  </si>
  <si>
    <t>HB1188</t>
  </si>
  <si>
    <t>R01188</t>
  </si>
  <si>
    <t>DT1188</t>
  </si>
  <si>
    <t>BVF8ESDWH</t>
  </si>
  <si>
    <t>C01189</t>
  </si>
  <si>
    <t>HB1189</t>
  </si>
  <si>
    <t>R01189</t>
  </si>
  <si>
    <t>DT1189</t>
  </si>
  <si>
    <t>BJJ654SU7</t>
  </si>
  <si>
    <t>C01190</t>
  </si>
  <si>
    <t>HB1190</t>
  </si>
  <si>
    <t>R01190</t>
  </si>
  <si>
    <t>DT1190</t>
  </si>
  <si>
    <t>BH8ES0P4O</t>
  </si>
  <si>
    <t>C01191</t>
  </si>
  <si>
    <t>HB1191</t>
  </si>
  <si>
    <t>R01191</t>
  </si>
  <si>
    <t>DT1191</t>
  </si>
  <si>
    <t>BII7YZYG2</t>
  </si>
  <si>
    <t>C01192</t>
  </si>
  <si>
    <t>Ishaan Nair</t>
  </si>
  <si>
    <t>HB1192</t>
  </si>
  <si>
    <t>R01192</t>
  </si>
  <si>
    <t>DT1192</t>
  </si>
  <si>
    <t>B5967W921</t>
  </si>
  <si>
    <t>C01193</t>
  </si>
  <si>
    <t>HB1193</t>
  </si>
  <si>
    <t>R01193</t>
  </si>
  <si>
    <t>DT1193</t>
  </si>
  <si>
    <t>B4NBH944F</t>
  </si>
  <si>
    <t>C01194</t>
  </si>
  <si>
    <t>HB1194</t>
  </si>
  <si>
    <t>R01194</t>
  </si>
  <si>
    <t>DT1194</t>
  </si>
  <si>
    <t>BR80N18MS</t>
  </si>
  <si>
    <t>C01195</t>
  </si>
  <si>
    <t>HB1195</t>
  </si>
  <si>
    <t>R01195</t>
  </si>
  <si>
    <t>DT1195</t>
  </si>
  <si>
    <t>BH1VBI09V</t>
  </si>
  <si>
    <t>C01196</t>
  </si>
  <si>
    <t>HB1196</t>
  </si>
  <si>
    <t>R01196</t>
  </si>
  <si>
    <t>DT1196</t>
  </si>
  <si>
    <t>BNDWQ0SFY</t>
  </si>
  <si>
    <t>C01197</t>
  </si>
  <si>
    <t>HB1197</t>
  </si>
  <si>
    <t>R01197</t>
  </si>
  <si>
    <t>DT1197</t>
  </si>
  <si>
    <t>BMFX1LEQI</t>
  </si>
  <si>
    <t>C01198</t>
  </si>
  <si>
    <t>HB1198</t>
  </si>
  <si>
    <t>R01198</t>
  </si>
  <si>
    <t>DT1198</t>
  </si>
  <si>
    <t>BLOQKIE6Q</t>
  </si>
  <si>
    <t>C01199</t>
  </si>
  <si>
    <t>HB1199</t>
  </si>
  <si>
    <t>R01199</t>
  </si>
  <si>
    <t>DT1199</t>
  </si>
  <si>
    <t>BWS4ZBAFK</t>
  </si>
  <si>
    <t>C01200</t>
  </si>
  <si>
    <t>HB1200</t>
  </si>
  <si>
    <t>R01200</t>
  </si>
  <si>
    <t>DT1200</t>
  </si>
  <si>
    <t>B6R92Z2A3</t>
  </si>
  <si>
    <t>C01201</t>
  </si>
  <si>
    <t>HB1201</t>
  </si>
  <si>
    <t>R01201</t>
  </si>
  <si>
    <t>DT1201</t>
  </si>
  <si>
    <t>B1JD7PHFZ</t>
  </si>
  <si>
    <t>C01202</t>
  </si>
  <si>
    <t>HB1202</t>
  </si>
  <si>
    <t>R01202</t>
  </si>
  <si>
    <t>DT1202</t>
  </si>
  <si>
    <t>BDWRN4UIY</t>
  </si>
  <si>
    <t>C01203</t>
  </si>
  <si>
    <t>HB1203</t>
  </si>
  <si>
    <t>R01203</t>
  </si>
  <si>
    <t>DT1203</t>
  </si>
  <si>
    <t>B5ZUTHUWP</t>
  </si>
  <si>
    <t>C01204</t>
  </si>
  <si>
    <t>HB1204</t>
  </si>
  <si>
    <t>R01204</t>
  </si>
  <si>
    <t>DT1204</t>
  </si>
  <si>
    <t>BCNCUJOBX</t>
  </si>
  <si>
    <t>C01205</t>
  </si>
  <si>
    <t>HB1205</t>
  </si>
  <si>
    <t>R01205</t>
  </si>
  <si>
    <t>DT1205</t>
  </si>
  <si>
    <t>BTCDJF2GM</t>
  </si>
  <si>
    <t>C01206</t>
  </si>
  <si>
    <t>HB1206</t>
  </si>
  <si>
    <t>R01206</t>
  </si>
  <si>
    <t>DT1206</t>
  </si>
  <si>
    <t>BGIEXR92R</t>
  </si>
  <si>
    <t>C01207</t>
  </si>
  <si>
    <t>HB1207</t>
  </si>
  <si>
    <t>R01207</t>
  </si>
  <si>
    <t>DT1207</t>
  </si>
  <si>
    <t>BI5ZHCN8I</t>
  </si>
  <si>
    <t>C01208</t>
  </si>
  <si>
    <t>HB1208</t>
  </si>
  <si>
    <t>R01208</t>
  </si>
  <si>
    <t>DT1208</t>
  </si>
  <si>
    <t>BDUZOMZKO</t>
  </si>
  <si>
    <t>C01209</t>
  </si>
  <si>
    <t>Henry Khan</t>
  </si>
  <si>
    <t>HB1209</t>
  </si>
  <si>
    <t>R01209</t>
  </si>
  <si>
    <t>DT1209</t>
  </si>
  <si>
    <t>BYTPWSDZ1</t>
  </si>
  <si>
    <t>C01210</t>
  </si>
  <si>
    <t>HB1210</t>
  </si>
  <si>
    <t>R01210</t>
  </si>
  <si>
    <t>DT1210</t>
  </si>
  <si>
    <t>BL1V696DA</t>
  </si>
  <si>
    <t>C01211</t>
  </si>
  <si>
    <t>HB1211</t>
  </si>
  <si>
    <t>R01211</t>
  </si>
  <si>
    <t>DT1211</t>
  </si>
  <si>
    <t>BHXCTYB6G</t>
  </si>
  <si>
    <t>C01212</t>
  </si>
  <si>
    <t>HB1212</t>
  </si>
  <si>
    <t>R01212</t>
  </si>
  <si>
    <t>DT1212</t>
  </si>
  <si>
    <t>BX5JY0KKR</t>
  </si>
  <si>
    <t>C01213</t>
  </si>
  <si>
    <t>HB1213</t>
  </si>
  <si>
    <t>R01213</t>
  </si>
  <si>
    <t>DT1213</t>
  </si>
  <si>
    <t>B7CLOONUU</t>
  </si>
  <si>
    <t>C01214</t>
  </si>
  <si>
    <t>HB1214</t>
  </si>
  <si>
    <t>R01214</t>
  </si>
  <si>
    <t>DT1214</t>
  </si>
  <si>
    <t>B5GN3E9V6</t>
  </si>
  <si>
    <t>C01215</t>
  </si>
  <si>
    <t>HB1215</t>
  </si>
  <si>
    <t>R01215</t>
  </si>
  <si>
    <t>DT1215</t>
  </si>
  <si>
    <t>B9GCFOL6Z</t>
  </si>
  <si>
    <t>C01216</t>
  </si>
  <si>
    <t>HB1216</t>
  </si>
  <si>
    <t>R01216</t>
  </si>
  <si>
    <t>DT1216</t>
  </si>
  <si>
    <t>BGL4DHLE8</t>
  </si>
  <si>
    <t>C01217</t>
  </si>
  <si>
    <t>HB1217</t>
  </si>
  <si>
    <t>R01217</t>
  </si>
  <si>
    <t>DT1217</t>
  </si>
  <si>
    <t>BJ0DG5EBI</t>
  </si>
  <si>
    <t>C01218</t>
  </si>
  <si>
    <t>HB1218</t>
  </si>
  <si>
    <t>R01218</t>
  </si>
  <si>
    <t>DT1218</t>
  </si>
  <si>
    <t>BXP2QHGDG</t>
  </si>
  <si>
    <t>C01219</t>
  </si>
  <si>
    <t>HB1219</t>
  </si>
  <si>
    <t>R01219</t>
  </si>
  <si>
    <t>DT1219</t>
  </si>
  <si>
    <t>B5Y8JE0DV</t>
  </si>
  <si>
    <t>C01220</t>
  </si>
  <si>
    <t>HB1220</t>
  </si>
  <si>
    <t>R01220</t>
  </si>
  <si>
    <t>DT1220</t>
  </si>
  <si>
    <t>BFS990M2M</t>
  </si>
  <si>
    <t>C01221</t>
  </si>
  <si>
    <t>HB1221</t>
  </si>
  <si>
    <t>R01221</t>
  </si>
  <si>
    <t>DT1221</t>
  </si>
  <si>
    <t>BYB5BQ5TZ</t>
  </si>
  <si>
    <t>C01222</t>
  </si>
  <si>
    <t>HB1222</t>
  </si>
  <si>
    <t>R01222</t>
  </si>
  <si>
    <t>DT1222</t>
  </si>
  <si>
    <t>BB6MIZEF1</t>
  </si>
  <si>
    <t>C01223</t>
  </si>
  <si>
    <t>HB1223</t>
  </si>
  <si>
    <t>R01223</t>
  </si>
  <si>
    <t>DT1223</t>
  </si>
  <si>
    <t>BIAUTL2QP</t>
  </si>
  <si>
    <t>C01224</t>
  </si>
  <si>
    <t>HB1224</t>
  </si>
  <si>
    <t>R01224</t>
  </si>
  <si>
    <t>DT1224</t>
  </si>
  <si>
    <t>BLCHAPOR7</t>
  </si>
  <si>
    <t>C01225</t>
  </si>
  <si>
    <t>HB1225</t>
  </si>
  <si>
    <t>R01225</t>
  </si>
  <si>
    <t>DT1225</t>
  </si>
  <si>
    <t>BW0RJAOKY</t>
  </si>
  <si>
    <t>C01226</t>
  </si>
  <si>
    <t>HB1226</t>
  </si>
  <si>
    <t>R01226</t>
  </si>
  <si>
    <t>DT1226</t>
  </si>
  <si>
    <t>BNA30KK9J</t>
  </si>
  <si>
    <t>C01227</t>
  </si>
  <si>
    <t>HB1227</t>
  </si>
  <si>
    <t>R01227</t>
  </si>
  <si>
    <t>DT1227</t>
  </si>
  <si>
    <t>BIMCX159W</t>
  </si>
  <si>
    <t>C01228</t>
  </si>
  <si>
    <t>HB1228</t>
  </si>
  <si>
    <t>R01228</t>
  </si>
  <si>
    <t>DT1228</t>
  </si>
  <si>
    <t>BRX2JMZRV</t>
  </si>
  <si>
    <t>C01229</t>
  </si>
  <si>
    <t>HB1229</t>
  </si>
  <si>
    <t>R01229</t>
  </si>
  <si>
    <t>DT1229</t>
  </si>
  <si>
    <t>BO7C5QVO1</t>
  </si>
  <si>
    <t>C01230</t>
  </si>
  <si>
    <t>HB1230</t>
  </si>
  <si>
    <t>R01230</t>
  </si>
  <si>
    <t>DT1230</t>
  </si>
  <si>
    <t>BHRVRTSCZ</t>
  </si>
  <si>
    <t>C01231</t>
  </si>
  <si>
    <t>Ritika Nair</t>
  </si>
  <si>
    <t>HB1231</t>
  </si>
  <si>
    <t>R01231</t>
  </si>
  <si>
    <t>DT1231</t>
  </si>
  <si>
    <t>BTKKR2DX9</t>
  </si>
  <si>
    <t>C01232</t>
  </si>
  <si>
    <t>HB1232</t>
  </si>
  <si>
    <t>R01232</t>
  </si>
  <si>
    <t>DT1232</t>
  </si>
  <si>
    <t>BB120TSGT</t>
  </si>
  <si>
    <t>C01233</t>
  </si>
  <si>
    <t>HB1233</t>
  </si>
  <si>
    <t>R01233</t>
  </si>
  <si>
    <t>DT1233</t>
  </si>
  <si>
    <t>BC80LNRBD</t>
  </si>
  <si>
    <t>C01234</t>
  </si>
  <si>
    <t>HB1234</t>
  </si>
  <si>
    <t>R01234</t>
  </si>
  <si>
    <t>DT1234</t>
  </si>
  <si>
    <t>B9VAUJIDZ</t>
  </si>
  <si>
    <t>C01235</t>
  </si>
  <si>
    <t>HB1235</t>
  </si>
  <si>
    <t>R01235</t>
  </si>
  <si>
    <t>DT1235</t>
  </si>
  <si>
    <t>BIMZTSH2I</t>
  </si>
  <si>
    <t>C01236</t>
  </si>
  <si>
    <t>HB1236</t>
  </si>
  <si>
    <t>R01236</t>
  </si>
  <si>
    <t>DT1236</t>
  </si>
  <si>
    <t>BS7W073PL</t>
  </si>
  <si>
    <t>C01237</t>
  </si>
  <si>
    <t>HB1237</t>
  </si>
  <si>
    <t>R01237</t>
  </si>
  <si>
    <t>DT1237</t>
  </si>
  <si>
    <t>B7AA60O4Q</t>
  </si>
  <si>
    <t>C01238</t>
  </si>
  <si>
    <t>HB1238</t>
  </si>
  <si>
    <t>R01238</t>
  </si>
  <si>
    <t>DT1238</t>
  </si>
  <si>
    <t>B6O98Z2MF</t>
  </si>
  <si>
    <t>C01239</t>
  </si>
  <si>
    <t>HB1239</t>
  </si>
  <si>
    <t>R01239</t>
  </si>
  <si>
    <t>DT1239</t>
  </si>
  <si>
    <t>B3UNHHLV6</t>
  </si>
  <si>
    <t>C01240</t>
  </si>
  <si>
    <t>HB1240</t>
  </si>
  <si>
    <t>R01240</t>
  </si>
  <si>
    <t>DT1240</t>
  </si>
  <si>
    <t>BE1GTDY1R</t>
  </si>
  <si>
    <t>C01241</t>
  </si>
  <si>
    <t>HB1241</t>
  </si>
  <si>
    <t>R01241</t>
  </si>
  <si>
    <t>DT1241</t>
  </si>
  <si>
    <t>B96JE0AT4</t>
  </si>
  <si>
    <t>C01242</t>
  </si>
  <si>
    <t>HB1242</t>
  </si>
  <si>
    <t>R01242</t>
  </si>
  <si>
    <t>DT1242</t>
  </si>
  <si>
    <t>BRG4KW48H</t>
  </si>
  <si>
    <t>C01243</t>
  </si>
  <si>
    <t>HB1243</t>
  </si>
  <si>
    <t>R01243</t>
  </si>
  <si>
    <t>DT1243</t>
  </si>
  <si>
    <t>B7GZY58ET</t>
  </si>
  <si>
    <t>C01244</t>
  </si>
  <si>
    <t>HB1244</t>
  </si>
  <si>
    <t>R01244</t>
  </si>
  <si>
    <t>DT1244</t>
  </si>
  <si>
    <t>BX9CCV23J</t>
  </si>
  <si>
    <t>C01245</t>
  </si>
  <si>
    <t>HB1245</t>
  </si>
  <si>
    <t>R01245</t>
  </si>
  <si>
    <t>DT1245</t>
  </si>
  <si>
    <t>BIA1NJ0C2</t>
  </si>
  <si>
    <t>C01246</t>
  </si>
  <si>
    <t>Elijah Verma</t>
  </si>
  <si>
    <t>HB1246</t>
  </si>
  <si>
    <t>R01246</t>
  </si>
  <si>
    <t>DT1246</t>
  </si>
  <si>
    <t>BAB1SXAQI</t>
  </si>
  <si>
    <t>C01247</t>
  </si>
  <si>
    <t>HB1247</t>
  </si>
  <si>
    <t>R01247</t>
  </si>
  <si>
    <t>DT1247</t>
  </si>
  <si>
    <t>BBORQFBCK</t>
  </si>
  <si>
    <t>C01248</t>
  </si>
  <si>
    <t>HB1248</t>
  </si>
  <si>
    <t>R01248</t>
  </si>
  <si>
    <t>DT1248</t>
  </si>
  <si>
    <t>BGW8X3KDD</t>
  </si>
  <si>
    <t>C01249</t>
  </si>
  <si>
    <t>HB1249</t>
  </si>
  <si>
    <t>R01249</t>
  </si>
  <si>
    <t>DT1249</t>
  </si>
  <si>
    <t>B14QANYXF</t>
  </si>
  <si>
    <t>C01250</t>
  </si>
  <si>
    <t>HB1250</t>
  </si>
  <si>
    <t>R01250</t>
  </si>
  <si>
    <t>DT1250</t>
  </si>
  <si>
    <t>BC5WBQALH</t>
  </si>
  <si>
    <t>C01251</t>
  </si>
  <si>
    <t>Siddharth Gupta</t>
  </si>
  <si>
    <t>HB1251</t>
  </si>
  <si>
    <t>R01251</t>
  </si>
  <si>
    <t>DT1251</t>
  </si>
  <si>
    <t>BTQ0HIZO2</t>
  </si>
  <si>
    <t>C01252</t>
  </si>
  <si>
    <t>HB1252</t>
  </si>
  <si>
    <t>R01252</t>
  </si>
  <si>
    <t>DT1252</t>
  </si>
  <si>
    <t>B6IAJ8JR7</t>
  </si>
  <si>
    <t>C01253</t>
  </si>
  <si>
    <t>HB1253</t>
  </si>
  <si>
    <t>R01253</t>
  </si>
  <si>
    <t>DT1253</t>
  </si>
  <si>
    <t>BZCVDB6YA</t>
  </si>
  <si>
    <t>C01254</t>
  </si>
  <si>
    <t>HB1254</t>
  </si>
  <si>
    <t>R01254</t>
  </si>
  <si>
    <t>DT1254</t>
  </si>
  <si>
    <t>BV23BUOA0</t>
  </si>
  <si>
    <t>C01255</t>
  </si>
  <si>
    <t>HB1255</t>
  </si>
  <si>
    <t>R01255</t>
  </si>
  <si>
    <t>DT1255</t>
  </si>
  <si>
    <t>BFGQOMMY4</t>
  </si>
  <si>
    <t>C01256</t>
  </si>
  <si>
    <t>HB1256</t>
  </si>
  <si>
    <t>R01256</t>
  </si>
  <si>
    <t>DT1256</t>
  </si>
  <si>
    <t>BFMZ3LK41</t>
  </si>
  <si>
    <t>C01257</t>
  </si>
  <si>
    <t>HB1257</t>
  </si>
  <si>
    <t>R01257</t>
  </si>
  <si>
    <t>DT1257</t>
  </si>
  <si>
    <t>BVQYGA6IL</t>
  </si>
  <si>
    <t>C01258</t>
  </si>
  <si>
    <t>HB1258</t>
  </si>
  <si>
    <t>R01258</t>
  </si>
  <si>
    <t>DT1258</t>
  </si>
  <si>
    <t>BSZHFICRX</t>
  </si>
  <si>
    <t>C01259</t>
  </si>
  <si>
    <t>HB1259</t>
  </si>
  <si>
    <t>R01259</t>
  </si>
  <si>
    <t>DT1259</t>
  </si>
  <si>
    <t>BC18LTSQ2</t>
  </si>
  <si>
    <t>C01260</t>
  </si>
  <si>
    <t>Gaurav Mehta</t>
  </si>
  <si>
    <t>HB1260</t>
  </si>
  <si>
    <t>R01260</t>
  </si>
  <si>
    <t>DT1260</t>
  </si>
  <si>
    <t>BRWXZ1797</t>
  </si>
  <si>
    <t>C01261</t>
  </si>
  <si>
    <t>HB1261</t>
  </si>
  <si>
    <t>R01261</t>
  </si>
  <si>
    <t>DT1261</t>
  </si>
  <si>
    <t>BOQEALLC7</t>
  </si>
  <si>
    <t>C01262</t>
  </si>
  <si>
    <t>HB1262</t>
  </si>
  <si>
    <t>R01262</t>
  </si>
  <si>
    <t>DT1262</t>
  </si>
  <si>
    <t>BWES2VNDN</t>
  </si>
  <si>
    <t>C01263</t>
  </si>
  <si>
    <t>HB1263</t>
  </si>
  <si>
    <t>R01263</t>
  </si>
  <si>
    <t>DT1263</t>
  </si>
  <si>
    <t>B6305SXMO</t>
  </si>
  <si>
    <t>C01264</t>
  </si>
  <si>
    <t>HB1264</t>
  </si>
  <si>
    <t>R01264</t>
  </si>
  <si>
    <t>DT1264</t>
  </si>
  <si>
    <t>B2O1RVMI1</t>
  </si>
  <si>
    <t>C01265</t>
  </si>
  <si>
    <t>HB1265</t>
  </si>
  <si>
    <t>R01265</t>
  </si>
  <si>
    <t>DT1265</t>
  </si>
  <si>
    <t>BD0YXGZB3</t>
  </si>
  <si>
    <t>C01266</t>
  </si>
  <si>
    <t>HB1266</t>
  </si>
  <si>
    <t>R01266</t>
  </si>
  <si>
    <t>DT1266</t>
  </si>
  <si>
    <t>BIB94SU3C</t>
  </si>
  <si>
    <t>C01267</t>
  </si>
  <si>
    <t>HB1267</t>
  </si>
  <si>
    <t>R01267</t>
  </si>
  <si>
    <t>DT1267</t>
  </si>
  <si>
    <t>BXK9H32SN</t>
  </si>
  <si>
    <t>C01268</t>
  </si>
  <si>
    <t>HB1268</t>
  </si>
  <si>
    <t>R01268</t>
  </si>
  <si>
    <t>DT1268</t>
  </si>
  <si>
    <t>BYKKWDD9F</t>
  </si>
  <si>
    <t>C01269</t>
  </si>
  <si>
    <t>HB1269</t>
  </si>
  <si>
    <t>R01269</t>
  </si>
  <si>
    <t>DT1269</t>
  </si>
  <si>
    <t>BX27KA6O1</t>
  </si>
  <si>
    <t>C01270</t>
  </si>
  <si>
    <t>HB1270</t>
  </si>
  <si>
    <t>R01270</t>
  </si>
  <si>
    <t>DT1270</t>
  </si>
  <si>
    <t>BTDD5671K</t>
  </si>
  <si>
    <t>C01271</t>
  </si>
  <si>
    <t>HB1271</t>
  </si>
  <si>
    <t>R01271</t>
  </si>
  <si>
    <t>DT1271</t>
  </si>
  <si>
    <t>BXSLKGFZ9</t>
  </si>
  <si>
    <t>C01272</t>
  </si>
  <si>
    <t>HB1272</t>
  </si>
  <si>
    <t>R01272</t>
  </si>
  <si>
    <t>DT1272</t>
  </si>
  <si>
    <t>BMQG03JJ5</t>
  </si>
  <si>
    <t>C01273</t>
  </si>
  <si>
    <t>HB1273</t>
  </si>
  <si>
    <t>R01273</t>
  </si>
  <si>
    <t>DT1273</t>
  </si>
  <si>
    <t>B48GO0K4R</t>
  </si>
  <si>
    <t>C01274</t>
  </si>
  <si>
    <t>HB1274</t>
  </si>
  <si>
    <t>R01274</t>
  </si>
  <si>
    <t>DT1274</t>
  </si>
  <si>
    <t>BGI9MYUQ9</t>
  </si>
  <si>
    <t>C01275</t>
  </si>
  <si>
    <t>HB1275</t>
  </si>
  <si>
    <t>R01275</t>
  </si>
  <si>
    <t>DT1275</t>
  </si>
  <si>
    <t>BMG9QQXXA</t>
  </si>
  <si>
    <t>C01276</t>
  </si>
  <si>
    <t>HB1276</t>
  </si>
  <si>
    <t>R01276</t>
  </si>
  <si>
    <t>DT1276</t>
  </si>
  <si>
    <t>BTRYRMF24</t>
  </si>
  <si>
    <t>C01277</t>
  </si>
  <si>
    <t>HB1277</t>
  </si>
  <si>
    <t>R01277</t>
  </si>
  <si>
    <t>DT1277</t>
  </si>
  <si>
    <t>BE7BI3RHK</t>
  </si>
  <si>
    <t>C01278</t>
  </si>
  <si>
    <t>HB1278</t>
  </si>
  <si>
    <t>R01278</t>
  </si>
  <si>
    <t>DT1278</t>
  </si>
  <si>
    <t>BIHNUXG5S</t>
  </si>
  <si>
    <t>C01279</t>
  </si>
  <si>
    <t>HB1279</t>
  </si>
  <si>
    <t>R01279</t>
  </si>
  <si>
    <t>DT1279</t>
  </si>
  <si>
    <t>B4Z6KLLZV</t>
  </si>
  <si>
    <t>C01280</t>
  </si>
  <si>
    <t>HB1280</t>
  </si>
  <si>
    <t>R01280</t>
  </si>
  <si>
    <t>DT1280</t>
  </si>
  <si>
    <t>BHSTXD8OI</t>
  </si>
  <si>
    <t>C01281</t>
  </si>
  <si>
    <t>HB1281</t>
  </si>
  <si>
    <t>R01281</t>
  </si>
  <si>
    <t>DT1281</t>
  </si>
  <si>
    <t>BGVQAM9YE</t>
  </si>
  <si>
    <t>C01282</t>
  </si>
  <si>
    <t>HB1282</t>
  </si>
  <si>
    <t>R01282</t>
  </si>
  <si>
    <t>DT1282</t>
  </si>
  <si>
    <t>BM97PY2Z9</t>
  </si>
  <si>
    <t>C01283</t>
  </si>
  <si>
    <t>HB1283</t>
  </si>
  <si>
    <t>R01283</t>
  </si>
  <si>
    <t>DT1283</t>
  </si>
  <si>
    <t>BO3HKVPLM</t>
  </si>
  <si>
    <t>C01284</t>
  </si>
  <si>
    <t>HB1284</t>
  </si>
  <si>
    <t>R01284</t>
  </si>
  <si>
    <t>DT1284</t>
  </si>
  <si>
    <t>BBUQ93YPG</t>
  </si>
  <si>
    <t>C01285</t>
  </si>
  <si>
    <t>HB1285</t>
  </si>
  <si>
    <t>R01285</t>
  </si>
  <si>
    <t>DT1285</t>
  </si>
  <si>
    <t>B24U0HVNF</t>
  </si>
  <si>
    <t>C01286</t>
  </si>
  <si>
    <t>HB1286</t>
  </si>
  <si>
    <t>R01286</t>
  </si>
  <si>
    <t>DT1286</t>
  </si>
  <si>
    <t>BWSI1COXP</t>
  </si>
  <si>
    <t>C01287</t>
  </si>
  <si>
    <t>HB1287</t>
  </si>
  <si>
    <t>R01287</t>
  </si>
  <si>
    <t>DT1287</t>
  </si>
  <si>
    <t>BQT9OJ4X9</t>
  </si>
  <si>
    <t>C01288</t>
  </si>
  <si>
    <t>HB1288</t>
  </si>
  <si>
    <t>R01288</t>
  </si>
  <si>
    <t>DT1288</t>
  </si>
  <si>
    <t>BZMZUQ8A1</t>
  </si>
  <si>
    <t>C01289</t>
  </si>
  <si>
    <t>HB1289</t>
  </si>
  <si>
    <t>R01289</t>
  </si>
  <si>
    <t>DT1289</t>
  </si>
  <si>
    <t>B46KOLFPB</t>
  </si>
  <si>
    <t>C01290</t>
  </si>
  <si>
    <t>HB1290</t>
  </si>
  <si>
    <t>R01290</t>
  </si>
  <si>
    <t>DT1290</t>
  </si>
  <si>
    <t>BXBE0MYID</t>
  </si>
  <si>
    <t>C01291</t>
  </si>
  <si>
    <t>HB1291</t>
  </si>
  <si>
    <t>R01291</t>
  </si>
  <si>
    <t>DT1291</t>
  </si>
  <si>
    <t>B68TMYU08</t>
  </si>
  <si>
    <t>C01292</t>
  </si>
  <si>
    <t>Noah Joshi</t>
  </si>
  <si>
    <t>HB1292</t>
  </si>
  <si>
    <t>R01292</t>
  </si>
  <si>
    <t>DT1292</t>
  </si>
  <si>
    <t>BAPPB710M</t>
  </si>
  <si>
    <t>C01293</t>
  </si>
  <si>
    <t>HB1293</t>
  </si>
  <si>
    <t>R01293</t>
  </si>
  <si>
    <t>DT1293</t>
  </si>
  <si>
    <t>B0THM4KT6</t>
  </si>
  <si>
    <t>C01294</t>
  </si>
  <si>
    <t>HB1294</t>
  </si>
  <si>
    <t>R01294</t>
  </si>
  <si>
    <t>DT1294</t>
  </si>
  <si>
    <t>BCGFKNM6H</t>
  </si>
  <si>
    <t>C01295</t>
  </si>
  <si>
    <t>HB1295</t>
  </si>
  <si>
    <t>R01295</t>
  </si>
  <si>
    <t>DT1295</t>
  </si>
  <si>
    <t>BND492TCL</t>
  </si>
  <si>
    <t>C01296</t>
  </si>
  <si>
    <t>HB1296</t>
  </si>
  <si>
    <t>R01296</t>
  </si>
  <si>
    <t>DT1296</t>
  </si>
  <si>
    <t>BRB2UJENV</t>
  </si>
  <si>
    <t>C01297</t>
  </si>
  <si>
    <t>HB1297</t>
  </si>
  <si>
    <t>R01297</t>
  </si>
  <si>
    <t>DT1297</t>
  </si>
  <si>
    <t>BM7O9PVIE</t>
  </si>
  <si>
    <t>C01298</t>
  </si>
  <si>
    <t>HB1298</t>
  </si>
  <si>
    <t>R01298</t>
  </si>
  <si>
    <t>DT1298</t>
  </si>
  <si>
    <t>B5UHNA27Y</t>
  </si>
  <si>
    <t>C01299</t>
  </si>
  <si>
    <t>HB1299</t>
  </si>
  <si>
    <t>R01299</t>
  </si>
  <si>
    <t>DT1299</t>
  </si>
  <si>
    <t>B5TQSYQQT</t>
  </si>
  <si>
    <t>C01300</t>
  </si>
  <si>
    <t>HB1300</t>
  </si>
  <si>
    <t>R01300</t>
  </si>
  <si>
    <t>DT1300</t>
  </si>
  <si>
    <t>BMLLOY0HH</t>
  </si>
  <si>
    <t>C01301</t>
  </si>
  <si>
    <t>HB1301</t>
  </si>
  <si>
    <t>R01301</t>
  </si>
  <si>
    <t>DT1301</t>
  </si>
  <si>
    <t>B68GCR08T</t>
  </si>
  <si>
    <t>C01302</t>
  </si>
  <si>
    <t>HB1302</t>
  </si>
  <si>
    <t>R01302</t>
  </si>
  <si>
    <t>DT1302</t>
  </si>
  <si>
    <t>B06DIMQZ3</t>
  </si>
  <si>
    <t>C01303</t>
  </si>
  <si>
    <t>HB1303</t>
  </si>
  <si>
    <t>R01303</t>
  </si>
  <si>
    <t>DT1303</t>
  </si>
  <si>
    <t>BVYEFAIP0</t>
  </si>
  <si>
    <t>C01304</t>
  </si>
  <si>
    <t>HB1304</t>
  </si>
  <si>
    <t>R01304</t>
  </si>
  <si>
    <t>DT1304</t>
  </si>
  <si>
    <t>BVC89VTH9</t>
  </si>
  <si>
    <t>C01305</t>
  </si>
  <si>
    <t>HB1305</t>
  </si>
  <si>
    <t>R01305</t>
  </si>
  <si>
    <t>DT1305</t>
  </si>
  <si>
    <t>BAAY7U370</t>
  </si>
  <si>
    <t>C01306</t>
  </si>
  <si>
    <t>HB1306</t>
  </si>
  <si>
    <t>R01306</t>
  </si>
  <si>
    <t>DT1306</t>
  </si>
  <si>
    <t>BYCKN6DYL</t>
  </si>
  <si>
    <t>C01307</t>
  </si>
  <si>
    <t>HB1307</t>
  </si>
  <si>
    <t>R01307</t>
  </si>
  <si>
    <t>DT1307</t>
  </si>
  <si>
    <t>BXF82G7CW</t>
  </si>
  <si>
    <t>C01308</t>
  </si>
  <si>
    <t>HB1308</t>
  </si>
  <si>
    <t>R01308</t>
  </si>
  <si>
    <t>DT1308</t>
  </si>
  <si>
    <t>BB6BYVSCA</t>
  </si>
  <si>
    <t>C01309</t>
  </si>
  <si>
    <t>HB1309</t>
  </si>
  <si>
    <t>R01309</t>
  </si>
  <si>
    <t>DT1309</t>
  </si>
  <si>
    <t>B2D6LESTL</t>
  </si>
  <si>
    <t>C01310</t>
  </si>
  <si>
    <t>Alexander Joshi</t>
  </si>
  <si>
    <t>HB1310</t>
  </si>
  <si>
    <t>R01310</t>
  </si>
  <si>
    <t>DT1310</t>
  </si>
  <si>
    <t>BDRLJ0BHE</t>
  </si>
  <si>
    <t>C01311</t>
  </si>
  <si>
    <t>HB1311</t>
  </si>
  <si>
    <t>R01311</t>
  </si>
  <si>
    <t>DT1311</t>
  </si>
  <si>
    <t>BAX0QU37I</t>
  </si>
  <si>
    <t>C01312</t>
  </si>
  <si>
    <t>HB1312</t>
  </si>
  <si>
    <t>R01312</t>
  </si>
  <si>
    <t>DT1312</t>
  </si>
  <si>
    <t>BYHCNF4K6</t>
  </si>
  <si>
    <t>C01313</t>
  </si>
  <si>
    <t>HB1313</t>
  </si>
  <si>
    <t>R01313</t>
  </si>
  <si>
    <t>DT1313</t>
  </si>
  <si>
    <t>B7WPG8E5K</t>
  </si>
  <si>
    <t>C01314</t>
  </si>
  <si>
    <t>HB1314</t>
  </si>
  <si>
    <t>R01314</t>
  </si>
  <si>
    <t>DT1314</t>
  </si>
  <si>
    <t>BC0S8MVGB</t>
  </si>
  <si>
    <t>C01315</t>
  </si>
  <si>
    <t>HB1315</t>
  </si>
  <si>
    <t>R01315</t>
  </si>
  <si>
    <t>DT1315</t>
  </si>
  <si>
    <t>B63S9L673</t>
  </si>
  <si>
    <t>C01316</t>
  </si>
  <si>
    <t>HB1316</t>
  </si>
  <si>
    <t>R01316</t>
  </si>
  <si>
    <t>DT1316</t>
  </si>
  <si>
    <t>BXD0AJ31R</t>
  </si>
  <si>
    <t>C01317</t>
  </si>
  <si>
    <t>HB1317</t>
  </si>
  <si>
    <t>R01317</t>
  </si>
  <si>
    <t>DT1317</t>
  </si>
  <si>
    <t>BF05KIYLX</t>
  </si>
  <si>
    <t>C01318</t>
  </si>
  <si>
    <t>HB1318</t>
  </si>
  <si>
    <t>R01318</t>
  </si>
  <si>
    <t>DT1318</t>
  </si>
  <si>
    <t>BLFL4AGLC</t>
  </si>
  <si>
    <t>C01319</t>
  </si>
  <si>
    <t>HB1319</t>
  </si>
  <si>
    <t>R01319</t>
  </si>
  <si>
    <t>DT1319</t>
  </si>
  <si>
    <t>BJNLMK3K6</t>
  </si>
  <si>
    <t>C01320</t>
  </si>
  <si>
    <t>HB1320</t>
  </si>
  <si>
    <t>R01320</t>
  </si>
  <si>
    <t>DT1320</t>
  </si>
  <si>
    <t>B0XW0HIJA</t>
  </si>
  <si>
    <t>C01321</t>
  </si>
  <si>
    <t>HB1321</t>
  </si>
  <si>
    <t>R01321</t>
  </si>
  <si>
    <t>DT1321</t>
  </si>
  <si>
    <t>BX9IA5EF8</t>
  </si>
  <si>
    <t>C01322</t>
  </si>
  <si>
    <t>HB1322</t>
  </si>
  <si>
    <t>R01322</t>
  </si>
  <si>
    <t>DT1322</t>
  </si>
  <si>
    <t>B1PHHG9WH</t>
  </si>
  <si>
    <t>C01323</t>
  </si>
  <si>
    <t>HB1323</t>
  </si>
  <si>
    <t>R01323</t>
  </si>
  <si>
    <t>DT1323</t>
  </si>
  <si>
    <t>BWAGZ18YU</t>
  </si>
  <si>
    <t>C01324</t>
  </si>
  <si>
    <t>HB1324</t>
  </si>
  <si>
    <t>R01324</t>
  </si>
  <si>
    <t>DT1324</t>
  </si>
  <si>
    <t>BOCGN7DPW</t>
  </si>
  <si>
    <t>C01325</t>
  </si>
  <si>
    <t>HB1325</t>
  </si>
  <si>
    <t>R01325</t>
  </si>
  <si>
    <t>DT1325</t>
  </si>
  <si>
    <t>BAQQCYPC0</t>
  </si>
  <si>
    <t>C01326</t>
  </si>
  <si>
    <t>HB1326</t>
  </si>
  <si>
    <t>R01326</t>
  </si>
  <si>
    <t>DT1326</t>
  </si>
  <si>
    <t>BPGNH1425</t>
  </si>
  <si>
    <t>C01327</t>
  </si>
  <si>
    <t>HB1327</t>
  </si>
  <si>
    <t>R01327</t>
  </si>
  <si>
    <t>DT1327</t>
  </si>
  <si>
    <t>BJA6YBLH4</t>
  </si>
  <si>
    <t>C01328</t>
  </si>
  <si>
    <t>HB1328</t>
  </si>
  <si>
    <t>R01328</t>
  </si>
  <si>
    <t>DT1328</t>
  </si>
  <si>
    <t>BR0AYVNX9</t>
  </si>
  <si>
    <t>C01329</t>
  </si>
  <si>
    <t>HB1329</t>
  </si>
  <si>
    <t>R01329</t>
  </si>
  <si>
    <t>DT1329</t>
  </si>
  <si>
    <t>BZFPGWV5Z</t>
  </si>
  <si>
    <t>C01330</t>
  </si>
  <si>
    <t>HB1330</t>
  </si>
  <si>
    <t>R01330</t>
  </si>
  <si>
    <t>DT1330</t>
  </si>
  <si>
    <t>BRWW40HY3</t>
  </si>
  <si>
    <t>C01331</t>
  </si>
  <si>
    <t>HB1331</t>
  </si>
  <si>
    <t>R01331</t>
  </si>
  <si>
    <t>DT1331</t>
  </si>
  <si>
    <t>B5G0AHWTN</t>
  </si>
  <si>
    <t>C01332</t>
  </si>
  <si>
    <t>HB1332</t>
  </si>
  <si>
    <t>R01332</t>
  </si>
  <si>
    <t>DT1332</t>
  </si>
  <si>
    <t>B6H9WAVIA</t>
  </si>
  <si>
    <t>C01333</t>
  </si>
  <si>
    <t>HB1333</t>
  </si>
  <si>
    <t>R01333</t>
  </si>
  <si>
    <t>DT1333</t>
  </si>
  <si>
    <t>BM9Q2G46J</t>
  </si>
  <si>
    <t>C01334</t>
  </si>
  <si>
    <t>HB1334</t>
  </si>
  <si>
    <t>R01334</t>
  </si>
  <si>
    <t>DT1334</t>
  </si>
  <si>
    <t>B96AS6TTT</t>
  </si>
  <si>
    <t>C01335</t>
  </si>
  <si>
    <t>HB1335</t>
  </si>
  <si>
    <t>R01335</t>
  </si>
  <si>
    <t>DT1335</t>
  </si>
  <si>
    <t>B4BI3FRLI</t>
  </si>
  <si>
    <t>C01336</t>
  </si>
  <si>
    <t>HB1336</t>
  </si>
  <si>
    <t>R01336</t>
  </si>
  <si>
    <t>DT1336</t>
  </si>
  <si>
    <t>BPB8GS11R</t>
  </si>
  <si>
    <t>C01337</t>
  </si>
  <si>
    <t>HB1337</t>
  </si>
  <si>
    <t>R01337</t>
  </si>
  <si>
    <t>DT1337</t>
  </si>
  <si>
    <t>BTWJUBI0E</t>
  </si>
  <si>
    <t>C01338</t>
  </si>
  <si>
    <t>HB1338</t>
  </si>
  <si>
    <t>R01338</t>
  </si>
  <si>
    <t>DT1338</t>
  </si>
  <si>
    <t>BISZRR1JU</t>
  </si>
  <si>
    <t>C01339</t>
  </si>
  <si>
    <t>HB1339</t>
  </si>
  <si>
    <t>R01339</t>
  </si>
  <si>
    <t>DT1339</t>
  </si>
  <si>
    <t>BZ3F1O508</t>
  </si>
  <si>
    <t>C01340</t>
  </si>
  <si>
    <t>HB1340</t>
  </si>
  <si>
    <t>R01340</t>
  </si>
  <si>
    <t>DT1340</t>
  </si>
  <si>
    <t>BG1L11OKT</t>
  </si>
  <si>
    <t>C01341</t>
  </si>
  <si>
    <t>HB1341</t>
  </si>
  <si>
    <t>R01341</t>
  </si>
  <si>
    <t>DT1341</t>
  </si>
  <si>
    <t>B06UFX75W</t>
  </si>
  <si>
    <t>C01342</t>
  </si>
  <si>
    <t>HB1342</t>
  </si>
  <si>
    <t>R01342</t>
  </si>
  <si>
    <t>DT1342</t>
  </si>
  <si>
    <t>BS4G9KXJO</t>
  </si>
  <si>
    <t>C01343</t>
  </si>
  <si>
    <t>HB1343</t>
  </si>
  <si>
    <t>R01343</t>
  </si>
  <si>
    <t>DT1343</t>
  </si>
  <si>
    <t>B9RYIK1N8</t>
  </si>
  <si>
    <t>C01344</t>
  </si>
  <si>
    <t>HB1344</t>
  </si>
  <si>
    <t>R01344</t>
  </si>
  <si>
    <t>DT1344</t>
  </si>
  <si>
    <t>BVLHAG1T6</t>
  </si>
  <si>
    <t>C01345</t>
  </si>
  <si>
    <t>HB1345</t>
  </si>
  <si>
    <t>R01345</t>
  </si>
  <si>
    <t>DT1345</t>
  </si>
  <si>
    <t>BKJKHOI8D</t>
  </si>
  <si>
    <t>C01346</t>
  </si>
  <si>
    <t>HB1346</t>
  </si>
  <si>
    <t>R01346</t>
  </si>
  <si>
    <t>DT1346</t>
  </si>
  <si>
    <t>BW1YH6W5O</t>
  </si>
  <si>
    <t>C01347</t>
  </si>
  <si>
    <t>HB1347</t>
  </si>
  <si>
    <t>R01347</t>
  </si>
  <si>
    <t>DT1347</t>
  </si>
  <si>
    <t>BKZP3QCSV</t>
  </si>
  <si>
    <t>C01348</t>
  </si>
  <si>
    <t>HB1348</t>
  </si>
  <si>
    <t>R01348</t>
  </si>
  <si>
    <t>DT1348</t>
  </si>
  <si>
    <t>BDNH2E0Q1</t>
  </si>
  <si>
    <t>C01349</t>
  </si>
  <si>
    <t>HB1349</t>
  </si>
  <si>
    <t>R01349</t>
  </si>
  <si>
    <t>DT1349</t>
  </si>
  <si>
    <t>B1M69P2V8</t>
  </si>
  <si>
    <t>C01350</t>
  </si>
  <si>
    <t>HB1350</t>
  </si>
  <si>
    <t>R01350</t>
  </si>
  <si>
    <t>DT1350</t>
  </si>
  <si>
    <t>BO61HBQT8</t>
  </si>
  <si>
    <t>C01351</t>
  </si>
  <si>
    <t>HB1351</t>
  </si>
  <si>
    <t>R01351</t>
  </si>
  <si>
    <t>DT1351</t>
  </si>
  <si>
    <t>B5HGD8T10</t>
  </si>
  <si>
    <t>C01352</t>
  </si>
  <si>
    <t>HB1352</t>
  </si>
  <si>
    <t>R01352</t>
  </si>
  <si>
    <t>DT1352</t>
  </si>
  <si>
    <t>B7MY3WHK6</t>
  </si>
  <si>
    <t>C01353</t>
  </si>
  <si>
    <t>HB1353</t>
  </si>
  <si>
    <t>R01353</t>
  </si>
  <si>
    <t>DT1353</t>
  </si>
  <si>
    <t>BFIX17XNO</t>
  </si>
  <si>
    <t>C01354</t>
  </si>
  <si>
    <t>HB1354</t>
  </si>
  <si>
    <t>R01354</t>
  </si>
  <si>
    <t>DT1354</t>
  </si>
  <si>
    <t>BUT5I3P0Q</t>
  </si>
  <si>
    <t>C01355</t>
  </si>
  <si>
    <t>HB1355</t>
  </si>
  <si>
    <t>R01355</t>
  </si>
  <si>
    <t>DT1355</t>
  </si>
  <si>
    <t>B2QNJXJZ8</t>
  </si>
  <si>
    <t>C01356</t>
  </si>
  <si>
    <t>HB1356</t>
  </si>
  <si>
    <t>R01356</t>
  </si>
  <si>
    <t>DT1356</t>
  </si>
  <si>
    <t>BXA9XV9RX</t>
  </si>
  <si>
    <t>C01357</t>
  </si>
  <si>
    <t>HB1357</t>
  </si>
  <si>
    <t>R01357</t>
  </si>
  <si>
    <t>DT1357</t>
  </si>
  <si>
    <t>BZOJ5TA6U</t>
  </si>
  <si>
    <t>C01358</t>
  </si>
  <si>
    <t>HB1358</t>
  </si>
  <si>
    <t>R01358</t>
  </si>
  <si>
    <t>DT1358</t>
  </si>
  <si>
    <t>BLR3UO94M</t>
  </si>
  <si>
    <t>C01359</t>
  </si>
  <si>
    <t>HB1359</t>
  </si>
  <si>
    <t>R01359</t>
  </si>
  <si>
    <t>DT1359</t>
  </si>
  <si>
    <t>BJWZGOVQ1</t>
  </si>
  <si>
    <t>C01360</t>
  </si>
  <si>
    <t>HB1360</t>
  </si>
  <si>
    <t>R01360</t>
  </si>
  <si>
    <t>DT1360</t>
  </si>
  <si>
    <t>BTJBY6Q07</t>
  </si>
  <si>
    <t>C01361</t>
  </si>
  <si>
    <t>HB1361</t>
  </si>
  <si>
    <t>R01361</t>
  </si>
  <si>
    <t>DT1361</t>
  </si>
  <si>
    <t>B3VOZ36DV</t>
  </si>
  <si>
    <t>C01362</t>
  </si>
  <si>
    <t>HB1362</t>
  </si>
  <si>
    <t>R01362</t>
  </si>
  <si>
    <t>DT1362</t>
  </si>
  <si>
    <t>BBCQQO7BG</t>
  </si>
  <si>
    <t>C01363</t>
  </si>
  <si>
    <t>HB1363</t>
  </si>
  <si>
    <t>R01363</t>
  </si>
  <si>
    <t>DT1363</t>
  </si>
  <si>
    <t>BEMGBLFJM</t>
  </si>
  <si>
    <t>C01364</t>
  </si>
  <si>
    <t>HB1364</t>
  </si>
  <si>
    <t>R01364</t>
  </si>
  <si>
    <t>DT1364</t>
  </si>
  <si>
    <t>BM9XAJCG2</t>
  </si>
  <si>
    <t>C01365</t>
  </si>
  <si>
    <t>HB1365</t>
  </si>
  <si>
    <t>R01365</t>
  </si>
  <si>
    <t>DT1365</t>
  </si>
  <si>
    <t>BZUP47AV5</t>
  </si>
  <si>
    <t>C01366</t>
  </si>
  <si>
    <t>HB1366</t>
  </si>
  <si>
    <t>R01366</t>
  </si>
  <si>
    <t>DT1366</t>
  </si>
  <si>
    <t>B8XG6KHAD</t>
  </si>
  <si>
    <t>C01367</t>
  </si>
  <si>
    <t>HB1367</t>
  </si>
  <si>
    <t>R01367</t>
  </si>
  <si>
    <t>DT1367</t>
  </si>
  <si>
    <t>BVU9OU0EU</t>
  </si>
  <si>
    <t>C01368</t>
  </si>
  <si>
    <t>HB1368</t>
  </si>
  <si>
    <t>R01368</t>
  </si>
  <si>
    <t>DT1368</t>
  </si>
  <si>
    <t>BIPP8B8Z6</t>
  </si>
  <si>
    <t>C01369</t>
  </si>
  <si>
    <t>HB1369</t>
  </si>
  <si>
    <t>R01369</t>
  </si>
  <si>
    <t>DT1369</t>
  </si>
  <si>
    <t>B2R2M8TRC</t>
  </si>
  <si>
    <t>C01370</t>
  </si>
  <si>
    <t>HB1370</t>
  </si>
  <si>
    <t>R01370</t>
  </si>
  <si>
    <t>DT1370</t>
  </si>
  <si>
    <t>BQ8I0Q1RI</t>
  </si>
  <si>
    <t>C01371</t>
  </si>
  <si>
    <t>HB1371</t>
  </si>
  <si>
    <t>R01371</t>
  </si>
  <si>
    <t>DT1371</t>
  </si>
  <si>
    <t>B0XVLK231</t>
  </si>
  <si>
    <t>C01372</t>
  </si>
  <si>
    <t>HB1372</t>
  </si>
  <si>
    <t>R01372</t>
  </si>
  <si>
    <t>DT1372</t>
  </si>
  <si>
    <t>B7JRCI46C</t>
  </si>
  <si>
    <t>C01373</t>
  </si>
  <si>
    <t>HB1373</t>
  </si>
  <si>
    <t>R01373</t>
  </si>
  <si>
    <t>DT1373</t>
  </si>
  <si>
    <t>BZJMPQGDK</t>
  </si>
  <si>
    <t>C01374</t>
  </si>
  <si>
    <t>HB1374</t>
  </si>
  <si>
    <t>R01374</t>
  </si>
  <si>
    <t>DT1374</t>
  </si>
  <si>
    <t>B9QBLZZBL</t>
  </si>
  <si>
    <t>C01375</t>
  </si>
  <si>
    <t>HB1375</t>
  </si>
  <si>
    <t>R01375</t>
  </si>
  <si>
    <t>DT1375</t>
  </si>
  <si>
    <t>B4RLE9GGZ</t>
  </si>
  <si>
    <t>C01376</t>
  </si>
  <si>
    <t>HB1376</t>
  </si>
  <si>
    <t>R01376</t>
  </si>
  <si>
    <t>DT1376</t>
  </si>
  <si>
    <t>BEWHVF1HQ</t>
  </si>
  <si>
    <t>C01377</t>
  </si>
  <si>
    <t>HB1377</t>
  </si>
  <si>
    <t>R01377</t>
  </si>
  <si>
    <t>DT1377</t>
  </si>
  <si>
    <t>BWGOSGJEU</t>
  </si>
  <si>
    <t>C01378</t>
  </si>
  <si>
    <t>HB1378</t>
  </si>
  <si>
    <t>R01378</t>
  </si>
  <si>
    <t>DT1378</t>
  </si>
  <si>
    <t>BRZE6B8RP</t>
  </si>
  <si>
    <t>C01379</t>
  </si>
  <si>
    <t>HB1379</t>
  </si>
  <si>
    <t>R01379</t>
  </si>
  <si>
    <t>DT1379</t>
  </si>
  <si>
    <t>BE497V672</t>
  </si>
  <si>
    <t>C01380</t>
  </si>
  <si>
    <t>HB1380</t>
  </si>
  <si>
    <t>R01380</t>
  </si>
  <si>
    <t>DT1380</t>
  </si>
  <si>
    <t>BNOZYW1HC</t>
  </si>
  <si>
    <t>C01381</t>
  </si>
  <si>
    <t>HB1381</t>
  </si>
  <si>
    <t>R01381</t>
  </si>
  <si>
    <t>DT1381</t>
  </si>
  <si>
    <t>BWLGQOYM8</t>
  </si>
  <si>
    <t>C01382</t>
  </si>
  <si>
    <t>HB1382</t>
  </si>
  <si>
    <t>R01382</t>
  </si>
  <si>
    <t>DT1382</t>
  </si>
  <si>
    <t>BNBI2RT8U</t>
  </si>
  <si>
    <t>C01383</t>
  </si>
  <si>
    <t>HB1383</t>
  </si>
  <si>
    <t>R01383</t>
  </si>
  <si>
    <t>DT1383</t>
  </si>
  <si>
    <t>BU7UNLMXD</t>
  </si>
  <si>
    <t>C01384</t>
  </si>
  <si>
    <t>HB1384</t>
  </si>
  <si>
    <t>R01384</t>
  </si>
  <si>
    <t>DT1384</t>
  </si>
  <si>
    <t>BGT65LA8H</t>
  </si>
  <si>
    <t>C01385</t>
  </si>
  <si>
    <t>HB1385</t>
  </si>
  <si>
    <t>R01385</t>
  </si>
  <si>
    <t>DT1385</t>
  </si>
  <si>
    <t>BMTD27ZVD</t>
  </si>
  <si>
    <t>C01386</t>
  </si>
  <si>
    <t>HB1386</t>
  </si>
  <si>
    <t>R01386</t>
  </si>
  <si>
    <t>DT1386</t>
  </si>
  <si>
    <t>B12YKCGJE</t>
  </si>
  <si>
    <t>C01387</t>
  </si>
  <si>
    <t>HB1387</t>
  </si>
  <si>
    <t>R01387</t>
  </si>
  <si>
    <t>DT1387</t>
  </si>
  <si>
    <t>B1AY1ZAYN</t>
  </si>
  <si>
    <t>C01388</t>
  </si>
  <si>
    <t>HB1388</t>
  </si>
  <si>
    <t>R01388</t>
  </si>
  <si>
    <t>DT1388</t>
  </si>
  <si>
    <t>BI7WMDK8O</t>
  </si>
  <si>
    <t>C01389</t>
  </si>
  <si>
    <t>HB1389</t>
  </si>
  <si>
    <t>R01389</t>
  </si>
  <si>
    <t>DT1389</t>
  </si>
  <si>
    <t>BAKAFQMPZ</t>
  </si>
  <si>
    <t>C01390</t>
  </si>
  <si>
    <t>HB1390</t>
  </si>
  <si>
    <t>R01390</t>
  </si>
  <si>
    <t>DT1390</t>
  </si>
  <si>
    <t>B3DVJCF9T</t>
  </si>
  <si>
    <t>C01391</t>
  </si>
  <si>
    <t>HB1391</t>
  </si>
  <si>
    <t>R01391</t>
  </si>
  <si>
    <t>DT1391</t>
  </si>
  <si>
    <t>B1HI1FUSD</t>
  </si>
  <si>
    <t>C01392</t>
  </si>
  <si>
    <t>HB1392</t>
  </si>
  <si>
    <t>R01392</t>
  </si>
  <si>
    <t>DT1392</t>
  </si>
  <si>
    <t>BCKES5CWF</t>
  </si>
  <si>
    <t>C01393</t>
  </si>
  <si>
    <t>HB1393</t>
  </si>
  <si>
    <t>R01393</t>
  </si>
  <si>
    <t>DT1393</t>
  </si>
  <si>
    <t>BKYNF1SSG</t>
  </si>
  <si>
    <t>C01394</t>
  </si>
  <si>
    <t>HB1394</t>
  </si>
  <si>
    <t>R01394</t>
  </si>
  <si>
    <t>DT1394</t>
  </si>
  <si>
    <t>B9YYR8IF5</t>
  </si>
  <si>
    <t>C01395</t>
  </si>
  <si>
    <t>HB1395</t>
  </si>
  <si>
    <t>R01395</t>
  </si>
  <si>
    <t>DT1395</t>
  </si>
  <si>
    <t>B7COWKAO3</t>
  </si>
  <si>
    <t>C01396</t>
  </si>
  <si>
    <t>HB1396</t>
  </si>
  <si>
    <t>R01396</t>
  </si>
  <si>
    <t>DT1396</t>
  </si>
  <si>
    <t>BXGD4PUH8</t>
  </si>
  <si>
    <t>C01397</t>
  </si>
  <si>
    <t>HB1397</t>
  </si>
  <si>
    <t>R01397</t>
  </si>
  <si>
    <t>DT1397</t>
  </si>
  <si>
    <t>BG5GVJPKK</t>
  </si>
  <si>
    <t>C01398</t>
  </si>
  <si>
    <t>HB1398</t>
  </si>
  <si>
    <t>R01398</t>
  </si>
  <si>
    <t>DT1398</t>
  </si>
  <si>
    <t>BBOI5AFQO</t>
  </si>
  <si>
    <t>C01399</t>
  </si>
  <si>
    <t>Ananya Singh</t>
  </si>
  <si>
    <t>HB1399</t>
  </si>
  <si>
    <t>R01399</t>
  </si>
  <si>
    <t>DT1399</t>
  </si>
  <si>
    <t>B1HKN2VIR</t>
  </si>
  <si>
    <t>C01400</t>
  </si>
  <si>
    <t>HB1400</t>
  </si>
  <si>
    <t>R01400</t>
  </si>
  <si>
    <t>DT1400</t>
  </si>
  <si>
    <t>BGTRO72E0</t>
  </si>
  <si>
    <t>C01401</t>
  </si>
  <si>
    <t>HB1401</t>
  </si>
  <si>
    <t>R01401</t>
  </si>
  <si>
    <t>DT1401</t>
  </si>
  <si>
    <t>BX3SUYBZE</t>
  </si>
  <si>
    <t>C01402</t>
  </si>
  <si>
    <t>HB1402</t>
  </si>
  <si>
    <t>R01402</t>
  </si>
  <si>
    <t>DT1402</t>
  </si>
  <si>
    <t>B3GLSO8SB</t>
  </si>
  <si>
    <t>C01403</t>
  </si>
  <si>
    <t>HB1403</t>
  </si>
  <si>
    <t>R01403</t>
  </si>
  <si>
    <t>DT1403</t>
  </si>
  <si>
    <t>B06CGMD2S</t>
  </si>
  <si>
    <t>C01404</t>
  </si>
  <si>
    <t>HB1404</t>
  </si>
  <si>
    <t>R01404</t>
  </si>
  <si>
    <t>DT1404</t>
  </si>
  <si>
    <t>B8NEA0XGE</t>
  </si>
  <si>
    <t>C01405</t>
  </si>
  <si>
    <t>HB1405</t>
  </si>
  <si>
    <t>R01405</t>
  </si>
  <si>
    <t>DT1405</t>
  </si>
  <si>
    <t>B8Y7L5N7F</t>
  </si>
  <si>
    <t>C01406</t>
  </si>
  <si>
    <t>HB1406</t>
  </si>
  <si>
    <t>R01406</t>
  </si>
  <si>
    <t>DT1406</t>
  </si>
  <si>
    <t>B7E3B4C32</t>
  </si>
  <si>
    <t>C01407</t>
  </si>
  <si>
    <t>HB1407</t>
  </si>
  <si>
    <t>R01407</t>
  </si>
  <si>
    <t>DT1407</t>
  </si>
  <si>
    <t>BUUXHXXD9</t>
  </si>
  <si>
    <t>C01408</t>
  </si>
  <si>
    <t>HB1408</t>
  </si>
  <si>
    <t>R01408</t>
  </si>
  <si>
    <t>DT1408</t>
  </si>
  <si>
    <t>BTO83FTYZ</t>
  </si>
  <si>
    <t>C01409</t>
  </si>
  <si>
    <t>HB1409</t>
  </si>
  <si>
    <t>R01409</t>
  </si>
  <si>
    <t>DT1409</t>
  </si>
  <si>
    <t>BXDZT8779</t>
  </si>
  <si>
    <t>C01410</t>
  </si>
  <si>
    <t>HB1410</t>
  </si>
  <si>
    <t>R01410</t>
  </si>
  <si>
    <t>DT1410</t>
  </si>
  <si>
    <t>BUIN14LVK</t>
  </si>
  <si>
    <t>C01411</t>
  </si>
  <si>
    <t>HB1411</t>
  </si>
  <si>
    <t>R01411</t>
  </si>
  <si>
    <t>DT1411</t>
  </si>
  <si>
    <t>B32P8C17O</t>
  </si>
  <si>
    <t>C01412</t>
  </si>
  <si>
    <t>HB1412</t>
  </si>
  <si>
    <t>R01412</t>
  </si>
  <si>
    <t>DT1412</t>
  </si>
  <si>
    <t>BP10C7F8N</t>
  </si>
  <si>
    <t>C01413</t>
  </si>
  <si>
    <t>HB1413</t>
  </si>
  <si>
    <t>R01413</t>
  </si>
  <si>
    <t>DT1413</t>
  </si>
  <si>
    <t>BFV0Z86HE</t>
  </si>
  <si>
    <t>C01414</t>
  </si>
  <si>
    <t>HB1414</t>
  </si>
  <si>
    <t>R01414</t>
  </si>
  <si>
    <t>DT1414</t>
  </si>
  <si>
    <t>BDKNOU6TJ</t>
  </si>
  <si>
    <t>C01415</t>
  </si>
  <si>
    <t>HB1415</t>
  </si>
  <si>
    <t>R01415</t>
  </si>
  <si>
    <t>DT1415</t>
  </si>
  <si>
    <t>B5J3N6MM0</t>
  </si>
  <si>
    <t>C01416</t>
  </si>
  <si>
    <t>HB1416</t>
  </si>
  <si>
    <t>R01416</t>
  </si>
  <si>
    <t>DT1416</t>
  </si>
  <si>
    <t>B79XTMPGA</t>
  </si>
  <si>
    <t>C01417</t>
  </si>
  <si>
    <t>HB1417</t>
  </si>
  <si>
    <t>R01417</t>
  </si>
  <si>
    <t>DT1417</t>
  </si>
  <si>
    <t>BZ1KVH1UO</t>
  </si>
  <si>
    <t>C01418</t>
  </si>
  <si>
    <t>HB1418</t>
  </si>
  <si>
    <t>R01418</t>
  </si>
  <si>
    <t>DT1418</t>
  </si>
  <si>
    <t>B2C7MIBP9</t>
  </si>
  <si>
    <t>C01419</t>
  </si>
  <si>
    <t>HB1419</t>
  </si>
  <si>
    <t>R01419</t>
  </si>
  <si>
    <t>DT1419</t>
  </si>
  <si>
    <t>B83KKOFBD</t>
  </si>
  <si>
    <t>C01420</t>
  </si>
  <si>
    <t>HB1420</t>
  </si>
  <si>
    <t>R01420</t>
  </si>
  <si>
    <t>DT1420</t>
  </si>
  <si>
    <t>B1Q9Z3IG3</t>
  </si>
  <si>
    <t>C01421</t>
  </si>
  <si>
    <t>HB1421</t>
  </si>
  <si>
    <t>R01421</t>
  </si>
  <si>
    <t>DT1421</t>
  </si>
  <si>
    <t>BGU815BRY</t>
  </si>
  <si>
    <t>C01422</t>
  </si>
  <si>
    <t>HB1422</t>
  </si>
  <si>
    <t>R01422</t>
  </si>
  <si>
    <t>DT1422</t>
  </si>
  <si>
    <t>B3AF3T810</t>
  </si>
  <si>
    <t>C01423</t>
  </si>
  <si>
    <t>HB1423</t>
  </si>
  <si>
    <t>R01423</t>
  </si>
  <si>
    <t>DT1423</t>
  </si>
  <si>
    <t>BMAXYMFLH</t>
  </si>
  <si>
    <t>C01424</t>
  </si>
  <si>
    <t>HB1424</t>
  </si>
  <si>
    <t>R01424</t>
  </si>
  <si>
    <t>DT1424</t>
  </si>
  <si>
    <t>BF559AN2Z</t>
  </si>
  <si>
    <t>C01425</t>
  </si>
  <si>
    <t>HB1425</t>
  </si>
  <si>
    <t>R01425</t>
  </si>
  <si>
    <t>DT1425</t>
  </si>
  <si>
    <t>BCXA78AN0</t>
  </si>
  <si>
    <t>C01426</t>
  </si>
  <si>
    <t>HB1426</t>
  </si>
  <si>
    <t>R01426</t>
  </si>
  <si>
    <t>DT1426</t>
  </si>
  <si>
    <t>B9XAXZYER</t>
  </si>
  <si>
    <t>C01427</t>
  </si>
  <si>
    <t>HB1427</t>
  </si>
  <si>
    <t>R01427</t>
  </si>
  <si>
    <t>DT1427</t>
  </si>
  <si>
    <t>BZS9ONVA0</t>
  </si>
  <si>
    <t>C01428</t>
  </si>
  <si>
    <t>HB1428</t>
  </si>
  <si>
    <t>R01428</t>
  </si>
  <si>
    <t>DT1428</t>
  </si>
  <si>
    <t>BPOF1F94T</t>
  </si>
  <si>
    <t>C01429</t>
  </si>
  <si>
    <t>HB1429</t>
  </si>
  <si>
    <t>R01429</t>
  </si>
  <si>
    <t>DT1429</t>
  </si>
  <si>
    <t>B73VJT6TC</t>
  </si>
  <si>
    <t>C01430</t>
  </si>
  <si>
    <t>HB1430</t>
  </si>
  <si>
    <t>R01430</t>
  </si>
  <si>
    <t>DT1430</t>
  </si>
  <si>
    <t>BU47LKE83</t>
  </si>
  <si>
    <t>C01431</t>
  </si>
  <si>
    <t>HB1431</t>
  </si>
  <si>
    <t>R01431</t>
  </si>
  <si>
    <t>DT1431</t>
  </si>
  <si>
    <t>BVGNEY4RN</t>
  </si>
  <si>
    <t>C01432</t>
  </si>
  <si>
    <t>HB1432</t>
  </si>
  <si>
    <t>R01432</t>
  </si>
  <si>
    <t>DT1432</t>
  </si>
  <si>
    <t>B9QNRBZX0</t>
  </si>
  <si>
    <t>C01433</t>
  </si>
  <si>
    <t>HB1433</t>
  </si>
  <si>
    <t>R01433</t>
  </si>
  <si>
    <t>DT1433</t>
  </si>
  <si>
    <t>BDXQG4VIJ</t>
  </si>
  <si>
    <t>C01434</t>
  </si>
  <si>
    <t>HB1434</t>
  </si>
  <si>
    <t>R01434</t>
  </si>
  <si>
    <t>DT1434</t>
  </si>
  <si>
    <t>B1PO5RGJF</t>
  </si>
  <si>
    <t>C01435</t>
  </si>
  <si>
    <t>HB1435</t>
  </si>
  <si>
    <t>R01435</t>
  </si>
  <si>
    <t>DT1435</t>
  </si>
  <si>
    <t>BM59WGGVY</t>
  </si>
  <si>
    <t>C01436</t>
  </si>
  <si>
    <t>HB1436</t>
  </si>
  <si>
    <t>R01436</t>
  </si>
  <si>
    <t>DT1436</t>
  </si>
  <si>
    <t>BUGEBV3ZJ</t>
  </si>
  <si>
    <t>C01437</t>
  </si>
  <si>
    <t>HB1437</t>
  </si>
  <si>
    <t>R01437</t>
  </si>
  <si>
    <t>DT1437</t>
  </si>
  <si>
    <t>BEH22ZGM0</t>
  </si>
  <si>
    <t>C01438</t>
  </si>
  <si>
    <t>HB1438</t>
  </si>
  <si>
    <t>R01438</t>
  </si>
  <si>
    <t>DT1438</t>
  </si>
  <si>
    <t>B3QSS7HIS</t>
  </si>
  <si>
    <t>C01439</t>
  </si>
  <si>
    <t>HB1439</t>
  </si>
  <si>
    <t>R01439</t>
  </si>
  <si>
    <t>DT1439</t>
  </si>
  <si>
    <t>BQ0PUNGRR</t>
  </si>
  <si>
    <t>C01440</t>
  </si>
  <si>
    <t>HB1440</t>
  </si>
  <si>
    <t>R01440</t>
  </si>
  <si>
    <t>DT1440</t>
  </si>
  <si>
    <t>B08W13C53</t>
  </si>
  <si>
    <t>C01441</t>
  </si>
  <si>
    <t>HB1441</t>
  </si>
  <si>
    <t>R01441</t>
  </si>
  <si>
    <t>DT1441</t>
  </si>
  <si>
    <t>BND6R3BFK</t>
  </si>
  <si>
    <t>C01442</t>
  </si>
  <si>
    <t>HB1442</t>
  </si>
  <si>
    <t>R01442</t>
  </si>
  <si>
    <t>DT1442</t>
  </si>
  <si>
    <t>B4A27DZW4</t>
  </si>
  <si>
    <t>C01443</t>
  </si>
  <si>
    <t>HB1443</t>
  </si>
  <si>
    <t>R01443</t>
  </si>
  <si>
    <t>DT1443</t>
  </si>
  <si>
    <t>BVIRIIQUS</t>
  </si>
  <si>
    <t>C01444</t>
  </si>
  <si>
    <t>HB1444</t>
  </si>
  <si>
    <t>R01444</t>
  </si>
  <si>
    <t>DT1444</t>
  </si>
  <si>
    <t>BK4SYSAVA</t>
  </si>
  <si>
    <t>C01445</t>
  </si>
  <si>
    <t>HB1445</t>
  </si>
  <si>
    <t>R01445</t>
  </si>
  <si>
    <t>DT1445</t>
  </si>
  <si>
    <t>BVQ2FI8V9</t>
  </si>
  <si>
    <t>C01446</t>
  </si>
  <si>
    <t>HB1446</t>
  </si>
  <si>
    <t>R01446</t>
  </si>
  <si>
    <t>DT1446</t>
  </si>
  <si>
    <t>BJYMZ2MKG</t>
  </si>
  <si>
    <t>C01447</t>
  </si>
  <si>
    <t>HB1447</t>
  </si>
  <si>
    <t>R01447</t>
  </si>
  <si>
    <t>DT1447</t>
  </si>
  <si>
    <t>B26ASF3P9</t>
  </si>
  <si>
    <t>C01448</t>
  </si>
  <si>
    <t>HB1448</t>
  </si>
  <si>
    <t>R01448</t>
  </si>
  <si>
    <t>DT1448</t>
  </si>
  <si>
    <t>BPYOA0Y3M</t>
  </si>
  <si>
    <t>C01449</t>
  </si>
  <si>
    <t>HB1449</t>
  </si>
  <si>
    <t>R01449</t>
  </si>
  <si>
    <t>DT1449</t>
  </si>
  <si>
    <t>B2TNEQC4E</t>
  </si>
  <si>
    <t>C01450</t>
  </si>
  <si>
    <t>HB1450</t>
  </si>
  <si>
    <t>R01450</t>
  </si>
  <si>
    <t>DT1450</t>
  </si>
  <si>
    <t>BJ9P1HPY3</t>
  </si>
  <si>
    <t>C01451</t>
  </si>
  <si>
    <t>HB1451</t>
  </si>
  <si>
    <t>R01451</t>
  </si>
  <si>
    <t>DT1451</t>
  </si>
  <si>
    <t>BABJKEYKU</t>
  </si>
  <si>
    <t>C01452</t>
  </si>
  <si>
    <t>Henry Verma</t>
  </si>
  <si>
    <t>HB1452</t>
  </si>
  <si>
    <t>R01452</t>
  </si>
  <si>
    <t>DT1452</t>
  </si>
  <si>
    <t>BEX285K8F</t>
  </si>
  <si>
    <t>C01453</t>
  </si>
  <si>
    <t>HB1453</t>
  </si>
  <si>
    <t>R01453</t>
  </si>
  <si>
    <t>DT1453</t>
  </si>
  <si>
    <t>B3RHU1RGT</t>
  </si>
  <si>
    <t>C01454</t>
  </si>
  <si>
    <t>HB1454</t>
  </si>
  <si>
    <t>R01454</t>
  </si>
  <si>
    <t>DT1454</t>
  </si>
  <si>
    <t>B69EGCZOV</t>
  </si>
  <si>
    <t>C01455</t>
  </si>
  <si>
    <t>Siddharth Verma</t>
  </si>
  <si>
    <t>HB1455</t>
  </si>
  <si>
    <t>R01455</t>
  </si>
  <si>
    <t>DT1455</t>
  </si>
  <si>
    <t>BEWT2XR3R</t>
  </si>
  <si>
    <t>C01456</t>
  </si>
  <si>
    <t>HB1456</t>
  </si>
  <si>
    <t>R01456</t>
  </si>
  <si>
    <t>DT1456</t>
  </si>
  <si>
    <t>BF400PO7M</t>
  </si>
  <si>
    <t>C01457</t>
  </si>
  <si>
    <t>HB1457</t>
  </si>
  <si>
    <t>R01457</t>
  </si>
  <si>
    <t>DT1457</t>
  </si>
  <si>
    <t>BO0Y7LPSV</t>
  </si>
  <si>
    <t>C01458</t>
  </si>
  <si>
    <t>HB1458</t>
  </si>
  <si>
    <t>R01458</t>
  </si>
  <si>
    <t>DT1458</t>
  </si>
  <si>
    <t>B58BDYTGX</t>
  </si>
  <si>
    <t>C01459</t>
  </si>
  <si>
    <t>HB1459</t>
  </si>
  <si>
    <t>R01459</t>
  </si>
  <si>
    <t>DT1459</t>
  </si>
  <si>
    <t>BWM5FHPE0</t>
  </si>
  <si>
    <t>C01460</t>
  </si>
  <si>
    <t>HB1460</t>
  </si>
  <si>
    <t>R01460</t>
  </si>
  <si>
    <t>DT1460</t>
  </si>
  <si>
    <t>BV8B80C3B</t>
  </si>
  <si>
    <t>C01461</t>
  </si>
  <si>
    <t>HB1461</t>
  </si>
  <si>
    <t>R01461</t>
  </si>
  <si>
    <t>DT1461</t>
  </si>
  <si>
    <t>BQKNG9LO7</t>
  </si>
  <si>
    <t>C01462</t>
  </si>
  <si>
    <t>HB1462</t>
  </si>
  <si>
    <t>R01462</t>
  </si>
  <si>
    <t>DT1462</t>
  </si>
  <si>
    <t>BRUE6EU8U</t>
  </si>
  <si>
    <t>C01463</t>
  </si>
  <si>
    <t>HB1463</t>
  </si>
  <si>
    <t>R01463</t>
  </si>
  <si>
    <t>DT1463</t>
  </si>
  <si>
    <t>BDQ5UYZNI</t>
  </si>
  <si>
    <t>C01464</t>
  </si>
  <si>
    <t>HB1464</t>
  </si>
  <si>
    <t>R01464</t>
  </si>
  <si>
    <t>DT1464</t>
  </si>
  <si>
    <t>BOSMJJX23</t>
  </si>
  <si>
    <t>C01465</t>
  </si>
  <si>
    <t>HB1465</t>
  </si>
  <si>
    <t>R01465</t>
  </si>
  <si>
    <t>DT1465</t>
  </si>
  <si>
    <t>BHHAIAQNO</t>
  </si>
  <si>
    <t>C01466</t>
  </si>
  <si>
    <t>HB1466</t>
  </si>
  <si>
    <t>R01466</t>
  </si>
  <si>
    <t>DT1466</t>
  </si>
  <si>
    <t>B96W32VAA</t>
  </si>
  <si>
    <t>C01467</t>
  </si>
  <si>
    <t>HB1467</t>
  </si>
  <si>
    <t>R01467</t>
  </si>
  <si>
    <t>DT1467</t>
  </si>
  <si>
    <t>BDNOPIBBJ</t>
  </si>
  <si>
    <t>C01468</t>
  </si>
  <si>
    <t>HB1468</t>
  </si>
  <si>
    <t>R01468</t>
  </si>
  <si>
    <t>DT1468</t>
  </si>
  <si>
    <t>BNIL0PFFT</t>
  </si>
  <si>
    <t>C01469</t>
  </si>
  <si>
    <t>HB1469</t>
  </si>
  <si>
    <t>R01469</t>
  </si>
  <si>
    <t>DT1469</t>
  </si>
  <si>
    <t>BA87XNVND</t>
  </si>
  <si>
    <t>C01470</t>
  </si>
  <si>
    <t>HB1470</t>
  </si>
  <si>
    <t>R01470</t>
  </si>
  <si>
    <t>DT1470</t>
  </si>
  <si>
    <t>BLSVOPTNN</t>
  </si>
  <si>
    <t>C01471</t>
  </si>
  <si>
    <t>HB1471</t>
  </si>
  <si>
    <t>R01471</t>
  </si>
  <si>
    <t>DT1471</t>
  </si>
  <si>
    <t>BFKBCZEW5</t>
  </si>
  <si>
    <t>C01472</t>
  </si>
  <si>
    <t>HB1472</t>
  </si>
  <si>
    <t>R01472</t>
  </si>
  <si>
    <t>DT1472</t>
  </si>
  <si>
    <t>BGD0Q1BKJ</t>
  </si>
  <si>
    <t>C01473</t>
  </si>
  <si>
    <t>HB1473</t>
  </si>
  <si>
    <t>R01473</t>
  </si>
  <si>
    <t>DT1473</t>
  </si>
  <si>
    <t>B0RKYIQHZ</t>
  </si>
  <si>
    <t>C01474</t>
  </si>
  <si>
    <t>HB1474</t>
  </si>
  <si>
    <t>R01474</t>
  </si>
  <si>
    <t>DT1474</t>
  </si>
  <si>
    <t>BJR6VH5Y6</t>
  </si>
  <si>
    <t>C01475</t>
  </si>
  <si>
    <t>HB1475</t>
  </si>
  <si>
    <t>R01475</t>
  </si>
  <si>
    <t>DT1475</t>
  </si>
  <si>
    <t>BEJ8I7KTE</t>
  </si>
  <si>
    <t>C01476</t>
  </si>
  <si>
    <t>HB1476</t>
  </si>
  <si>
    <t>R01476</t>
  </si>
  <si>
    <t>DT1476</t>
  </si>
  <si>
    <t>B4X7K0N3Y</t>
  </si>
  <si>
    <t>C01477</t>
  </si>
  <si>
    <t>HB1477</t>
  </si>
  <si>
    <t>R01477</t>
  </si>
  <si>
    <t>DT1477</t>
  </si>
  <si>
    <t>BD88TAPUS</t>
  </si>
  <si>
    <t>C01478</t>
  </si>
  <si>
    <t>HB1478</t>
  </si>
  <si>
    <t>R01478</t>
  </si>
  <si>
    <t>DT1478</t>
  </si>
  <si>
    <t>B47R05VM4</t>
  </si>
  <si>
    <t>C01479</t>
  </si>
  <si>
    <t>HB1479</t>
  </si>
  <si>
    <t>R01479</t>
  </si>
  <si>
    <t>DT1479</t>
  </si>
  <si>
    <t>BNJRB6G7M</t>
  </si>
  <si>
    <t>C01480</t>
  </si>
  <si>
    <t>HB1480</t>
  </si>
  <si>
    <t>R01480</t>
  </si>
  <si>
    <t>DT1480</t>
  </si>
  <si>
    <t>B5EJKUBW7</t>
  </si>
  <si>
    <t>C01481</t>
  </si>
  <si>
    <t>HB1481</t>
  </si>
  <si>
    <t>R01481</t>
  </si>
  <si>
    <t>DT1481</t>
  </si>
  <si>
    <t>BP56HVO5N</t>
  </si>
  <si>
    <t>C01482</t>
  </si>
  <si>
    <t>HB1482</t>
  </si>
  <si>
    <t>R01482</t>
  </si>
  <si>
    <t>DT1482</t>
  </si>
  <si>
    <t>BOGHC99HZ</t>
  </si>
  <si>
    <t>C01483</t>
  </si>
  <si>
    <t>HB1483</t>
  </si>
  <si>
    <t>R01483</t>
  </si>
  <si>
    <t>DT1483</t>
  </si>
  <si>
    <t>B786ABQR8</t>
  </si>
  <si>
    <t>C01484</t>
  </si>
  <si>
    <t>HB1484</t>
  </si>
  <si>
    <t>R01484</t>
  </si>
  <si>
    <t>DT1484</t>
  </si>
  <si>
    <t>BYONPXKHH</t>
  </si>
  <si>
    <t>C01485</t>
  </si>
  <si>
    <t>HB1485</t>
  </si>
  <si>
    <t>R01485</t>
  </si>
  <si>
    <t>DT1485</t>
  </si>
  <si>
    <t>BR2VB4JMH</t>
  </si>
  <si>
    <t>C01486</t>
  </si>
  <si>
    <t>HB1486</t>
  </si>
  <si>
    <t>R01486</t>
  </si>
  <si>
    <t>DT1486</t>
  </si>
  <si>
    <t>BILHR9ZA3</t>
  </si>
  <si>
    <t>C01487</t>
  </si>
  <si>
    <t>HB1487</t>
  </si>
  <si>
    <t>R01487</t>
  </si>
  <si>
    <t>DT1487</t>
  </si>
  <si>
    <t>BH4BA6VNT</t>
  </si>
  <si>
    <t>C01488</t>
  </si>
  <si>
    <t>HB1488</t>
  </si>
  <si>
    <t>R01488</t>
  </si>
  <si>
    <t>DT1488</t>
  </si>
  <si>
    <t>BNBDT37QY</t>
  </si>
  <si>
    <t>C01489</t>
  </si>
  <si>
    <t>HB1489</t>
  </si>
  <si>
    <t>R01489</t>
  </si>
  <si>
    <t>DT1489</t>
  </si>
  <si>
    <t>BR1AJ1DAB</t>
  </si>
  <si>
    <t>C01490</t>
  </si>
  <si>
    <t>HB1490</t>
  </si>
  <si>
    <t>R01490</t>
  </si>
  <si>
    <t>DT1490</t>
  </si>
  <si>
    <t>BXR49V7JN</t>
  </si>
  <si>
    <t>C01491</t>
  </si>
  <si>
    <t>HB1491</t>
  </si>
  <si>
    <t>R01491</t>
  </si>
  <si>
    <t>DT1491</t>
  </si>
  <si>
    <t>BP9ON6R8G</t>
  </si>
  <si>
    <t>C01492</t>
  </si>
  <si>
    <t>HB1492</t>
  </si>
  <si>
    <t>R01492</t>
  </si>
  <si>
    <t>DT1492</t>
  </si>
  <si>
    <t>B7GG6CEQ2</t>
  </si>
  <si>
    <t>C01493</t>
  </si>
  <si>
    <t>HB1493</t>
  </si>
  <si>
    <t>R01493</t>
  </si>
  <si>
    <t>DT1493</t>
  </si>
  <si>
    <t>BD0LKD9G2</t>
  </si>
  <si>
    <t>C01494</t>
  </si>
  <si>
    <t>HB1494</t>
  </si>
  <si>
    <t>R01494</t>
  </si>
  <si>
    <t>DT1494</t>
  </si>
  <si>
    <t>BUU8DPDCP</t>
  </si>
  <si>
    <t>C01495</t>
  </si>
  <si>
    <t>HB1495</t>
  </si>
  <si>
    <t>R01495</t>
  </si>
  <si>
    <t>DT1495</t>
  </si>
  <si>
    <t>BYE5LLX2A</t>
  </si>
  <si>
    <t>C01496</t>
  </si>
  <si>
    <t>HB1496</t>
  </si>
  <si>
    <t>R01496</t>
  </si>
  <si>
    <t>DT1496</t>
  </si>
  <si>
    <t>BZ46T0RKQ</t>
  </si>
  <si>
    <t>C01497</t>
  </si>
  <si>
    <t>HB1497</t>
  </si>
  <si>
    <t>R01497</t>
  </si>
  <si>
    <t>DT1497</t>
  </si>
  <si>
    <t>BRU4UICC1</t>
  </si>
  <si>
    <t>C01498</t>
  </si>
  <si>
    <t>HB1498</t>
  </si>
  <si>
    <t>R01498</t>
  </si>
  <si>
    <t>DT1498</t>
  </si>
  <si>
    <t>BTFP9UOBX</t>
  </si>
  <si>
    <t>C01499</t>
  </si>
  <si>
    <t>HB1499</t>
  </si>
  <si>
    <t>R01499</t>
  </si>
  <si>
    <t>DT1499</t>
  </si>
  <si>
    <t>BGZU2NACO</t>
  </si>
  <si>
    <t>C01500</t>
  </si>
  <si>
    <t>HB1500</t>
  </si>
  <si>
    <t>R01500</t>
  </si>
  <si>
    <t>DT1500</t>
  </si>
  <si>
    <t>BGSKJ8PPJ</t>
  </si>
  <si>
    <t>C01501</t>
  </si>
  <si>
    <t>HB1501</t>
  </si>
  <si>
    <t>R01501</t>
  </si>
  <si>
    <t>DT1501</t>
  </si>
  <si>
    <t>BAOZJSOQD</t>
  </si>
  <si>
    <t>C01502</t>
  </si>
  <si>
    <t>HB1502</t>
  </si>
  <si>
    <t>R01502</t>
  </si>
  <si>
    <t>DT1502</t>
  </si>
  <si>
    <t>B2FUJCHBE</t>
  </si>
  <si>
    <t>C01503</t>
  </si>
  <si>
    <t>HB1503</t>
  </si>
  <si>
    <t>R01503</t>
  </si>
  <si>
    <t>DT1503</t>
  </si>
  <si>
    <t>BL8UZLN25</t>
  </si>
  <si>
    <t>C01504</t>
  </si>
  <si>
    <t>Rohan Iyer</t>
  </si>
  <si>
    <t>HB1504</t>
  </si>
  <si>
    <t>R01504</t>
  </si>
  <si>
    <t>DT1504</t>
  </si>
  <si>
    <t>BS3AXJF25</t>
  </si>
  <si>
    <t>C01505</t>
  </si>
  <si>
    <t>HB1505</t>
  </si>
  <si>
    <t>R01505</t>
  </si>
  <si>
    <t>DT1505</t>
  </si>
  <si>
    <t>BP0ZID5A4</t>
  </si>
  <si>
    <t>C01506</t>
  </si>
  <si>
    <t>HB1506</t>
  </si>
  <si>
    <t>R01506</t>
  </si>
  <si>
    <t>DT1506</t>
  </si>
  <si>
    <t>B7E4C5PBU</t>
  </si>
  <si>
    <t>C01507</t>
  </si>
  <si>
    <t>HB1507</t>
  </si>
  <si>
    <t>R01507</t>
  </si>
  <si>
    <t>DT1507</t>
  </si>
  <si>
    <t>BHU7NXNW3</t>
  </si>
  <si>
    <t>C01508</t>
  </si>
  <si>
    <t>HB1508</t>
  </si>
  <si>
    <t>R01508</t>
  </si>
  <si>
    <t>DT1508</t>
  </si>
  <si>
    <t>BUDTXCY1R</t>
  </si>
  <si>
    <t>C01509</t>
  </si>
  <si>
    <t>HB1509</t>
  </si>
  <si>
    <t>R01509</t>
  </si>
  <si>
    <t>DT1509</t>
  </si>
  <si>
    <t>BWOONXZNL</t>
  </si>
  <si>
    <t>C01510</t>
  </si>
  <si>
    <t>HB1510</t>
  </si>
  <si>
    <t>R01510</t>
  </si>
  <si>
    <t>DT1510</t>
  </si>
  <si>
    <t>BXYVMDH6W</t>
  </si>
  <si>
    <t>C01511</t>
  </si>
  <si>
    <t>HB1511</t>
  </si>
  <si>
    <t>R01511</t>
  </si>
  <si>
    <t>DT1511</t>
  </si>
  <si>
    <t>BGJWCH13T</t>
  </si>
  <si>
    <t>C01512</t>
  </si>
  <si>
    <t>HB1512</t>
  </si>
  <si>
    <t>R01512</t>
  </si>
  <si>
    <t>DT1512</t>
  </si>
  <si>
    <t>BJU550P68</t>
  </si>
  <si>
    <t>C01513</t>
  </si>
  <si>
    <t>HB1513</t>
  </si>
  <si>
    <t>R01513</t>
  </si>
  <si>
    <t>DT1513</t>
  </si>
  <si>
    <t>B0TMGQPE8</t>
  </si>
  <si>
    <t>C01514</t>
  </si>
  <si>
    <t>HB1514</t>
  </si>
  <si>
    <t>R01514</t>
  </si>
  <si>
    <t>DT1514</t>
  </si>
  <si>
    <t>BILI1N2YC</t>
  </si>
  <si>
    <t>C01515</t>
  </si>
  <si>
    <t>HB1515</t>
  </si>
  <si>
    <t>R01515</t>
  </si>
  <si>
    <t>DT1515</t>
  </si>
  <si>
    <t>BEP5KUPFK</t>
  </si>
  <si>
    <t>C01516</t>
  </si>
  <si>
    <t>HB1516</t>
  </si>
  <si>
    <t>R01516</t>
  </si>
  <si>
    <t>DT1516</t>
  </si>
  <si>
    <t>BQW2BJ6FF</t>
  </si>
  <si>
    <t>C01517</t>
  </si>
  <si>
    <t>HB1517</t>
  </si>
  <si>
    <t>R01517</t>
  </si>
  <si>
    <t>DT1517</t>
  </si>
  <si>
    <t>BAU5R5LG0</t>
  </si>
  <si>
    <t>C01518</t>
  </si>
  <si>
    <t>HB1518</t>
  </si>
  <si>
    <t>R01518</t>
  </si>
  <si>
    <t>DT1518</t>
  </si>
  <si>
    <t>BHFAHOXJB</t>
  </si>
  <si>
    <t>C01519</t>
  </si>
  <si>
    <t>HB1519</t>
  </si>
  <si>
    <t>R01519</t>
  </si>
  <si>
    <t>DT1519</t>
  </si>
  <si>
    <t>BHYSETIKB</t>
  </si>
  <si>
    <t>C01520</t>
  </si>
  <si>
    <t>HB1520</t>
  </si>
  <si>
    <t>R01520</t>
  </si>
  <si>
    <t>DT1520</t>
  </si>
  <si>
    <t>BM22ERM5T</t>
  </si>
  <si>
    <t>C01521</t>
  </si>
  <si>
    <t>HB1521</t>
  </si>
  <si>
    <t>R01521</t>
  </si>
  <si>
    <t>DT1521</t>
  </si>
  <si>
    <t>BOPTFG2O9</t>
  </si>
  <si>
    <t>C01522</t>
  </si>
  <si>
    <t>HB1522</t>
  </si>
  <si>
    <t>R01522</t>
  </si>
  <si>
    <t>DT1522</t>
  </si>
  <si>
    <t>BKN3T6KB9</t>
  </si>
  <si>
    <t>C01523</t>
  </si>
  <si>
    <t>HB1523</t>
  </si>
  <si>
    <t>R01523</t>
  </si>
  <si>
    <t>DT1523</t>
  </si>
  <si>
    <t>B3FWZ94DY</t>
  </si>
  <si>
    <t>C01524</t>
  </si>
  <si>
    <t>HB1524</t>
  </si>
  <si>
    <t>R01524</t>
  </si>
  <si>
    <t>DT1524</t>
  </si>
  <si>
    <t>BOGNJGABH</t>
  </si>
  <si>
    <t>C01525</t>
  </si>
  <si>
    <t>HB1525</t>
  </si>
  <si>
    <t>R01525</t>
  </si>
  <si>
    <t>DT1525</t>
  </si>
  <si>
    <t>B09AMPTOF</t>
  </si>
  <si>
    <t>C01526</t>
  </si>
  <si>
    <t>HB1526</t>
  </si>
  <si>
    <t>R01526</t>
  </si>
  <si>
    <t>DT1526</t>
  </si>
  <si>
    <t>B2YC5UB6L</t>
  </si>
  <si>
    <t>C01527</t>
  </si>
  <si>
    <t>HB1527</t>
  </si>
  <si>
    <t>R01527</t>
  </si>
  <si>
    <t>DT1527</t>
  </si>
  <si>
    <t>BWYYHZ4CF</t>
  </si>
  <si>
    <t>C01528</t>
  </si>
  <si>
    <t>HB1528</t>
  </si>
  <si>
    <t>R01528</t>
  </si>
  <si>
    <t>DT1528</t>
  </si>
  <si>
    <t>BV3ACSHUG</t>
  </si>
  <si>
    <t>C01529</t>
  </si>
  <si>
    <t>HB1529</t>
  </si>
  <si>
    <t>R01529</t>
  </si>
  <si>
    <t>DT1529</t>
  </si>
  <si>
    <t>BXUEEZ21P</t>
  </si>
  <si>
    <t>C01530</t>
  </si>
  <si>
    <t>HB1530</t>
  </si>
  <si>
    <t>R01530</t>
  </si>
  <si>
    <t>DT1530</t>
  </si>
  <si>
    <t>B26ZNL6HR</t>
  </si>
  <si>
    <t>C01531</t>
  </si>
  <si>
    <t>HB1531</t>
  </si>
  <si>
    <t>R01531</t>
  </si>
  <si>
    <t>DT1531</t>
  </si>
  <si>
    <t>BMUZWVLOM</t>
  </si>
  <si>
    <t>C01532</t>
  </si>
  <si>
    <t>HB1532</t>
  </si>
  <si>
    <t>R01532</t>
  </si>
  <si>
    <t>DT1532</t>
  </si>
  <si>
    <t>BHZD71286</t>
  </si>
  <si>
    <t>C01533</t>
  </si>
  <si>
    <t>HB1533</t>
  </si>
  <si>
    <t>R01533</t>
  </si>
  <si>
    <t>DT1533</t>
  </si>
  <si>
    <t>B5K9YELDA</t>
  </si>
  <si>
    <t>C01534</t>
  </si>
  <si>
    <t>HB1534</t>
  </si>
  <si>
    <t>R01534</t>
  </si>
  <si>
    <t>DT1534</t>
  </si>
  <si>
    <t>B8GN1OCVD</t>
  </si>
  <si>
    <t>C01535</t>
  </si>
  <si>
    <t>HB1535</t>
  </si>
  <si>
    <t>R01535</t>
  </si>
  <si>
    <t>DT1535</t>
  </si>
  <si>
    <t>BL9HJABM8</t>
  </si>
  <si>
    <t>C01536</t>
  </si>
  <si>
    <t>HB1536</t>
  </si>
  <si>
    <t>R01536</t>
  </si>
  <si>
    <t>DT1536</t>
  </si>
  <si>
    <t>B69B0VK8F</t>
  </si>
  <si>
    <t>C01537</t>
  </si>
  <si>
    <t>HB1537</t>
  </si>
  <si>
    <t>R01537</t>
  </si>
  <si>
    <t>DT1537</t>
  </si>
  <si>
    <t>BF14M6MW6</t>
  </si>
  <si>
    <t>C01538</t>
  </si>
  <si>
    <t>HB1538</t>
  </si>
  <si>
    <t>R01538</t>
  </si>
  <si>
    <t>DT1538</t>
  </si>
  <si>
    <t>BM6H3EDX1</t>
  </si>
  <si>
    <t>C01539</t>
  </si>
  <si>
    <t>HB1539</t>
  </si>
  <si>
    <t>R01539</t>
  </si>
  <si>
    <t>DT1539</t>
  </si>
  <si>
    <t>B5J3ZEU3X</t>
  </si>
  <si>
    <t>C01540</t>
  </si>
  <si>
    <t>HB1540</t>
  </si>
  <si>
    <t>R01540</t>
  </si>
  <si>
    <t>DT1540</t>
  </si>
  <si>
    <t>BT8NEIAEH</t>
  </si>
  <si>
    <t>C01541</t>
  </si>
  <si>
    <t>HB1541</t>
  </si>
  <si>
    <t>R01541</t>
  </si>
  <si>
    <t>DT1541</t>
  </si>
  <si>
    <t>B7IHDE23C</t>
  </si>
  <si>
    <t>C01542</t>
  </si>
  <si>
    <t>HB1542</t>
  </si>
  <si>
    <t>R01542</t>
  </si>
  <si>
    <t>DT1542</t>
  </si>
  <si>
    <t>BEHZNGMV8</t>
  </si>
  <si>
    <t>C01543</t>
  </si>
  <si>
    <t>HB1543</t>
  </si>
  <si>
    <t>R01543</t>
  </si>
  <si>
    <t>DT1543</t>
  </si>
  <si>
    <t>BM9JUJQHH</t>
  </si>
  <si>
    <t>C01544</t>
  </si>
  <si>
    <t>HB1544</t>
  </si>
  <si>
    <t>R01544</t>
  </si>
  <si>
    <t>DT1544</t>
  </si>
  <si>
    <t>BHY86J5MS</t>
  </si>
  <si>
    <t>C01545</t>
  </si>
  <si>
    <t>HB1545</t>
  </si>
  <si>
    <t>R01545</t>
  </si>
  <si>
    <t>DT1545</t>
  </si>
  <si>
    <t>BJ0SU863D</t>
  </si>
  <si>
    <t>C01546</t>
  </si>
  <si>
    <t>HB1546</t>
  </si>
  <si>
    <t>R01546</t>
  </si>
  <si>
    <t>DT1546</t>
  </si>
  <si>
    <t>B3B0C5U8Y</t>
  </si>
  <si>
    <t>C01547</t>
  </si>
  <si>
    <t>HB1547</t>
  </si>
  <si>
    <t>R01547</t>
  </si>
  <si>
    <t>DT1547</t>
  </si>
  <si>
    <t>B100YOHUM</t>
  </si>
  <si>
    <t>C01548</t>
  </si>
  <si>
    <t>HB1548</t>
  </si>
  <si>
    <t>R01548</t>
  </si>
  <si>
    <t>DT1548</t>
  </si>
  <si>
    <t>BV2GWUFQG</t>
  </si>
  <si>
    <t>C01549</t>
  </si>
  <si>
    <t>HB1549</t>
  </si>
  <si>
    <t>R01549</t>
  </si>
  <si>
    <t>DT1549</t>
  </si>
  <si>
    <t>B1NKGXKQ6</t>
  </si>
  <si>
    <t>C01550</t>
  </si>
  <si>
    <t>HB1550</t>
  </si>
  <si>
    <t>R01550</t>
  </si>
  <si>
    <t>DT1550</t>
  </si>
  <si>
    <t>B42J07ILB</t>
  </si>
  <si>
    <t>C01551</t>
  </si>
  <si>
    <t>HB1551</t>
  </si>
  <si>
    <t>R01551</t>
  </si>
  <si>
    <t>DT1551</t>
  </si>
  <si>
    <t>BOOFPTFWV</t>
  </si>
  <si>
    <t>C01552</t>
  </si>
  <si>
    <t>HB1552</t>
  </si>
  <si>
    <t>R01552</t>
  </si>
  <si>
    <t>DT1552</t>
  </si>
  <si>
    <t>BPY34XX4T</t>
  </si>
  <si>
    <t>C01553</t>
  </si>
  <si>
    <t>HB1553</t>
  </si>
  <si>
    <t>R01553</t>
  </si>
  <si>
    <t>DT1553</t>
  </si>
  <si>
    <t>B7EWVOL6S</t>
  </si>
  <si>
    <t>C01554</t>
  </si>
  <si>
    <t>HB1554</t>
  </si>
  <si>
    <t>R01554</t>
  </si>
  <si>
    <t>DT1554</t>
  </si>
  <si>
    <t>B0J3IKYQU</t>
  </si>
  <si>
    <t>C01555</t>
  </si>
  <si>
    <t>HB1555</t>
  </si>
  <si>
    <t>R01555</t>
  </si>
  <si>
    <t>DT1555</t>
  </si>
  <si>
    <t>BU8DVNQFS</t>
  </si>
  <si>
    <t>C01556</t>
  </si>
  <si>
    <t>HB1556</t>
  </si>
  <si>
    <t>R01556</t>
  </si>
  <si>
    <t>DT1556</t>
  </si>
  <si>
    <t>B9XSBMWDG</t>
  </si>
  <si>
    <t>C01557</t>
  </si>
  <si>
    <t>HB1557</t>
  </si>
  <si>
    <t>R01557</t>
  </si>
  <si>
    <t>DT1557</t>
  </si>
  <si>
    <t>B61WLPNP0</t>
  </si>
  <si>
    <t>C01558</t>
  </si>
  <si>
    <t>HB1558</t>
  </si>
  <si>
    <t>R01558</t>
  </si>
  <si>
    <t>DT1558</t>
  </si>
  <si>
    <t>BGQEYNNSD</t>
  </si>
  <si>
    <t>C01559</t>
  </si>
  <si>
    <t>HB1559</t>
  </si>
  <si>
    <t>R01559</t>
  </si>
  <si>
    <t>DT1559</t>
  </si>
  <si>
    <t>BWQ9XC29Y</t>
  </si>
  <si>
    <t>C01560</t>
  </si>
  <si>
    <t>HB1560</t>
  </si>
  <si>
    <t>R01560</t>
  </si>
  <si>
    <t>DT1560</t>
  </si>
  <si>
    <t>BUG3NC79W</t>
  </si>
  <si>
    <t>C01561</t>
  </si>
  <si>
    <t>HB1561</t>
  </si>
  <si>
    <t>R01561</t>
  </si>
  <si>
    <t>DT1561</t>
  </si>
  <si>
    <t>BGW2KULLK</t>
  </si>
  <si>
    <t>C01562</t>
  </si>
  <si>
    <t>HB1562</t>
  </si>
  <si>
    <t>R01562</t>
  </si>
  <si>
    <t>DT1562</t>
  </si>
  <si>
    <t>BDVX5UQIN</t>
  </si>
  <si>
    <t>C01563</t>
  </si>
  <si>
    <t>HB1563</t>
  </si>
  <si>
    <t>R01563</t>
  </si>
  <si>
    <t>DT1563</t>
  </si>
  <si>
    <t>BPV4M95RP</t>
  </si>
  <si>
    <t>C01564</t>
  </si>
  <si>
    <t>HB1564</t>
  </si>
  <si>
    <t>R01564</t>
  </si>
  <si>
    <t>DT1564</t>
  </si>
  <si>
    <t>BYW4JUNR3</t>
  </si>
  <si>
    <t>C01565</t>
  </si>
  <si>
    <t>HB1565</t>
  </si>
  <si>
    <t>R01565</t>
  </si>
  <si>
    <t>DT1565</t>
  </si>
  <si>
    <t>BEWQEQ7J8</t>
  </si>
  <si>
    <t>C01566</t>
  </si>
  <si>
    <t>HB1566</t>
  </si>
  <si>
    <t>R01566</t>
  </si>
  <si>
    <t>DT1566</t>
  </si>
  <si>
    <t>BSQ0QQ5CI</t>
  </si>
  <si>
    <t>C01567</t>
  </si>
  <si>
    <t>HB1567</t>
  </si>
  <si>
    <t>R01567</t>
  </si>
  <si>
    <t>DT1567</t>
  </si>
  <si>
    <t>BDDVYYQM4</t>
  </si>
  <si>
    <t>C01568</t>
  </si>
  <si>
    <t>HB1568</t>
  </si>
  <si>
    <t>R01568</t>
  </si>
  <si>
    <t>DT1568</t>
  </si>
  <si>
    <t>BXYIKPD4L</t>
  </si>
  <si>
    <t>C01569</t>
  </si>
  <si>
    <t>HB1569</t>
  </si>
  <si>
    <t>R01569</t>
  </si>
  <si>
    <t>DT1569</t>
  </si>
  <si>
    <t>BBNCIBSXI</t>
  </si>
  <si>
    <t>C01570</t>
  </si>
  <si>
    <t>HB1570</t>
  </si>
  <si>
    <t>R01570</t>
  </si>
  <si>
    <t>DT1570</t>
  </si>
  <si>
    <t>BME59HL13</t>
  </si>
  <si>
    <t>C01571</t>
  </si>
  <si>
    <t>HB1571</t>
  </si>
  <si>
    <t>R01571</t>
  </si>
  <si>
    <t>DT1571</t>
  </si>
  <si>
    <t>B41NQXUC1</t>
  </si>
  <si>
    <t>C01572</t>
  </si>
  <si>
    <t>HB1572</t>
  </si>
  <si>
    <t>R01572</t>
  </si>
  <si>
    <t>DT1572</t>
  </si>
  <si>
    <t>BG0AZDKKQ</t>
  </si>
  <si>
    <t>C01573</t>
  </si>
  <si>
    <t>HB1573</t>
  </si>
  <si>
    <t>R01573</t>
  </si>
  <si>
    <t>DT1573</t>
  </si>
  <si>
    <t>B5PMYFKZC</t>
  </si>
  <si>
    <t>C01574</t>
  </si>
  <si>
    <t>HB1574</t>
  </si>
  <si>
    <t>R01574</t>
  </si>
  <si>
    <t>DT1574</t>
  </si>
  <si>
    <t>B5NTH8GIH</t>
  </si>
  <si>
    <t>C01575</t>
  </si>
  <si>
    <t>HB1575</t>
  </si>
  <si>
    <t>R01575</t>
  </si>
  <si>
    <t>DT1575</t>
  </si>
  <si>
    <t>BJ1S4P845</t>
  </si>
  <si>
    <t>C01576</t>
  </si>
  <si>
    <t>HB1576</t>
  </si>
  <si>
    <t>R01576</t>
  </si>
  <si>
    <t>DT1576</t>
  </si>
  <si>
    <t>BVJJ2X9JH</t>
  </si>
  <si>
    <t>C01577</t>
  </si>
  <si>
    <t>HB1577</t>
  </si>
  <si>
    <t>R01577</t>
  </si>
  <si>
    <t>DT1577</t>
  </si>
  <si>
    <t>B0G1C3R52</t>
  </si>
  <si>
    <t>C01578</t>
  </si>
  <si>
    <t>Henry Iyer</t>
  </si>
  <si>
    <t>HB1578</t>
  </si>
  <si>
    <t>R01578</t>
  </si>
  <si>
    <t>DT1578</t>
  </si>
  <si>
    <t>BSQ49BC6T</t>
  </si>
  <si>
    <t>C01579</t>
  </si>
  <si>
    <t>HB1579</t>
  </si>
  <si>
    <t>R01579</t>
  </si>
  <si>
    <t>DT1579</t>
  </si>
  <si>
    <t>BKAXJZJL5</t>
  </si>
  <si>
    <t>C01580</t>
  </si>
  <si>
    <t>HB1580</t>
  </si>
  <si>
    <t>R01580</t>
  </si>
  <si>
    <t>DT1580</t>
  </si>
  <si>
    <t>BU2C5AJ0Y</t>
  </si>
  <si>
    <t>C01581</t>
  </si>
  <si>
    <t>HB1581</t>
  </si>
  <si>
    <t>R01581</t>
  </si>
  <si>
    <t>DT1581</t>
  </si>
  <si>
    <t>B2G5AATS0</t>
  </si>
  <si>
    <t>C01582</t>
  </si>
  <si>
    <t>HB1582</t>
  </si>
  <si>
    <t>R01582</t>
  </si>
  <si>
    <t>DT1582</t>
  </si>
  <si>
    <t>BFGN7PU0G</t>
  </si>
  <si>
    <t>C01583</t>
  </si>
  <si>
    <t>HB1583</t>
  </si>
  <si>
    <t>R01583</t>
  </si>
  <si>
    <t>DT1583</t>
  </si>
  <si>
    <t>BZRFO7ZCY</t>
  </si>
  <si>
    <t>C01584</t>
  </si>
  <si>
    <t>HB1584</t>
  </si>
  <si>
    <t>R01584</t>
  </si>
  <si>
    <t>DT1584</t>
  </si>
  <si>
    <t>B3L329L6H</t>
  </si>
  <si>
    <t>C01585</t>
  </si>
  <si>
    <t>HB1585</t>
  </si>
  <si>
    <t>R01585</t>
  </si>
  <si>
    <t>DT1585</t>
  </si>
  <si>
    <t>BXR7P4EV1</t>
  </si>
  <si>
    <t>C01586</t>
  </si>
  <si>
    <t>HB1586</t>
  </si>
  <si>
    <t>R01586</t>
  </si>
  <si>
    <t>DT1586</t>
  </si>
  <si>
    <t>BP41BX176</t>
  </si>
  <si>
    <t>C01587</t>
  </si>
  <si>
    <t>HB1587</t>
  </si>
  <si>
    <t>R01587</t>
  </si>
  <si>
    <t>DT1587</t>
  </si>
  <si>
    <t>B6OZOZENJ</t>
  </si>
  <si>
    <t>C01588</t>
  </si>
  <si>
    <t>HB1588</t>
  </si>
  <si>
    <t>R01588</t>
  </si>
  <si>
    <t>DT1588</t>
  </si>
  <si>
    <t>B4HBQ9E40</t>
  </si>
  <si>
    <t>C01589</t>
  </si>
  <si>
    <t>Gaurav Sharma</t>
  </si>
  <si>
    <t>HB1589</t>
  </si>
  <si>
    <t>R01589</t>
  </si>
  <si>
    <t>DT1589</t>
  </si>
  <si>
    <t>BIGUC3GT0</t>
  </si>
  <si>
    <t>C01590</t>
  </si>
  <si>
    <t>HB1590</t>
  </si>
  <si>
    <t>R01590</t>
  </si>
  <si>
    <t>DT1590</t>
  </si>
  <si>
    <t>B8V59CC30</t>
  </si>
  <si>
    <t>C01591</t>
  </si>
  <si>
    <t>HB1591</t>
  </si>
  <si>
    <t>R01591</t>
  </si>
  <si>
    <t>DT1591</t>
  </si>
  <si>
    <t>BKY2O50KO</t>
  </si>
  <si>
    <t>C01592</t>
  </si>
  <si>
    <t>HB1592</t>
  </si>
  <si>
    <t>R01592</t>
  </si>
  <si>
    <t>DT1592</t>
  </si>
  <si>
    <t>B0Z11KDBC</t>
  </si>
  <si>
    <t>C01593</t>
  </si>
  <si>
    <t>HB1593</t>
  </si>
  <si>
    <t>R01593</t>
  </si>
  <si>
    <t>DT1593</t>
  </si>
  <si>
    <t>BP5ONYSYT</t>
  </si>
  <si>
    <t>C01594</t>
  </si>
  <si>
    <t>HB1594</t>
  </si>
  <si>
    <t>R01594</t>
  </si>
  <si>
    <t>DT1594</t>
  </si>
  <si>
    <t>BA3J8RI8U</t>
  </si>
  <si>
    <t>C01595</t>
  </si>
  <si>
    <t>HB1595</t>
  </si>
  <si>
    <t>R01595</t>
  </si>
  <si>
    <t>DT1595</t>
  </si>
  <si>
    <t>BL4Z29DLB</t>
  </si>
  <si>
    <t>C01596</t>
  </si>
  <si>
    <t>HB1596</t>
  </si>
  <si>
    <t>R01596</t>
  </si>
  <si>
    <t>DT1596</t>
  </si>
  <si>
    <t>B62V8FCV4</t>
  </si>
  <si>
    <t>C01597</t>
  </si>
  <si>
    <t>HB1597</t>
  </si>
  <si>
    <t>R01597</t>
  </si>
  <si>
    <t>DT1597</t>
  </si>
  <si>
    <t>BIZ0R591J</t>
  </si>
  <si>
    <t>C01598</t>
  </si>
  <si>
    <t>HB1598</t>
  </si>
  <si>
    <t>R01598</t>
  </si>
  <si>
    <t>DT1598</t>
  </si>
  <si>
    <t>BDVOJ5I4K</t>
  </si>
  <si>
    <t>C01599</t>
  </si>
  <si>
    <t>HB1599</t>
  </si>
  <si>
    <t>R01599</t>
  </si>
  <si>
    <t>DT1599</t>
  </si>
  <si>
    <t>B8XVYAU87</t>
  </si>
  <si>
    <t>C01600</t>
  </si>
  <si>
    <t>HB1600</t>
  </si>
  <si>
    <t>R01600</t>
  </si>
  <si>
    <t>DT1600</t>
  </si>
  <si>
    <t>B4B86ZU04</t>
  </si>
  <si>
    <t>C01601</t>
  </si>
  <si>
    <t>HB1601</t>
  </si>
  <si>
    <t>R01601</t>
  </si>
  <si>
    <t>DT1601</t>
  </si>
  <si>
    <t>BGPNEMYTU</t>
  </si>
  <si>
    <t>C01602</t>
  </si>
  <si>
    <t>HB1602</t>
  </si>
  <si>
    <t>R01602</t>
  </si>
  <si>
    <t>DT1602</t>
  </si>
  <si>
    <t>BGCFX3ND7</t>
  </si>
  <si>
    <t>C01603</t>
  </si>
  <si>
    <t>HB1603</t>
  </si>
  <si>
    <t>R01603</t>
  </si>
  <si>
    <t>DT1603</t>
  </si>
  <si>
    <t>BCCXWI2TH</t>
  </si>
  <si>
    <t>C01604</t>
  </si>
  <si>
    <t>HB1604</t>
  </si>
  <si>
    <t>R01604</t>
  </si>
  <si>
    <t>DT1604</t>
  </si>
  <si>
    <t>B8I0QP0YW</t>
  </si>
  <si>
    <t>C01605</t>
  </si>
  <si>
    <t>HB1605</t>
  </si>
  <si>
    <t>R01605</t>
  </si>
  <si>
    <t>DT1605</t>
  </si>
  <si>
    <t>BVJARJKC9</t>
  </si>
  <si>
    <t>C01606</t>
  </si>
  <si>
    <t>HB1606</t>
  </si>
  <si>
    <t>R01606</t>
  </si>
  <si>
    <t>DT1606</t>
  </si>
  <si>
    <t>B3L8WJES9</t>
  </si>
  <si>
    <t>C01607</t>
  </si>
  <si>
    <t>HB1607</t>
  </si>
  <si>
    <t>R01607</t>
  </si>
  <si>
    <t>DT1607</t>
  </si>
  <si>
    <t>B14I07HMD</t>
  </si>
  <si>
    <t>C01608</t>
  </si>
  <si>
    <t>HB1608</t>
  </si>
  <si>
    <t>R01608</t>
  </si>
  <si>
    <t>DT1608</t>
  </si>
  <si>
    <t>BQYBG880N</t>
  </si>
  <si>
    <t>C01609</t>
  </si>
  <si>
    <t>HB1609</t>
  </si>
  <si>
    <t>R01609</t>
  </si>
  <si>
    <t>DT1609</t>
  </si>
  <si>
    <t>BTXBRU5HV</t>
  </si>
  <si>
    <t>C01610</t>
  </si>
  <si>
    <t>HB1610</t>
  </si>
  <si>
    <t>R01610</t>
  </si>
  <si>
    <t>DT1610</t>
  </si>
  <si>
    <t>B3AA16FUX</t>
  </si>
  <si>
    <t>C01611</t>
  </si>
  <si>
    <t>HB1611</t>
  </si>
  <si>
    <t>R01611</t>
  </si>
  <si>
    <t>DT1611</t>
  </si>
  <si>
    <t>BP9I7SUNT</t>
  </si>
  <si>
    <t>C01612</t>
  </si>
  <si>
    <t>HB1612</t>
  </si>
  <si>
    <t>R01612</t>
  </si>
  <si>
    <t>DT1612</t>
  </si>
  <si>
    <t>BUGKJFHMU</t>
  </si>
  <si>
    <t>C01613</t>
  </si>
  <si>
    <t>HB1613</t>
  </si>
  <si>
    <t>R01613</t>
  </si>
  <si>
    <t>DT1613</t>
  </si>
  <si>
    <t>BG1BFBRN9</t>
  </si>
  <si>
    <t>C01614</t>
  </si>
  <si>
    <t>HB1614</t>
  </si>
  <si>
    <t>R01614</t>
  </si>
  <si>
    <t>DT1614</t>
  </si>
  <si>
    <t>BT4HOXVD6</t>
  </si>
  <si>
    <t>C01615</t>
  </si>
  <si>
    <t>HB1615</t>
  </si>
  <si>
    <t>R01615</t>
  </si>
  <si>
    <t>DT1615</t>
  </si>
  <si>
    <t>BTJMJIQ34</t>
  </si>
  <si>
    <t>C01616</t>
  </si>
  <si>
    <t>HB1616</t>
  </si>
  <si>
    <t>R01616</t>
  </si>
  <si>
    <t>DT1616</t>
  </si>
  <si>
    <t>BYCR95N28</t>
  </si>
  <si>
    <t>C01617</t>
  </si>
  <si>
    <t>HB1617</t>
  </si>
  <si>
    <t>R01617</t>
  </si>
  <si>
    <t>DT1617</t>
  </si>
  <si>
    <t>BQBBEJAGX</t>
  </si>
  <si>
    <t>C01618</t>
  </si>
  <si>
    <t>HB1618</t>
  </si>
  <si>
    <t>R01618</t>
  </si>
  <si>
    <t>DT1618</t>
  </si>
  <si>
    <t>BG5V2NVKH</t>
  </si>
  <si>
    <t>C01619</t>
  </si>
  <si>
    <t>HB1619</t>
  </si>
  <si>
    <t>R01619</t>
  </si>
  <si>
    <t>DT1619</t>
  </si>
  <si>
    <t>BZCDKPLO8</t>
  </si>
  <si>
    <t>C01620</t>
  </si>
  <si>
    <t>HB1620</t>
  </si>
  <si>
    <t>R01620</t>
  </si>
  <si>
    <t>DT1620</t>
  </si>
  <si>
    <t>B78XBP8Z1</t>
  </si>
  <si>
    <t>C01621</t>
  </si>
  <si>
    <t>HB1621</t>
  </si>
  <si>
    <t>R01621</t>
  </si>
  <si>
    <t>DT1621</t>
  </si>
  <si>
    <t>BZQLMBZYH</t>
  </si>
  <si>
    <t>C01622</t>
  </si>
  <si>
    <t>HB1622</t>
  </si>
  <si>
    <t>R01622</t>
  </si>
  <si>
    <t>DT1622</t>
  </si>
  <si>
    <t>BZWPISSIJ</t>
  </si>
  <si>
    <t>C01623</t>
  </si>
  <si>
    <t>HB1623</t>
  </si>
  <si>
    <t>R01623</t>
  </si>
  <si>
    <t>DT1623</t>
  </si>
  <si>
    <t>B8FHG7BZ2</t>
  </si>
  <si>
    <t>C01624</t>
  </si>
  <si>
    <t>HB1624</t>
  </si>
  <si>
    <t>R01624</t>
  </si>
  <si>
    <t>DT1624</t>
  </si>
  <si>
    <t>BE0DSOSQO</t>
  </si>
  <si>
    <t>C01625</t>
  </si>
  <si>
    <t>HB1625</t>
  </si>
  <si>
    <t>R01625</t>
  </si>
  <si>
    <t>DT1625</t>
  </si>
  <si>
    <t>B0D63YECM</t>
  </si>
  <si>
    <t>C01626</t>
  </si>
  <si>
    <t>HB1626</t>
  </si>
  <si>
    <t>R01626</t>
  </si>
  <si>
    <t>DT1626</t>
  </si>
  <si>
    <t>BUFOHHVPN</t>
  </si>
  <si>
    <t>C01627</t>
  </si>
  <si>
    <t>HB1627</t>
  </si>
  <si>
    <t>R01627</t>
  </si>
  <si>
    <t>DT1627</t>
  </si>
  <si>
    <t>BRIQLD49Q</t>
  </si>
  <si>
    <t>C01628</t>
  </si>
  <si>
    <t>HB1628</t>
  </si>
  <si>
    <t>R01628</t>
  </si>
  <si>
    <t>DT1628</t>
  </si>
  <si>
    <t>BIPSY0LJ2</t>
  </si>
  <si>
    <t>C01629</t>
  </si>
  <si>
    <t>HB1629</t>
  </si>
  <si>
    <t>R01629</t>
  </si>
  <si>
    <t>DT1629</t>
  </si>
  <si>
    <t>BYJZ7T6DO</t>
  </si>
  <si>
    <t>C01630</t>
  </si>
  <si>
    <t>HB1630</t>
  </si>
  <si>
    <t>R01630</t>
  </si>
  <si>
    <t>DT1630</t>
  </si>
  <si>
    <t>BQ17ZSBAF</t>
  </si>
  <si>
    <t>C01631</t>
  </si>
  <si>
    <t>HB1631</t>
  </si>
  <si>
    <t>R01631</t>
  </si>
  <si>
    <t>DT1631</t>
  </si>
  <si>
    <t>BOAYOPXOP</t>
  </si>
  <si>
    <t>C01632</t>
  </si>
  <si>
    <t>HB1632</t>
  </si>
  <si>
    <t>R01632</t>
  </si>
  <si>
    <t>DT1632</t>
  </si>
  <si>
    <t>BNZ5Z6UVZ</t>
  </si>
  <si>
    <t>C01633</t>
  </si>
  <si>
    <t>HB1633</t>
  </si>
  <si>
    <t>R01633</t>
  </si>
  <si>
    <t>DT1633</t>
  </si>
  <si>
    <t>BSI9ICA6G</t>
  </si>
  <si>
    <t>C01634</t>
  </si>
  <si>
    <t>HB1634</t>
  </si>
  <si>
    <t>R01634</t>
  </si>
  <si>
    <t>DT1634</t>
  </si>
  <si>
    <t>BZZJOKJLY</t>
  </si>
  <si>
    <t>C01635</t>
  </si>
  <si>
    <t>HB1635</t>
  </si>
  <si>
    <t>R01635</t>
  </si>
  <si>
    <t>DT1635</t>
  </si>
  <si>
    <t>B053K5431</t>
  </si>
  <si>
    <t>C01636</t>
  </si>
  <si>
    <t>HB1636</t>
  </si>
  <si>
    <t>R01636</t>
  </si>
  <si>
    <t>DT1636</t>
  </si>
  <si>
    <t>B0I2HQ985</t>
  </si>
  <si>
    <t>C01637</t>
  </si>
  <si>
    <t>HB1637</t>
  </si>
  <si>
    <t>R01637</t>
  </si>
  <si>
    <t>DT1637</t>
  </si>
  <si>
    <t>BXVT5322O</t>
  </si>
  <si>
    <t>C01638</t>
  </si>
  <si>
    <t>HB1638</t>
  </si>
  <si>
    <t>R01638</t>
  </si>
  <si>
    <t>DT1638</t>
  </si>
  <si>
    <t>BGFRD42YW</t>
  </si>
  <si>
    <t>C01639</t>
  </si>
  <si>
    <t>HB1639</t>
  </si>
  <si>
    <t>R01639</t>
  </si>
  <si>
    <t>DT1639</t>
  </si>
  <si>
    <t>BX9D20GT5</t>
  </si>
  <si>
    <t>C01640</t>
  </si>
  <si>
    <t>HB1640</t>
  </si>
  <si>
    <t>R01640</t>
  </si>
  <si>
    <t>DT1640</t>
  </si>
  <si>
    <t>BU4LBWG25</t>
  </si>
  <si>
    <t>C01641</t>
  </si>
  <si>
    <t>HB1641</t>
  </si>
  <si>
    <t>R01641</t>
  </si>
  <si>
    <t>DT1641</t>
  </si>
  <si>
    <t>BEBNDSL3B</t>
  </si>
  <si>
    <t>C01642</t>
  </si>
  <si>
    <t>HB1642</t>
  </si>
  <si>
    <t>R01642</t>
  </si>
  <si>
    <t>DT1642</t>
  </si>
  <si>
    <t>B8EEGEY50</t>
  </si>
  <si>
    <t>C01643</t>
  </si>
  <si>
    <t>HB1643</t>
  </si>
  <si>
    <t>R01643</t>
  </si>
  <si>
    <t>DT1643</t>
  </si>
  <si>
    <t>BZ1EUWEZL</t>
  </si>
  <si>
    <t>C01644</t>
  </si>
  <si>
    <t>HB1644</t>
  </si>
  <si>
    <t>R01644</t>
  </si>
  <si>
    <t>DT1644</t>
  </si>
  <si>
    <t>BZ23D4B1V</t>
  </si>
  <si>
    <t>C01645</t>
  </si>
  <si>
    <t>HB1645</t>
  </si>
  <si>
    <t>R01645</t>
  </si>
  <si>
    <t>DT1645</t>
  </si>
  <si>
    <t>B9234XDKX</t>
  </si>
  <si>
    <t>C01646</t>
  </si>
  <si>
    <t>HB1646</t>
  </si>
  <si>
    <t>R01646</t>
  </si>
  <si>
    <t>DT1646</t>
  </si>
  <si>
    <t>B25RIXVX4</t>
  </si>
  <si>
    <t>C01647</t>
  </si>
  <si>
    <t>HB1647</t>
  </si>
  <si>
    <t>R01647</t>
  </si>
  <si>
    <t>DT1647</t>
  </si>
  <si>
    <t>BCK7A7K93</t>
  </si>
  <si>
    <t>C01648</t>
  </si>
  <si>
    <t>HB1648</t>
  </si>
  <si>
    <t>R01648</t>
  </si>
  <si>
    <t>DT1648</t>
  </si>
  <si>
    <t>BWWGGRPNX</t>
  </si>
  <si>
    <t>C01649</t>
  </si>
  <si>
    <t>HB1649</t>
  </si>
  <si>
    <t>R01649</t>
  </si>
  <si>
    <t>DT1649</t>
  </si>
  <si>
    <t>BB9LMYQZ5</t>
  </si>
  <si>
    <t>C01650</t>
  </si>
  <si>
    <t>HB1650</t>
  </si>
  <si>
    <t>R01650</t>
  </si>
  <si>
    <t>DT1650</t>
  </si>
  <si>
    <t>BMUE2I0LW</t>
  </si>
  <si>
    <t>C01651</t>
  </si>
  <si>
    <t>HB1651</t>
  </si>
  <si>
    <t>R01651</t>
  </si>
  <si>
    <t>DT1651</t>
  </si>
  <si>
    <t>BS843U73Z</t>
  </si>
  <si>
    <t>C01652</t>
  </si>
  <si>
    <t>HB1652</t>
  </si>
  <si>
    <t>R01652</t>
  </si>
  <si>
    <t>DT1652</t>
  </si>
  <si>
    <t>B1PO9XLCL</t>
  </si>
  <si>
    <t>C01653</t>
  </si>
  <si>
    <t>HB1653</t>
  </si>
  <si>
    <t>R01653</t>
  </si>
  <si>
    <t>DT1653</t>
  </si>
  <si>
    <t>BALXVGPC6</t>
  </si>
  <si>
    <t>C01654</t>
  </si>
  <si>
    <t>HB1654</t>
  </si>
  <si>
    <t>R01654</t>
  </si>
  <si>
    <t>DT1654</t>
  </si>
  <si>
    <t>B4FEOSLIJ</t>
  </si>
  <si>
    <t>C01655</t>
  </si>
  <si>
    <t>HB1655</t>
  </si>
  <si>
    <t>R01655</t>
  </si>
  <si>
    <t>DT1655</t>
  </si>
  <si>
    <t>BQSHE9G1B</t>
  </si>
  <si>
    <t>C01656</t>
  </si>
  <si>
    <t>HB1656</t>
  </si>
  <si>
    <t>R01656</t>
  </si>
  <si>
    <t>DT1656</t>
  </si>
  <si>
    <t>BJBTMMWNV</t>
  </si>
  <si>
    <t>C01657</t>
  </si>
  <si>
    <t>HB1657</t>
  </si>
  <si>
    <t>R01657</t>
  </si>
  <si>
    <t>DT1657</t>
  </si>
  <si>
    <t>B5ZZ021AN</t>
  </si>
  <si>
    <t>C01658</t>
  </si>
  <si>
    <t>HB1658</t>
  </si>
  <si>
    <t>R01658</t>
  </si>
  <si>
    <t>DT1658</t>
  </si>
  <si>
    <t>B5UK6KJE4</t>
  </si>
  <si>
    <t>C01659</t>
  </si>
  <si>
    <t>HB1659</t>
  </si>
  <si>
    <t>R01659</t>
  </si>
  <si>
    <t>DT1659</t>
  </si>
  <si>
    <t>BF8663OH4</t>
  </si>
  <si>
    <t>C01660</t>
  </si>
  <si>
    <t>HB1660</t>
  </si>
  <si>
    <t>R01660</t>
  </si>
  <si>
    <t>DT1660</t>
  </si>
  <si>
    <t>BTYZCPT3S</t>
  </si>
  <si>
    <t>C01661</t>
  </si>
  <si>
    <t>HB1661</t>
  </si>
  <si>
    <t>R01661</t>
  </si>
  <si>
    <t>DT1661</t>
  </si>
  <si>
    <t>BV5NIDD9N</t>
  </si>
  <si>
    <t>C01662</t>
  </si>
  <si>
    <t>HB1662</t>
  </si>
  <si>
    <t>R01662</t>
  </si>
  <si>
    <t>DT1662</t>
  </si>
  <si>
    <t>B33HU5COK</t>
  </si>
  <si>
    <t>C01663</t>
  </si>
  <si>
    <t>HB1663</t>
  </si>
  <si>
    <t>R01663</t>
  </si>
  <si>
    <t>DT1663</t>
  </si>
  <si>
    <t>B7969M8FS</t>
  </si>
  <si>
    <t>C01664</t>
  </si>
  <si>
    <t>HB1664</t>
  </si>
  <si>
    <t>R01664</t>
  </si>
  <si>
    <t>DT1664</t>
  </si>
  <si>
    <t>BXE3P3OOL</t>
  </si>
  <si>
    <t>C01665</t>
  </si>
  <si>
    <t>HB1665</t>
  </si>
  <si>
    <t>R01665</t>
  </si>
  <si>
    <t>DT1665</t>
  </si>
  <si>
    <t>BQDP3QOI5</t>
  </si>
  <si>
    <t>C01666</t>
  </si>
  <si>
    <t>HB1666</t>
  </si>
  <si>
    <t>R01666</t>
  </si>
  <si>
    <t>DT1666</t>
  </si>
  <si>
    <t>B7SLMGS9V</t>
  </si>
  <si>
    <t>C01667</t>
  </si>
  <si>
    <t>Benjamin Nair</t>
  </si>
  <si>
    <t>HB1667</t>
  </si>
  <si>
    <t>R01667</t>
  </si>
  <si>
    <t>DT1667</t>
  </si>
  <si>
    <t>BO7E887R1</t>
  </si>
  <si>
    <t>C01668</t>
  </si>
  <si>
    <t>HB1668</t>
  </si>
  <si>
    <t>R01668</t>
  </si>
  <si>
    <t>DT1668</t>
  </si>
  <si>
    <t>BP0XNLZT6</t>
  </si>
  <si>
    <t>C01669</t>
  </si>
  <si>
    <t>HB1669</t>
  </si>
  <si>
    <t>R01669</t>
  </si>
  <si>
    <t>DT1669</t>
  </si>
  <si>
    <t>BN8YNQOP4</t>
  </si>
  <si>
    <t>C01670</t>
  </si>
  <si>
    <t>HB1670</t>
  </si>
  <si>
    <t>R01670</t>
  </si>
  <si>
    <t>DT1670</t>
  </si>
  <si>
    <t>BFDWWDIN8</t>
  </si>
  <si>
    <t>C01671</t>
  </si>
  <si>
    <t>HB1671</t>
  </si>
  <si>
    <t>R01671</t>
  </si>
  <si>
    <t>DT1671</t>
  </si>
  <si>
    <t>BY17XOZO7</t>
  </si>
  <si>
    <t>C01672</t>
  </si>
  <si>
    <t>HB1672</t>
  </si>
  <si>
    <t>R01672</t>
  </si>
  <si>
    <t>DT1672</t>
  </si>
  <si>
    <t>BFDZ0EH4U</t>
  </si>
  <si>
    <t>C01673</t>
  </si>
  <si>
    <t>HB1673</t>
  </si>
  <si>
    <t>R01673</t>
  </si>
  <si>
    <t>DT1673</t>
  </si>
  <si>
    <t>BJZGD2WAV</t>
  </si>
  <si>
    <t>C01674</t>
  </si>
  <si>
    <t>HB1674</t>
  </si>
  <si>
    <t>R01674</t>
  </si>
  <si>
    <t>DT1674</t>
  </si>
  <si>
    <t>BRAW0M18A</t>
  </si>
  <si>
    <t>C01675</t>
  </si>
  <si>
    <t>HB1675</t>
  </si>
  <si>
    <t>R01675</t>
  </si>
  <si>
    <t>DT1675</t>
  </si>
  <si>
    <t>BHYCUYLW8</t>
  </si>
  <si>
    <t>C01676</t>
  </si>
  <si>
    <t>HB1676</t>
  </si>
  <si>
    <t>R01676</t>
  </si>
  <si>
    <t>DT1676</t>
  </si>
  <si>
    <t>BPMNTXBJ3</t>
  </si>
  <si>
    <t>C01677</t>
  </si>
  <si>
    <t>HB1677</t>
  </si>
  <si>
    <t>R01677</t>
  </si>
  <si>
    <t>DT1677</t>
  </si>
  <si>
    <t>BHAHKMUPW</t>
  </si>
  <si>
    <t>C01678</t>
  </si>
  <si>
    <t>HB1678</t>
  </si>
  <si>
    <t>R01678</t>
  </si>
  <si>
    <t>DT1678</t>
  </si>
  <si>
    <t>B69YSZMZJ</t>
  </si>
  <si>
    <t>C01679</t>
  </si>
  <si>
    <t>HB1679</t>
  </si>
  <si>
    <t>R01679</t>
  </si>
  <si>
    <t>DT1679</t>
  </si>
  <si>
    <t>BV1QYMK5J</t>
  </si>
  <si>
    <t>C01680</t>
  </si>
  <si>
    <t>HB1680</t>
  </si>
  <si>
    <t>R01680</t>
  </si>
  <si>
    <t>DT1680</t>
  </si>
  <si>
    <t>BX8VVECJM</t>
  </si>
  <si>
    <t>C01681</t>
  </si>
  <si>
    <t>HB1681</t>
  </si>
  <si>
    <t>R01681</t>
  </si>
  <si>
    <t>DT1681</t>
  </si>
  <si>
    <t>BPBDSDHPV</t>
  </si>
  <si>
    <t>C01682</t>
  </si>
  <si>
    <t>HB1682</t>
  </si>
  <si>
    <t>R01682</t>
  </si>
  <si>
    <t>DT1682</t>
  </si>
  <si>
    <t>BOWO1MB06</t>
  </si>
  <si>
    <t>C01683</t>
  </si>
  <si>
    <t>HB1683</t>
  </si>
  <si>
    <t>R01683</t>
  </si>
  <si>
    <t>DT1683</t>
  </si>
  <si>
    <t>BFG0OEI3I</t>
  </si>
  <si>
    <t>C01684</t>
  </si>
  <si>
    <t>HB1684</t>
  </si>
  <si>
    <t>R01684</t>
  </si>
  <si>
    <t>DT1684</t>
  </si>
  <si>
    <t>BHTASTQEY</t>
  </si>
  <si>
    <t>C01685</t>
  </si>
  <si>
    <t>HB1685</t>
  </si>
  <si>
    <t>R01685</t>
  </si>
  <si>
    <t>DT1685</t>
  </si>
  <si>
    <t>B6YBOVCB1</t>
  </si>
  <si>
    <t>C01686</t>
  </si>
  <si>
    <t>HB1686</t>
  </si>
  <si>
    <t>R01686</t>
  </si>
  <si>
    <t>DT1686</t>
  </si>
  <si>
    <t>B9VINXRCZ</t>
  </si>
  <si>
    <t>C01687</t>
  </si>
  <si>
    <t>HB1687</t>
  </si>
  <si>
    <t>R01687</t>
  </si>
  <si>
    <t>DT1687</t>
  </si>
  <si>
    <t>BAZCIFCGI</t>
  </si>
  <si>
    <t>C01688</t>
  </si>
  <si>
    <t>HB1688</t>
  </si>
  <si>
    <t>R01688</t>
  </si>
  <si>
    <t>DT1688</t>
  </si>
  <si>
    <t>BDVBMH08B</t>
  </si>
  <si>
    <t>C01689</t>
  </si>
  <si>
    <t>HB1689</t>
  </si>
  <si>
    <t>R01689</t>
  </si>
  <si>
    <t>DT1689</t>
  </si>
  <si>
    <t>BL9DCPZ0V</t>
  </si>
  <si>
    <t>C01690</t>
  </si>
  <si>
    <t>HB1690</t>
  </si>
  <si>
    <t>R01690</t>
  </si>
  <si>
    <t>DT1690</t>
  </si>
  <si>
    <t>BI909N78P</t>
  </si>
  <si>
    <t>C01691</t>
  </si>
  <si>
    <t>HB1691</t>
  </si>
  <si>
    <t>R01691</t>
  </si>
  <si>
    <t>DT1691</t>
  </si>
  <si>
    <t>BISQR44JS</t>
  </si>
  <si>
    <t>C01692</t>
  </si>
  <si>
    <t>HB1692</t>
  </si>
  <si>
    <t>R01692</t>
  </si>
  <si>
    <t>DT1692</t>
  </si>
  <si>
    <t>B612JUNS8</t>
  </si>
  <si>
    <t>C01693</t>
  </si>
  <si>
    <t>HB1693</t>
  </si>
  <si>
    <t>R01693</t>
  </si>
  <si>
    <t>DT1693</t>
  </si>
  <si>
    <t>BYQ2XJSSA</t>
  </si>
  <si>
    <t>C01694</t>
  </si>
  <si>
    <t>HB1694</t>
  </si>
  <si>
    <t>R01694</t>
  </si>
  <si>
    <t>DT1694</t>
  </si>
  <si>
    <t>B9IZV51Q1</t>
  </si>
  <si>
    <t>C01695</t>
  </si>
  <si>
    <t>HB1695</t>
  </si>
  <si>
    <t>R01695</t>
  </si>
  <si>
    <t>DT1695</t>
  </si>
  <si>
    <t>BVO9K3SW6</t>
  </si>
  <si>
    <t>C01696</t>
  </si>
  <si>
    <t>HB1696</t>
  </si>
  <si>
    <t>R01696</t>
  </si>
  <si>
    <t>DT1696</t>
  </si>
  <si>
    <t>BH6IP6C9N</t>
  </si>
  <si>
    <t>C01697</t>
  </si>
  <si>
    <t>Noah Khan</t>
  </si>
  <si>
    <t>HB1697</t>
  </si>
  <si>
    <t>R01697</t>
  </si>
  <si>
    <t>DT1697</t>
  </si>
  <si>
    <t>BJ2VNGJDT</t>
  </si>
  <si>
    <t>C01698</t>
  </si>
  <si>
    <t>HB1698</t>
  </si>
  <si>
    <t>R01698</t>
  </si>
  <si>
    <t>DT1698</t>
  </si>
  <si>
    <t>B1BSR1OVJ</t>
  </si>
  <si>
    <t>C01699</t>
  </si>
  <si>
    <t>HB1699</t>
  </si>
  <si>
    <t>R01699</t>
  </si>
  <si>
    <t>DT1699</t>
  </si>
  <si>
    <t>BX6Y181ZB</t>
  </si>
  <si>
    <t>C01700</t>
  </si>
  <si>
    <t>HB1700</t>
  </si>
  <si>
    <t>R01700</t>
  </si>
  <si>
    <t>DT1700</t>
  </si>
  <si>
    <t>BG160WR0M</t>
  </si>
  <si>
    <t>C01701</t>
  </si>
  <si>
    <t>HB1701</t>
  </si>
  <si>
    <t>R01701</t>
  </si>
  <si>
    <t>DT1701</t>
  </si>
  <si>
    <t>BHFDWZJUC</t>
  </si>
  <si>
    <t>C01702</t>
  </si>
  <si>
    <t>HB1702</t>
  </si>
  <si>
    <t>R01702</t>
  </si>
  <si>
    <t>DT1702</t>
  </si>
  <si>
    <t>BCVSYRPF3</t>
  </si>
  <si>
    <t>C01703</t>
  </si>
  <si>
    <t>HB1703</t>
  </si>
  <si>
    <t>R01703</t>
  </si>
  <si>
    <t>DT1703</t>
  </si>
  <si>
    <t>BAVAFIVAQ</t>
  </si>
  <si>
    <t>C01704</t>
  </si>
  <si>
    <t>HB1704</t>
  </si>
  <si>
    <t>R01704</t>
  </si>
  <si>
    <t>DT1704</t>
  </si>
  <si>
    <t>BDEU7W097</t>
  </si>
  <si>
    <t>C01705</t>
  </si>
  <si>
    <t>HB1705</t>
  </si>
  <si>
    <t>R01705</t>
  </si>
  <si>
    <t>DT1705</t>
  </si>
  <si>
    <t>BEL8SVOX6</t>
  </si>
  <si>
    <t>C01706</t>
  </si>
  <si>
    <t>HB1706</t>
  </si>
  <si>
    <t>R01706</t>
  </si>
  <si>
    <t>DT1706</t>
  </si>
  <si>
    <t>B17YBEX3Y</t>
  </si>
  <si>
    <t>C01707</t>
  </si>
  <si>
    <t>HB1707</t>
  </si>
  <si>
    <t>R01707</t>
  </si>
  <si>
    <t>DT1707</t>
  </si>
  <si>
    <t>BC7121TFA</t>
  </si>
  <si>
    <t>C01708</t>
  </si>
  <si>
    <t>HB1708</t>
  </si>
  <si>
    <t>R01708</t>
  </si>
  <si>
    <t>DT1708</t>
  </si>
  <si>
    <t>BPL1OUC89</t>
  </si>
  <si>
    <t>C01709</t>
  </si>
  <si>
    <t>HB1709</t>
  </si>
  <si>
    <t>R01709</t>
  </si>
  <si>
    <t>DT1709</t>
  </si>
  <si>
    <t>BGGOKBDWL</t>
  </si>
  <si>
    <t>C01710</t>
  </si>
  <si>
    <t>HB1710</t>
  </si>
  <si>
    <t>R01710</t>
  </si>
  <si>
    <t>DT1710</t>
  </si>
  <si>
    <t>BUUEL9S3J</t>
  </si>
  <si>
    <t>C01711</t>
  </si>
  <si>
    <t>HB1711</t>
  </si>
  <si>
    <t>R01711</t>
  </si>
  <si>
    <t>DT1711</t>
  </si>
  <si>
    <t>BYSAEBFK9</t>
  </si>
  <si>
    <t>C01712</t>
  </si>
  <si>
    <t>HB1712</t>
  </si>
  <si>
    <t>R01712</t>
  </si>
  <si>
    <t>DT1712</t>
  </si>
  <si>
    <t>BHOFVF9BP</t>
  </si>
  <si>
    <t>C01713</t>
  </si>
  <si>
    <t>HB1713</t>
  </si>
  <si>
    <t>R01713</t>
  </si>
  <si>
    <t>DT1713</t>
  </si>
  <si>
    <t>BPCB69785</t>
  </si>
  <si>
    <t>C01714</t>
  </si>
  <si>
    <t>HB1714</t>
  </si>
  <si>
    <t>R01714</t>
  </si>
  <si>
    <t>DT1714</t>
  </si>
  <si>
    <t>BYQ9R14Y8</t>
  </si>
  <si>
    <t>C01715</t>
  </si>
  <si>
    <t>HB1715</t>
  </si>
  <si>
    <t>R01715</t>
  </si>
  <si>
    <t>DT1715</t>
  </si>
  <si>
    <t>BCU26SDT2</t>
  </si>
  <si>
    <t>C01716</t>
  </si>
  <si>
    <t>HB1716</t>
  </si>
  <si>
    <t>R01716</t>
  </si>
  <si>
    <t>DT1716</t>
  </si>
  <si>
    <t>BCNC4951A</t>
  </si>
  <si>
    <t>C01717</t>
  </si>
  <si>
    <t>HB1717</t>
  </si>
  <si>
    <t>R01717</t>
  </si>
  <si>
    <t>DT1717</t>
  </si>
  <si>
    <t>B6S2BB675</t>
  </si>
  <si>
    <t>C01718</t>
  </si>
  <si>
    <t>Reyansh Sharma</t>
  </si>
  <si>
    <t>HB1718</t>
  </si>
  <si>
    <t>R01718</t>
  </si>
  <si>
    <t>DT1718</t>
  </si>
  <si>
    <t>BWGQ8G9P6</t>
  </si>
  <si>
    <t>C01719</t>
  </si>
  <si>
    <t>HB1719</t>
  </si>
  <si>
    <t>R01719</t>
  </si>
  <si>
    <t>DT1719</t>
  </si>
  <si>
    <t>B56Z99ENF</t>
  </si>
  <si>
    <t>C01720</t>
  </si>
  <si>
    <t>HB1720</t>
  </si>
  <si>
    <t>R01720</t>
  </si>
  <si>
    <t>DT1720</t>
  </si>
  <si>
    <t>B3PBZS99D</t>
  </si>
  <si>
    <t>C01721</t>
  </si>
  <si>
    <t>HB1721</t>
  </si>
  <si>
    <t>R01721</t>
  </si>
  <si>
    <t>DT1721</t>
  </si>
  <si>
    <t>BC07GPR5K</t>
  </si>
  <si>
    <t>C01722</t>
  </si>
  <si>
    <t>HB1722</t>
  </si>
  <si>
    <t>R01722</t>
  </si>
  <si>
    <t>DT1722</t>
  </si>
  <si>
    <t>BVREHU2F1</t>
  </si>
  <si>
    <t>C01723</t>
  </si>
  <si>
    <t>HB1723</t>
  </si>
  <si>
    <t>R01723</t>
  </si>
  <si>
    <t>DT1723</t>
  </si>
  <si>
    <t>BLDHTB7KK</t>
  </si>
  <si>
    <t>C01724</t>
  </si>
  <si>
    <t>HB1724</t>
  </si>
  <si>
    <t>R01724</t>
  </si>
  <si>
    <t>DT1724</t>
  </si>
  <si>
    <t>B7P4BR2FX</t>
  </si>
  <si>
    <t>C01725</t>
  </si>
  <si>
    <t>HB1725</t>
  </si>
  <si>
    <t>R01725</t>
  </si>
  <si>
    <t>DT1725</t>
  </si>
  <si>
    <t>B3QURMHNA</t>
  </si>
  <si>
    <t>C01726</t>
  </si>
  <si>
    <t>HB1726</t>
  </si>
  <si>
    <t>R01726</t>
  </si>
  <si>
    <t>DT1726</t>
  </si>
  <si>
    <t>BIHH64Y5H</t>
  </si>
  <si>
    <t>C01727</t>
  </si>
  <si>
    <t>HB1727</t>
  </si>
  <si>
    <t>R01727</t>
  </si>
  <si>
    <t>DT1727</t>
  </si>
  <si>
    <t>BLCXWIV7B</t>
  </si>
  <si>
    <t>C01728</t>
  </si>
  <si>
    <t>HB1728</t>
  </si>
  <si>
    <t>R01728</t>
  </si>
  <si>
    <t>DT1728</t>
  </si>
  <si>
    <t>BERA7MS2V</t>
  </si>
  <si>
    <t>C01729</t>
  </si>
  <si>
    <t>HB1729</t>
  </si>
  <si>
    <t>R01729</t>
  </si>
  <si>
    <t>DT1729</t>
  </si>
  <si>
    <t>BTOR3PIRV</t>
  </si>
  <si>
    <t>C01730</t>
  </si>
  <si>
    <t>HB1730</t>
  </si>
  <si>
    <t>R01730</t>
  </si>
  <si>
    <t>DT1730</t>
  </si>
  <si>
    <t>B1V9L29LD</t>
  </si>
  <si>
    <t>C01731</t>
  </si>
  <si>
    <t>HB1731</t>
  </si>
  <si>
    <t>R01731</t>
  </si>
  <si>
    <t>DT1731</t>
  </si>
  <si>
    <t>BQANANC1D</t>
  </si>
  <si>
    <t>C01732</t>
  </si>
  <si>
    <t>HB1732</t>
  </si>
  <si>
    <t>R01732</t>
  </si>
  <si>
    <t>DT1732</t>
  </si>
  <si>
    <t>BR0AWSRPX</t>
  </si>
  <si>
    <t>C01733</t>
  </si>
  <si>
    <t>HB1733</t>
  </si>
  <si>
    <t>R01733</t>
  </si>
  <si>
    <t>DT1733</t>
  </si>
  <si>
    <t>BK0YVETN2</t>
  </si>
  <si>
    <t>C01734</t>
  </si>
  <si>
    <t>HB1734</t>
  </si>
  <si>
    <t>R01734</t>
  </si>
  <si>
    <t>DT1734</t>
  </si>
  <si>
    <t>BTTET59RM</t>
  </si>
  <si>
    <t>C01735</t>
  </si>
  <si>
    <t>HB1735</t>
  </si>
  <si>
    <t>R01735</t>
  </si>
  <si>
    <t>DT1735</t>
  </si>
  <si>
    <t>BYM733OXN</t>
  </si>
  <si>
    <t>C01736</t>
  </si>
  <si>
    <t>HB1736</t>
  </si>
  <si>
    <t>R01736</t>
  </si>
  <si>
    <t>DT1736</t>
  </si>
  <si>
    <t>B7FOOAXRW</t>
  </si>
  <si>
    <t>C01737</t>
  </si>
  <si>
    <t>HB1737</t>
  </si>
  <si>
    <t>R01737</t>
  </si>
  <si>
    <t>DT1737</t>
  </si>
  <si>
    <t>BZZGOZSAP</t>
  </si>
  <si>
    <t>C01738</t>
  </si>
  <si>
    <t>HB1738</t>
  </si>
  <si>
    <t>R01738</t>
  </si>
  <si>
    <t>DT1738</t>
  </si>
  <si>
    <t>BGPXSZPG8</t>
  </si>
  <si>
    <t>C01739</t>
  </si>
  <si>
    <t>HB1739</t>
  </si>
  <si>
    <t>R01739</t>
  </si>
  <si>
    <t>DT1739</t>
  </si>
  <si>
    <t>BEAYFLPBW</t>
  </si>
  <si>
    <t>C01740</t>
  </si>
  <si>
    <t>HB1740</t>
  </si>
  <si>
    <t>R01740</t>
  </si>
  <si>
    <t>DT1740</t>
  </si>
  <si>
    <t>BX7CFDJH1</t>
  </si>
  <si>
    <t>C01741</t>
  </si>
  <si>
    <t>HB1741</t>
  </si>
  <si>
    <t>R01741</t>
  </si>
  <si>
    <t>DT1741</t>
  </si>
  <si>
    <t>BL6BMBVUC</t>
  </si>
  <si>
    <t>C01742</t>
  </si>
  <si>
    <t>HB1742</t>
  </si>
  <si>
    <t>R01742</t>
  </si>
  <si>
    <t>DT1742</t>
  </si>
  <si>
    <t>B8C57LXKF</t>
  </si>
  <si>
    <t>C01743</t>
  </si>
  <si>
    <t>HB1743</t>
  </si>
  <si>
    <t>R01743</t>
  </si>
  <si>
    <t>DT1743</t>
  </si>
  <si>
    <t>BCSO2HBRU</t>
  </si>
  <si>
    <t>C01744</t>
  </si>
  <si>
    <t>HB1744</t>
  </si>
  <si>
    <t>R01744</t>
  </si>
  <si>
    <t>DT1744</t>
  </si>
  <si>
    <t>BDJDENT2E</t>
  </si>
  <si>
    <t>C01745</t>
  </si>
  <si>
    <t>HB1745</t>
  </si>
  <si>
    <t>R01745</t>
  </si>
  <si>
    <t>DT1745</t>
  </si>
  <si>
    <t>B0MV3Q580</t>
  </si>
  <si>
    <t>C01746</t>
  </si>
  <si>
    <t>HB1746</t>
  </si>
  <si>
    <t>R01746</t>
  </si>
  <si>
    <t>DT1746</t>
  </si>
  <si>
    <t>B7XLM21UC</t>
  </si>
  <si>
    <t>C01747</t>
  </si>
  <si>
    <t>HB1747</t>
  </si>
  <si>
    <t>R01747</t>
  </si>
  <si>
    <t>DT1747</t>
  </si>
  <si>
    <t>B497YSLTD</t>
  </si>
  <si>
    <t>C01748</t>
  </si>
  <si>
    <t>HB1748</t>
  </si>
  <si>
    <t>R01748</t>
  </si>
  <si>
    <t>DT1748</t>
  </si>
  <si>
    <t>BP669QC3O</t>
  </si>
  <si>
    <t>C01749</t>
  </si>
  <si>
    <t>HB1749</t>
  </si>
  <si>
    <t>R01749</t>
  </si>
  <si>
    <t>DT1749</t>
  </si>
  <si>
    <t>BIOFSL3QA</t>
  </si>
  <si>
    <t>C01750</t>
  </si>
  <si>
    <t>HB1750</t>
  </si>
  <si>
    <t>R01750</t>
  </si>
  <si>
    <t>DT1750</t>
  </si>
  <si>
    <t>BIZLCP8DK</t>
  </si>
  <si>
    <t>C01751</t>
  </si>
  <si>
    <t>HB1751</t>
  </si>
  <si>
    <t>R01751</t>
  </si>
  <si>
    <t>DT1751</t>
  </si>
  <si>
    <t>B1VMVZD3T</t>
  </si>
  <si>
    <t>C01752</t>
  </si>
  <si>
    <t>HB1752</t>
  </si>
  <si>
    <t>R01752</t>
  </si>
  <si>
    <t>DT1752</t>
  </si>
  <si>
    <t>BU4WQQYDN</t>
  </si>
  <si>
    <t>C01753</t>
  </si>
  <si>
    <t>HB1753</t>
  </si>
  <si>
    <t>R01753</t>
  </si>
  <si>
    <t>DT1753</t>
  </si>
  <si>
    <t>BI86YRQ2T</t>
  </si>
  <si>
    <t>C01754</t>
  </si>
  <si>
    <t>HB1754</t>
  </si>
  <si>
    <t>R01754</t>
  </si>
  <si>
    <t>DT1754</t>
  </si>
  <si>
    <t>B7QQ3TB2V</t>
  </si>
  <si>
    <t>C01755</t>
  </si>
  <si>
    <t>HB1755</t>
  </si>
  <si>
    <t>R01755</t>
  </si>
  <si>
    <t>DT1755</t>
  </si>
  <si>
    <t>BXA55OU76</t>
  </si>
  <si>
    <t>C01756</t>
  </si>
  <si>
    <t>HB1756</t>
  </si>
  <si>
    <t>R01756</t>
  </si>
  <si>
    <t>DT1756</t>
  </si>
  <si>
    <t>BPA5UGJE8</t>
  </si>
  <si>
    <t>C01757</t>
  </si>
  <si>
    <t>HB1757</t>
  </si>
  <si>
    <t>R01757</t>
  </si>
  <si>
    <t>DT1757</t>
  </si>
  <si>
    <t>B1B4LI41E</t>
  </si>
  <si>
    <t>C01758</t>
  </si>
  <si>
    <t>HB1758</t>
  </si>
  <si>
    <t>R01758</t>
  </si>
  <si>
    <t>DT1758</t>
  </si>
  <si>
    <t>B0LGC2810</t>
  </si>
  <si>
    <t>C01759</t>
  </si>
  <si>
    <t>HB1759</t>
  </si>
  <si>
    <t>R01759</t>
  </si>
  <si>
    <t>DT1759</t>
  </si>
  <si>
    <t>BL06AJS6F</t>
  </si>
  <si>
    <t>C01760</t>
  </si>
  <si>
    <t>HB1760</t>
  </si>
  <si>
    <t>R01760</t>
  </si>
  <si>
    <t>DT1760</t>
  </si>
  <si>
    <t>B63O4BXYP</t>
  </si>
  <si>
    <t>C01761</t>
  </si>
  <si>
    <t>HB1761</t>
  </si>
  <si>
    <t>R01761</t>
  </si>
  <si>
    <t>DT1761</t>
  </si>
  <si>
    <t>BPV9FAA4Q</t>
  </si>
  <si>
    <t>C01762</t>
  </si>
  <si>
    <t>HB1762</t>
  </si>
  <si>
    <t>R01762</t>
  </si>
  <si>
    <t>DT1762</t>
  </si>
  <si>
    <t>BEMD59U3S</t>
  </si>
  <si>
    <t>C01763</t>
  </si>
  <si>
    <t>HB1763</t>
  </si>
  <si>
    <t>R01763</t>
  </si>
  <si>
    <t>DT1763</t>
  </si>
  <si>
    <t>BPD9M9D25</t>
  </si>
  <si>
    <t>C01764</t>
  </si>
  <si>
    <t>HB1764</t>
  </si>
  <si>
    <t>R01764</t>
  </si>
  <si>
    <t>DT1764</t>
  </si>
  <si>
    <t>B8MBQTUV2</t>
  </si>
  <si>
    <t>C01765</t>
  </si>
  <si>
    <t>HB1765</t>
  </si>
  <si>
    <t>R01765</t>
  </si>
  <si>
    <t>DT1765</t>
  </si>
  <si>
    <t>BJXLJGSM9</t>
  </si>
  <si>
    <t>C01766</t>
  </si>
  <si>
    <t>HB1766</t>
  </si>
  <si>
    <t>R01766</t>
  </si>
  <si>
    <t>DT1766</t>
  </si>
  <si>
    <t>BNYLU43ST</t>
  </si>
  <si>
    <t>C01767</t>
  </si>
  <si>
    <t>HB1767</t>
  </si>
  <si>
    <t>R01767</t>
  </si>
  <si>
    <t>DT1767</t>
  </si>
  <si>
    <t>BLKQDEOVG</t>
  </si>
  <si>
    <t>C01768</t>
  </si>
  <si>
    <t>HB1768</t>
  </si>
  <si>
    <t>R01768</t>
  </si>
  <si>
    <t>DT1768</t>
  </si>
  <si>
    <t>BLTRYBHAW</t>
  </si>
  <si>
    <t>C01769</t>
  </si>
  <si>
    <t>HB1769</t>
  </si>
  <si>
    <t>R01769</t>
  </si>
  <si>
    <t>DT1769</t>
  </si>
  <si>
    <t>BD81MGQYO</t>
  </si>
  <si>
    <t>C01770</t>
  </si>
  <si>
    <t>HB1770</t>
  </si>
  <si>
    <t>R01770</t>
  </si>
  <si>
    <t>DT1770</t>
  </si>
  <si>
    <t>BW3UXHPUQ</t>
  </si>
  <si>
    <t>C01771</t>
  </si>
  <si>
    <t>HB1771</t>
  </si>
  <si>
    <t>R01771</t>
  </si>
  <si>
    <t>DT1771</t>
  </si>
  <si>
    <t>BV0QXKLR5</t>
  </si>
  <si>
    <t>C01772</t>
  </si>
  <si>
    <t>HB1772</t>
  </si>
  <si>
    <t>R01772</t>
  </si>
  <si>
    <t>DT1772</t>
  </si>
  <si>
    <t>BUN7255G2</t>
  </si>
  <si>
    <t>C01773</t>
  </si>
  <si>
    <t>HB1773</t>
  </si>
  <si>
    <t>R01773</t>
  </si>
  <si>
    <t>DT1773</t>
  </si>
  <si>
    <t>B1XHN3ZGO</t>
  </si>
  <si>
    <t>C01774</t>
  </si>
  <si>
    <t>HB1774</t>
  </si>
  <si>
    <t>R01774</t>
  </si>
  <si>
    <t>DT1774</t>
  </si>
  <si>
    <t>BRKRGKQ8U</t>
  </si>
  <si>
    <t>C01775</t>
  </si>
  <si>
    <t>HB1775</t>
  </si>
  <si>
    <t>R01775</t>
  </si>
  <si>
    <t>DT1775</t>
  </si>
  <si>
    <t>BYBC06DRR</t>
  </si>
  <si>
    <t>C01776</t>
  </si>
  <si>
    <t>HB1776</t>
  </si>
  <si>
    <t>R01776</t>
  </si>
  <si>
    <t>DT1776</t>
  </si>
  <si>
    <t>BJBAGY887</t>
  </si>
  <si>
    <t>C01777</t>
  </si>
  <si>
    <t>HB1777</t>
  </si>
  <si>
    <t>R01777</t>
  </si>
  <si>
    <t>DT1777</t>
  </si>
  <si>
    <t>BNBB2GFWV</t>
  </si>
  <si>
    <t>C01778</t>
  </si>
  <si>
    <t>HB1778</t>
  </si>
  <si>
    <t>R01778</t>
  </si>
  <si>
    <t>DT1778</t>
  </si>
  <si>
    <t>BTUTZMUNT</t>
  </si>
  <si>
    <t>C01779</t>
  </si>
  <si>
    <t>HB1779</t>
  </si>
  <si>
    <t>R01779</t>
  </si>
  <si>
    <t>DT1779</t>
  </si>
  <si>
    <t>BY5E5S40O</t>
  </si>
  <si>
    <t>C01780</t>
  </si>
  <si>
    <t>Gaurav Verma</t>
  </si>
  <si>
    <t>HB1780</t>
  </si>
  <si>
    <t>R01780</t>
  </si>
  <si>
    <t>DT1780</t>
  </si>
  <si>
    <t>BIC1ORAYG</t>
  </si>
  <si>
    <t>C01781</t>
  </si>
  <si>
    <t>HB1781</t>
  </si>
  <si>
    <t>R01781</t>
  </si>
  <si>
    <t>DT1781</t>
  </si>
  <si>
    <t>BMOW99W1R</t>
  </si>
  <si>
    <t>C01782</t>
  </si>
  <si>
    <t>HB1782</t>
  </si>
  <si>
    <t>R01782</t>
  </si>
  <si>
    <t>DT1782</t>
  </si>
  <si>
    <t>BXLTKFQRC</t>
  </si>
  <si>
    <t>C01783</t>
  </si>
  <si>
    <t>HB1783</t>
  </si>
  <si>
    <t>R01783</t>
  </si>
  <si>
    <t>DT1783</t>
  </si>
  <si>
    <t>B4GEFIY0C</t>
  </si>
  <si>
    <t>C01784</t>
  </si>
  <si>
    <t>HB1784</t>
  </si>
  <si>
    <t>R01784</t>
  </si>
  <si>
    <t>DT1784</t>
  </si>
  <si>
    <t>BNT0JGIRB</t>
  </si>
  <si>
    <t>C01785</t>
  </si>
  <si>
    <t>HB1785</t>
  </si>
  <si>
    <t>R01785</t>
  </si>
  <si>
    <t>DT1785</t>
  </si>
  <si>
    <t>BKR4FP7F5</t>
  </si>
  <si>
    <t>C01786</t>
  </si>
  <si>
    <t>HB1786</t>
  </si>
  <si>
    <t>R01786</t>
  </si>
  <si>
    <t>DT1786</t>
  </si>
  <si>
    <t>BGFQNR69M</t>
  </si>
  <si>
    <t>C01787</t>
  </si>
  <si>
    <t>HB1787</t>
  </si>
  <si>
    <t>R01787</t>
  </si>
  <si>
    <t>DT1787</t>
  </si>
  <si>
    <t>B2Z0SD0Z7</t>
  </si>
  <si>
    <t>C01788</t>
  </si>
  <si>
    <t>HB1788</t>
  </si>
  <si>
    <t>R01788</t>
  </si>
  <si>
    <t>DT1788</t>
  </si>
  <si>
    <t>BRFSSF1HR</t>
  </si>
  <si>
    <t>C01789</t>
  </si>
  <si>
    <t>HB1789</t>
  </si>
  <si>
    <t>R01789</t>
  </si>
  <si>
    <t>DT1789</t>
  </si>
  <si>
    <t>BNC7M1VK0</t>
  </si>
  <si>
    <t>C01790</t>
  </si>
  <si>
    <t>HB1790</t>
  </si>
  <si>
    <t>R01790</t>
  </si>
  <si>
    <t>DT1790</t>
  </si>
  <si>
    <t>B2H2THYNY</t>
  </si>
  <si>
    <t>C01791</t>
  </si>
  <si>
    <t>HB1791</t>
  </si>
  <si>
    <t>R01791</t>
  </si>
  <si>
    <t>DT1791</t>
  </si>
  <si>
    <t>BD6OHF7J7</t>
  </si>
  <si>
    <t>C01792</t>
  </si>
  <si>
    <t>HB1792</t>
  </si>
  <si>
    <t>R01792</t>
  </si>
  <si>
    <t>DT1792</t>
  </si>
  <si>
    <t>BDWDT62IN</t>
  </si>
  <si>
    <t>C01793</t>
  </si>
  <si>
    <t>HB1793</t>
  </si>
  <si>
    <t>R01793</t>
  </si>
  <si>
    <t>DT1793</t>
  </si>
  <si>
    <t>BK1B00C6P</t>
  </si>
  <si>
    <t>C01794</t>
  </si>
  <si>
    <t>HB1794</t>
  </si>
  <si>
    <t>R01794</t>
  </si>
  <si>
    <t>DT1794</t>
  </si>
  <si>
    <t>BI394W1B2</t>
  </si>
  <si>
    <t>C01795</t>
  </si>
  <si>
    <t>HB1795</t>
  </si>
  <si>
    <t>R01795</t>
  </si>
  <si>
    <t>DT1795</t>
  </si>
  <si>
    <t>BW83TT270</t>
  </si>
  <si>
    <t>C01796</t>
  </si>
  <si>
    <t>HB1796</t>
  </si>
  <si>
    <t>R01796</t>
  </si>
  <si>
    <t>DT1796</t>
  </si>
  <si>
    <t>BU8DAWSUH</t>
  </si>
  <si>
    <t>C01797</t>
  </si>
  <si>
    <t>HB1797</t>
  </si>
  <si>
    <t>R01797</t>
  </si>
  <si>
    <t>DT1797</t>
  </si>
  <si>
    <t>BWNKSO5XB</t>
  </si>
  <si>
    <t>C01798</t>
  </si>
  <si>
    <t>HB1798</t>
  </si>
  <si>
    <t>R01798</t>
  </si>
  <si>
    <t>DT1798</t>
  </si>
  <si>
    <t>B68CDUN51</t>
  </si>
  <si>
    <t>C01799</t>
  </si>
  <si>
    <t>HB1799</t>
  </si>
  <si>
    <t>R01799</t>
  </si>
  <si>
    <t>DT1799</t>
  </si>
  <si>
    <t>BGON7RFVB</t>
  </si>
  <si>
    <t>C01800</t>
  </si>
  <si>
    <t>HB1800</t>
  </si>
  <si>
    <t>R01800</t>
  </si>
  <si>
    <t>DT1800</t>
  </si>
  <si>
    <t>B3S4L7GUH</t>
  </si>
  <si>
    <t>C01801</t>
  </si>
  <si>
    <t>HB1801</t>
  </si>
  <si>
    <t>R01801</t>
  </si>
  <si>
    <t>DT1801</t>
  </si>
  <si>
    <t>BH1WA50F5</t>
  </si>
  <si>
    <t>C01802</t>
  </si>
  <si>
    <t>HB1802</t>
  </si>
  <si>
    <t>R01802</t>
  </si>
  <si>
    <t>DT1802</t>
  </si>
  <si>
    <t>B6F9UWHTC</t>
  </si>
  <si>
    <t>C01803</t>
  </si>
  <si>
    <t>HB1803</t>
  </si>
  <si>
    <t>R01803</t>
  </si>
  <si>
    <t>DT1803</t>
  </si>
  <si>
    <t>B4V3KRA7X</t>
  </si>
  <si>
    <t>C01804</t>
  </si>
  <si>
    <t>HB1804</t>
  </si>
  <si>
    <t>R01804</t>
  </si>
  <si>
    <t>DT1804</t>
  </si>
  <si>
    <t>BDBVLHV46</t>
  </si>
  <si>
    <t>C01805</t>
  </si>
  <si>
    <t>HB1805</t>
  </si>
  <si>
    <t>R01805</t>
  </si>
  <si>
    <t>DT1805</t>
  </si>
  <si>
    <t>BC5RYXMRN</t>
  </si>
  <si>
    <t>C01806</t>
  </si>
  <si>
    <t>HB1806</t>
  </si>
  <si>
    <t>R01806</t>
  </si>
  <si>
    <t>DT1806</t>
  </si>
  <si>
    <t>B37SC7289</t>
  </si>
  <si>
    <t>C01807</t>
  </si>
  <si>
    <t>HB1807</t>
  </si>
  <si>
    <t>R01807</t>
  </si>
  <si>
    <t>DT1807</t>
  </si>
  <si>
    <t>B82ZIBRQF</t>
  </si>
  <si>
    <t>C01808</t>
  </si>
  <si>
    <t>HB1808</t>
  </si>
  <si>
    <t>R01808</t>
  </si>
  <si>
    <t>DT1808</t>
  </si>
  <si>
    <t>BPB32WTAU</t>
  </si>
  <si>
    <t>C01809</t>
  </si>
  <si>
    <t>HB1809</t>
  </si>
  <si>
    <t>R01809</t>
  </si>
  <si>
    <t>DT1809</t>
  </si>
  <si>
    <t>BTEJ5XIK1</t>
  </si>
  <si>
    <t>C01810</t>
  </si>
  <si>
    <t>HB1810</t>
  </si>
  <si>
    <t>R01810</t>
  </si>
  <si>
    <t>DT1810</t>
  </si>
  <si>
    <t>BN321QA1D</t>
  </si>
  <si>
    <t>C01811</t>
  </si>
  <si>
    <t>HB1811</t>
  </si>
  <si>
    <t>R01811</t>
  </si>
  <si>
    <t>DT1811</t>
  </si>
  <si>
    <t>BIW375ZUI</t>
  </si>
  <si>
    <t>C01812</t>
  </si>
  <si>
    <t>HB1812</t>
  </si>
  <si>
    <t>R01812</t>
  </si>
  <si>
    <t>DT1812</t>
  </si>
  <si>
    <t>BX0R0MWD3</t>
  </si>
  <si>
    <t>C01813</t>
  </si>
  <si>
    <t>HB1813</t>
  </si>
  <si>
    <t>R01813</t>
  </si>
  <si>
    <t>DT1813</t>
  </si>
  <si>
    <t>B79LYQP2U</t>
  </si>
  <si>
    <t>C01814</t>
  </si>
  <si>
    <t>HB1814</t>
  </si>
  <si>
    <t>R01814</t>
  </si>
  <si>
    <t>DT1814</t>
  </si>
  <si>
    <t>BZO9JZGZ2</t>
  </si>
  <si>
    <t>C01815</t>
  </si>
  <si>
    <t>HB1815</t>
  </si>
  <si>
    <t>R01815</t>
  </si>
  <si>
    <t>DT1815</t>
  </si>
  <si>
    <t>BGXSN6F0Y</t>
  </si>
  <si>
    <t>C01816</t>
  </si>
  <si>
    <t>HB1816</t>
  </si>
  <si>
    <t>R01816</t>
  </si>
  <si>
    <t>DT1816</t>
  </si>
  <si>
    <t>BI5FXW933</t>
  </si>
  <si>
    <t>C01817</t>
  </si>
  <si>
    <t>HB1817</t>
  </si>
  <si>
    <t>R01817</t>
  </si>
  <si>
    <t>DT1817</t>
  </si>
  <si>
    <t>BGJH7RUAB</t>
  </si>
  <si>
    <t>C01818</t>
  </si>
  <si>
    <t>HB1818</t>
  </si>
  <si>
    <t>R01818</t>
  </si>
  <si>
    <t>DT1818</t>
  </si>
  <si>
    <t>BWNA24RUB</t>
  </si>
  <si>
    <t>C01819</t>
  </si>
  <si>
    <t>HB1819</t>
  </si>
  <si>
    <t>R01819</t>
  </si>
  <si>
    <t>DT1819</t>
  </si>
  <si>
    <t>BQ0J8FWYB</t>
  </si>
  <si>
    <t>C01820</t>
  </si>
  <si>
    <t>HB1820</t>
  </si>
  <si>
    <t>R01820</t>
  </si>
  <si>
    <t>DT1820</t>
  </si>
  <si>
    <t>BL564RJ2C</t>
  </si>
  <si>
    <t>C01821</t>
  </si>
  <si>
    <t>HB1821</t>
  </si>
  <si>
    <t>R01821</t>
  </si>
  <si>
    <t>DT1821</t>
  </si>
  <si>
    <t>B21ATJMOV</t>
  </si>
  <si>
    <t>C01822</t>
  </si>
  <si>
    <t>HB1822</t>
  </si>
  <si>
    <t>R01822</t>
  </si>
  <si>
    <t>DT1822</t>
  </si>
  <si>
    <t>B53888XP8</t>
  </si>
  <si>
    <t>C01823</t>
  </si>
  <si>
    <t>HB1823</t>
  </si>
  <si>
    <t>R01823</t>
  </si>
  <si>
    <t>DT1823</t>
  </si>
  <si>
    <t>BBIIO3BD4</t>
  </si>
  <si>
    <t>C01824</t>
  </si>
  <si>
    <t>HB1824</t>
  </si>
  <si>
    <t>R01824</t>
  </si>
  <si>
    <t>DT1824</t>
  </si>
  <si>
    <t>BBM10VK99</t>
  </si>
  <si>
    <t>C01825</t>
  </si>
  <si>
    <t>HB1825</t>
  </si>
  <si>
    <t>R01825</t>
  </si>
  <si>
    <t>DT1825</t>
  </si>
  <si>
    <t>BPZ5OG7ML</t>
  </si>
  <si>
    <t>C01826</t>
  </si>
  <si>
    <t>HB1826</t>
  </si>
  <si>
    <t>R01826</t>
  </si>
  <si>
    <t>DT1826</t>
  </si>
  <si>
    <t>BPAOJUD15</t>
  </si>
  <si>
    <t>C01827</t>
  </si>
  <si>
    <t>HB1827</t>
  </si>
  <si>
    <t>R01827</t>
  </si>
  <si>
    <t>DT1827</t>
  </si>
  <si>
    <t>BNK2GBXG0</t>
  </si>
  <si>
    <t>C01828</t>
  </si>
  <si>
    <t>HB1828</t>
  </si>
  <si>
    <t>R01828</t>
  </si>
  <si>
    <t>DT1828</t>
  </si>
  <si>
    <t>BODLFSTL7</t>
  </si>
  <si>
    <t>C01829</t>
  </si>
  <si>
    <t>HB1829</t>
  </si>
  <si>
    <t>R01829</t>
  </si>
  <si>
    <t>DT1829</t>
  </si>
  <si>
    <t>BDX59BA0T</t>
  </si>
  <si>
    <t>C01830</t>
  </si>
  <si>
    <t>HB1830</t>
  </si>
  <si>
    <t>R01830</t>
  </si>
  <si>
    <t>DT1830</t>
  </si>
  <si>
    <t>BZ8JT6PLB</t>
  </si>
  <si>
    <t>C01831</t>
  </si>
  <si>
    <t>HB1831</t>
  </si>
  <si>
    <t>R01831</t>
  </si>
  <si>
    <t>DT1831</t>
  </si>
  <si>
    <t>BGEUQQ1YK</t>
  </si>
  <si>
    <t>C01832</t>
  </si>
  <si>
    <t>HB1832</t>
  </si>
  <si>
    <t>R01832</t>
  </si>
  <si>
    <t>DT1832</t>
  </si>
  <si>
    <t>BFPEOUC4C</t>
  </si>
  <si>
    <t>C01833</t>
  </si>
  <si>
    <t>HB1833</t>
  </si>
  <si>
    <t>R01833</t>
  </si>
  <si>
    <t>DT1833</t>
  </si>
  <si>
    <t>BGFS8KKVS</t>
  </si>
  <si>
    <t>C01834</t>
  </si>
  <si>
    <t>HB1834</t>
  </si>
  <si>
    <t>R01834</t>
  </si>
  <si>
    <t>DT1834</t>
  </si>
  <si>
    <t>BXJN6Y830</t>
  </si>
  <si>
    <t>C01835</t>
  </si>
  <si>
    <t>HB1835</t>
  </si>
  <si>
    <t>R01835</t>
  </si>
  <si>
    <t>DT1835</t>
  </si>
  <si>
    <t>BDDGB9S7S</t>
  </si>
  <si>
    <t>C01836</t>
  </si>
  <si>
    <t>HB1836</t>
  </si>
  <si>
    <t>R01836</t>
  </si>
  <si>
    <t>DT1836</t>
  </si>
  <si>
    <t>BDHYVPQCS</t>
  </si>
  <si>
    <t>C01837</t>
  </si>
  <si>
    <t>HB1837</t>
  </si>
  <si>
    <t>R01837</t>
  </si>
  <si>
    <t>DT1837</t>
  </si>
  <si>
    <t>B7H8LGIC5</t>
  </si>
  <si>
    <t>C01838</t>
  </si>
  <si>
    <t>HB1838</t>
  </si>
  <si>
    <t>R01838</t>
  </si>
  <si>
    <t>DT1838</t>
  </si>
  <si>
    <t>B1X79C57A</t>
  </si>
  <si>
    <t>C01839</t>
  </si>
  <si>
    <t>HB1839</t>
  </si>
  <si>
    <t>R01839</t>
  </si>
  <si>
    <t>DT1839</t>
  </si>
  <si>
    <t>BJ4CEV1HQ</t>
  </si>
  <si>
    <t>C01840</t>
  </si>
  <si>
    <t>HB1840</t>
  </si>
  <si>
    <t>R01840</t>
  </si>
  <si>
    <t>DT1840</t>
  </si>
  <si>
    <t>B8SOKPAAG</t>
  </si>
  <si>
    <t>C01841</t>
  </si>
  <si>
    <t>HB1841</t>
  </si>
  <si>
    <t>R01841</t>
  </si>
  <si>
    <t>DT1841</t>
  </si>
  <si>
    <t>B0TFU3CEG</t>
  </si>
  <si>
    <t>C01842</t>
  </si>
  <si>
    <t>Siddharth Iyer</t>
  </si>
  <si>
    <t>HB1842</t>
  </si>
  <si>
    <t>R01842</t>
  </si>
  <si>
    <t>DT1842</t>
  </si>
  <si>
    <t>BIGS3QNXZ</t>
  </si>
  <si>
    <t>C01843</t>
  </si>
  <si>
    <t>HB1843</t>
  </si>
  <si>
    <t>R01843</t>
  </si>
  <si>
    <t>DT1843</t>
  </si>
  <si>
    <t>BXP5I97BF</t>
  </si>
  <si>
    <t>C01844</t>
  </si>
  <si>
    <t>HB1844</t>
  </si>
  <si>
    <t>R01844</t>
  </si>
  <si>
    <t>DT1844</t>
  </si>
  <si>
    <t>BY47JHDWX</t>
  </si>
  <si>
    <t>C01845</t>
  </si>
  <si>
    <t>HB1845</t>
  </si>
  <si>
    <t>R01845</t>
  </si>
  <si>
    <t>DT1845</t>
  </si>
  <si>
    <t>BSUUI75YJ</t>
  </si>
  <si>
    <t>C01846</t>
  </si>
  <si>
    <t>HB1846</t>
  </si>
  <si>
    <t>R01846</t>
  </si>
  <si>
    <t>DT1846</t>
  </si>
  <si>
    <t>B1ENBB34F</t>
  </si>
  <si>
    <t>C01847</t>
  </si>
  <si>
    <t>HB1847</t>
  </si>
  <si>
    <t>R01847</t>
  </si>
  <si>
    <t>DT1847</t>
  </si>
  <si>
    <t>B6V9LFBJX</t>
  </si>
  <si>
    <t>C01848</t>
  </si>
  <si>
    <t>HB1848</t>
  </si>
  <si>
    <t>R01848</t>
  </si>
  <si>
    <t>DT1848</t>
  </si>
  <si>
    <t>BG42B7MYE</t>
  </si>
  <si>
    <t>C01849</t>
  </si>
  <si>
    <t>HB1849</t>
  </si>
  <si>
    <t>R01849</t>
  </si>
  <si>
    <t>DT1849</t>
  </si>
  <si>
    <t>BG5S93S8D</t>
  </si>
  <si>
    <t>C01850</t>
  </si>
  <si>
    <t>HB1850</t>
  </si>
  <si>
    <t>R01850</t>
  </si>
  <si>
    <t>DT1850</t>
  </si>
  <si>
    <t>B6DCYZ4US</t>
  </si>
  <si>
    <t>C01851</t>
  </si>
  <si>
    <t>HB1851</t>
  </si>
  <si>
    <t>R01851</t>
  </si>
  <si>
    <t>DT1851</t>
  </si>
  <si>
    <t>BTEPGG3YA</t>
  </si>
  <si>
    <t>C01852</t>
  </si>
  <si>
    <t>HB1852</t>
  </si>
  <si>
    <t>R01852</t>
  </si>
  <si>
    <t>DT1852</t>
  </si>
  <si>
    <t>BSLZ3Z72R</t>
  </si>
  <si>
    <t>C01853</t>
  </si>
  <si>
    <t>HB1853</t>
  </si>
  <si>
    <t>R01853</t>
  </si>
  <si>
    <t>DT1853</t>
  </si>
  <si>
    <t>BO648Q6C6</t>
  </si>
  <si>
    <t>C01854</t>
  </si>
  <si>
    <t>HB1854</t>
  </si>
  <si>
    <t>R01854</t>
  </si>
  <si>
    <t>DT1854</t>
  </si>
  <si>
    <t>BQCS8GNED</t>
  </si>
  <si>
    <t>C01855</t>
  </si>
  <si>
    <t>HB1855</t>
  </si>
  <si>
    <t>R01855</t>
  </si>
  <si>
    <t>DT1855</t>
  </si>
  <si>
    <t>BC75TO7S4</t>
  </si>
  <si>
    <t>C01856</t>
  </si>
  <si>
    <t>HB1856</t>
  </si>
  <si>
    <t>R01856</t>
  </si>
  <si>
    <t>DT1856</t>
  </si>
  <si>
    <t>B5G35FB4G</t>
  </si>
  <si>
    <t>C01857</t>
  </si>
  <si>
    <t>HB1857</t>
  </si>
  <si>
    <t>R01857</t>
  </si>
  <si>
    <t>DT1857</t>
  </si>
  <si>
    <t>BKWD0LBB4</t>
  </si>
  <si>
    <t>C01858</t>
  </si>
  <si>
    <t>HB1858</t>
  </si>
  <si>
    <t>R01858</t>
  </si>
  <si>
    <t>DT1858</t>
  </si>
  <si>
    <t>BBPR0W6U7</t>
  </si>
  <si>
    <t>C01859</t>
  </si>
  <si>
    <t>HB1859</t>
  </si>
  <si>
    <t>R01859</t>
  </si>
  <si>
    <t>DT1859</t>
  </si>
  <si>
    <t>BB25WCO5I</t>
  </si>
  <si>
    <t>C01860</t>
  </si>
  <si>
    <t>HB1860</t>
  </si>
  <si>
    <t>R01860</t>
  </si>
  <si>
    <t>DT1860</t>
  </si>
  <si>
    <t>BJ6PHA6F7</t>
  </si>
  <si>
    <t>C01861</t>
  </si>
  <si>
    <t>HB1861</t>
  </si>
  <si>
    <t>R01861</t>
  </si>
  <si>
    <t>DT1861</t>
  </si>
  <si>
    <t>BVB2OSJ4K</t>
  </si>
  <si>
    <t>C01862</t>
  </si>
  <si>
    <t>HB1862</t>
  </si>
  <si>
    <t>R01862</t>
  </si>
  <si>
    <t>DT1862</t>
  </si>
  <si>
    <t>B4QDDHKWL</t>
  </si>
  <si>
    <t>C01863</t>
  </si>
  <si>
    <t>HB1863</t>
  </si>
  <si>
    <t>R01863</t>
  </si>
  <si>
    <t>DT1863</t>
  </si>
  <si>
    <t>B6D07CPG5</t>
  </si>
  <si>
    <t>C01864</t>
  </si>
  <si>
    <t>James Singh</t>
  </si>
  <si>
    <t>HB1864</t>
  </si>
  <si>
    <t>R01864</t>
  </si>
  <si>
    <t>DT1864</t>
  </si>
  <si>
    <t>B8N7PKQK1</t>
  </si>
  <si>
    <t>C01865</t>
  </si>
  <si>
    <t>HB1865</t>
  </si>
  <si>
    <t>R01865</t>
  </si>
  <si>
    <t>DT1865</t>
  </si>
  <si>
    <t>B77TJC79R</t>
  </si>
  <si>
    <t>C01866</t>
  </si>
  <si>
    <t>HB1866</t>
  </si>
  <si>
    <t>R01866</t>
  </si>
  <si>
    <t>DT1866</t>
  </si>
  <si>
    <t>B8P43GK24</t>
  </si>
  <si>
    <t>C01867</t>
  </si>
  <si>
    <t>HB1867</t>
  </si>
  <si>
    <t>R01867</t>
  </si>
  <si>
    <t>DT1867</t>
  </si>
  <si>
    <t>BXZ73QW52</t>
  </si>
  <si>
    <t>C01868</t>
  </si>
  <si>
    <t>HB1868</t>
  </si>
  <si>
    <t>R01868</t>
  </si>
  <si>
    <t>DT1868</t>
  </si>
  <si>
    <t>BZQDP8P8P</t>
  </si>
  <si>
    <t>C01869</t>
  </si>
  <si>
    <t>HB1869</t>
  </si>
  <si>
    <t>R01869</t>
  </si>
  <si>
    <t>DT1869</t>
  </si>
  <si>
    <t>BGXNRBHF9</t>
  </si>
  <si>
    <t>C01870</t>
  </si>
  <si>
    <t>HB1870</t>
  </si>
  <si>
    <t>R01870</t>
  </si>
  <si>
    <t>DT1870</t>
  </si>
  <si>
    <t>B268VOFH2</t>
  </si>
  <si>
    <t>C01871</t>
  </si>
  <si>
    <t>HB1871</t>
  </si>
  <si>
    <t>R01871</t>
  </si>
  <si>
    <t>DT1871</t>
  </si>
  <si>
    <t>BS03SKLT7</t>
  </si>
  <si>
    <t>C01872</t>
  </si>
  <si>
    <t>HB1872</t>
  </si>
  <si>
    <t>R01872</t>
  </si>
  <si>
    <t>DT1872</t>
  </si>
  <si>
    <t>BQDJY9SR6</t>
  </si>
  <si>
    <t>C01873</t>
  </si>
  <si>
    <t>HB1873</t>
  </si>
  <si>
    <t>R01873</t>
  </si>
  <si>
    <t>DT1873</t>
  </si>
  <si>
    <t>BYVIZUUV5</t>
  </si>
  <si>
    <t>C01874</t>
  </si>
  <si>
    <t>HB1874</t>
  </si>
  <si>
    <t>R01874</t>
  </si>
  <si>
    <t>DT1874</t>
  </si>
  <si>
    <t>B6E3CA00S</t>
  </si>
  <si>
    <t>C01875</t>
  </si>
  <si>
    <t>HB1875</t>
  </si>
  <si>
    <t>R01875</t>
  </si>
  <si>
    <t>DT1875</t>
  </si>
  <si>
    <t>B9PWQ7F13</t>
  </si>
  <si>
    <t>C01876</t>
  </si>
  <si>
    <t>HB1876</t>
  </si>
  <si>
    <t>R01876</t>
  </si>
  <si>
    <t>DT1876</t>
  </si>
  <si>
    <t>B3MEYYIB7</t>
  </si>
  <si>
    <t>C01877</t>
  </si>
  <si>
    <t>HB1877</t>
  </si>
  <si>
    <t>R01877</t>
  </si>
  <si>
    <t>DT1877</t>
  </si>
  <si>
    <t>BSBLJ8IZO</t>
  </si>
  <si>
    <t>C01878</t>
  </si>
  <si>
    <t>HB1878</t>
  </si>
  <si>
    <t>R01878</t>
  </si>
  <si>
    <t>DT1878</t>
  </si>
  <si>
    <t>B9MOVBX2A</t>
  </si>
  <si>
    <t>C01879</t>
  </si>
  <si>
    <t>HB1879</t>
  </si>
  <si>
    <t>R01879</t>
  </si>
  <si>
    <t>DT1879</t>
  </si>
  <si>
    <t>B8X4YFGIL</t>
  </si>
  <si>
    <t>C01880</t>
  </si>
  <si>
    <t>HB1880</t>
  </si>
  <si>
    <t>R01880</t>
  </si>
  <si>
    <t>DT1880</t>
  </si>
  <si>
    <t>BJOZG4NYH</t>
  </si>
  <si>
    <t>C01881</t>
  </si>
  <si>
    <t>HB1881</t>
  </si>
  <si>
    <t>R01881</t>
  </si>
  <si>
    <t>DT1881</t>
  </si>
  <si>
    <t>B2HAWC0NB</t>
  </si>
  <si>
    <t>C01882</t>
  </si>
  <si>
    <t>HB1882</t>
  </si>
  <si>
    <t>R01882</t>
  </si>
  <si>
    <t>DT1882</t>
  </si>
  <si>
    <t>B0WRJD1X4</t>
  </si>
  <si>
    <t>C01883</t>
  </si>
  <si>
    <t>HB1883</t>
  </si>
  <si>
    <t>R01883</t>
  </si>
  <si>
    <t>DT1883</t>
  </si>
  <si>
    <t>B5UDTEOFJ</t>
  </si>
  <si>
    <t>C01884</t>
  </si>
  <si>
    <t>HB1884</t>
  </si>
  <si>
    <t>R01884</t>
  </si>
  <si>
    <t>DT1884</t>
  </si>
  <si>
    <t>BZ4BXZFY9</t>
  </si>
  <si>
    <t>C01885</t>
  </si>
  <si>
    <t>HB1885</t>
  </si>
  <si>
    <t>R01885</t>
  </si>
  <si>
    <t>DT1885</t>
  </si>
  <si>
    <t>B60DQTX4S</t>
  </si>
  <si>
    <t>C01886</t>
  </si>
  <si>
    <t>HB1886</t>
  </si>
  <si>
    <t>R01886</t>
  </si>
  <si>
    <t>DT1886</t>
  </si>
  <si>
    <t>BNKWX86Y4</t>
  </si>
  <si>
    <t>C01887</t>
  </si>
  <si>
    <t>HB1887</t>
  </si>
  <si>
    <t>R01887</t>
  </si>
  <si>
    <t>DT1887</t>
  </si>
  <si>
    <t>BZRRYJ72T</t>
  </si>
  <si>
    <t>C01888</t>
  </si>
  <si>
    <t>HB1888</t>
  </si>
  <si>
    <t>R01888</t>
  </si>
  <si>
    <t>DT1888</t>
  </si>
  <si>
    <t>BF01ZLZWD</t>
  </si>
  <si>
    <t>C01889</t>
  </si>
  <si>
    <t>HB1889</t>
  </si>
  <si>
    <t>R01889</t>
  </si>
  <si>
    <t>DT1889</t>
  </si>
  <si>
    <t>BF2UM8HE9</t>
  </si>
  <si>
    <t>C01890</t>
  </si>
  <si>
    <t>HB1890</t>
  </si>
  <si>
    <t>R01890</t>
  </si>
  <si>
    <t>DT1890</t>
  </si>
  <si>
    <t>BO1141AFT</t>
  </si>
  <si>
    <t>C01891</t>
  </si>
  <si>
    <t>HB1891</t>
  </si>
  <si>
    <t>R01891</t>
  </si>
  <si>
    <t>DT1891</t>
  </si>
  <si>
    <t>BB255M5JF</t>
  </si>
  <si>
    <t>C01892</t>
  </si>
  <si>
    <t>HB1892</t>
  </si>
  <si>
    <t>R01892</t>
  </si>
  <si>
    <t>DT1892</t>
  </si>
  <si>
    <t>BESQKP7A8</t>
  </si>
  <si>
    <t>C01893</t>
  </si>
  <si>
    <t>HB1893</t>
  </si>
  <si>
    <t>R01893</t>
  </si>
  <si>
    <t>DT1893</t>
  </si>
  <si>
    <t>B80830N95</t>
  </si>
  <si>
    <t>C01894</t>
  </si>
  <si>
    <t>HB1894</t>
  </si>
  <si>
    <t>R01894</t>
  </si>
  <si>
    <t>DT1894</t>
  </si>
  <si>
    <t>BT8OSGLJT</t>
  </si>
  <si>
    <t>C01895</t>
  </si>
  <si>
    <t>HB1895</t>
  </si>
  <si>
    <t>R01895</t>
  </si>
  <si>
    <t>DT1895</t>
  </si>
  <si>
    <t>BM3R3MFZK</t>
  </si>
  <si>
    <t>C01896</t>
  </si>
  <si>
    <t>HB1896</t>
  </si>
  <si>
    <t>R01896</t>
  </si>
  <si>
    <t>DT1896</t>
  </si>
  <si>
    <t>BZVOWI005</t>
  </si>
  <si>
    <t>C01897</t>
  </si>
  <si>
    <t>HB1897</t>
  </si>
  <si>
    <t>R01897</t>
  </si>
  <si>
    <t>DT1897</t>
  </si>
  <si>
    <t>BHJWUF29W</t>
  </si>
  <si>
    <t>C01898</t>
  </si>
  <si>
    <t>HB1898</t>
  </si>
  <si>
    <t>R01898</t>
  </si>
  <si>
    <t>DT1898</t>
  </si>
  <si>
    <t>BN2LEYUKO</t>
  </si>
  <si>
    <t>C01899</t>
  </si>
  <si>
    <t>HB1899</t>
  </si>
  <si>
    <t>R01899</t>
  </si>
  <si>
    <t>DT1899</t>
  </si>
  <si>
    <t>B35XAMVT4</t>
  </si>
  <si>
    <t>C01900</t>
  </si>
  <si>
    <t>HB1900</t>
  </si>
  <si>
    <t>R01900</t>
  </si>
  <si>
    <t>DT1900</t>
  </si>
  <si>
    <t>BO5O30MDI</t>
  </si>
  <si>
    <t>C01901</t>
  </si>
  <si>
    <t>HB1901</t>
  </si>
  <si>
    <t>R01901</t>
  </si>
  <si>
    <t>DT1901</t>
  </si>
  <si>
    <t>BJRRX0TT4</t>
  </si>
  <si>
    <t>C01902</t>
  </si>
  <si>
    <t>HB1902</t>
  </si>
  <si>
    <t>R01902</t>
  </si>
  <si>
    <t>DT1902</t>
  </si>
  <si>
    <t>BX6WPGK9M</t>
  </si>
  <si>
    <t>C01903</t>
  </si>
  <si>
    <t>HB1903</t>
  </si>
  <si>
    <t>R01903</t>
  </si>
  <si>
    <t>DT1903</t>
  </si>
  <si>
    <t>BP5XBX838</t>
  </si>
  <si>
    <t>C01904</t>
  </si>
  <si>
    <t>HB1904</t>
  </si>
  <si>
    <t>R01904</t>
  </si>
  <si>
    <t>DT1904</t>
  </si>
  <si>
    <t>BKNPOUMU4</t>
  </si>
  <si>
    <t>C01905</t>
  </si>
  <si>
    <t>HB1905</t>
  </si>
  <si>
    <t>R01905</t>
  </si>
  <si>
    <t>DT1905</t>
  </si>
  <si>
    <t>BJY83EP2X</t>
  </si>
  <si>
    <t>C01906</t>
  </si>
  <si>
    <t>HB1906</t>
  </si>
  <si>
    <t>R01906</t>
  </si>
  <si>
    <t>DT1906</t>
  </si>
  <si>
    <t>BMC0UNJF4</t>
  </si>
  <si>
    <t>C01907</t>
  </si>
  <si>
    <t>HB1907</t>
  </si>
  <si>
    <t>R01907</t>
  </si>
  <si>
    <t>DT1907</t>
  </si>
  <si>
    <t>B6F5CREMG</t>
  </si>
  <si>
    <t>C01908</t>
  </si>
  <si>
    <t>HB1908</t>
  </si>
  <si>
    <t>R01908</t>
  </si>
  <si>
    <t>DT1908</t>
  </si>
  <si>
    <t>BDZ47FPVI</t>
  </si>
  <si>
    <t>C01909</t>
  </si>
  <si>
    <t>HB1909</t>
  </si>
  <si>
    <t>R01909</t>
  </si>
  <si>
    <t>DT1909</t>
  </si>
  <si>
    <t>BD2WUPT7P</t>
  </si>
  <si>
    <t>C01910</t>
  </si>
  <si>
    <t>HB1910</t>
  </si>
  <si>
    <t>R01910</t>
  </si>
  <si>
    <t>DT1910</t>
  </si>
  <si>
    <t>BKI8RVJFN</t>
  </si>
  <si>
    <t>C01911</t>
  </si>
  <si>
    <t>HB1911</t>
  </si>
  <si>
    <t>R01911</t>
  </si>
  <si>
    <t>DT1911</t>
  </si>
  <si>
    <t>B9KEG7L4C</t>
  </si>
  <si>
    <t>C01912</t>
  </si>
  <si>
    <t>HB1912</t>
  </si>
  <si>
    <t>R01912</t>
  </si>
  <si>
    <t>DT1912</t>
  </si>
  <si>
    <t>BU5R6GWQJ</t>
  </si>
  <si>
    <t>C01913</t>
  </si>
  <si>
    <t>HB1913</t>
  </si>
  <si>
    <t>R01913</t>
  </si>
  <si>
    <t>DT1913</t>
  </si>
  <si>
    <t>BSGESKGEF</t>
  </si>
  <si>
    <t>C01914</t>
  </si>
  <si>
    <t>HB1914</t>
  </si>
  <si>
    <t>R01914</t>
  </si>
  <si>
    <t>DT1914</t>
  </si>
  <si>
    <t>B0U60TQCF</t>
  </si>
  <si>
    <t>C01915</t>
  </si>
  <si>
    <t>HB1915</t>
  </si>
  <si>
    <t>R01915</t>
  </si>
  <si>
    <t>DT1915</t>
  </si>
  <si>
    <t>BCLYID8FF</t>
  </si>
  <si>
    <t>C01916</t>
  </si>
  <si>
    <t>HB1916</t>
  </si>
  <si>
    <t>R01916</t>
  </si>
  <si>
    <t>DT1916</t>
  </si>
  <si>
    <t>B2WMB8S6K</t>
  </si>
  <si>
    <t>C01917</t>
  </si>
  <si>
    <t>HB1917</t>
  </si>
  <si>
    <t>R01917</t>
  </si>
  <si>
    <t>DT1917</t>
  </si>
  <si>
    <t>BHRX1FOPN</t>
  </si>
  <si>
    <t>C01918</t>
  </si>
  <si>
    <t>HB1918</t>
  </si>
  <si>
    <t>R01918</t>
  </si>
  <si>
    <t>DT1918</t>
  </si>
  <si>
    <t>BEBMSNMTM</t>
  </si>
  <si>
    <t>C01919</t>
  </si>
  <si>
    <t>HB1919</t>
  </si>
  <si>
    <t>R01919</t>
  </si>
  <si>
    <t>DT1919</t>
  </si>
  <si>
    <t>BJWM5THV1</t>
  </si>
  <si>
    <t>C01920</t>
  </si>
  <si>
    <t>HB1920</t>
  </si>
  <si>
    <t>R01920</t>
  </si>
  <si>
    <t>DT1920</t>
  </si>
  <si>
    <t>BD4P662XQ</t>
  </si>
  <si>
    <t>C01921</t>
  </si>
  <si>
    <t>HB1921</t>
  </si>
  <si>
    <t>R01921</t>
  </si>
  <si>
    <t>DT1921</t>
  </si>
  <si>
    <t>BS3HDP7FS</t>
  </si>
  <si>
    <t>C01922</t>
  </si>
  <si>
    <t>HB1922</t>
  </si>
  <si>
    <t>R01922</t>
  </si>
  <si>
    <t>DT1922</t>
  </si>
  <si>
    <t>BKJI7UBTN</t>
  </si>
  <si>
    <t>C01923</t>
  </si>
  <si>
    <t>HB1923</t>
  </si>
  <si>
    <t>R01923</t>
  </si>
  <si>
    <t>DT1923</t>
  </si>
  <si>
    <t>BF5IIWHJP</t>
  </si>
  <si>
    <t>C01924</t>
  </si>
  <si>
    <t>HB1924</t>
  </si>
  <si>
    <t>R01924</t>
  </si>
  <si>
    <t>DT1924</t>
  </si>
  <si>
    <t>BAKUNQHNV</t>
  </si>
  <si>
    <t>C01925</t>
  </si>
  <si>
    <t>HB1925</t>
  </si>
  <si>
    <t>R01925</t>
  </si>
  <si>
    <t>DT1925</t>
  </si>
  <si>
    <t>BEG7BWOF9</t>
  </si>
  <si>
    <t>C01926</t>
  </si>
  <si>
    <t>HB1926</t>
  </si>
  <si>
    <t>R01926</t>
  </si>
  <si>
    <t>DT1926</t>
  </si>
  <si>
    <t>BKR7SFFEL</t>
  </si>
  <si>
    <t>C01927</t>
  </si>
  <si>
    <t>HB1927</t>
  </si>
  <si>
    <t>R01927</t>
  </si>
  <si>
    <t>DT1927</t>
  </si>
  <si>
    <t>B37HBMT69</t>
  </si>
  <si>
    <t>C01928</t>
  </si>
  <si>
    <t>HB1928</t>
  </si>
  <si>
    <t>R01928</t>
  </si>
  <si>
    <t>DT1928</t>
  </si>
  <si>
    <t>B3TBO5ZUU</t>
  </si>
  <si>
    <t>C01929</t>
  </si>
  <si>
    <t>HB1929</t>
  </si>
  <si>
    <t>R01929</t>
  </si>
  <si>
    <t>DT1929</t>
  </si>
  <si>
    <t>BS8HW9WQB</t>
  </si>
  <si>
    <t>C01930</t>
  </si>
  <si>
    <t>HB1930</t>
  </si>
  <si>
    <t>R01930</t>
  </si>
  <si>
    <t>DT1930</t>
  </si>
  <si>
    <t>BLCTRR7KU</t>
  </si>
  <si>
    <t>C01931</t>
  </si>
  <si>
    <t>HB1931</t>
  </si>
  <si>
    <t>R01931</t>
  </si>
  <si>
    <t>DT1931</t>
  </si>
  <si>
    <t>BUS960VGA</t>
  </si>
  <si>
    <t>C01932</t>
  </si>
  <si>
    <t>HB1932</t>
  </si>
  <si>
    <t>R01932</t>
  </si>
  <si>
    <t>DT1932</t>
  </si>
  <si>
    <t>B834I8W17</t>
  </si>
  <si>
    <t>C01933</t>
  </si>
  <si>
    <t>HB1933</t>
  </si>
  <si>
    <t>R01933</t>
  </si>
  <si>
    <t>DT1933</t>
  </si>
  <si>
    <t>B78ROXQSC</t>
  </si>
  <si>
    <t>C01934</t>
  </si>
  <si>
    <t>HB1934</t>
  </si>
  <si>
    <t>R01934</t>
  </si>
  <si>
    <t>DT1934</t>
  </si>
  <si>
    <t>BWHH5E3S5</t>
  </si>
  <si>
    <t>C01935</t>
  </si>
  <si>
    <t>HB1935</t>
  </si>
  <si>
    <t>R01935</t>
  </si>
  <si>
    <t>DT1935</t>
  </si>
  <si>
    <t>BIO0YE90L</t>
  </si>
  <si>
    <t>C01936</t>
  </si>
  <si>
    <t>HB1936</t>
  </si>
  <si>
    <t>R01936</t>
  </si>
  <si>
    <t>DT1936</t>
  </si>
  <si>
    <t>BSYOWYC9D</t>
  </si>
  <si>
    <t>C01937</t>
  </si>
  <si>
    <t>HB1937</t>
  </si>
  <si>
    <t>R01937</t>
  </si>
  <si>
    <t>DT1937</t>
  </si>
  <si>
    <t>BJ2TOH9K4</t>
  </si>
  <si>
    <t>C01938</t>
  </si>
  <si>
    <t>HB1938</t>
  </si>
  <si>
    <t>R01938</t>
  </si>
  <si>
    <t>DT1938</t>
  </si>
  <si>
    <t>BWQL586TE</t>
  </si>
  <si>
    <t>C01939</t>
  </si>
  <si>
    <t>HB1939</t>
  </si>
  <si>
    <t>R01939</t>
  </si>
  <si>
    <t>DT1939</t>
  </si>
  <si>
    <t>B8E72OEIH</t>
  </si>
  <si>
    <t>C01940</t>
  </si>
  <si>
    <t>HB1940</t>
  </si>
  <si>
    <t>R01940</t>
  </si>
  <si>
    <t>DT1940</t>
  </si>
  <si>
    <t>BF3LRCXXE</t>
  </si>
  <si>
    <t>C01941</t>
  </si>
  <si>
    <t>HB1941</t>
  </si>
  <si>
    <t>R01941</t>
  </si>
  <si>
    <t>DT1941</t>
  </si>
  <si>
    <t>BBAM5X86X</t>
  </si>
  <si>
    <t>C01942</t>
  </si>
  <si>
    <t>HB1942</t>
  </si>
  <si>
    <t>R01942</t>
  </si>
  <si>
    <t>DT1942</t>
  </si>
  <si>
    <t>B7HR4IR4O</t>
  </si>
  <si>
    <t>C01943</t>
  </si>
  <si>
    <t>HB1943</t>
  </si>
  <si>
    <t>R01943</t>
  </si>
  <si>
    <t>DT1943</t>
  </si>
  <si>
    <t>BVTX4FG3Y</t>
  </si>
  <si>
    <t>C01944</t>
  </si>
  <si>
    <t>HB1944</t>
  </si>
  <si>
    <t>R01944</t>
  </si>
  <si>
    <t>DT1944</t>
  </si>
  <si>
    <t>B9KAGDHBS</t>
  </si>
  <si>
    <t>C01945</t>
  </si>
  <si>
    <t>HB1945</t>
  </si>
  <si>
    <t>R01945</t>
  </si>
  <si>
    <t>DT1945</t>
  </si>
  <si>
    <t>BGYSIEJNE</t>
  </si>
  <si>
    <t>C01946</t>
  </si>
  <si>
    <t>HB1946</t>
  </si>
  <si>
    <t>R01946</t>
  </si>
  <si>
    <t>DT1946</t>
  </si>
  <si>
    <t>BGEJFOXM3</t>
  </si>
  <si>
    <t>C01947</t>
  </si>
  <si>
    <t>HB1947</t>
  </si>
  <si>
    <t>R01947</t>
  </si>
  <si>
    <t>DT1947</t>
  </si>
  <si>
    <t>BYCG6NE45</t>
  </si>
  <si>
    <t>C01948</t>
  </si>
  <si>
    <t>HB1948</t>
  </si>
  <si>
    <t>R01948</t>
  </si>
  <si>
    <t>DT1948</t>
  </si>
  <si>
    <t>BY2JEDV3L</t>
  </si>
  <si>
    <t>C01949</t>
  </si>
  <si>
    <t>HB1949</t>
  </si>
  <si>
    <t>R01949</t>
  </si>
  <si>
    <t>DT1949</t>
  </si>
  <si>
    <t>B32GI14Z9</t>
  </si>
  <si>
    <t>C01950</t>
  </si>
  <si>
    <t>HB1950</t>
  </si>
  <si>
    <t>R01950</t>
  </si>
  <si>
    <t>DT1950</t>
  </si>
  <si>
    <t>BYCCGZS4Y</t>
  </si>
  <si>
    <t>C01951</t>
  </si>
  <si>
    <t>HB1951</t>
  </si>
  <si>
    <t>R01951</t>
  </si>
  <si>
    <t>DT1951</t>
  </si>
  <si>
    <t>B5SEADDU8</t>
  </si>
  <si>
    <t>C01952</t>
  </si>
  <si>
    <t>HB1952</t>
  </si>
  <si>
    <t>R01952</t>
  </si>
  <si>
    <t>DT1952</t>
  </si>
  <si>
    <t>BVZAYB201</t>
  </si>
  <si>
    <t>C01953</t>
  </si>
  <si>
    <t>HB1953</t>
  </si>
  <si>
    <t>R01953</t>
  </si>
  <si>
    <t>DT1953</t>
  </si>
  <si>
    <t>B2D2Z9ZKI</t>
  </si>
  <si>
    <t>C01954</t>
  </si>
  <si>
    <t>HB1954</t>
  </si>
  <si>
    <t>R01954</t>
  </si>
  <si>
    <t>DT1954</t>
  </si>
  <si>
    <t>BRDMKUNIF</t>
  </si>
  <si>
    <t>C01955</t>
  </si>
  <si>
    <t>HB1955</t>
  </si>
  <si>
    <t>R01955</t>
  </si>
  <si>
    <t>DT1955</t>
  </si>
  <si>
    <t>BLTWAWZXF</t>
  </si>
  <si>
    <t>C01956</t>
  </si>
  <si>
    <t>HB1956</t>
  </si>
  <si>
    <t>R01956</t>
  </si>
  <si>
    <t>DT1956</t>
  </si>
  <si>
    <t>BJE6FQHDC</t>
  </si>
  <si>
    <t>C01957</t>
  </si>
  <si>
    <t>HB1957</t>
  </si>
  <si>
    <t>R01957</t>
  </si>
  <si>
    <t>DT1957</t>
  </si>
  <si>
    <t>BXM89V9VZ</t>
  </si>
  <si>
    <t>C01958</t>
  </si>
  <si>
    <t>HB1958</t>
  </si>
  <si>
    <t>R01958</t>
  </si>
  <si>
    <t>DT1958</t>
  </si>
  <si>
    <t>B4DT1N5JQ</t>
  </si>
  <si>
    <t>C01959</t>
  </si>
  <si>
    <t>HB1959</t>
  </si>
  <si>
    <t>R01959</t>
  </si>
  <si>
    <t>DT1959</t>
  </si>
  <si>
    <t>BJW87SZZM</t>
  </si>
  <si>
    <t>C01960</t>
  </si>
  <si>
    <t>HB1960</t>
  </si>
  <si>
    <t>R01960</t>
  </si>
  <si>
    <t>DT1960</t>
  </si>
  <si>
    <t>B8WB80NR5</t>
  </si>
  <si>
    <t>C01961</t>
  </si>
  <si>
    <t>HB1961</t>
  </si>
  <si>
    <t>R01961</t>
  </si>
  <si>
    <t>DT1961</t>
  </si>
  <si>
    <t>B3ZVTPH61</t>
  </si>
  <si>
    <t>C01962</t>
  </si>
  <si>
    <t>HB1962</t>
  </si>
  <si>
    <t>R01962</t>
  </si>
  <si>
    <t>DT1962</t>
  </si>
  <si>
    <t>B5U7906NW</t>
  </si>
  <si>
    <t>C01963</t>
  </si>
  <si>
    <t>HB1963</t>
  </si>
  <si>
    <t>R01963</t>
  </si>
  <si>
    <t>DT1963</t>
  </si>
  <si>
    <t>BOB8X1FE8</t>
  </si>
  <si>
    <t>C01964</t>
  </si>
  <si>
    <t>HB1964</t>
  </si>
  <si>
    <t>R01964</t>
  </si>
  <si>
    <t>DT1964</t>
  </si>
  <si>
    <t>BPIF6EYYN</t>
  </si>
  <si>
    <t>C01965</t>
  </si>
  <si>
    <t>HB1965</t>
  </si>
  <si>
    <t>R01965</t>
  </si>
  <si>
    <t>DT1965</t>
  </si>
  <si>
    <t>BBM4YMI0J</t>
  </si>
  <si>
    <t>C01966</t>
  </si>
  <si>
    <t>HB1966</t>
  </si>
  <si>
    <t>R01966</t>
  </si>
  <si>
    <t>DT1966</t>
  </si>
  <si>
    <t>B4R6VHMXG</t>
  </si>
  <si>
    <t>C01967</t>
  </si>
  <si>
    <t>HB1967</t>
  </si>
  <si>
    <t>R01967</t>
  </si>
  <si>
    <t>DT1967</t>
  </si>
  <si>
    <t>BDQBHSC2E</t>
  </si>
  <si>
    <t>C01968</t>
  </si>
  <si>
    <t>HB1968</t>
  </si>
  <si>
    <t>R01968</t>
  </si>
  <si>
    <t>DT1968</t>
  </si>
  <si>
    <t>BZC4K31JC</t>
  </si>
  <si>
    <t>C01969</t>
  </si>
  <si>
    <t>HB1969</t>
  </si>
  <si>
    <t>R01969</t>
  </si>
  <si>
    <t>DT1969</t>
  </si>
  <si>
    <t>BU3TQE0LU</t>
  </si>
  <si>
    <t>C01970</t>
  </si>
  <si>
    <t>HB1970</t>
  </si>
  <si>
    <t>R01970</t>
  </si>
  <si>
    <t>DT1970</t>
  </si>
  <si>
    <t>B80U0ZI50</t>
  </si>
  <si>
    <t>C01971</t>
  </si>
  <si>
    <t>HB1971</t>
  </si>
  <si>
    <t>R01971</t>
  </si>
  <si>
    <t>DT1971</t>
  </si>
  <si>
    <t>BLSL6FW37</t>
  </si>
  <si>
    <t>C01972</t>
  </si>
  <si>
    <t>HB1972</t>
  </si>
  <si>
    <t>R01972</t>
  </si>
  <si>
    <t>DT1972</t>
  </si>
  <si>
    <t>B8MMOJK45</t>
  </si>
  <si>
    <t>C01973</t>
  </si>
  <si>
    <t>HB1973</t>
  </si>
  <si>
    <t>R01973</t>
  </si>
  <si>
    <t>DT1973</t>
  </si>
  <si>
    <t>BRKF6BJY6</t>
  </si>
  <si>
    <t>C01974</t>
  </si>
  <si>
    <t>HB1974</t>
  </si>
  <si>
    <t>R01974</t>
  </si>
  <si>
    <t>DT1974</t>
  </si>
  <si>
    <t>BRV5S722E</t>
  </si>
  <si>
    <t>C01975</t>
  </si>
  <si>
    <t>HB1975</t>
  </si>
  <si>
    <t>R01975</t>
  </si>
  <si>
    <t>DT1975</t>
  </si>
  <si>
    <t>B0VQ2Q6YH</t>
  </si>
  <si>
    <t>C01976</t>
  </si>
  <si>
    <t>HB1976</t>
  </si>
  <si>
    <t>R01976</t>
  </si>
  <si>
    <t>DT1976</t>
  </si>
  <si>
    <t>B6NSCUIEC</t>
  </si>
  <si>
    <t>C01977</t>
  </si>
  <si>
    <t>HB1977</t>
  </si>
  <si>
    <t>R01977</t>
  </si>
  <si>
    <t>DT1977</t>
  </si>
  <si>
    <t>BA2C1L9FJ</t>
  </si>
  <si>
    <t>C01978</t>
  </si>
  <si>
    <t>HB1978</t>
  </si>
  <si>
    <t>R01978</t>
  </si>
  <si>
    <t>DT1978</t>
  </si>
  <si>
    <t>BUSXW8M0L</t>
  </si>
  <si>
    <t>C01979</t>
  </si>
  <si>
    <t>HB1979</t>
  </si>
  <si>
    <t>R01979</t>
  </si>
  <si>
    <t>DT1979</t>
  </si>
  <si>
    <t>BBT1QW64J</t>
  </si>
  <si>
    <t>C01980</t>
  </si>
  <si>
    <t>HB1980</t>
  </si>
  <si>
    <t>R01980</t>
  </si>
  <si>
    <t>DT1980</t>
  </si>
  <si>
    <t>B34440WE0</t>
  </si>
  <si>
    <t>C01981</t>
  </si>
  <si>
    <t>HB1981</t>
  </si>
  <si>
    <t>R01981</t>
  </si>
  <si>
    <t>DT1981</t>
  </si>
  <si>
    <t>BQR4FFO67</t>
  </si>
  <si>
    <t>C01982</t>
  </si>
  <si>
    <t>HB1982</t>
  </si>
  <si>
    <t>R01982</t>
  </si>
  <si>
    <t>DT1982</t>
  </si>
  <si>
    <t>B4MDRD2FX</t>
  </si>
  <si>
    <t>C01983</t>
  </si>
  <si>
    <t>HB1983</t>
  </si>
  <si>
    <t>R01983</t>
  </si>
  <si>
    <t>DT1983</t>
  </si>
  <si>
    <t>B755XWR2D</t>
  </si>
  <si>
    <t>C01984</t>
  </si>
  <si>
    <t>HB1984</t>
  </si>
  <si>
    <t>R01984</t>
  </si>
  <si>
    <t>DT1984</t>
  </si>
  <si>
    <t>BH5GR8DAQ</t>
  </si>
  <si>
    <t>C01985</t>
  </si>
  <si>
    <t>HB1985</t>
  </si>
  <si>
    <t>R01985</t>
  </si>
  <si>
    <t>DT1985</t>
  </si>
  <si>
    <t>BATOMFFK4</t>
  </si>
  <si>
    <t>C01986</t>
  </si>
  <si>
    <t>HB1986</t>
  </si>
  <si>
    <t>R01986</t>
  </si>
  <si>
    <t>DT1986</t>
  </si>
  <si>
    <t>BSL9HRKAW</t>
  </si>
  <si>
    <t>C01987</t>
  </si>
  <si>
    <t>HB1987</t>
  </si>
  <si>
    <t>R01987</t>
  </si>
  <si>
    <t>DT1987</t>
  </si>
  <si>
    <t>BF5INKXLD</t>
  </si>
  <si>
    <t>C01988</t>
  </si>
  <si>
    <t>HB1988</t>
  </si>
  <si>
    <t>R01988</t>
  </si>
  <si>
    <t>DT1988</t>
  </si>
  <si>
    <t>BWRX6561E</t>
  </si>
  <si>
    <t>C01989</t>
  </si>
  <si>
    <t>HB1989</t>
  </si>
  <si>
    <t>R01989</t>
  </si>
  <si>
    <t>DT1989</t>
  </si>
  <si>
    <t>BUSRFSAQC</t>
  </si>
  <si>
    <t>C01990</t>
  </si>
  <si>
    <t>HB1990</t>
  </si>
  <si>
    <t>R01990</t>
  </si>
  <si>
    <t>DT1990</t>
  </si>
  <si>
    <t>B524SMGP0</t>
  </si>
  <si>
    <t>C01991</t>
  </si>
  <si>
    <t>HB1991</t>
  </si>
  <si>
    <t>R01991</t>
  </si>
  <si>
    <t>DT1991</t>
  </si>
  <si>
    <t>B8T7ZQCLO</t>
  </si>
  <si>
    <t>C01992</t>
  </si>
  <si>
    <t>HB1992</t>
  </si>
  <si>
    <t>R01992</t>
  </si>
  <si>
    <t>DT1992</t>
  </si>
  <si>
    <t>B5HRC2HLD</t>
  </si>
  <si>
    <t>C01993</t>
  </si>
  <si>
    <t>HB1993</t>
  </si>
  <si>
    <t>R01993</t>
  </si>
  <si>
    <t>DT1993</t>
  </si>
  <si>
    <t>BPC2R4KED</t>
  </si>
  <si>
    <t>C01994</t>
  </si>
  <si>
    <t>HB1994</t>
  </si>
  <si>
    <t>R01994</t>
  </si>
  <si>
    <t>DT1994</t>
  </si>
  <si>
    <t>BEID1R6Z2</t>
  </si>
  <si>
    <t>C01995</t>
  </si>
  <si>
    <t>HB1995</t>
  </si>
  <si>
    <t>R01995</t>
  </si>
  <si>
    <t>DT1995</t>
  </si>
  <si>
    <t>BIB6ZJGUB</t>
  </si>
  <si>
    <t>C01996</t>
  </si>
  <si>
    <t>HB1996</t>
  </si>
  <si>
    <t>R01996</t>
  </si>
  <si>
    <t>DT1996</t>
  </si>
  <si>
    <t>BG1EG1I06</t>
  </si>
  <si>
    <t>C01997</t>
  </si>
  <si>
    <t>HB1997</t>
  </si>
  <si>
    <t>R01997</t>
  </si>
  <si>
    <t>DT1997</t>
  </si>
  <si>
    <t>B2Y90BWFP</t>
  </si>
  <si>
    <t>C01998</t>
  </si>
  <si>
    <t>HB1998</t>
  </si>
  <si>
    <t>R01998</t>
  </si>
  <si>
    <t>DT1998</t>
  </si>
  <si>
    <t>B6YRXM6IO</t>
  </si>
  <si>
    <t>C01999</t>
  </si>
  <si>
    <t>HB1999</t>
  </si>
  <si>
    <t>R01999</t>
  </si>
  <si>
    <t>DT1999</t>
  </si>
  <si>
    <t>BZ5XFGZ73</t>
  </si>
  <si>
    <t>C02000</t>
  </si>
  <si>
    <t>HB2000</t>
  </si>
  <si>
    <t>R02000</t>
  </si>
  <si>
    <t>DT2000</t>
  </si>
  <si>
    <t>Room_Number</t>
  </si>
  <si>
    <t>Room Type</t>
  </si>
  <si>
    <t>Floor</t>
  </si>
  <si>
    <t>Room Category</t>
  </si>
  <si>
    <t>Capacity</t>
  </si>
  <si>
    <t>Price_per_Night_INR</t>
  </si>
  <si>
    <t>IsAC</t>
  </si>
  <si>
    <t>Standard</t>
  </si>
  <si>
    <t>Premium</t>
  </si>
  <si>
    <t>Executive</t>
  </si>
  <si>
    <t>Suite</t>
  </si>
  <si>
    <t>Deluxe</t>
  </si>
  <si>
    <t>Date</t>
  </si>
  <si>
    <t>Year</t>
  </si>
  <si>
    <t>Month</t>
  </si>
  <si>
    <t>Day</t>
  </si>
  <si>
    <t>Weekday</t>
  </si>
  <si>
    <t>Is_Weekend</t>
  </si>
  <si>
    <t>Quarter</t>
  </si>
  <si>
    <t>Thursday</t>
  </si>
  <si>
    <t>Wednesday</t>
  </si>
  <si>
    <t>Friday</t>
  </si>
  <si>
    <t>Tuesday</t>
  </si>
  <si>
    <t>Saturday</t>
  </si>
  <si>
    <t>Sunday</t>
  </si>
  <si>
    <t>Monday</t>
  </si>
  <si>
    <t>Gender</t>
  </si>
  <si>
    <t>Email</t>
  </si>
  <si>
    <t>Phone</t>
  </si>
  <si>
    <t>Country</t>
  </si>
  <si>
    <t>Loyalty_Status</t>
  </si>
  <si>
    <t>DOB</t>
  </si>
  <si>
    <t>Female</t>
  </si>
  <si>
    <t>priya.singh12@outlook.com</t>
  </si>
  <si>
    <t>Germany</t>
  </si>
  <si>
    <t>Gold</t>
  </si>
  <si>
    <t>Male</t>
  </si>
  <si>
    <t>benjamin.verma9@example.com</t>
  </si>
  <si>
    <t>Singapore</t>
  </si>
  <si>
    <t>Silver</t>
  </si>
  <si>
    <t>aarav.gupta5@yahoo.com</t>
  </si>
  <si>
    <t>Australia</t>
  </si>
  <si>
    <t>simran.khan17@gmail.com</t>
  </si>
  <si>
    <t>Canada</t>
  </si>
  <si>
    <t>liam.sharma53@outlook.com</t>
  </si>
  <si>
    <t>UAE</t>
  </si>
  <si>
    <t>None</t>
  </si>
  <si>
    <t>shruti.patel57@example.com</t>
  </si>
  <si>
    <t>Platinum</t>
  </si>
  <si>
    <t>sana.verma88@gmail.com</t>
  </si>
  <si>
    <t>UK</t>
  </si>
  <si>
    <t>ananya.joshi39@example.com</t>
  </si>
  <si>
    <t>ritika.verma4@outlook.com</t>
  </si>
  <si>
    <t>Thailand</t>
  </si>
  <si>
    <t>reyansh.iyer11@yahoo.com</t>
  </si>
  <si>
    <t>France</t>
  </si>
  <si>
    <t>lucas.khan54@example.com</t>
  </si>
  <si>
    <t>India</t>
  </si>
  <si>
    <t>ananya.iyer66@example.com</t>
  </si>
  <si>
    <t>neha.singh84@gmail.com</t>
  </si>
  <si>
    <t>ritika.patel73@example.com</t>
  </si>
  <si>
    <t>siddharth.gupta22@example.com</t>
  </si>
  <si>
    <t>elijah.gupta95@outlook.com</t>
  </si>
  <si>
    <t>benjamin.nair82@gmail.com</t>
  </si>
  <si>
    <t>rohan.singh92@gmail.com</t>
  </si>
  <si>
    <t>ritika.gupta93@outlook.com</t>
  </si>
  <si>
    <t>ritika.patel34@yahoo.com</t>
  </si>
  <si>
    <t>divya.joshi52@gmail.com</t>
  </si>
  <si>
    <t>shruti.singh64@outlook.com</t>
  </si>
  <si>
    <t>neha.khan26@outlook.com</t>
  </si>
  <si>
    <t>oliver.iyer65@example.com</t>
  </si>
  <si>
    <t>USA</t>
  </si>
  <si>
    <t>liam.singh48@gmail.com</t>
  </si>
  <si>
    <t>liam.gupta98@example.com</t>
  </si>
  <si>
    <t>james.gupta15@yahoo.com</t>
  </si>
  <si>
    <t>shruti.verma35@yahoo.com</t>
  </si>
  <si>
    <t>shruti.patel32@yahoo.com</t>
  </si>
  <si>
    <t>priya.joshi73@example.com</t>
  </si>
  <si>
    <t>arjun.joshi68@outlook.com</t>
  </si>
  <si>
    <t>simran.verma72@outlook.com</t>
  </si>
  <si>
    <t>sana.mehta65@example.com</t>
  </si>
  <si>
    <t>ishaan.sharma89@hotmail.com</t>
  </si>
  <si>
    <t>henry.mehta52@outlook.com</t>
  </si>
  <si>
    <t>vivaan.sharma98@outlook.com</t>
  </si>
  <si>
    <t>pooja.khan84@hotmail.com</t>
  </si>
  <si>
    <t>sana.gupta9@outlook.com</t>
  </si>
  <si>
    <t>alexander.singh30@hotmail.com</t>
  </si>
  <si>
    <t>ananya.joshi22@gmail.com</t>
  </si>
  <si>
    <t>reyansh.nair51@yahoo.com</t>
  </si>
  <si>
    <t>ritika.khan17@outlook.com</t>
  </si>
  <si>
    <t>james.patel90@hotmail.com</t>
  </si>
  <si>
    <t>ritika.khan29@yahoo.com</t>
  </si>
  <si>
    <t>simran.mehta12@gmail.com</t>
  </si>
  <si>
    <t>ananya.nair21@yahoo.com</t>
  </si>
  <si>
    <t>arjun.khan83@hotmail.com</t>
  </si>
  <si>
    <t>elijah.singh69@outlook.com</t>
  </si>
  <si>
    <t>sana.gupta27@yahoo.com</t>
  </si>
  <si>
    <t>arjun.iyer38@outlook.com</t>
  </si>
  <si>
    <t>sana.gupta94@outlook.com</t>
  </si>
  <si>
    <t>vivaan.mehta32@example.com</t>
  </si>
  <si>
    <t>oliver.joshi36@gmail.com</t>
  </si>
  <si>
    <t>lucas.singh99@gmail.com</t>
  </si>
  <si>
    <t>oliver.gupta52@gmail.com</t>
  </si>
  <si>
    <t>pooja.mehta9@outlook.com</t>
  </si>
  <si>
    <t>aditya.gupta81@gmail.com</t>
  </si>
  <si>
    <t>liam.khan55@outlook.com</t>
  </si>
  <si>
    <t>ritika.iyer42@example.com</t>
  </si>
  <si>
    <t>sana.sharma33@yahoo.com</t>
  </si>
  <si>
    <t>ananya.gupta94@gmail.com</t>
  </si>
  <si>
    <t>aisha.iyer52@example.com</t>
  </si>
  <si>
    <t>simran.patel10@yahoo.com</t>
  </si>
  <si>
    <t>sana.gupta57@example.com</t>
  </si>
  <si>
    <t>divya.iyer61@hotmail.com</t>
  </si>
  <si>
    <t>neha.patel15@hotmail.com</t>
  </si>
  <si>
    <t>shruti.khan24@yahoo.com</t>
  </si>
  <si>
    <t>aarav.khan63@example.com</t>
  </si>
  <si>
    <t>priya.gupta54@hotmail.com</t>
  </si>
  <si>
    <t>simran.mehta39@hotmail.com</t>
  </si>
  <si>
    <t>aisha.khan55@gmail.com</t>
  </si>
  <si>
    <t>rohan.joshi26@gmail.com</t>
  </si>
  <si>
    <t>james.joshi11@gmail.com</t>
  </si>
  <si>
    <t>liam.patel7@outlook.com</t>
  </si>
  <si>
    <t>benjamin.gupta60@example.com</t>
  </si>
  <si>
    <t>shruti.singh68@hotmail.com</t>
  </si>
  <si>
    <t>aisha.mehta32@outlook.com</t>
  </si>
  <si>
    <t>ananya.singh79@gmail.com</t>
  </si>
  <si>
    <t>neha.singh75@example.com</t>
  </si>
  <si>
    <t>divya.gupta19@yahoo.com</t>
  </si>
  <si>
    <t>simran.patel74@hotmail.com</t>
  </si>
  <si>
    <t>aarav.iyer58@yahoo.com</t>
  </si>
  <si>
    <t>benjamin.khan25@outlook.com</t>
  </si>
  <si>
    <t>sana.sharma32@gmail.com</t>
  </si>
  <si>
    <t>aditya.gupta93@hotmail.com</t>
  </si>
  <si>
    <t>ananya.gupta15@yahoo.com</t>
  </si>
  <si>
    <t>aisha.patel43@hotmail.com</t>
  </si>
  <si>
    <t>henry.iyer28@gmail.com</t>
  </si>
  <si>
    <t>oliver.patel11@gmail.com</t>
  </si>
  <si>
    <t>ritika.mehta21@yahoo.com</t>
  </si>
  <si>
    <t>elijah.patel84@gmail.com</t>
  </si>
  <si>
    <t>divya.mehta70@gmail.com</t>
  </si>
  <si>
    <t>neha.mehta97@hotmail.com</t>
  </si>
  <si>
    <t>gaurav.verma60@outlook.com</t>
  </si>
  <si>
    <t>lucas.khan7@yahoo.com</t>
  </si>
  <si>
    <t>liam.gupta26@yahoo.com</t>
  </si>
  <si>
    <t>reyansh.khan52@hotmail.com</t>
  </si>
  <si>
    <t>karan.mehta60@example.com</t>
  </si>
  <si>
    <t>elijah.gupta62@hotmail.com</t>
  </si>
  <si>
    <t>noah.patel8@gmail.com</t>
  </si>
  <si>
    <t>simran.gupta31@gmail.com</t>
  </si>
  <si>
    <t>aditya.iyer95@gmail.com</t>
  </si>
  <si>
    <t>vivaan.khan8@example.com</t>
  </si>
  <si>
    <t>ananya.joshi83@example.com</t>
  </si>
  <si>
    <t>sana.singh7@example.com</t>
  </si>
  <si>
    <t>simran.gupta44@hotmail.com</t>
  </si>
  <si>
    <t>henry.khan50@example.com</t>
  </si>
  <si>
    <t>sana.patel63@yahoo.com</t>
  </si>
  <si>
    <t>reyansh.verma12@gmail.com</t>
  </si>
  <si>
    <t>divya.mehta96@hotmail.com</t>
  </si>
  <si>
    <t>ritika.iyer20@outlook.com</t>
  </si>
  <si>
    <t>ananya.joshi14@yahoo.com</t>
  </si>
  <si>
    <t>lucas.joshi24@yahoo.com</t>
  </si>
  <si>
    <t>oliver.khan88@outlook.com</t>
  </si>
  <si>
    <t>lucas.patel26@outlook.com</t>
  </si>
  <si>
    <t>simran.nair77@hotmail.com</t>
  </si>
  <si>
    <t>priya.khan79@example.com</t>
  </si>
  <si>
    <t>ritika.joshi64@outlook.com</t>
  </si>
  <si>
    <t>alexander.khan54@yahoo.com</t>
  </si>
  <si>
    <t>sana.khan73@yahoo.com</t>
  </si>
  <si>
    <t>alexander.gupta4@outlook.com</t>
  </si>
  <si>
    <t>elijah.patel6@yahoo.com</t>
  </si>
  <si>
    <t>elijah.patel60@yahoo.com</t>
  </si>
  <si>
    <t>sana.sharma56@example.com</t>
  </si>
  <si>
    <t>divya.khan13@yahoo.com</t>
  </si>
  <si>
    <t>priya.singh74@hotmail.com</t>
  </si>
  <si>
    <t>reyansh.verma23@gmail.com</t>
  </si>
  <si>
    <t>elijah.nair54@hotmail.com</t>
  </si>
  <si>
    <t>divya.khan34@hotmail.com</t>
  </si>
  <si>
    <t>aarav.sharma50@yahoo.com</t>
  </si>
  <si>
    <t>liam.nair42@example.com</t>
  </si>
  <si>
    <t>ananya.iyer56@yahoo.com</t>
  </si>
  <si>
    <t>aisha.gupta23@gmail.com</t>
  </si>
  <si>
    <t>ishaan.iyer33@hotmail.com</t>
  </si>
  <si>
    <t>shruti.verma12@example.com</t>
  </si>
  <si>
    <t>shruti.singh74@hotmail.com</t>
  </si>
  <si>
    <t>rohan.mehta55@example.com</t>
  </si>
  <si>
    <t>sana.nair44@yahoo.com</t>
  </si>
  <si>
    <t>pooja.gupta35@yahoo.com</t>
  </si>
  <si>
    <t>divya.gupta54@hotmail.com</t>
  </si>
  <si>
    <t>aisha.gupta59@example.com</t>
  </si>
  <si>
    <t>oliver.patel28@example.com</t>
  </si>
  <si>
    <t>aisha.gupta51@example.com</t>
  </si>
  <si>
    <t>aditya.patel20@hotmail.com</t>
  </si>
  <si>
    <t>Lucas Nair</t>
  </si>
  <si>
    <t>lucas.nair94@yahoo.com</t>
  </si>
  <si>
    <t>divya.joshi42@gmail.com</t>
  </si>
  <si>
    <t>noah.iyer22@gmail.com</t>
  </si>
  <si>
    <t>shruti.gupta60@hotmail.com</t>
  </si>
  <si>
    <t>henry.mehta75@hotmail.com</t>
  </si>
  <si>
    <t>aarav.gupta90@example.com</t>
  </si>
  <si>
    <t>noah.iyer13@yahoo.com</t>
  </si>
  <si>
    <t>sana.khan42@yahoo.com</t>
  </si>
  <si>
    <t>neha.gupta75@hotmail.com</t>
  </si>
  <si>
    <t>aisha.mehta76@outlook.com</t>
  </si>
  <si>
    <t>alexander.joshi40@example.com</t>
  </si>
  <si>
    <t>aisha.singh10@hotmail.com</t>
  </si>
  <si>
    <t>james.nair81@outlook.com</t>
  </si>
  <si>
    <t>priya.singh38@outlook.com</t>
  </si>
  <si>
    <t>priya.khan22@gmail.com</t>
  </si>
  <si>
    <t>oliver.singh71@hotmail.com</t>
  </si>
  <si>
    <t>neha.khan67@gmail.com</t>
  </si>
  <si>
    <t>priya.khan62@outlook.com</t>
  </si>
  <si>
    <t>arjun.nair45@example.com</t>
  </si>
  <si>
    <t>aarav.sharma1@yahoo.com</t>
  </si>
  <si>
    <t>shruti.khan83@yahoo.com</t>
  </si>
  <si>
    <t>henry.patel57@hotmail.com</t>
  </si>
  <si>
    <t>william.sharma84@gmail.com</t>
  </si>
  <si>
    <t>arjun.patel55@outlook.com</t>
  </si>
  <si>
    <t>karan.gupta77@hotmail.com</t>
  </si>
  <si>
    <t>divya.mehta48@yahoo.com</t>
  </si>
  <si>
    <t>noah.iyer77@example.com</t>
  </si>
  <si>
    <t>Ishaan Verma</t>
  </si>
  <si>
    <t>ishaan.verma78@gmail.com</t>
  </si>
  <si>
    <t>aarav.singh64@outlook.com</t>
  </si>
  <si>
    <t>pooja.iyer29@hotmail.com</t>
  </si>
  <si>
    <t>aarav.joshi11@yahoo.com</t>
  </si>
  <si>
    <t>shruti.sharma1@yahoo.com</t>
  </si>
  <si>
    <t>ritika.gupta82@example.com</t>
  </si>
  <si>
    <t>ritika.iyer45@hotmail.com</t>
  </si>
  <si>
    <t>sana.khan18@outlook.com</t>
  </si>
  <si>
    <t>aditya.joshi9@gmail.com</t>
  </si>
  <si>
    <t>james.joshi40@outlook.com</t>
  </si>
  <si>
    <t>neha.joshi68@outlook.com</t>
  </si>
  <si>
    <t>shruti.joshi26@outlook.com</t>
  </si>
  <si>
    <t>lucas.sharma29@yahoo.com</t>
  </si>
  <si>
    <t>ritika.patel83@hotmail.com</t>
  </si>
  <si>
    <t>lucas.gupta72@gmail.com</t>
  </si>
  <si>
    <t>lucas.mehta24@outlook.com</t>
  </si>
  <si>
    <t>aisha.khan85@yahoo.com</t>
  </si>
  <si>
    <t>henry.verma46@example.com</t>
  </si>
  <si>
    <t>aditya.joshi57@example.com</t>
  </si>
  <si>
    <t>oliver.gupta76@hotmail.com</t>
  </si>
  <si>
    <t>pooja.sharma79@hotmail.com</t>
  </si>
  <si>
    <t>alexander.nair44@example.com</t>
  </si>
  <si>
    <t>pooja.gupta13@gmail.com</t>
  </si>
  <si>
    <t>sana.singh50@outlook.com</t>
  </si>
  <si>
    <t>shruti.khan57@yahoo.com</t>
  </si>
  <si>
    <t>divya.gupta67@gmail.com</t>
  </si>
  <si>
    <t>henry.joshi94@hotmail.com</t>
  </si>
  <si>
    <t>alexander.joshi11@example.com</t>
  </si>
  <si>
    <t>karan.patel55@example.com</t>
  </si>
  <si>
    <t>siddharth.sharma27@hotmail.com</t>
  </si>
  <si>
    <t>rohan.iyer63@hotmail.com</t>
  </si>
  <si>
    <t>alexander.iyer81@yahoo.com</t>
  </si>
  <si>
    <t>reyansh.nair55@example.com</t>
  </si>
  <si>
    <t>pooja.nair69@gmail.com</t>
  </si>
  <si>
    <t>oliver.sharma96@gmail.com</t>
  </si>
  <si>
    <t>lucas.gupta74@example.com</t>
  </si>
  <si>
    <t>priya.iyer8@hotmail.com</t>
  </si>
  <si>
    <t>liam.sharma18@outlook.com</t>
  </si>
  <si>
    <t>divya.joshi27@example.com</t>
  </si>
  <si>
    <t>divya.iyer52@hotmail.com</t>
  </si>
  <si>
    <t>pooja.nair42@example.com</t>
  </si>
  <si>
    <t>liam.mehta49@yahoo.com</t>
  </si>
  <si>
    <t>ananya.mehta38@yahoo.com</t>
  </si>
  <si>
    <t>rohan.joshi63@yahoo.com</t>
  </si>
  <si>
    <t>aisha.mehta1@outlook.com</t>
  </si>
  <si>
    <t>karan.singh9@example.com</t>
  </si>
  <si>
    <t>pooja.patel43@hotmail.com</t>
  </si>
  <si>
    <t>priya.patel86@hotmail.com</t>
  </si>
  <si>
    <t>william.mehta27@example.com</t>
  </si>
  <si>
    <t>simran.verma68@hotmail.com</t>
  </si>
  <si>
    <t>vivaan.mehta64@example.com</t>
  </si>
  <si>
    <t>karan.iyer66@example.com</t>
  </si>
  <si>
    <t>pooja.nair96@example.com</t>
  </si>
  <si>
    <t>elijah.nair72@gmail.com</t>
  </si>
  <si>
    <t>ritika.singh27@hotmail.com</t>
  </si>
  <si>
    <t>simran.khan66@yahoo.com</t>
  </si>
  <si>
    <t>aarav.singh13@yahoo.com</t>
  </si>
  <si>
    <t>elijah.sharma24@hotmail.com</t>
  </si>
  <si>
    <t>vivaan.singh9@yahoo.com</t>
  </si>
  <si>
    <t>simran.joshi18@gmail.com</t>
  </si>
  <si>
    <t>shruti.singh13@hotmail.com</t>
  </si>
  <si>
    <t>ananya.sharma80@example.com</t>
  </si>
  <si>
    <t>karan.nair60@gmail.com</t>
  </si>
  <si>
    <t>shruti.mehta27@yahoo.com</t>
  </si>
  <si>
    <t>gaurav.sharma34@yahoo.com</t>
  </si>
  <si>
    <t>priya.patel40@example.com</t>
  </si>
  <si>
    <t>aarav.gupta70@example.com</t>
  </si>
  <si>
    <t>ritika.mehta54@yahoo.com</t>
  </si>
  <si>
    <t>priya.khan60@example.com</t>
  </si>
  <si>
    <t>liam.iyer2@gmail.com</t>
  </si>
  <si>
    <t>vivaan.joshi22@yahoo.com</t>
  </si>
  <si>
    <t>benjamin.joshi10@example.com</t>
  </si>
  <si>
    <t>pooja.singh96@example.com</t>
  </si>
  <si>
    <t>ananya.joshi1@example.com</t>
  </si>
  <si>
    <t>neha.singh17@yahoo.com</t>
  </si>
  <si>
    <t>ishaan.patel76@outlook.com</t>
  </si>
  <si>
    <t>karan.singh95@example.com</t>
  </si>
  <si>
    <t>ishaan.mehta83@outlook.com</t>
  </si>
  <si>
    <t>james.iyer39@hotmail.com</t>
  </si>
  <si>
    <t>pooja.verma49@gmail.com</t>
  </si>
  <si>
    <t>lucas.iyer12@yahoo.com</t>
  </si>
  <si>
    <t>divya.mehta33@example.com</t>
  </si>
  <si>
    <t>vivaan.sharma65@hotmail.com</t>
  </si>
  <si>
    <t>simran.nair12@hotmail.com</t>
  </si>
  <si>
    <t>sana.verma56@outlook.com</t>
  </si>
  <si>
    <t>ritika.mehta78@yahoo.com</t>
  </si>
  <si>
    <t>elijah.singh58@gmail.com</t>
  </si>
  <si>
    <t>karan.mehta24@yahoo.com</t>
  </si>
  <si>
    <t>simran.gupta2@outlook.com</t>
  </si>
  <si>
    <t>aarav.nair67@example.com</t>
  </si>
  <si>
    <t>aarav.sharma67@hotmail.com</t>
  </si>
  <si>
    <t>aarav.sharma75@gmail.com</t>
  </si>
  <si>
    <t>james.iyer87@hotmail.com</t>
  </si>
  <si>
    <t>aarav.nair94@outlook.com</t>
  </si>
  <si>
    <t>aisha.patel6@gmail.com</t>
  </si>
  <si>
    <t>arjun.patel58@gmail.com</t>
  </si>
  <si>
    <t>pooja.singh43@hotmail.com</t>
  </si>
  <si>
    <t>priya.verma47@yahoo.com</t>
  </si>
  <si>
    <t>oliver.iyer78@hotmail.com</t>
  </si>
  <si>
    <t>vivaan.verma8@hotmail.com</t>
  </si>
  <si>
    <t>ananya.nair20@yahoo.com</t>
  </si>
  <si>
    <t>oliver.gupta5@hotmail.com</t>
  </si>
  <si>
    <t>reyansh.joshi30@outlook.com</t>
  </si>
  <si>
    <t>james.sharma2@outlook.com</t>
  </si>
  <si>
    <t>ananya.nair15@example.com</t>
  </si>
  <si>
    <t>oliver.verma5@gmail.com</t>
  </si>
  <si>
    <t>aarav.sharma11@yahoo.com</t>
  </si>
  <si>
    <t>ishaan.patel17@hotmail.com</t>
  </si>
  <si>
    <t>karan.nair92@outlook.com</t>
  </si>
  <si>
    <t>neha.singh49@gmail.com</t>
  </si>
  <si>
    <t>neha.mehta4@gmail.com</t>
  </si>
  <si>
    <t>siddharth.singh63@yahoo.com</t>
  </si>
  <si>
    <t>elijah.nair22@yahoo.com</t>
  </si>
  <si>
    <t>aarav.nair51@example.com</t>
  </si>
  <si>
    <t>neha.verma80@example.com</t>
  </si>
  <si>
    <t>simran.joshi11@yahoo.com</t>
  </si>
  <si>
    <t>arjun.nair39@hotmail.com</t>
  </si>
  <si>
    <t>karan.patel40@gmail.com</t>
  </si>
  <si>
    <t>liam.mehta33@hotmail.com</t>
  </si>
  <si>
    <t>priya.mehta85@outlook.com</t>
  </si>
  <si>
    <t>simran.patel70@hotmail.com</t>
  </si>
  <si>
    <t>aisha.patel40@yahoo.com</t>
  </si>
  <si>
    <t>aditya.nair67@outlook.com</t>
  </si>
  <si>
    <t>priya.khan13@gmail.com</t>
  </si>
  <si>
    <t>karan.verma93@yahoo.com</t>
  </si>
  <si>
    <t>benjamin.mehta1@yahoo.com</t>
  </si>
  <si>
    <t>aisha.sharma8@yahoo.com</t>
  </si>
  <si>
    <t>shruti.iyer78@gmail.com</t>
  </si>
  <si>
    <t>william.verma31@gmail.com</t>
  </si>
  <si>
    <t>aisha.sharma96@gmail.com</t>
  </si>
  <si>
    <t>priya.nair34@gmail.com</t>
  </si>
  <si>
    <t>aarav.verma10@yahoo.com</t>
  </si>
  <si>
    <t>priya.joshi22@hotmail.com</t>
  </si>
  <si>
    <t>vivaan.patel60@gmail.com</t>
  </si>
  <si>
    <t>alexander.joshi20@yahoo.com</t>
  </si>
  <si>
    <t>divya.patel63@outlook.com</t>
  </si>
  <si>
    <t>priya.gupta37@hotmail.com</t>
  </si>
  <si>
    <t>priya.sharma22@outlook.com</t>
  </si>
  <si>
    <t>sana.verma51@hotmail.com</t>
  </si>
  <si>
    <t>oliver.joshi3@example.com</t>
  </si>
  <si>
    <t>ritika.iyer47@yahoo.com</t>
  </si>
  <si>
    <t>gaurav.gupta50@gmail.com</t>
  </si>
  <si>
    <t>benjamin.singh21@outlook.com</t>
  </si>
  <si>
    <t>reyansh.singh70@outlook.com</t>
  </si>
  <si>
    <t>aisha.iyer10@gmail.com</t>
  </si>
  <si>
    <t>aisha.joshi93@outlook.com</t>
  </si>
  <si>
    <t>ritika.patel86@hotmail.com</t>
  </si>
  <si>
    <t>liam.sharma16@outlook.com</t>
  </si>
  <si>
    <t>henry.mehta16@outlook.com</t>
  </si>
  <si>
    <t>ananya.gupta70@gmail.com</t>
  </si>
  <si>
    <t>noah.iyer64@hotmail.com</t>
  </si>
  <si>
    <t>priya.iyer60@yahoo.com</t>
  </si>
  <si>
    <t>noah.singh55@example.com</t>
  </si>
  <si>
    <t>james.patel8@hotmail.com</t>
  </si>
  <si>
    <t>divya.patel62@gmail.com</t>
  </si>
  <si>
    <t>sana.joshi38@gmail.com</t>
  </si>
  <si>
    <t>vivaan.gupta73@yahoo.com</t>
  </si>
  <si>
    <t>simran.gupta72@hotmail.com</t>
  </si>
  <si>
    <t>aarav.joshi84@example.com</t>
  </si>
  <si>
    <t>ritika.khan27@hotmail.com</t>
  </si>
  <si>
    <t>reyansh.patel68@example.com</t>
  </si>
  <si>
    <t>priya.singh67@hotmail.com</t>
  </si>
  <si>
    <t>noah.patel34@gmail.com</t>
  </si>
  <si>
    <t>aditya.khan77@example.com</t>
  </si>
  <si>
    <t>pooja.mehta58@gmail.com</t>
  </si>
  <si>
    <t>ishaan.mehta10@hotmail.com</t>
  </si>
  <si>
    <t>simran.patel52@yahoo.com</t>
  </si>
  <si>
    <t>reyansh.joshi14@gmail.com</t>
  </si>
  <si>
    <t>arjun.joshi14@example.com</t>
  </si>
  <si>
    <t>gaurav.singh71@example.com</t>
  </si>
  <si>
    <t>aisha.iyer2@yahoo.com</t>
  </si>
  <si>
    <t>henry.nair2@gmail.com</t>
  </si>
  <si>
    <t>aditya.sharma55@hotmail.com</t>
  </si>
  <si>
    <t>ananya.mehta25@example.com</t>
  </si>
  <si>
    <t>siddharth.patel24@example.com</t>
  </si>
  <si>
    <t>ananya.joshi21@hotmail.com</t>
  </si>
  <si>
    <t>shruti.sharma95@example.com</t>
  </si>
  <si>
    <t>shruti.nair42@gmail.com</t>
  </si>
  <si>
    <t>ishaan.joshi24@hotmail.com</t>
  </si>
  <si>
    <t>noah.sharma39@hotmail.com</t>
  </si>
  <si>
    <t>oliver.khan22@example.com</t>
  </si>
  <si>
    <t>alexander.iyer48@gmail.com</t>
  </si>
  <si>
    <t>pooja.mehta3@yahoo.com</t>
  </si>
  <si>
    <t>sana.iyer6@yahoo.com</t>
  </si>
  <si>
    <t>karan.nair74@gmail.com</t>
  </si>
  <si>
    <t>ishaan.sharma22@yahoo.com</t>
  </si>
  <si>
    <t>pooja.sharma15@hotmail.com</t>
  </si>
  <si>
    <t>priya.patel52@hotmail.com</t>
  </si>
  <si>
    <t>rohan.patel21@outlook.com</t>
  </si>
  <si>
    <t>lucas.sharma45@hotmail.com</t>
  </si>
  <si>
    <t>neha.singh12@yahoo.com</t>
  </si>
  <si>
    <t>pooja.iyer77@hotmail.com</t>
  </si>
  <si>
    <t>aditya.joshi59@outlook.com</t>
  </si>
  <si>
    <t>alexander.singh83@gmail.com</t>
  </si>
  <si>
    <t>reyansh.gupta51@example.com</t>
  </si>
  <si>
    <t>sana.mehta36@example.com</t>
  </si>
  <si>
    <t>sana.sharma80@example.com</t>
  </si>
  <si>
    <t>divya.singh41@yahoo.com</t>
  </si>
  <si>
    <t>rohan.khan46@gmail.com</t>
  </si>
  <si>
    <t>henry.verma39@yahoo.com</t>
  </si>
  <si>
    <t>neha.joshi78@yahoo.com</t>
  </si>
  <si>
    <t>neha.khan90@hotmail.com</t>
  </si>
  <si>
    <t>simran.joshi6@example.com</t>
  </si>
  <si>
    <t>henry.nair56@outlook.com</t>
  </si>
  <si>
    <t>neha.mehta36@gmail.com</t>
  </si>
  <si>
    <t>divya.nair25@hotmail.com</t>
  </si>
  <si>
    <t>ishaan.sharma95@hotmail.com</t>
  </si>
  <si>
    <t>pooja.singh28@outlook.com</t>
  </si>
  <si>
    <t>sana.gupta45@gmail.com</t>
  </si>
  <si>
    <t>aisha.gupta97@outlook.com</t>
  </si>
  <si>
    <t>ishaan.sharma12@yahoo.com</t>
  </si>
  <si>
    <t>sana.iyer2@gmail.com</t>
  </si>
  <si>
    <t>elijah.mehta1@outlook.com</t>
  </si>
  <si>
    <t>aditya.joshi37@gmail.com</t>
  </si>
  <si>
    <t>rohan.patel48@yahoo.com</t>
  </si>
  <si>
    <t>ananya.verma76@yahoo.com</t>
  </si>
  <si>
    <t>william.sharma42@example.com</t>
  </si>
  <si>
    <t>priya.joshi56@yahoo.com</t>
  </si>
  <si>
    <t>priya.sharma74@outlook.com</t>
  </si>
  <si>
    <t>elijah.gupta29@gmail.com</t>
  </si>
  <si>
    <t>shruti.singh37@gmail.com</t>
  </si>
  <si>
    <t>karan.singh15@yahoo.com</t>
  </si>
  <si>
    <t>simran.mehta97@gmail.com</t>
  </si>
  <si>
    <t>priya.singh55@gmail.com</t>
  </si>
  <si>
    <t>aditya.joshi80@hotmail.com</t>
  </si>
  <si>
    <t>ishaan.singh72@yahoo.com</t>
  </si>
  <si>
    <t>rohan.singh45@example.com</t>
  </si>
  <si>
    <t>henry.sharma22@outlook.com</t>
  </si>
  <si>
    <t>sana.mehta72@hotmail.com</t>
  </si>
  <si>
    <t>karan.verma84@gmail.com</t>
  </si>
  <si>
    <t>liam.joshi95@outlook.com</t>
  </si>
  <si>
    <t>henry.iyer3@gmail.com</t>
  </si>
  <si>
    <t>priya.singh63@example.com</t>
  </si>
  <si>
    <t>divya.singh36@yahoo.com</t>
  </si>
  <si>
    <t>simran.khan54@outlook.com</t>
  </si>
  <si>
    <t>aisha.nair9@outlook.com</t>
  </si>
  <si>
    <t>alexander.iyer5@gmail.com</t>
  </si>
  <si>
    <t>priya.nair40@outlook.com</t>
  </si>
  <si>
    <t>elijah.sharma44@gmail.com</t>
  </si>
  <si>
    <t>siddharth.sharma51@example.com</t>
  </si>
  <si>
    <t>ananya.nair18@yahoo.com</t>
  </si>
  <si>
    <t>ananya.iyer3@hotmail.com</t>
  </si>
  <si>
    <t>shruti.sharma50@example.com</t>
  </si>
  <si>
    <t>divya.iyer65@example.com</t>
  </si>
  <si>
    <t>gaurav.iyer18@yahoo.com</t>
  </si>
  <si>
    <t>aisha.verma70@example.com</t>
  </si>
  <si>
    <t>vivaan.verma52@yahoo.com</t>
  </si>
  <si>
    <t>benjamin.iyer11@hotmail.com</t>
  </si>
  <si>
    <t>liam.patel99@yahoo.com</t>
  </si>
  <si>
    <t>gaurav.iyer34@yahoo.com</t>
  </si>
  <si>
    <t>shruti.nair88@yahoo.com</t>
  </si>
  <si>
    <t>shruti.sharma15@outlook.com</t>
  </si>
  <si>
    <t>ananya.iyer44@hotmail.com</t>
  </si>
  <si>
    <t>neha.patel72@hotmail.com</t>
  </si>
  <si>
    <t>ananya.joshi93@hotmail.com</t>
  </si>
  <si>
    <t>neha.patel87@gmail.com</t>
  </si>
  <si>
    <t>shruti.gupta84@hotmail.com</t>
  </si>
  <si>
    <t>william.sharma77@yahoo.com</t>
  </si>
  <si>
    <t>lucas.sharma67@gmail.com</t>
  </si>
  <si>
    <t>aisha.nair23@outlook.com</t>
  </si>
  <si>
    <t>reyansh.nair65@hotmail.com</t>
  </si>
  <si>
    <t>ananya.verma54@hotmail.com</t>
  </si>
  <si>
    <t>sana.joshi52@example.com</t>
  </si>
  <si>
    <t>alexander.verma59@gmail.com</t>
  </si>
  <si>
    <t>siddharth.khan77@example.com</t>
  </si>
  <si>
    <t>simran.sharma11@yahoo.com</t>
  </si>
  <si>
    <t>ritika.mehta77@gmail.com</t>
  </si>
  <si>
    <t>ishaan.nair35@hotmail.com</t>
  </si>
  <si>
    <t>simran.sharma17@outlook.com</t>
  </si>
  <si>
    <t>noah.patel90@example.com</t>
  </si>
  <si>
    <t>noah.singh87@gmail.com</t>
  </si>
  <si>
    <t>henry.joshi64@yahoo.com</t>
  </si>
  <si>
    <t>siddharth.gupta30@example.com</t>
  </si>
  <si>
    <t>divya.mehta37@hotmail.com</t>
  </si>
  <si>
    <t>sana.gupta96@gmail.com</t>
  </si>
  <si>
    <t>sana.sharma50@example.com</t>
  </si>
  <si>
    <t>noah.mehta79@hotmail.com</t>
  </si>
  <si>
    <t>divya.patel28@outlook.com</t>
  </si>
  <si>
    <t>william.joshi79@yahoo.com</t>
  </si>
  <si>
    <t>ishaan.sharma67@outlook.com</t>
  </si>
  <si>
    <t>ritika.iyer11@yahoo.com</t>
  </si>
  <si>
    <t>vivaan.joshi52@yahoo.com</t>
  </si>
  <si>
    <t>priya.singh94@hotmail.com</t>
  </si>
  <si>
    <t>henry.joshi42@yahoo.com</t>
  </si>
  <si>
    <t>aisha.khan86@example.com</t>
  </si>
  <si>
    <t>sana.sharma67@yahoo.com</t>
  </si>
  <si>
    <t>aisha.iyer14@hotmail.com</t>
  </si>
  <si>
    <t>priya.khan52@hotmail.com</t>
  </si>
  <si>
    <t>aarav.joshi79@example.com</t>
  </si>
  <si>
    <t>gaurav.sharma40@yahoo.com</t>
  </si>
  <si>
    <t>rohan.verma85@yahoo.com</t>
  </si>
  <si>
    <t>william.joshi26@yahoo.com</t>
  </si>
  <si>
    <t>henry.gupta6@yahoo.com</t>
  </si>
  <si>
    <t>siddharth.joshi6@yahoo.com</t>
  </si>
  <si>
    <t>lucas.iyer1@outlook.com</t>
  </si>
  <si>
    <t>reyansh.patel41@gmail.com</t>
  </si>
  <si>
    <t>shruti.verma61@gmail.com</t>
  </si>
  <si>
    <t>ishaan.nair76@outlook.com</t>
  </si>
  <si>
    <t>aditya.nair46@hotmail.com</t>
  </si>
  <si>
    <t>ananya.khan58@outlook.com</t>
  </si>
  <si>
    <t>ananya.mehta7@example.com</t>
  </si>
  <si>
    <t>priya.singh41@outlook.com</t>
  </si>
  <si>
    <t>divya.gupta23@gmail.com</t>
  </si>
  <si>
    <t>ishaan.sharma31@hotmail.com</t>
  </si>
  <si>
    <t>priya.joshi69@hotmail.com</t>
  </si>
  <si>
    <t>ananya.mehta37@example.com</t>
  </si>
  <si>
    <t>elijah.gupta26@gmail.com</t>
  </si>
  <si>
    <t>benjamin.sharma98@example.com</t>
  </si>
  <si>
    <t>arjun.iyer90@hotmail.com</t>
  </si>
  <si>
    <t>reyansh.mehta49@gmail.com</t>
  </si>
  <si>
    <t>ishaan.mehta31@yahoo.com</t>
  </si>
  <si>
    <t>james.gupta19@gmail.com</t>
  </si>
  <si>
    <t>karan.khan92@outlook.com</t>
  </si>
  <si>
    <t>ritika.verma57@gmail.com</t>
  </si>
  <si>
    <t>shruti.singh54@example.com</t>
  </si>
  <si>
    <t>henry.mehta1@outlook.com</t>
  </si>
  <si>
    <t>neha.sharma17@outlook.com</t>
  </si>
  <si>
    <t>vivaan.khan7@example.com</t>
  </si>
  <si>
    <t>pooja.sharma17@hotmail.com</t>
  </si>
  <si>
    <t>ananya.sharma28@hotmail.com</t>
  </si>
  <si>
    <t>priya.gupta47@yahoo.com</t>
  </si>
  <si>
    <t>james.khan73@example.com</t>
  </si>
  <si>
    <t>sana.mehta6@gmail.com</t>
  </si>
  <si>
    <t>pooja.joshi38@outlook.com</t>
  </si>
  <si>
    <t>shruti.singh89@outlook.com</t>
  </si>
  <si>
    <t>divya.verma92@hotmail.com</t>
  </si>
  <si>
    <t>gaurav.khan51@example.com</t>
  </si>
  <si>
    <t>priya.khan90@example.com</t>
  </si>
  <si>
    <t>reyansh.singh70@example.com</t>
  </si>
  <si>
    <t>aisha.mehta3@yahoo.com</t>
  </si>
  <si>
    <t>noah.patel88@gmail.com</t>
  </si>
  <si>
    <t>aisha.joshi13@outlook.com</t>
  </si>
  <si>
    <t>reyansh.gupta33@outlook.com</t>
  </si>
  <si>
    <t>karan.sharma91@example.com</t>
  </si>
  <si>
    <t>james.iyer7@outlook.com</t>
  </si>
  <si>
    <t>divya.iyer69@example.com</t>
  </si>
  <si>
    <t>arjun.nair31@yahoo.com</t>
  </si>
  <si>
    <t>aisha.nair1@outlook.com</t>
  </si>
  <si>
    <t>simran.verma70@outlook.com</t>
  </si>
  <si>
    <t>noah.mehta63@yahoo.com</t>
  </si>
  <si>
    <t>ritika.gupta27@hotmail.com</t>
  </si>
  <si>
    <t>sana.khan31@yahoo.com</t>
  </si>
  <si>
    <t>sana.singh22@example.com</t>
  </si>
  <si>
    <t>sana.sharma18@yahoo.com</t>
  </si>
  <si>
    <t>priya.verma55@hotmail.com</t>
  </si>
  <si>
    <t>Gaurav Joshi</t>
  </si>
  <si>
    <t>gaurav.joshi85@gmail.com</t>
  </si>
  <si>
    <t>pooja.khan11@outlook.com</t>
  </si>
  <si>
    <t>simran.khan56@hotmail.com</t>
  </si>
  <si>
    <t>aarav.mehta37@yahoo.com</t>
  </si>
  <si>
    <t>sana.joshi58@example.com</t>
  </si>
  <si>
    <t>vivaan.mehta52@outlook.com</t>
  </si>
  <si>
    <t>priya.patel49@gmail.com</t>
  </si>
  <si>
    <t>sana.singh11@gmail.com</t>
  </si>
  <si>
    <t>neha.sharma87@example.com</t>
  </si>
  <si>
    <t>henry.sharma56@yahoo.com</t>
  </si>
  <si>
    <t>pooja.mehta34@example.com</t>
  </si>
  <si>
    <t>william.iyer27@gmail.com</t>
  </si>
  <si>
    <t>neha.iyer10@outlook.com</t>
  </si>
  <si>
    <t>pooja.khan2@outlook.com</t>
  </si>
  <si>
    <t>reyansh.patel76@outlook.com</t>
  </si>
  <si>
    <t>shruti.nair84@gmail.com</t>
  </si>
  <si>
    <t>ritika.singh3@gmail.com</t>
  </si>
  <si>
    <t>sana.gupta25@hotmail.com</t>
  </si>
  <si>
    <t>sana.khan51@example.com</t>
  </si>
  <si>
    <t>reyansh.gupta27@example.com</t>
  </si>
  <si>
    <t>neha.verma50@hotmail.com</t>
  </si>
  <si>
    <t>shruti.khan52@outlook.com</t>
  </si>
  <si>
    <t>divya.mehta88@example.com</t>
  </si>
  <si>
    <t>aarav.iyer57@yahoo.com</t>
  </si>
  <si>
    <t>sana.mehta11@example.com</t>
  </si>
  <si>
    <t>liam.joshi88@hotmail.com</t>
  </si>
  <si>
    <t>pooja.khan97@outlook.com</t>
  </si>
  <si>
    <t>karan.sharma1@gmail.com</t>
  </si>
  <si>
    <t>divya.gupta38@gmail.com</t>
  </si>
  <si>
    <t>ritika.patel68@example.com</t>
  </si>
  <si>
    <t>liam.joshi6@gmail.com</t>
  </si>
  <si>
    <t>neha.singh20@yahoo.com</t>
  </si>
  <si>
    <t>priya.nair79@hotmail.com</t>
  </si>
  <si>
    <t>henry.sharma75@example.com</t>
  </si>
  <si>
    <t>shruti.joshi18@outlook.com</t>
  </si>
  <si>
    <t>karan.nair2@outlook.com</t>
  </si>
  <si>
    <t>simran.singh66@gmail.com</t>
  </si>
  <si>
    <t>priya.khan75@hotmail.com</t>
  </si>
  <si>
    <t>neha.gupta84@gmail.com</t>
  </si>
  <si>
    <t>sana.khan67@outlook.com</t>
  </si>
  <si>
    <t>arjun.iyer96@example.com</t>
  </si>
  <si>
    <t>alexander.khan15@outlook.com</t>
  </si>
  <si>
    <t>sana.patel1@hotmail.com</t>
  </si>
  <si>
    <t>benjamin.singh14@hotmail.com</t>
  </si>
  <si>
    <t>aisha.sharma95@outlook.com</t>
  </si>
  <si>
    <t>james.mehta62@outlook.com</t>
  </si>
  <si>
    <t>aisha.mehta24@hotmail.com</t>
  </si>
  <si>
    <t>simran.nair65@yahoo.com</t>
  </si>
  <si>
    <t>alexander.nair76@gmail.com</t>
  </si>
  <si>
    <t>william.verma58@hotmail.com</t>
  </si>
  <si>
    <t>henry.sharma5@example.com</t>
  </si>
  <si>
    <t>james.joshi75@outlook.com</t>
  </si>
  <si>
    <t>liam.patel76@hotmail.com</t>
  </si>
  <si>
    <t>aditya.khan75@gmail.com</t>
  </si>
  <si>
    <t>alexander.mehta22@example.com</t>
  </si>
  <si>
    <t>elijah.patel68@gmail.com</t>
  </si>
  <si>
    <t>rohan.iyer52@gmail.com</t>
  </si>
  <si>
    <t>lucas.verma20@hotmail.com</t>
  </si>
  <si>
    <t>priya.joshi1@example.com</t>
  </si>
  <si>
    <t>ritika.joshi19@hotmail.com</t>
  </si>
  <si>
    <t>benjamin.mehta85@outlook.com</t>
  </si>
  <si>
    <t>william.khan59@hotmail.com</t>
  </si>
  <si>
    <t>priya.joshi57@yahoo.com</t>
  </si>
  <si>
    <t>liam.sharma88@outlook.com</t>
  </si>
  <si>
    <t>shruti.iyer87@yahoo.com</t>
  </si>
  <si>
    <t>benjamin.nair27@gmail.com</t>
  </si>
  <si>
    <t>ananya.gupta30@outlook.com</t>
  </si>
  <si>
    <t>oliver.nair78@gmail.com</t>
  </si>
  <si>
    <t>sana.patel82@outlook.com</t>
  </si>
  <si>
    <t>william.iyer38@gmail.com</t>
  </si>
  <si>
    <t>ananya.mehta28@yahoo.com</t>
  </si>
  <si>
    <t>ananya.khan75@example.com</t>
  </si>
  <si>
    <t>james.patel14@hotmail.com</t>
  </si>
  <si>
    <t>ananya.khan72@outlook.com</t>
  </si>
  <si>
    <t>oliver.khan9@hotmail.com</t>
  </si>
  <si>
    <t>james.patel39@outlook.com</t>
  </si>
  <si>
    <t>arjun.khan96@hotmail.com</t>
  </si>
  <si>
    <t>alexander.verma55@gmail.com</t>
  </si>
  <si>
    <t>arjun.mehta73@hotmail.com</t>
  </si>
  <si>
    <t>william.mehta90@gmail.com</t>
  </si>
  <si>
    <t>james.singh4@yahoo.com</t>
  </si>
  <si>
    <t>ritika.sharma20@example.com</t>
  </si>
  <si>
    <t>sana.verma72@yahoo.com</t>
  </si>
  <si>
    <t>aisha.mehta56@gmail.com</t>
  </si>
  <si>
    <t>vivaan.gupta17@yahoo.com</t>
  </si>
  <si>
    <t>siddharth.joshi55@hotmail.com</t>
  </si>
  <si>
    <t>william.joshi79@gmail.com</t>
  </si>
  <si>
    <t>aarav.iyer22@yahoo.com</t>
  </si>
  <si>
    <t>noah.mehta40@yahoo.com</t>
  </si>
  <si>
    <t>reyansh.mehta28@gmail.com</t>
  </si>
  <si>
    <t>pooja.khan75@yahoo.com</t>
  </si>
  <si>
    <t>neha.verma39@hotmail.com</t>
  </si>
  <si>
    <t>pooja.khan9@yahoo.com</t>
  </si>
  <si>
    <t>reyansh.gupta69@hotmail.com</t>
  </si>
  <si>
    <t>rohan.verma33@outlook.com</t>
  </si>
  <si>
    <t>siddharth.gupta46@gmail.com</t>
  </si>
  <si>
    <t>pooja.patel9@yahoo.com</t>
  </si>
  <si>
    <t>james.joshi84@example.com</t>
  </si>
  <si>
    <t>divya.sharma8@gmail.com</t>
  </si>
  <si>
    <t>aditya.khan12@gmail.com</t>
  </si>
  <si>
    <t>arjun.sharma63@hotmail.com</t>
  </si>
  <si>
    <t>divya.khan55@outlook.com</t>
  </si>
  <si>
    <t>priya.gupta55@hotmail.com</t>
  </si>
  <si>
    <t>sana.patel2@example.com</t>
  </si>
  <si>
    <t>aisha.khan83@outlook.com</t>
  </si>
  <si>
    <t>ananya.singh20@gmail.com</t>
  </si>
  <si>
    <t>liam.iyer73@yahoo.com</t>
  </si>
  <si>
    <t>divya.gupta17@yahoo.com</t>
  </si>
  <si>
    <t>henry.gupta24@yahoo.com</t>
  </si>
  <si>
    <t>alexander.sharma10@gmail.com</t>
  </si>
  <si>
    <t>arjun.patel30@yahoo.com</t>
  </si>
  <si>
    <t>alexander.singh43@example.com</t>
  </si>
  <si>
    <t>oliver.singh99@outlook.com</t>
  </si>
  <si>
    <t>aisha.mehta25@outlook.com</t>
  </si>
  <si>
    <t>william.patel36@hotmail.com</t>
  </si>
  <si>
    <t>oliver.verma43@yahoo.com</t>
  </si>
  <si>
    <t>william.mehta21@outlook.com</t>
  </si>
  <si>
    <t>karan.joshi48@yahoo.com</t>
  </si>
  <si>
    <t>neha.mehta56@outlook.com</t>
  </si>
  <si>
    <t>aisha.gupta98@hotmail.com</t>
  </si>
  <si>
    <t>aisha.joshi76@yahoo.com</t>
  </si>
  <si>
    <t>aisha.patel96@hotmail.com</t>
  </si>
  <si>
    <t>lucas.khan65@example.com</t>
  </si>
  <si>
    <t>sana.singh73@example.com</t>
  </si>
  <si>
    <t>divya.verma13@example.com</t>
  </si>
  <si>
    <t>aarav.joshi27@example.com</t>
  </si>
  <si>
    <t>priya.verma36@hotmail.com</t>
  </si>
  <si>
    <t>sana.mehta94@outlook.com</t>
  </si>
  <si>
    <t>siddharth.iyer99@outlook.com</t>
  </si>
  <si>
    <t>reyansh.iyer82@yahoo.com</t>
  </si>
  <si>
    <t>arjun.joshi18@hotmail.com</t>
  </si>
  <si>
    <t>neha.nair86@gmail.com</t>
  </si>
  <si>
    <t>neha.iyer59@gmail.com</t>
  </si>
  <si>
    <t>noah.iyer4@gmail.com</t>
  </si>
  <si>
    <t>ananya.patel29@yahoo.com</t>
  </si>
  <si>
    <t>ritika.singh69@gmail.com</t>
  </si>
  <si>
    <t>aisha.joshi77@yahoo.com</t>
  </si>
  <si>
    <t>gaurav.iyer84@hotmail.com</t>
  </si>
  <si>
    <t>sana.sharma20@hotmail.com</t>
  </si>
  <si>
    <t>ananya.iyer78@gmail.com</t>
  </si>
  <si>
    <t>liam.singh71@outlook.com</t>
  </si>
  <si>
    <t>vivaan.joshi73@gmail.com</t>
  </si>
  <si>
    <t>liam.joshi13@gmail.com</t>
  </si>
  <si>
    <t>shruti.singh3@yahoo.com</t>
  </si>
  <si>
    <t>ananya.singh12@gmail.com</t>
  </si>
  <si>
    <t>william.verma99@hotmail.com</t>
  </si>
  <si>
    <t>elijah.patel78@gmail.com</t>
  </si>
  <si>
    <t>arjun.mehta16@hotmail.com</t>
  </si>
  <si>
    <t>vivaan.verma91@yahoo.com</t>
  </si>
  <si>
    <t>aisha.gupta50@gmail.com</t>
  </si>
  <si>
    <t>sana.joshi95@outlook.com</t>
  </si>
  <si>
    <t>aditya.joshi75@hotmail.com</t>
  </si>
  <si>
    <t>alexander.singh65@hotmail.com</t>
  </si>
  <si>
    <t>pooja.mehta58@outlook.com</t>
  </si>
  <si>
    <t>reyansh.gupta58@gmail.com</t>
  </si>
  <si>
    <t>aisha.khan4@outlook.com</t>
  </si>
  <si>
    <t>karan.verma29@gmail.com</t>
  </si>
  <si>
    <t>divya.joshi14@gmail.com</t>
  </si>
  <si>
    <t>ananya.joshi18@hotmail.com</t>
  </si>
  <si>
    <t>arjun.verma45@yahoo.com</t>
  </si>
  <si>
    <t>reyansh.singh2@hotmail.com</t>
  </si>
  <si>
    <t>alexander.iyer77@outlook.com</t>
  </si>
  <si>
    <t>neha.joshi78@gmail.com</t>
  </si>
  <si>
    <t>aarav.khan25@outlook.com</t>
  </si>
  <si>
    <t>priya.mehta38@gmail.com</t>
  </si>
  <si>
    <t>divya.patel4@yahoo.com</t>
  </si>
  <si>
    <t>gaurav.khan32@outlook.com</t>
  </si>
  <si>
    <t>neha.singh61@hotmail.com</t>
  </si>
  <si>
    <t>sana.verma83@hotmail.com</t>
  </si>
  <si>
    <t>simran.nair83@gmail.com</t>
  </si>
  <si>
    <t>reyansh.verma29@hotmail.com</t>
  </si>
  <si>
    <t>priya.khan43@hotmail.com</t>
  </si>
  <si>
    <t>aarav.nair98@outlook.com</t>
  </si>
  <si>
    <t>priya.singh46@yahoo.com</t>
  </si>
  <si>
    <t>aisha.khan54@example.com</t>
  </si>
  <si>
    <t>ananya.mehta41@yahoo.com</t>
  </si>
  <si>
    <t>neha.iyer71@gmail.com</t>
  </si>
  <si>
    <t>william.mehta79@hotmail.com</t>
  </si>
  <si>
    <t>william.gupta42@gmail.com</t>
  </si>
  <si>
    <t>sana.patel39@hotmail.com</t>
  </si>
  <si>
    <t>arjun.khan44@yahoo.com</t>
  </si>
  <si>
    <t>gaurav.iyer4@example.com</t>
  </si>
  <si>
    <t>james.sharma31@yahoo.com</t>
  </si>
  <si>
    <t>rohan.verma42@hotmail.com</t>
  </si>
  <si>
    <t>reyansh.iyer56@example.com</t>
  </si>
  <si>
    <t>ishaan.iyer18@yahoo.com</t>
  </si>
  <si>
    <t>sana.verma46@yahoo.com</t>
  </si>
  <si>
    <t>aarav.mehta29@yahoo.com</t>
  </si>
  <si>
    <t>ishaan.nair6@outlook.com</t>
  </si>
  <si>
    <t>henry.sharma14@hotmail.com</t>
  </si>
  <si>
    <t>william.verma78@gmail.com</t>
  </si>
  <si>
    <t>aisha.verma49@yahoo.com</t>
  </si>
  <si>
    <t>william.verma66@outlook.com</t>
  </si>
  <si>
    <t>shruti.gupta30@gmail.com</t>
  </si>
  <si>
    <t>oliver.joshi60@hotmail.com</t>
  </si>
  <si>
    <t>gaurav.patel57@gmail.com</t>
  </si>
  <si>
    <t>ananya.verma86@example.com</t>
  </si>
  <si>
    <t>ishaan.joshi83@example.com</t>
  </si>
  <si>
    <t>liam.joshi71@gmail.com</t>
  </si>
  <si>
    <t>arjun.mehta62@hotmail.com</t>
  </si>
  <si>
    <t>elijah.patel43@yahoo.com</t>
  </si>
  <si>
    <t>shruti.gupta10@yahoo.com</t>
  </si>
  <si>
    <t>william.verma11@outlook.com</t>
  </si>
  <si>
    <t>rohan.joshi44@yahoo.com</t>
  </si>
  <si>
    <t>reyansh.singh56@outlook.com</t>
  </si>
  <si>
    <t>william.nair92@outlook.com</t>
  </si>
  <si>
    <t>aditya.khan27@hotmail.com</t>
  </si>
  <si>
    <t>aisha.khan21@example.com</t>
  </si>
  <si>
    <t>ritika.khan9@yahoo.com</t>
  </si>
  <si>
    <t>ritika.joshi47@example.com</t>
  </si>
  <si>
    <t>gaurav.iyer55@yahoo.com</t>
  </si>
  <si>
    <t>gaurav.mehta81@yahoo.com</t>
  </si>
  <si>
    <t>oliver.nair43@gmail.com</t>
  </si>
  <si>
    <t>sana.iyer30@outlook.com</t>
  </si>
  <si>
    <t>neha.gupta10@yahoo.com</t>
  </si>
  <si>
    <t>sana.gupta26@outlook.com</t>
  </si>
  <si>
    <t>priya.singh45@example.com</t>
  </si>
  <si>
    <t>neha.sharma59@gmail.com</t>
  </si>
  <si>
    <t>sana.patel25@example.com</t>
  </si>
  <si>
    <t>aditya.mehta63@example.com</t>
  </si>
  <si>
    <t>sana.nair55@yahoo.com</t>
  </si>
  <si>
    <t>priya.nair38@hotmail.com</t>
  </si>
  <si>
    <t>divya.patel27@yahoo.com</t>
  </si>
  <si>
    <t>divya.iyer52@example.com</t>
  </si>
  <si>
    <t>karan.iyer37@example.com</t>
  </si>
  <si>
    <t>neha.iyer92@gmail.com</t>
  </si>
  <si>
    <t>ananya.iyer28@outlook.com</t>
  </si>
  <si>
    <t>william.khan68@gmail.com</t>
  </si>
  <si>
    <t>priya.singh33@gmail.com</t>
  </si>
  <si>
    <t>oliver.nair44@gmail.com</t>
  </si>
  <si>
    <t>neha.nair83@yahoo.com</t>
  </si>
  <si>
    <t>vivaan.iyer82@gmail.com</t>
  </si>
  <si>
    <t>james.nair34@gmail.com</t>
  </si>
  <si>
    <t>ananya.mehta78@hotmail.com</t>
  </si>
  <si>
    <t>arjun.khan67@example.com</t>
  </si>
  <si>
    <t>aisha.joshi46@hotmail.com</t>
  </si>
  <si>
    <t>william.sharma93@outlook.com</t>
  </si>
  <si>
    <t>noah.nair9@hotmail.com</t>
  </si>
  <si>
    <t>ritika.khan31@yahoo.com</t>
  </si>
  <si>
    <t>reyansh.verma60@example.com</t>
  </si>
  <si>
    <t>neha.mehta55@hotmail.com</t>
  </si>
  <si>
    <t>benjamin.khan27@yahoo.com</t>
  </si>
  <si>
    <t>ritika.singh41@gmail.com</t>
  </si>
  <si>
    <t>pooja.singh55@gmail.com</t>
  </si>
  <si>
    <t>simran.gupta93@gmail.com</t>
  </si>
  <si>
    <t>william.joshi61@example.com</t>
  </si>
  <si>
    <t>william.nair50@yahoo.com</t>
  </si>
  <si>
    <t>vivaan.gupta92@outlook.com</t>
  </si>
  <si>
    <t>vivaan.khan95@example.com</t>
  </si>
  <si>
    <t>aisha.verma87@hotmail.com</t>
  </si>
  <si>
    <t>pooja.mehta52@example.com</t>
  </si>
  <si>
    <t>divya.patel25@outlook.com</t>
  </si>
  <si>
    <t>ishaan.singh18@example.com</t>
  </si>
  <si>
    <t>sana.gupta12@hotmail.com</t>
  </si>
  <si>
    <t>noah.singh62@yahoo.com</t>
  </si>
  <si>
    <t>ananya.verma43@gmail.com</t>
  </si>
  <si>
    <t>sana.mehta2@gmail.com</t>
  </si>
  <si>
    <t>ritika.singh60@outlook.com</t>
  </si>
  <si>
    <t>siddharth.khan63@gmail.com</t>
  </si>
  <si>
    <t>aditya.singh50@yahoo.com</t>
  </si>
  <si>
    <t>rohan.gupta3@yahoo.com</t>
  </si>
  <si>
    <t>benjamin.gupta40@example.com</t>
  </si>
  <si>
    <t>reyansh.singh1@gmail.com</t>
  </si>
  <si>
    <t>ananya.singh86@example.com</t>
  </si>
  <si>
    <t>pooja.singh27@yahoo.com</t>
  </si>
  <si>
    <t>siddharth.patel41@example.com</t>
  </si>
  <si>
    <t>ritika.sharma12@gmail.com</t>
  </si>
  <si>
    <t>lucas.joshi67@gmail.com</t>
  </si>
  <si>
    <t>ritika.khan90@outlook.com</t>
  </si>
  <si>
    <t>ritika.sharma34@yahoo.com</t>
  </si>
  <si>
    <t>aisha.gupta69@gmail.com</t>
  </si>
  <si>
    <t>aditya.khan98@hotmail.com</t>
  </si>
  <si>
    <t>rohan.verma12@gmail.com</t>
  </si>
  <si>
    <t>alexander.mehta64@yahoo.com</t>
  </si>
  <si>
    <t>ananya.singh18@example.com</t>
  </si>
  <si>
    <t>aarav.verma52@example.com</t>
  </si>
  <si>
    <t>reyansh.nair70@yahoo.com</t>
  </si>
  <si>
    <t>priya.verma94@example.com</t>
  </si>
  <si>
    <t>elijah.mehta56@example.com</t>
  </si>
  <si>
    <t>oliver.verma51@outlook.com</t>
  </si>
  <si>
    <t>pooja.iyer69@gmail.com</t>
  </si>
  <si>
    <t>elijah.khan78@example.com</t>
  </si>
  <si>
    <t>lucas.sharma41@gmail.com</t>
  </si>
  <si>
    <t>aisha.khan62@hotmail.com</t>
  </si>
  <si>
    <t>oliver.khan12@hotmail.com</t>
  </si>
  <si>
    <t>divya.mehta6@gmail.com</t>
  </si>
  <si>
    <t>karan.iyer91@yahoo.com</t>
  </si>
  <si>
    <t>ritika.sharma19@hotmail.com</t>
  </si>
  <si>
    <t>aarav.verma83@hotmail.com</t>
  </si>
  <si>
    <t>priya.mehta85@hotmail.com</t>
  </si>
  <si>
    <t>alexander.patel16@hotmail.com</t>
  </si>
  <si>
    <t>ritika.sharma18@outlook.com</t>
  </si>
  <si>
    <t>henry.joshi47@yahoo.com</t>
  </si>
  <si>
    <t>ananya.singh40@example.com</t>
  </si>
  <si>
    <t>neha.sharma93@example.com</t>
  </si>
  <si>
    <t>noah.patel33@outlook.com</t>
  </si>
  <si>
    <t>divya.mehta46@hotmail.com</t>
  </si>
  <si>
    <t>pooja.nair55@yahoo.com</t>
  </si>
  <si>
    <t>divya.khan31@yahoo.com</t>
  </si>
  <si>
    <t>benjamin.iyer38@yahoo.com</t>
  </si>
  <si>
    <t>elijah.iyer89@outlook.com</t>
  </si>
  <si>
    <t>neha.khan8@outlook.com</t>
  </si>
  <si>
    <t>aarav.sharma59@yahoo.com</t>
  </si>
  <si>
    <t>rohan.joshi19@hotmail.com</t>
  </si>
  <si>
    <t>lucas.sharma9@example.com</t>
  </si>
  <si>
    <t>priya.singh44@gmail.com</t>
  </si>
  <si>
    <t>aditya.gupta60@hotmail.com</t>
  </si>
  <si>
    <t>pooja.patel11@gmail.com</t>
  </si>
  <si>
    <t>ishaan.mehta46@yahoo.com</t>
  </si>
  <si>
    <t>aisha.gupta86@outlook.com</t>
  </si>
  <si>
    <t>noah.khan38@outlook.com</t>
  </si>
  <si>
    <t>ananya.iyer30@outlook.com</t>
  </si>
  <si>
    <t>pooja.patel89@example.com</t>
  </si>
  <si>
    <t>ananya.mehta59@yahoo.com</t>
  </si>
  <si>
    <t>aditya.khan61@outlook.com</t>
  </si>
  <si>
    <t>priya.nair33@hotmail.com</t>
  </si>
  <si>
    <t>priya.mehta74@yahoo.com</t>
  </si>
  <si>
    <t>shruti.iyer44@gmail.com</t>
  </si>
  <si>
    <t>shruti.iyer70@yahoo.com</t>
  </si>
  <si>
    <t>sana.patel36@yahoo.com</t>
  </si>
  <si>
    <t>ananya.singh84@yahoo.com</t>
  </si>
  <si>
    <t>vivaan.gupta71@yahoo.com</t>
  </si>
  <si>
    <t>noah.joshi49@example.com</t>
  </si>
  <si>
    <t>aarav.singh81@outlook.com</t>
  </si>
  <si>
    <t>alexander.khan29@gmail.com</t>
  </si>
  <si>
    <t>arjun.khan3@example.com</t>
  </si>
  <si>
    <t>liam.verma58@yahoo.com</t>
  </si>
  <si>
    <t>priya.nair63@yahoo.com</t>
  </si>
  <si>
    <t>aisha.iyer10@outlook.com</t>
  </si>
  <si>
    <t>pooja.gupta73@hotmail.com</t>
  </si>
  <si>
    <t>alexander.iyer94@gmail.com</t>
  </si>
  <si>
    <t>ishaan.sharma17@example.com</t>
  </si>
  <si>
    <t>ritika.singh82@outlook.com</t>
  </si>
  <si>
    <t>oliver.sharma31@gmail.com</t>
  </si>
  <si>
    <t>pooja.singh81@gmail.com</t>
  </si>
  <si>
    <t>aditya.patel71@yahoo.com</t>
  </si>
  <si>
    <t>karan.mehta8@gmail.com</t>
  </si>
  <si>
    <t>lucas.gupta47@yahoo.com</t>
  </si>
  <si>
    <t>aisha.nair16@example.com</t>
  </si>
  <si>
    <t>ananya.joshi32@example.com</t>
  </si>
  <si>
    <t>simran.mehta62@yahoo.com</t>
  </si>
  <si>
    <t>arjun.sharma61@gmail.com</t>
  </si>
  <si>
    <t>aarav.nair78@outlook.com</t>
  </si>
  <si>
    <t>arjun.iyer97@gmail.com</t>
  </si>
  <si>
    <t>william.gupta79@example.com</t>
  </si>
  <si>
    <t>william.verma31@example.com</t>
  </si>
  <si>
    <t>aisha.verma18@example.com</t>
  </si>
  <si>
    <t>william.patel59@gmail.com</t>
  </si>
  <si>
    <t>sana.gupta28@outlook.com</t>
  </si>
  <si>
    <t>oliver.gupta64@example.com</t>
  </si>
  <si>
    <t>james.mehta13@outlook.com</t>
  </si>
  <si>
    <t>alexander.mehta69@example.com</t>
  </si>
  <si>
    <t>liam.mehta69@hotmail.com</t>
  </si>
  <si>
    <t>ritika.sharma4@outlook.com</t>
  </si>
  <si>
    <t>rohan.verma98@outlook.com</t>
  </si>
  <si>
    <t>sana.joshi8@example.com</t>
  </si>
  <si>
    <t>priya.mehta96@yahoo.com</t>
  </si>
  <si>
    <t>ishaan.singh62@gmail.com</t>
  </si>
  <si>
    <t>henry.mehta84@gmail.com</t>
  </si>
  <si>
    <t>divya.singh74@example.com</t>
  </si>
  <si>
    <t>reyansh.verma63@gmail.com</t>
  </si>
  <si>
    <t>arjun.nair80@hotmail.com</t>
  </si>
  <si>
    <t>liam.mehta32@gmail.com</t>
  </si>
  <si>
    <t>pooja.khan58@yahoo.com</t>
  </si>
  <si>
    <t>ritika.joshi72@hotmail.com</t>
  </si>
  <si>
    <t>shruti.iyer7@example.com</t>
  </si>
  <si>
    <t>simran.verma55@example.com</t>
  </si>
  <si>
    <t>ritika.mehta16@yahoo.com</t>
  </si>
  <si>
    <t>priya.singh89@hotmail.com</t>
  </si>
  <si>
    <t>neha.khan67@outlook.com</t>
  </si>
  <si>
    <t>shruti.iyer71@gmail.com</t>
  </si>
  <si>
    <t>sana.khan44@gmail.com</t>
  </si>
  <si>
    <t>lucas.verma81@outlook.com</t>
  </si>
  <si>
    <t>sana.patel52@gmail.com</t>
  </si>
  <si>
    <t>karan.verma27@hotmail.com</t>
  </si>
  <si>
    <t>vivaan.iyer32@gmail.com</t>
  </si>
  <si>
    <t>alexander.sharma84@hotmail.com</t>
  </si>
  <si>
    <t>karan.sharma72@hotmail.com</t>
  </si>
  <si>
    <t>ritika.khan84@gmail.com</t>
  </si>
  <si>
    <t>simran.patel55@example.com</t>
  </si>
  <si>
    <t>gaurav.sharma91@yahoo.com</t>
  </si>
  <si>
    <t>neha.verma89@hotmail.com</t>
  </si>
  <si>
    <t>rohan.mehta41@outlook.com</t>
  </si>
  <si>
    <t>neha.singh22@outlook.com</t>
  </si>
  <si>
    <t>karan.patel97@outlook.com</t>
  </si>
  <si>
    <t>ananya.verma86@hotmail.com</t>
  </si>
  <si>
    <t>shruti.singh14@outlook.com</t>
  </si>
  <si>
    <t>ritika.joshi5@outlook.com</t>
  </si>
  <si>
    <t>priya.nair23@example.com</t>
  </si>
  <si>
    <t>liam.iyer35@yahoo.com</t>
  </si>
  <si>
    <t>oliver.mehta56@hotmail.com</t>
  </si>
  <si>
    <t>lucas.mehta12@hotmail.com</t>
  </si>
  <si>
    <t>shruti.sharma80@yahoo.com</t>
  </si>
  <si>
    <t>neha.sharma49@example.com</t>
  </si>
  <si>
    <t>gaurav.nair69@hotmail.com</t>
  </si>
  <si>
    <t>benjamin.mehta56@hotmail.com</t>
  </si>
  <si>
    <t>lucas.gupta50@hotmail.com</t>
  </si>
  <si>
    <t>liam.sharma74@outlook.com</t>
  </si>
  <si>
    <t>priya.patel73@example.com</t>
  </si>
  <si>
    <t>arjun.joshi52@outlook.com</t>
  </si>
  <si>
    <t>vivaan.iyer76@outlook.com</t>
  </si>
  <si>
    <t>shruti.mehta86@example.com</t>
  </si>
  <si>
    <t>neha.joshi3@example.com</t>
  </si>
  <si>
    <t>aisha.iyer7@gmail.com</t>
  </si>
  <si>
    <t>ritika.nair34@example.com</t>
  </si>
  <si>
    <t>liam.sharma84@outlook.com</t>
  </si>
  <si>
    <t>gaurav.singh73@yahoo.com</t>
  </si>
  <si>
    <t>aisha.iyer30@example.com</t>
  </si>
  <si>
    <t>sana.nair56@gmail.com</t>
  </si>
  <si>
    <t>vivaan.gupta43@gmail.com</t>
  </si>
  <si>
    <t>aisha.singh66@gmail.com</t>
  </si>
  <si>
    <t>aisha.nair7@example.com</t>
  </si>
  <si>
    <t>priya.verma98@yahoo.com</t>
  </si>
  <si>
    <t>shruti.patel1@outlook.com</t>
  </si>
  <si>
    <t>benjamin.mehta98@example.com</t>
  </si>
  <si>
    <t>siddharth.mehta28@outlook.com</t>
  </si>
  <si>
    <t>alexander.mehta96@yahoo.com</t>
  </si>
  <si>
    <t>james.mehta12@example.com</t>
  </si>
  <si>
    <t>noah.joshi60@example.com</t>
  </si>
  <si>
    <t>liam.sharma66@hotmail.com</t>
  </si>
  <si>
    <t>noah.iyer35@outlook.com</t>
  </si>
  <si>
    <t>noah.patel58@example.com</t>
  </si>
  <si>
    <t>lucas.joshi37@gmail.com</t>
  </si>
  <si>
    <t>gaurav.iyer57@outlook.com</t>
  </si>
  <si>
    <t>siddharth.patel8@hotmail.com</t>
  </si>
  <si>
    <t>neha.sharma53@outlook.com</t>
  </si>
  <si>
    <t>pooja.patel68@outlook.com</t>
  </si>
  <si>
    <t>sana.mehta56@gmail.com</t>
  </si>
  <si>
    <t>shruti.verma9@gmail.com</t>
  </si>
  <si>
    <t>ananya.verma77@hotmail.com</t>
  </si>
  <si>
    <t>pooja.nair28@example.com</t>
  </si>
  <si>
    <t>simran.joshi55@gmail.com</t>
  </si>
  <si>
    <t>shruti.mehta52@example.com</t>
  </si>
  <si>
    <t>oliver.khan77@hotmail.com</t>
  </si>
  <si>
    <t>ritika.sharma94@yahoo.com</t>
  </si>
  <si>
    <t>karan.joshi88@yahoo.com</t>
  </si>
  <si>
    <t>Noah Verma</t>
  </si>
  <si>
    <t>noah.verma28@gmail.com</t>
  </si>
  <si>
    <t>rohan.patel71@hotmail.com</t>
  </si>
  <si>
    <t>ishaan.singh59@outlook.com</t>
  </si>
  <si>
    <t>neha.verma3@yahoo.com</t>
  </si>
  <si>
    <t>aditya.nair96@example.com</t>
  </si>
  <si>
    <t>siddharth.khan10@hotmail.com</t>
  </si>
  <si>
    <t>karan.mehta99@outlook.com</t>
  </si>
  <si>
    <t>pooja.gupta89@gmail.com</t>
  </si>
  <si>
    <t>shruti.nair39@gmail.com</t>
  </si>
  <si>
    <t>arjun.mehta59@outlook.com</t>
  </si>
  <si>
    <t>ananya.iyer29@outlook.com</t>
  </si>
  <si>
    <t>vivaan.patel69@gmail.com</t>
  </si>
  <si>
    <t>sana.singh21@gmail.com</t>
  </si>
  <si>
    <t>priya.iyer95@gmail.com</t>
  </si>
  <si>
    <t>aditya.singh93@example.com</t>
  </si>
  <si>
    <t>siddharth.sharma9@outlook.com</t>
  </si>
  <si>
    <t>james.nair12@gmail.com</t>
  </si>
  <si>
    <t>liam.khan59@example.com</t>
  </si>
  <si>
    <t>neha.verma72@yahoo.com</t>
  </si>
  <si>
    <t>shruti.singh44@yahoo.com</t>
  </si>
  <si>
    <t>ananya.sharma54@gmail.com</t>
  </si>
  <si>
    <t>benjamin.gupta21@outlook.com</t>
  </si>
  <si>
    <t>sana.gupta88@gmail.com</t>
  </si>
  <si>
    <t>aisha.iyer73@example.com</t>
  </si>
  <si>
    <t>ananya.sharma2@outlook.com</t>
  </si>
  <si>
    <t>pooja.joshi17@yahoo.com</t>
  </si>
  <si>
    <t>vivaan.joshi35@hotmail.com</t>
  </si>
  <si>
    <t>divya.joshi16@yahoo.com</t>
  </si>
  <si>
    <t>priya.khan87@hotmail.com</t>
  </si>
  <si>
    <t>oliver.sharma37@hotmail.com</t>
  </si>
  <si>
    <t>neha.joshi34@example.com</t>
  </si>
  <si>
    <t>aditya.nair94@hotmail.com</t>
  </si>
  <si>
    <t>arjun.mehta43@outlook.com</t>
  </si>
  <si>
    <t>divya.joshi94@example.com</t>
  </si>
  <si>
    <t>priya.mehta83@yahoo.com</t>
  </si>
  <si>
    <t>ritika.nair49@gmail.com</t>
  </si>
  <si>
    <t>ananya.iyer79@gmail.com</t>
  </si>
  <si>
    <t>neha.nair76@outlook.com</t>
  </si>
  <si>
    <t>henry.verma34@example.com</t>
  </si>
  <si>
    <t>lucas.patel76@outlook.com</t>
  </si>
  <si>
    <t>henry.khan94@yahoo.com</t>
  </si>
  <si>
    <t>divya.mehta81@hotmail.com</t>
  </si>
  <si>
    <t>ishaan.khan85@hotmail.com</t>
  </si>
  <si>
    <t>priya.verma68@yahoo.com</t>
  </si>
  <si>
    <t>divya.khan55@hotmail.com</t>
  </si>
  <si>
    <t>aarav.iyer52@outlook.com</t>
  </si>
  <si>
    <t>liam.iyer61@outlook.com</t>
  </si>
  <si>
    <t>william.khan45@outlook.com</t>
  </si>
  <si>
    <t>karan.verma88@gmail.com</t>
  </si>
  <si>
    <t>arjun.verma79@hotmail.com</t>
  </si>
  <si>
    <t>pooja.khan10@outlook.com</t>
  </si>
  <si>
    <t>alexander.mehta31@gmail.com</t>
  </si>
  <si>
    <t>priya.verma51@yahoo.com</t>
  </si>
  <si>
    <t>reyansh.gupta36@yahoo.com</t>
  </si>
  <si>
    <t>alexander.gupta62@example.com</t>
  </si>
  <si>
    <t>aisha.sharma11@hotmail.com</t>
  </si>
  <si>
    <t>ananya.khan29@example.com</t>
  </si>
  <si>
    <t>simran.verma45@outlook.com</t>
  </si>
  <si>
    <t>aisha.sharma79@example.com</t>
  </si>
  <si>
    <t>vivaan.khan96@yahoo.com</t>
  </si>
  <si>
    <t>benjamin.khan53@example.com</t>
  </si>
  <si>
    <t>pooja.khan93@yahoo.com</t>
  </si>
  <si>
    <t>liam.nair18@gmail.com</t>
  </si>
  <si>
    <t>alexander.khan51@example.com</t>
  </si>
  <si>
    <t>lucas.iyer3@example.com</t>
  </si>
  <si>
    <t>ananya.iyer65@gmail.com</t>
  </si>
  <si>
    <t>neha.singh13@outlook.com</t>
  </si>
  <si>
    <t>karan.iyer70@yahoo.com</t>
  </si>
  <si>
    <t>james.mehta45@example.com</t>
  </si>
  <si>
    <t>alexander.singh84@yahoo.com</t>
  </si>
  <si>
    <t>ananya.khan53@hotmail.com</t>
  </si>
  <si>
    <t>priya.joshi52@yahoo.com</t>
  </si>
  <si>
    <t>arjun.sharma85@gmail.com</t>
  </si>
  <si>
    <t>rohan.singh79@outlook.com</t>
  </si>
  <si>
    <t>noah.khan60@hotmail.com</t>
  </si>
  <si>
    <t>william.singh13@example.com</t>
  </si>
  <si>
    <t>sana.patel19@hotmail.com</t>
  </si>
  <si>
    <t>shruti.khan63@hotmail.com</t>
  </si>
  <si>
    <t>vivaan.gupta68@outlook.com</t>
  </si>
  <si>
    <t>gaurav.joshi1@outlook.com</t>
  </si>
  <si>
    <t>simran.verma33@example.com</t>
  </si>
  <si>
    <t>ananya.nair45@outlook.com</t>
  </si>
  <si>
    <t>gaurav.khan92@example.com</t>
  </si>
  <si>
    <t>ananya.sharma10@example.com</t>
  </si>
  <si>
    <t>vivaan.mehta59@hotmail.com</t>
  </si>
  <si>
    <t>sana.nair41@outlook.com</t>
  </si>
  <si>
    <t>pooja.iyer31@hotmail.com</t>
  </si>
  <si>
    <t>siddharth.mehta63@yahoo.com</t>
  </si>
  <si>
    <t>reyansh.nair69@yahoo.com</t>
  </si>
  <si>
    <t>siddharth.iyer1@gmail.com</t>
  </si>
  <si>
    <t>william.singh79@yahoo.com</t>
  </si>
  <si>
    <t>shruti.mehta57@gmail.com</t>
  </si>
  <si>
    <t>priya.sharma59@yahoo.com</t>
  </si>
  <si>
    <t>aarav.nair23@outlook.com</t>
  </si>
  <si>
    <t>neha.verma19@hotmail.com</t>
  </si>
  <si>
    <t>reyansh.gupta26@yahoo.com</t>
  </si>
  <si>
    <t>arjun.iyer63@hotmail.com</t>
  </si>
  <si>
    <t>pooja.joshi34@outlook.com</t>
  </si>
  <si>
    <t>neha.singh10@gmail.com</t>
  </si>
  <si>
    <t>ritika.nair3@outlook.com</t>
  </si>
  <si>
    <t>aditya.singh49@yahoo.com</t>
  </si>
  <si>
    <t>rohan.khan35@gmail.com</t>
  </si>
  <si>
    <t>aisha.sharma26@gmail.com</t>
  </si>
  <si>
    <t>henry.sharma54@example.com</t>
  </si>
  <si>
    <t>pooja.sharma62@example.com</t>
  </si>
  <si>
    <t>simran.gupta6@outlook.com</t>
  </si>
  <si>
    <t>benjamin.mehta74@yahoo.com</t>
  </si>
  <si>
    <t>oliver.singh79@example.com</t>
  </si>
  <si>
    <t>liam.patel78@gmail.com</t>
  </si>
  <si>
    <t>priya.patel39@yahoo.com</t>
  </si>
  <si>
    <t>pooja.nair74@gmail.com</t>
  </si>
  <si>
    <t>simran.singh23@gmail.com</t>
  </si>
  <si>
    <t>sana.khan22@example.com</t>
  </si>
  <si>
    <t>priya.nair91@hotmail.com</t>
  </si>
  <si>
    <t>shruti.patel26@outlook.com</t>
  </si>
  <si>
    <t>ananya.sharma53@outlook.com</t>
  </si>
  <si>
    <t>karan.mehta74@yahoo.com</t>
  </si>
  <si>
    <t>vivaan.verma20@hotmail.com</t>
  </si>
  <si>
    <t>henry.joshi73@hotmail.com</t>
  </si>
  <si>
    <t>william.verma63@gmail.com</t>
  </si>
  <si>
    <t>shruti.singh10@yahoo.com</t>
  </si>
  <si>
    <t>rohan.nair76@outlook.com</t>
  </si>
  <si>
    <t>lucas.joshi98@example.com</t>
  </si>
  <si>
    <t>gaurav.khan84@hotmail.com</t>
  </si>
  <si>
    <t>rohan.sharma30@yahoo.com</t>
  </si>
  <si>
    <t>william.singh44@gmail.com</t>
  </si>
  <si>
    <t>shruti.singh90@example.com</t>
  </si>
  <si>
    <t>liam.singh21@example.com</t>
  </si>
  <si>
    <t>aisha.verma14@gmail.com</t>
  </si>
  <si>
    <t>noah.mehta44@example.com</t>
  </si>
  <si>
    <t>ritika.singh65@outlook.com</t>
  </si>
  <si>
    <t>oliver.nair45@example.com</t>
  </si>
  <si>
    <t>aisha.verma28@hotmail.com</t>
  </si>
  <si>
    <t>simran.joshi57@hotmail.com</t>
  </si>
  <si>
    <t>aisha.gupta49@yahoo.com</t>
  </si>
  <si>
    <t>ananya.sharma57@yahoo.com</t>
  </si>
  <si>
    <t>vivaan.mehta70@yahoo.com</t>
  </si>
  <si>
    <t>ritika.sharma19@yahoo.com</t>
  </si>
  <si>
    <t>oliver.sharma49@hotmail.com</t>
  </si>
  <si>
    <t>ritika.khan57@hotmail.com</t>
  </si>
  <si>
    <t>benjamin.khan32@example.com</t>
  </si>
  <si>
    <t>divya.khan37@hotmail.com</t>
  </si>
  <si>
    <t>divya.sharma33@yahoo.com</t>
  </si>
  <si>
    <t>rohan.joshi53@outlook.com</t>
  </si>
  <si>
    <t>aisha.nair68@example.com</t>
  </si>
  <si>
    <t>henry.gupta22@gmail.com</t>
  </si>
  <si>
    <t>pooja.nair52@example.com</t>
  </si>
  <si>
    <t>simran.gupta67@example.com</t>
  </si>
  <si>
    <t>elijah.gupta74@gmail.com</t>
  </si>
  <si>
    <t>rohan.patel98@yahoo.com</t>
  </si>
  <si>
    <t>vivaan.gupta68@example.com</t>
  </si>
  <si>
    <t>priya.verma93@example.com</t>
  </si>
  <si>
    <t>william.iyer18@gmail.com</t>
  </si>
  <si>
    <t>aarav.verma46@yahoo.com</t>
  </si>
  <si>
    <t>ritika.mehta8@example.com</t>
  </si>
  <si>
    <t>aarav.iyer48@hotmail.com</t>
  </si>
  <si>
    <t>aarav.mehta7@gmail.com</t>
  </si>
  <si>
    <t>oliver.joshi10@outlook.com</t>
  </si>
  <si>
    <t>simran.sharma13@outlook.com</t>
  </si>
  <si>
    <t>sana.sharma80@yahoo.com</t>
  </si>
  <si>
    <t>divya.khan17@yahoo.com</t>
  </si>
  <si>
    <t>ritika.joshi75@outlook.com</t>
  </si>
  <si>
    <t>pooja.verma10@example.com</t>
  </si>
  <si>
    <t>aarav.joshi43@example.com</t>
  </si>
  <si>
    <t>ritika.iyer53@yahoo.com</t>
  </si>
  <si>
    <t>ritika.verma23@outlook.com</t>
  </si>
  <si>
    <t>aisha.joshi62@yahoo.com</t>
  </si>
  <si>
    <t>liam.singh80@example.com</t>
  </si>
  <si>
    <t>liam.mehta97@outlook.com</t>
  </si>
  <si>
    <t>rohan.singh69@gmail.com</t>
  </si>
  <si>
    <t>priya.sharma93@gmail.com</t>
  </si>
  <si>
    <t>simran.patel62@example.com</t>
  </si>
  <si>
    <t>sana.gupta47@outlook.com</t>
  </si>
  <si>
    <t>priya.iyer98@gmail.com</t>
  </si>
  <si>
    <t>rohan.verma91@gmail.com</t>
  </si>
  <si>
    <t>neha.joshi43@example.com</t>
  </si>
  <si>
    <t>alexander.patel28@outlook.com</t>
  </si>
  <si>
    <t>lucas.patel98@outlook.com</t>
  </si>
  <si>
    <t>aditya.khan32@hotmail.com</t>
  </si>
  <si>
    <t>rohan.mehta42@gmail.com</t>
  </si>
  <si>
    <t>priya.mehta39@example.com</t>
  </si>
  <si>
    <t>rohan.khan41@outlook.com</t>
  </si>
  <si>
    <t>alexander.joshi77@yahoo.com</t>
  </si>
  <si>
    <t>shruti.patel80@yahoo.com</t>
  </si>
  <si>
    <t>siddharth.iyer24@outlook.com</t>
  </si>
  <si>
    <t>siddharth.patel66@gmail.com</t>
  </si>
  <si>
    <t>rohan.patel7@yahoo.com</t>
  </si>
  <si>
    <t>william.singh3@hotmail.com</t>
  </si>
  <si>
    <t>rohan.khan6@outlook.com</t>
  </si>
  <si>
    <t>pooja.verma4@example.com</t>
  </si>
  <si>
    <t>priya.iyer35@gmail.com</t>
  </si>
  <si>
    <t>liam.mehta40@gmail.com</t>
  </si>
  <si>
    <t>liam.patel66@gmail.com</t>
  </si>
  <si>
    <t>noah.sharma45@yahoo.com</t>
  </si>
  <si>
    <t>ananya.khan89@example.com</t>
  </si>
  <si>
    <t>rohan.gupta66@yahoo.com</t>
  </si>
  <si>
    <t>sana.verma86@hotmail.com</t>
  </si>
  <si>
    <t>aarav.joshi56@gmail.com</t>
  </si>
  <si>
    <t>aisha.nair46@example.com</t>
  </si>
  <si>
    <t>aisha.sharma65@gmail.com</t>
  </si>
  <si>
    <t>aisha.verma7@yahoo.com</t>
  </si>
  <si>
    <t>divya.iyer27@gmail.com</t>
  </si>
  <si>
    <t>aisha.nair61@hotmail.com</t>
  </si>
  <si>
    <t>shruti.sharma45@gmail.com</t>
  </si>
  <si>
    <t>sana.mehta62@yahoo.com</t>
  </si>
  <si>
    <t>aarav.nair15@outlook.com</t>
  </si>
  <si>
    <t>aarav.joshi67@yahoo.com</t>
  </si>
  <si>
    <t>benjamin.iyer75@hotmail.com</t>
  </si>
  <si>
    <t>aisha.joshi11@outlook.com</t>
  </si>
  <si>
    <t>benjamin.mehta58@outlook.com</t>
  </si>
  <si>
    <t>noah.mehta6@outlook.com</t>
  </si>
  <si>
    <t>aditya.nair7@example.com</t>
  </si>
  <si>
    <t>benjamin.khan55@outlook.com</t>
  </si>
  <si>
    <t>rohan.sharma87@yahoo.com</t>
  </si>
  <si>
    <t>ishaan.mehta14@outlook.com</t>
  </si>
  <si>
    <t>sana.singh86@gmail.com</t>
  </si>
  <si>
    <t>pooja.singh76@gmail.com</t>
  </si>
  <si>
    <t>ritika.nair66@example.com</t>
  </si>
  <si>
    <t>gaurav.patel68@yahoo.com</t>
  </si>
  <si>
    <t>liam.gupta79@outlook.com</t>
  </si>
  <si>
    <t>james.iyer73@example.com</t>
  </si>
  <si>
    <t>ritika.khan13@hotmail.com</t>
  </si>
  <si>
    <t>liam.mehta8@gmail.com</t>
  </si>
  <si>
    <t>neha.sharma48@example.com</t>
  </si>
  <si>
    <t>noah.nair73@gmail.com</t>
  </si>
  <si>
    <t>divya.sharma44@gmail.com</t>
  </si>
  <si>
    <t>sana.patel75@yahoo.com</t>
  </si>
  <si>
    <t>shruti.nair49@yahoo.com</t>
  </si>
  <si>
    <t>divya.singh39@outlook.com</t>
  </si>
  <si>
    <t>neha.nair70@example.com</t>
  </si>
  <si>
    <t>noah.sharma29@gmail.com</t>
  </si>
  <si>
    <t>shruti.verma34@gmail.com</t>
  </si>
  <si>
    <t>james.verma65@hotmail.com</t>
  </si>
  <si>
    <t>aisha.iyer19@outlook.com</t>
  </si>
  <si>
    <t>neha.verma6@yahoo.com</t>
  </si>
  <si>
    <t>arjun.verma72@gmail.com</t>
  </si>
  <si>
    <t>liam.verma57@hotmail.com</t>
  </si>
  <si>
    <t>elijah.sharma74@outlook.com</t>
  </si>
  <si>
    <t>divya.joshi68@yahoo.com</t>
  </si>
  <si>
    <t>aisha.singh41@example.com</t>
  </si>
  <si>
    <t>priya.joshi93@outlook.com</t>
  </si>
  <si>
    <t>shruti.iyer68@example.com</t>
  </si>
  <si>
    <t>aisha.iyer37@gmail.com</t>
  </si>
  <si>
    <t>rohan.gupta55@example.com</t>
  </si>
  <si>
    <t>william.mehta31@gmail.com</t>
  </si>
  <si>
    <t>liam.singh53@gmail.com</t>
  </si>
  <si>
    <t>priya.sharma36@example.com</t>
  </si>
  <si>
    <t>aisha.iyer67@hotmail.com</t>
  </si>
  <si>
    <t>rohan.mehta14@gmail.com</t>
  </si>
  <si>
    <t>rohan.joshi41@hotmail.com</t>
  </si>
  <si>
    <t>ananya.verma57@gmail.com</t>
  </si>
  <si>
    <t>aditya.singh37@outlook.com</t>
  </si>
  <si>
    <t>rohan.patel86@hotmail.com</t>
  </si>
  <si>
    <t>ritika.iyer14@example.com</t>
  </si>
  <si>
    <t>aarav.sharma40@hotmail.com</t>
  </si>
  <si>
    <t>ritika.mehta92@gmail.com</t>
  </si>
  <si>
    <t>james.patel73@outlook.com</t>
  </si>
  <si>
    <t>sana.patel96@hotmail.com</t>
  </si>
  <si>
    <t>sana.joshi85@example.com</t>
  </si>
  <si>
    <t>ritika.singh74@yahoo.com</t>
  </si>
  <si>
    <t>aisha.sharma47@outlook.com</t>
  </si>
  <si>
    <t>ananya.verma50@yahoo.com</t>
  </si>
  <si>
    <t>pooja.singh51@outlook.com</t>
  </si>
  <si>
    <t>pooja.khan63@gmail.com</t>
  </si>
  <si>
    <t>arjun.nair51@example.com</t>
  </si>
  <si>
    <t>priya.khan4@hotmail.com</t>
  </si>
  <si>
    <t>ananya.sharma11@outlook.com</t>
  </si>
  <si>
    <t>karan.singh99@hotmail.com</t>
  </si>
  <si>
    <t>vivaan.nair66@yahoo.com</t>
  </si>
  <si>
    <t>priya.nair52@example.com</t>
  </si>
  <si>
    <t>divya.verma64@example.com</t>
  </si>
  <si>
    <t>alexander.gupta17@gmail.com</t>
  </si>
  <si>
    <t>aditya.nair94@example.com</t>
  </si>
  <si>
    <t>ritika.sharma20@yahoo.com</t>
  </si>
  <si>
    <t>aisha.nair25@outlook.com</t>
  </si>
  <si>
    <t>rohan.gupta29@hotmail.com</t>
  </si>
  <si>
    <t>lucas.gupta82@example.com</t>
  </si>
  <si>
    <t>henry.singh78@hotmail.com</t>
  </si>
  <si>
    <t>aisha.singh34@outlook.com</t>
  </si>
  <si>
    <t>lucas.mehta65@gmail.com</t>
  </si>
  <si>
    <t>karan.sharma78@hotmail.com</t>
  </si>
  <si>
    <t>noah.iyer87@gmail.com</t>
  </si>
  <si>
    <t>priya.gupta46@hotmail.com</t>
  </si>
  <si>
    <t>ritika.joshi22@gmail.com</t>
  </si>
  <si>
    <t>siddharth.khan66@outlook.com</t>
  </si>
  <si>
    <t>alexander.iyer73@example.com</t>
  </si>
  <si>
    <t>simran.iyer41@outlook.com</t>
  </si>
  <si>
    <t>aditya.verma9@example.com</t>
  </si>
  <si>
    <t>aisha.gupta46@example.com</t>
  </si>
  <si>
    <t>lucas.singh94@yahoo.com</t>
  </si>
  <si>
    <t>rohan.sharma96@hotmail.com</t>
  </si>
  <si>
    <t>divya.joshi29@yahoo.com</t>
  </si>
  <si>
    <t>ritika.verma22@example.com</t>
  </si>
  <si>
    <t>aarav.joshi18@gmail.com</t>
  </si>
  <si>
    <t>william.singh87@gmail.com</t>
  </si>
  <si>
    <t>ritika.mehta42@gmail.com</t>
  </si>
  <si>
    <t>priya.sharma47@gmail.com</t>
  </si>
  <si>
    <t>neha.gupta17@example.com</t>
  </si>
  <si>
    <t>aarav.joshi18@yahoo.com</t>
  </si>
  <si>
    <t>priya.patel86@outlook.com</t>
  </si>
  <si>
    <t>shruti.verma56@hotmail.com</t>
  </si>
  <si>
    <t>oliver.patel16@example.com</t>
  </si>
  <si>
    <t>priya.patel27@gmail.com</t>
  </si>
  <si>
    <t>elijah.mehta34@hotmail.com</t>
  </si>
  <si>
    <t>liam.nair4@gmail.com</t>
  </si>
  <si>
    <t>aisha.gupta67@gmail.com</t>
  </si>
  <si>
    <t>aarav.iyer53@hotmail.com</t>
  </si>
  <si>
    <t>liam.gupta91@outlook.com</t>
  </si>
  <si>
    <t>divya.sharma42@hotmail.com</t>
  </si>
  <si>
    <t>ritika.khan35@gmail.com</t>
  </si>
  <si>
    <t>ritika.iyer47@gmail.com</t>
  </si>
  <si>
    <t>liam.khan65@example.com</t>
  </si>
  <si>
    <t>sana.mehta6@yahoo.com</t>
  </si>
  <si>
    <t>priya.singh46@hotmail.com</t>
  </si>
  <si>
    <t>lucas.mehta9@outlook.com</t>
  </si>
  <si>
    <t>pooja.singh85@outlook.com</t>
  </si>
  <si>
    <t>elijah.joshi42@example.com</t>
  </si>
  <si>
    <t>shruti.nair29@gmail.com</t>
  </si>
  <si>
    <t>karan.khan99@gmail.com</t>
  </si>
  <si>
    <t>benjamin.iyer60@gmail.com</t>
  </si>
  <si>
    <t>siddharth.patel49@hotmail.com</t>
  </si>
  <si>
    <t>elijah.verma17@hotmail.com</t>
  </si>
  <si>
    <t>arjun.verma96@yahoo.com</t>
  </si>
  <si>
    <t>liam.mehta7@yahoo.com</t>
  </si>
  <si>
    <t>sana.nair47@hotmail.com</t>
  </si>
  <si>
    <t>neha.patel74@example.com</t>
  </si>
  <si>
    <t>simran.patel64@hotmail.com</t>
  </si>
  <si>
    <t>neha.singh36@gmail.com</t>
  </si>
  <si>
    <t>elijah.gupta50@outlook.com</t>
  </si>
  <si>
    <t>oliver.sharma94@outlook.com</t>
  </si>
  <si>
    <t>shruti.sharma60@hotmail.com</t>
  </si>
  <si>
    <t>benjamin.patel87@example.com</t>
  </si>
  <si>
    <t>siddharth.singh87@gmail.com</t>
  </si>
  <si>
    <t>james.joshi50@gmail.com</t>
  </si>
  <si>
    <t>simran.nair69@yahoo.com</t>
  </si>
  <si>
    <t>divya.khan37@gmail.com</t>
  </si>
  <si>
    <t>lucas.khan88@gmail.com</t>
  </si>
  <si>
    <t>aisha.khan26@yahoo.com</t>
  </si>
  <si>
    <t>arjun.singh80@example.com</t>
  </si>
  <si>
    <t>william.joshi10@outlook.com</t>
  </si>
  <si>
    <t>pooja.khan45@example.com</t>
  </si>
  <si>
    <t>aditya.patel54@outlook.com</t>
  </si>
  <si>
    <t>ananya.nair73@yahoo.com</t>
  </si>
  <si>
    <t>priya.mehta42@gmail.com</t>
  </si>
  <si>
    <t>lucas.patel84@gmail.com</t>
  </si>
  <si>
    <t>ritika.sharma33@outlook.com</t>
  </si>
  <si>
    <t>elijah.patel91@outlook.com</t>
  </si>
  <si>
    <t>neha.patel30@yahoo.com</t>
  </si>
  <si>
    <t>elijah.sharma4@hotmail.com</t>
  </si>
  <si>
    <t>sana.mehta73@gmail.com</t>
  </si>
  <si>
    <t>liam.sharma52@gmail.com</t>
  </si>
  <si>
    <t>aditya.khan87@gmail.com</t>
  </si>
  <si>
    <t>gaurav.iyer5@example.com</t>
  </si>
  <si>
    <t>aditya.nair84@yahoo.com</t>
  </si>
  <si>
    <t>ananya.iyer21@hotmail.com</t>
  </si>
  <si>
    <t>divya.patel84@example.com</t>
  </si>
  <si>
    <t>lucas.khan63@hotmail.com</t>
  </si>
  <si>
    <t>reyansh.gupta89@hotmail.com</t>
  </si>
  <si>
    <t>neha.singh54@example.com</t>
  </si>
  <si>
    <t>aarav.iyer54@gmail.com</t>
  </si>
  <si>
    <t>pooja.gupta47@example.com</t>
  </si>
  <si>
    <t>lucas.singh2@example.com</t>
  </si>
  <si>
    <t>vivaan.mehta12@yahoo.com</t>
  </si>
  <si>
    <t>benjamin.sharma77@yahoo.com</t>
  </si>
  <si>
    <t>aisha.singh16@example.com</t>
  </si>
  <si>
    <t>aisha.sharma43@example.com</t>
  </si>
  <si>
    <t>aisha.mehta40@example.com</t>
  </si>
  <si>
    <t>benjamin.patel16@yahoo.com</t>
  </si>
  <si>
    <t>noah.singh11@example.com</t>
  </si>
  <si>
    <t>divya.singh72@gmail.com</t>
  </si>
  <si>
    <t>benjamin.mehta63@gmail.com</t>
  </si>
  <si>
    <t>vivaan.joshi37@gmail.com</t>
  </si>
  <si>
    <t>james.iyer49@example.com</t>
  </si>
  <si>
    <t>aditya.verma5@hotmail.com</t>
  </si>
  <si>
    <t>simran.nair95@outlook.com</t>
  </si>
  <si>
    <t>gaurav.iyer61@yahoo.com</t>
  </si>
  <si>
    <t>sana.iyer61@outlook.com</t>
  </si>
  <si>
    <t>pooja.patel77@example.com</t>
  </si>
  <si>
    <t>sana.khan20@example.com</t>
  </si>
  <si>
    <t>aditya.mehta37@gmail.com</t>
  </si>
  <si>
    <t>pooja.verma25@yahoo.com</t>
  </si>
  <si>
    <t>shruti.iyer58@example.com</t>
  </si>
  <si>
    <t>aditya.joshi39@hotmail.com</t>
  </si>
  <si>
    <t>divya.nair11@outlook.com</t>
  </si>
  <si>
    <t>pooja.nair52@yahoo.com</t>
  </si>
  <si>
    <t>henry.iyer74@hotmail.com</t>
  </si>
  <si>
    <t>reyansh.joshi95@hotmail.com</t>
  </si>
  <si>
    <t>divya.khan89@gmail.com</t>
  </si>
  <si>
    <t>pooja.iyer29@yahoo.com</t>
  </si>
  <si>
    <t>siddharth.sharma85@example.com</t>
  </si>
  <si>
    <t>priya.gupta19@example.com</t>
  </si>
  <si>
    <t>priya.khan43@outlook.com</t>
  </si>
  <si>
    <t>ananya.singh61@outlook.com</t>
  </si>
  <si>
    <t>ishaan.iyer32@example.com</t>
  </si>
  <si>
    <t>ananya.singh56@gmail.com</t>
  </si>
  <si>
    <t>pooja.gupta80@yahoo.com</t>
  </si>
  <si>
    <t>simran.iyer70@hotmail.com</t>
  </si>
  <si>
    <t>james.singh9@yahoo.com</t>
  </si>
  <si>
    <t>ritika.mehta1@outlook.com</t>
  </si>
  <si>
    <t>ananya.iyer27@outlook.com</t>
  </si>
  <si>
    <t>benjamin.singh38@example.com</t>
  </si>
  <si>
    <t>aditya.khan53@hotmail.com</t>
  </si>
  <si>
    <t>priya.joshi4@example.com</t>
  </si>
  <si>
    <t>rohan.verma49@gmail.com</t>
  </si>
  <si>
    <t>siddharth.joshi87@yahoo.com</t>
  </si>
  <si>
    <t>neha.singh59@outlook.com</t>
  </si>
  <si>
    <t>lucas.sharma63@hotmail.com</t>
  </si>
  <si>
    <t>liam.singh45@hotmail.com</t>
  </si>
  <si>
    <t>elijah.khan91@outlook.com</t>
  </si>
  <si>
    <t>divya.gupta44@yahoo.com</t>
  </si>
  <si>
    <t>pooja.iyer35@example.com</t>
  </si>
  <si>
    <t>divya.singh58@gmail.com</t>
  </si>
  <si>
    <t>ishaan.iyer70@hotmail.com</t>
  </si>
  <si>
    <t>priya.patel56@example.com</t>
  </si>
  <si>
    <t>divya.mehta18@example.com</t>
  </si>
  <si>
    <t>oliver.sharma93@yahoo.com</t>
  </si>
  <si>
    <t>simran.verma96@gmail.com</t>
  </si>
  <si>
    <t>pooja.joshi32@outlook.com</t>
  </si>
  <si>
    <t>simran.joshi83@gmail.com</t>
  </si>
  <si>
    <t>henry.joshi28@gmail.com</t>
  </si>
  <si>
    <t>sana.nair45@example.com</t>
  </si>
  <si>
    <t>reyansh.khan44@outlook.com</t>
  </si>
  <si>
    <t>neha.verma14@example.com</t>
  </si>
  <si>
    <t>neha.mehta83@example.com</t>
  </si>
  <si>
    <t>karan.nair86@outlook.com</t>
  </si>
  <si>
    <t>ishaan.iyer10@yahoo.com</t>
  </si>
  <si>
    <t>simran.sharma2@example.com</t>
  </si>
  <si>
    <t>shruti.iyer87@outlook.com</t>
  </si>
  <si>
    <t>lucas.iyer42@yahoo.com</t>
  </si>
  <si>
    <t>ritika.iyer66@gmail.com</t>
  </si>
  <si>
    <t>oliver.gupta70@yahoo.com</t>
  </si>
  <si>
    <t>lucas.verma5@hotmail.com</t>
  </si>
  <si>
    <t>siddharth.khan52@example.com</t>
  </si>
  <si>
    <t>ananya.khan49@outlook.com</t>
  </si>
  <si>
    <t>neha.khan64@outlook.com</t>
  </si>
  <si>
    <t>rohan.mehta18@hotmail.com</t>
  </si>
  <si>
    <t>gaurav.verma72@yahoo.com</t>
  </si>
  <si>
    <t>pooja.gupta8@example.com</t>
  </si>
  <si>
    <t>aditya.iyer81@yahoo.com</t>
  </si>
  <si>
    <t>reyansh.sharma27@gmail.com</t>
  </si>
  <si>
    <t>neha.joshi26@gmail.com</t>
  </si>
  <si>
    <t>pooja.patel23@gmail.com</t>
  </si>
  <si>
    <t>shruti.patel99@example.com</t>
  </si>
  <si>
    <t>aditya.nair5@outlook.com</t>
  </si>
  <si>
    <t>priya.sharma37@example.com</t>
  </si>
  <si>
    <t>pooja.singh53@gmail.com</t>
  </si>
  <si>
    <t>rohan.singh65@outlook.com</t>
  </si>
  <si>
    <t>aisha.gupta60@example.com</t>
  </si>
  <si>
    <t>reyansh.verma99@gmail.com</t>
  </si>
  <si>
    <t>divya.verma29@gmail.com</t>
  </si>
  <si>
    <t>shruti.sharma72@hotmail.com</t>
  </si>
  <si>
    <t>noah.gupta25@gmail.com</t>
  </si>
  <si>
    <t>divya.gupta9@yahoo.com</t>
  </si>
  <si>
    <t>ananya.joshi20@yahoo.com</t>
  </si>
  <si>
    <t>ananya.joshi11@gmail.com</t>
  </si>
  <si>
    <t>simran.singh5@outlook.com</t>
  </si>
  <si>
    <t>priya.patel35@outlook.com</t>
  </si>
  <si>
    <t>benjamin.joshi99@example.com</t>
  </si>
  <si>
    <t>pooja.joshi20@yahoo.com</t>
  </si>
  <si>
    <t>simran.nair94@gmail.com</t>
  </si>
  <si>
    <t>ritika.iyer79@example.com</t>
  </si>
  <si>
    <t>aarav.khan77@hotmail.com</t>
  </si>
  <si>
    <t>reyansh.patel28@example.com</t>
  </si>
  <si>
    <t>aarav.sharma75@example.com</t>
  </si>
  <si>
    <t>rohan.gupta28@outlook.com</t>
  </si>
  <si>
    <t>gaurav.nair89@hotmail.com</t>
  </si>
  <si>
    <t>priya.iyer64@yahoo.com</t>
  </si>
  <si>
    <t>divya.khan96@outlook.com</t>
  </si>
  <si>
    <t>henry.mehta4@yahoo.com</t>
  </si>
  <si>
    <t>ritika.nair91@example.com</t>
  </si>
  <si>
    <t>karan.patel53@outlook.com</t>
  </si>
  <si>
    <t>elijah.joshi92@outlook.com</t>
  </si>
  <si>
    <t>rohan.verma59@outlook.com</t>
  </si>
  <si>
    <t>noah.nair39@gmail.com</t>
  </si>
  <si>
    <t>pooja.joshi23@hotmail.com</t>
  </si>
  <si>
    <t>lucas.mehta16@gmail.com</t>
  </si>
  <si>
    <t>alexander.gupta52@gmail.com</t>
  </si>
  <si>
    <t>noah.singh23@example.com</t>
  </si>
  <si>
    <t>ritika.joshi58@gmail.com</t>
  </si>
  <si>
    <t>pooja.singh44@hotmail.com</t>
  </si>
  <si>
    <t>ananya.verma77@example.com</t>
  </si>
  <si>
    <t>aisha.iyer61@outlook.com</t>
  </si>
  <si>
    <t>siddharth.mehta68@yahoo.com</t>
  </si>
  <si>
    <t>simran.sharma75@yahoo.com</t>
  </si>
  <si>
    <t>arjun.verma25@example.com</t>
  </si>
  <si>
    <t>neha.nair35@yahoo.com</t>
  </si>
  <si>
    <t>william.iyer43@hotmail.com</t>
  </si>
  <si>
    <t>alexander.mehta55@hotmail.com</t>
  </si>
  <si>
    <t>pooja.mehta17@example.com</t>
  </si>
  <si>
    <t>ananya.joshi27@outlook.com</t>
  </si>
  <si>
    <t>liam.verma53@yahoo.com</t>
  </si>
  <si>
    <t>william.verma88@gmail.com</t>
  </si>
  <si>
    <t>ananya.gupta88@hotmail.com</t>
  </si>
  <si>
    <t>priya.singh73@outlook.com</t>
  </si>
  <si>
    <t>ritika.khan92@outlook.com</t>
  </si>
  <si>
    <t>lucas.joshi92@outlook.com</t>
  </si>
  <si>
    <t>priya.gupta54@outlook.com</t>
  </si>
  <si>
    <t>pooja.nair72@yahoo.com</t>
  </si>
  <si>
    <t>neha.verma93@gmail.com</t>
  </si>
  <si>
    <t>oliver.singh33@example.com</t>
  </si>
  <si>
    <t>henry.joshi47@outlook.com</t>
  </si>
  <si>
    <t>divya.nair84@outlook.com</t>
  </si>
  <si>
    <t>gaurav.nair87@example.com</t>
  </si>
  <si>
    <t>sana.khan32@yahoo.com</t>
  </si>
  <si>
    <t>priya.nair21@yahoo.com</t>
  </si>
  <si>
    <t>elijah.singh52@hotmail.com</t>
  </si>
  <si>
    <t>simran.sharma97@hotmail.com</t>
  </si>
  <si>
    <t>priya.nair81@hotmail.com</t>
  </si>
  <si>
    <t>vivaan.iyer66@yahoo.com</t>
  </si>
  <si>
    <t>vivaan.joshi37@outlook.com</t>
  </si>
  <si>
    <t>oliver.khan87@outlook.com</t>
  </si>
  <si>
    <t>neha.joshi62@hotmail.com</t>
  </si>
  <si>
    <t>sana.sharma24@example.com</t>
  </si>
  <si>
    <t>aisha.singh45@yahoo.com</t>
  </si>
  <si>
    <t>priya.joshi97@outlook.com</t>
  </si>
  <si>
    <t>liam.gupta83@yahoo.com</t>
  </si>
  <si>
    <t>liam.nair26@example.com</t>
  </si>
  <si>
    <t>siddharth.mehta93@example.com</t>
  </si>
  <si>
    <t>karan.gupta20@hotmail.com</t>
  </si>
  <si>
    <t>rohan.joshi87@yahoo.com</t>
  </si>
  <si>
    <t>simran.sharma1@hotmail.com</t>
  </si>
  <si>
    <t>vivaan.patel96@example.com</t>
  </si>
  <si>
    <t>arjun.nair66@yahoo.com</t>
  </si>
  <si>
    <t>sana.khan83@example.com</t>
  </si>
  <si>
    <t>henry.nair91@outlook.com</t>
  </si>
  <si>
    <t>aarav.mehta38@outlook.com</t>
  </si>
  <si>
    <t>ananya.khan63@hotmail.com</t>
  </si>
  <si>
    <t>aarav.khan27@yahoo.com</t>
  </si>
  <si>
    <t>pooja.iyer27@outlook.com</t>
  </si>
  <si>
    <t>james.iyer78@example.com</t>
  </si>
  <si>
    <t>priya.patel22@gmail.com</t>
  </si>
  <si>
    <t>pooja.verma88@gmail.com</t>
  </si>
  <si>
    <t>divya.mehta82@gmail.com</t>
  </si>
  <si>
    <t>gaurav.iyer74@hotmail.com</t>
  </si>
  <si>
    <t>ananya.sharma30@hotmail.com</t>
  </si>
  <si>
    <t>arjun.khan46@hotmail.com</t>
  </si>
  <si>
    <t>elijah.patel77@hotmail.com</t>
  </si>
  <si>
    <t>henry.khan42@outlook.com</t>
  </si>
  <si>
    <t>william.sharma66@example.com</t>
  </si>
  <si>
    <t>reyansh.joshi27@example.com</t>
  </si>
  <si>
    <t>oliver.joshi27@yahoo.com</t>
  </si>
  <si>
    <t>shruti.verma55@example.com</t>
  </si>
  <si>
    <t>benjamin.mehta51@gmail.com</t>
  </si>
  <si>
    <t>james.nair74@yahoo.com</t>
  </si>
  <si>
    <t>ananya.joshi56@gmail.com</t>
  </si>
  <si>
    <t>elijah.singh99@outlook.com</t>
  </si>
  <si>
    <t>ritika.singh54@example.com</t>
  </si>
  <si>
    <t>ritika.nair57@hotmail.com</t>
  </si>
  <si>
    <t>liam.mehta56@outlook.com</t>
  </si>
  <si>
    <t>simran.joshi12@hotmail.com</t>
  </si>
  <si>
    <t>pooja.sharma78@example.com</t>
  </si>
  <si>
    <t>liam.sharma20@yahoo.com</t>
  </si>
  <si>
    <t>sana.singh29@outlook.com</t>
  </si>
  <si>
    <t>sana.verma24@gmail.com</t>
  </si>
  <si>
    <t>aarav.nair70@gmail.com</t>
  </si>
  <si>
    <t>aarav.singh76@gmail.com</t>
  </si>
  <si>
    <t>henry.verma85@gmail.com</t>
  </si>
  <si>
    <t>rohan.iyer88@example.com</t>
  </si>
  <si>
    <t>aditya.iyer82@gmail.com</t>
  </si>
  <si>
    <t>siddharth.khan17@hotmail.com</t>
  </si>
  <si>
    <t>aarav.sharma22@hotmail.com</t>
  </si>
  <si>
    <t>priya.verma24@outlook.com</t>
  </si>
  <si>
    <t>divya.sharma50@gmail.com</t>
  </si>
  <si>
    <t>pooja.sharma46@outlook.com</t>
  </si>
  <si>
    <t>shruti.mehta69@example.com</t>
  </si>
  <si>
    <t>lucas.sharma83@outlook.com</t>
  </si>
  <si>
    <t>divya.khan3@example.com</t>
  </si>
  <si>
    <t>reyansh.verma98@yahoo.com</t>
  </si>
  <si>
    <t>neha.sharma86@gmail.com</t>
  </si>
  <si>
    <t>benjamin.nair45@example.com</t>
  </si>
  <si>
    <t>aditya.gupta54@yahoo.com</t>
  </si>
  <si>
    <t>pooja.verma55@outlook.com</t>
  </si>
  <si>
    <t>aditya.nair11@gmail.com</t>
  </si>
  <si>
    <t>ritika.patel8@yahoo.com</t>
  </si>
  <si>
    <t>reyansh.patel15@outlook.com</t>
  </si>
  <si>
    <t>alexander.verma3@hotmail.com</t>
  </si>
  <si>
    <t>neha.khan4@outlook.com</t>
  </si>
  <si>
    <t>elijah.sharma67@gmail.com</t>
  </si>
  <si>
    <t>karan.mehta6@hotmail.com</t>
  </si>
  <si>
    <t>divya.patel35@example.com</t>
  </si>
  <si>
    <t>oliver.sharma76@outlook.com</t>
  </si>
  <si>
    <t>neha.khan51@example.com</t>
  </si>
  <si>
    <t>pooja.iyer84@gmail.com</t>
  </si>
  <si>
    <t>alexander.sharma38@hotmail.com</t>
  </si>
  <si>
    <t>divya.singh59@example.com</t>
  </si>
  <si>
    <t>oliver.singh64@yahoo.com</t>
  </si>
  <si>
    <t>divya.khan75@gmail.com</t>
  </si>
  <si>
    <t>oliver.mehta18@hotmail.com</t>
  </si>
  <si>
    <t>neha.mehta71@hotmail.com</t>
  </si>
  <si>
    <t>simran.gupta27@gmail.com</t>
  </si>
  <si>
    <t>pooja.gupta44@example.com</t>
  </si>
  <si>
    <t>shruti.singh77@example.com</t>
  </si>
  <si>
    <t>priya.khan99@yahoo.com</t>
  </si>
  <si>
    <t>arjun.nair35@outlook.com</t>
  </si>
  <si>
    <t>neha.gupta32@yahoo.com</t>
  </si>
  <si>
    <t>shruti.singh34@yahoo.com</t>
  </si>
  <si>
    <t>aarav.nair63@hotmail.com</t>
  </si>
  <si>
    <t>simran.iyer98@hotmail.com</t>
  </si>
  <si>
    <t>benjamin.gupta30@gmail.com</t>
  </si>
  <si>
    <t>vivaan.iyer50@yahoo.com</t>
  </si>
  <si>
    <t>alexander.mehta28@outlook.com</t>
  </si>
  <si>
    <t>pooja.gupta54@yahoo.com</t>
  </si>
  <si>
    <t>sana.khan40@outlook.com</t>
  </si>
  <si>
    <t>aditya.joshi68@hotmail.com</t>
  </si>
  <si>
    <t>noah.patel71@hotmail.com</t>
  </si>
  <si>
    <t>william.mehta49@example.com</t>
  </si>
  <si>
    <t>benjamin.joshi11@yahoo.com</t>
  </si>
  <si>
    <t>ritika.mehta72@outlook.com</t>
  </si>
  <si>
    <t>arjun.sharma62@outlook.com</t>
  </si>
  <si>
    <t>ananya.sharma50@gmail.com</t>
  </si>
  <si>
    <t>aisha.singh46@example.com</t>
  </si>
  <si>
    <t>simran.verma16@outlook.com</t>
  </si>
  <si>
    <t>elijah.iyer60@gmail.com</t>
  </si>
  <si>
    <t>ritika.singh39@hotmail.com</t>
  </si>
  <si>
    <t>divya.mehta81@gmail.com</t>
  </si>
  <si>
    <t>reyansh.verma47@hotmail.com</t>
  </si>
  <si>
    <t>rohan.nair17@example.com</t>
  </si>
  <si>
    <t>ishaan.patel78@outlook.com</t>
  </si>
  <si>
    <t>arjun.singh94@hotmail.com</t>
  </si>
  <si>
    <t>simran.singh1@example.com</t>
  </si>
  <si>
    <t>pooja.mehta2@gmail.com</t>
  </si>
  <si>
    <t>divya.gupta16@yahoo.com</t>
  </si>
  <si>
    <t>divya.mehta69@yahoo.com</t>
  </si>
  <si>
    <t>siddharth.iyer27@yahoo.com</t>
  </si>
  <si>
    <t>aisha.iyer22@gmail.com</t>
  </si>
  <si>
    <t>divya.khan30@gmail.com</t>
  </si>
  <si>
    <t>divya.singh75@hotmail.com</t>
  </si>
  <si>
    <t>karan.gupta16@gmail.com</t>
  </si>
  <si>
    <t>aarav.singh72@yahoo.com</t>
  </si>
  <si>
    <t>elijah.khan75@outlook.com</t>
  </si>
  <si>
    <t>rohan.joshi74@yahoo.com</t>
  </si>
  <si>
    <t>henry.joshi23@example.com</t>
  </si>
  <si>
    <t>henry.patel47@hotmail.com</t>
  </si>
  <si>
    <t>alexander.verma75@outlook.com</t>
  </si>
  <si>
    <t>sana.mehta63@yahoo.com</t>
  </si>
  <si>
    <t>noah.sharma5@gmail.com</t>
  </si>
  <si>
    <t>aarav.singh37@yahoo.com</t>
  </si>
  <si>
    <t>aditya.singh75@hotmail.com</t>
  </si>
  <si>
    <t>oliver.singh59@hotmail.com</t>
  </si>
  <si>
    <t>priya.mehta59@hotmail.com</t>
  </si>
  <si>
    <t>vivaan.iyer87@example.com</t>
  </si>
  <si>
    <t>rohan.gupta8@outlook.com</t>
  </si>
  <si>
    <t>simran.verma86@outlook.com</t>
  </si>
  <si>
    <t>arjun.khan40@hotmail.com</t>
  </si>
  <si>
    <t>elijah.sharma76@example.com</t>
  </si>
  <si>
    <t>divya.mehta97@gmail.com</t>
  </si>
  <si>
    <t>noah.nair49@example.com</t>
  </si>
  <si>
    <t>aisha.singh35@example.com</t>
  </si>
  <si>
    <t>william.mehta98@outlook.com</t>
  </si>
  <si>
    <t>oliver.mehta80@outlook.com</t>
  </si>
  <si>
    <t>rohan.singh57@outlook.com</t>
  </si>
  <si>
    <t>noah.patel57@example.com</t>
  </si>
  <si>
    <t>divya.iyer51@outlook.com</t>
  </si>
  <si>
    <t>noah.singh71@gmail.com</t>
  </si>
  <si>
    <t>lucas.khan52@hotmail.com</t>
  </si>
  <si>
    <t>benjamin.sharma90@outlook.com</t>
  </si>
  <si>
    <t>karan.verma46@gmail.com</t>
  </si>
  <si>
    <t>pooja.verma6@yahoo.com</t>
  </si>
  <si>
    <t>ritika.patel38@example.com</t>
  </si>
  <si>
    <t>aisha.mehta96@gmail.com</t>
  </si>
  <si>
    <t>shruti.joshi34@gmail.com</t>
  </si>
  <si>
    <t>ananya.sharma12@gmail.com</t>
  </si>
  <si>
    <t>shruti.khan15@example.com</t>
  </si>
  <si>
    <t>simran.patel67@yahoo.com</t>
  </si>
  <si>
    <t>liam.joshi84@outlook.com</t>
  </si>
  <si>
    <t>sana.mehta5@yahoo.com</t>
  </si>
  <si>
    <t>pooja.mehta97@example.com</t>
  </si>
  <si>
    <t>ananya.gupta77@yahoo.com</t>
  </si>
  <si>
    <t>william.joshi33@outlook.com</t>
  </si>
  <si>
    <t>ritika.patel64@example.com</t>
  </si>
  <si>
    <t>priya.joshi75@gmail.com</t>
  </si>
  <si>
    <t>aisha.singh6@example.com</t>
  </si>
  <si>
    <t>benjamin.singh66@yahoo.com</t>
  </si>
  <si>
    <t>simran.patel56@outlook.com</t>
  </si>
  <si>
    <t>ishaan.nair8@hotmail.com</t>
  </si>
  <si>
    <t>ritika.mehta33@yahoo.com</t>
  </si>
  <si>
    <t>alexander.nair35@outlook.com</t>
  </si>
  <si>
    <t>ishaan.sharma60@outlook.com</t>
  </si>
  <si>
    <t>priya.verma96@outlook.com</t>
  </si>
  <si>
    <t>aisha.mehta26@yahoo.com</t>
  </si>
  <si>
    <t>pooja.singh1@yahoo.com</t>
  </si>
  <si>
    <t>priya.gupta88@example.com</t>
  </si>
  <si>
    <t>shruti.khan28@gmail.com</t>
  </si>
  <si>
    <t>lucas.gupta90@gmail.com</t>
  </si>
  <si>
    <t>priya.iyer31@gmail.com</t>
  </si>
  <si>
    <t>benjamin.khan57@example.com</t>
  </si>
  <si>
    <t>liam.khan31@hotmail.com</t>
  </si>
  <si>
    <t>siddharth.nair18@example.com</t>
  </si>
  <si>
    <t>noah.khan83@example.com</t>
  </si>
  <si>
    <t>vivaan.nair16@hotmail.com</t>
  </si>
  <si>
    <t>oliver.verma87@outlook.com</t>
  </si>
  <si>
    <t>pooja.sharma66@hotmail.com</t>
  </si>
  <si>
    <t>liam.sharma57@example.com</t>
  </si>
  <si>
    <t>ritika.khan43@hotmail.com</t>
  </si>
  <si>
    <t>simran.joshi43@outlook.com</t>
  </si>
  <si>
    <t>sana.khan37@gmail.com</t>
  </si>
  <si>
    <t>ritika.joshi77@example.com</t>
  </si>
  <si>
    <t>liam.khan77@outlook.com</t>
  </si>
  <si>
    <t>ananya.mehta55@yahoo.com</t>
  </si>
  <si>
    <t>reyansh.khan47@hotmail.com</t>
  </si>
  <si>
    <t>alexander.sharma49@outlook.com</t>
  </si>
  <si>
    <t>noah.patel9@outlook.com</t>
  </si>
  <si>
    <t>william.sharma8@outlook.com</t>
  </si>
  <si>
    <t>noah.iyer44@outlook.com</t>
  </si>
  <si>
    <t>ritika.patel48@example.com</t>
  </si>
  <si>
    <t>shruti.khan98@gmail.com</t>
  </si>
  <si>
    <t>priya.singh26@gmail.com</t>
  </si>
  <si>
    <t>sana.verma81@hotmail.com</t>
  </si>
  <si>
    <t>vivaan.iyer88@yahoo.com</t>
  </si>
  <si>
    <t>divya.nair70@outlook.com</t>
  </si>
  <si>
    <t>divya.patel77@gmail.com</t>
  </si>
  <si>
    <t>gaurav.sharma5@hotmail.com</t>
  </si>
  <si>
    <t>william.iyer6@yahoo.com</t>
  </si>
  <si>
    <t>ishaan.verma72@hotmail.com</t>
  </si>
  <si>
    <t>elijah.joshi56@example.com</t>
  </si>
  <si>
    <t>benjamin.verma24@outlook.com</t>
  </si>
  <si>
    <t>elijah.singh36@gmail.com</t>
  </si>
  <si>
    <t>elijah.mehta31@example.com</t>
  </si>
  <si>
    <t>gaurav.singh79@hotmail.com</t>
  </si>
  <si>
    <t>karan.mehta79@yahoo.com</t>
  </si>
  <si>
    <t>elijah.mehta40@yahoo.com</t>
  </si>
  <si>
    <t>henry.sharma72@hotmail.com</t>
  </si>
  <si>
    <t>benjamin.verma16@hotmail.com</t>
  </si>
  <si>
    <t>sana.singh50@hotmail.com</t>
  </si>
  <si>
    <t>william.nair35@gmail.com</t>
  </si>
  <si>
    <t>divya.khan64@hotmail.com</t>
  </si>
  <si>
    <t>liam.joshi85@example.com</t>
  </si>
  <si>
    <t>priya.khan44@gmail.com</t>
  </si>
  <si>
    <t>neha.singh78@outlook.com</t>
  </si>
  <si>
    <t>arjun.singh56@outlook.com</t>
  </si>
  <si>
    <t>aditya.nair56@example.com</t>
  </si>
  <si>
    <t>aditya.iyer12@hotmail.com</t>
  </si>
  <si>
    <t>ritika.patel41@hotmail.com</t>
  </si>
  <si>
    <t>sana.iyer65@example.com</t>
  </si>
  <si>
    <t>shruti.sharma36@yahoo.com</t>
  </si>
  <si>
    <t>divya.iyer10@example.com</t>
  </si>
  <si>
    <t>karan.khan59@outlook.com</t>
  </si>
  <si>
    <t>reyansh.joshi3@yahoo.com</t>
  </si>
  <si>
    <t>liam.nair25@gmail.com</t>
  </si>
  <si>
    <t>ananya.patel6@example.com</t>
  </si>
  <si>
    <t>simran.singh44@yahoo.com</t>
  </si>
  <si>
    <t>sana.sharma37@yahoo.com</t>
  </si>
  <si>
    <t>sana.mehta55@example.com</t>
  </si>
  <si>
    <t>elijah.khan44@hotmail.com</t>
  </si>
  <si>
    <t>reyansh.mehta59@yahoo.com</t>
  </si>
  <si>
    <t>sana.joshi93@outlook.com</t>
  </si>
  <si>
    <t>aisha.nair63@gmail.com</t>
  </si>
  <si>
    <t>sana.verma90@hotmail.com</t>
  </si>
  <si>
    <t>ritika.khan25@hotmail.com</t>
  </si>
  <si>
    <t>benjamin.singh94@hotmail.com</t>
  </si>
  <si>
    <t>simran.iyer38@yahoo.com</t>
  </si>
  <si>
    <t>karan.mehta96@hotmail.com</t>
  </si>
  <si>
    <t>vivaan.singh9@gmail.com</t>
  </si>
  <si>
    <t>ritika.singh51@outlook.com</t>
  </si>
  <si>
    <t>liam.joshi91@outlook.com</t>
  </si>
  <si>
    <t>henry.nair37@gmail.com</t>
  </si>
  <si>
    <t>sana.verma60@gmail.com</t>
  </si>
  <si>
    <t>alexander.gupta71@yahoo.com</t>
  </si>
  <si>
    <t>divya.khan49@hotmail.com</t>
  </si>
  <si>
    <t>alexander.verma64@yahoo.com</t>
  </si>
  <si>
    <t>pooja.khan76@gmail.com</t>
  </si>
  <si>
    <t>henry.patel49@outlook.com</t>
  </si>
  <si>
    <t>neha.sharma50@outlook.com</t>
  </si>
  <si>
    <t>pooja.joshi3@example.com</t>
  </si>
  <si>
    <t>aarav.joshi69@outlook.com</t>
  </si>
  <si>
    <t>sana.mehta4@yahoo.com</t>
  </si>
  <si>
    <t>aarav.verma4@hotmail.com</t>
  </si>
  <si>
    <t>karan.iyer1@hotmail.com</t>
  </si>
  <si>
    <t>oliver.gupta68@gmail.com</t>
  </si>
  <si>
    <t>vivaan.verma36@hotmail.com</t>
  </si>
  <si>
    <t>liam.mehta83@hotmail.com</t>
  </si>
  <si>
    <t>liam.iyer47@example.com</t>
  </si>
  <si>
    <t>arjun.patel48@example.com</t>
  </si>
  <si>
    <t>shruti.gupta46@gmail.com</t>
  </si>
  <si>
    <t>divya.mehta82@example.com</t>
  </si>
  <si>
    <t>william.singh66@example.com</t>
  </si>
  <si>
    <t>shruti.iyer86@outlook.com</t>
  </si>
  <si>
    <t>alexander.iyer76@example.com</t>
  </si>
  <si>
    <t>aditya.iyer26@gmail.com</t>
  </si>
  <si>
    <t>oliver.joshi15@hotmail.com</t>
  </si>
  <si>
    <t>rohan.sharma28@gmail.com</t>
  </si>
  <si>
    <t>oliver.nair17@hotmail.com</t>
  </si>
  <si>
    <t>sana.mehta89@yahoo.com</t>
  </si>
  <si>
    <t>arjun.verma24@hotmail.com</t>
  </si>
  <si>
    <t>rohan.iyer22@yahoo.com</t>
  </si>
  <si>
    <t>elijah.khan2@yahoo.com</t>
  </si>
  <si>
    <t>liam.joshi89@example.com</t>
  </si>
  <si>
    <t>reyansh.singh28@outlook.com</t>
  </si>
  <si>
    <t>ananya.verma89@outlook.com</t>
  </si>
  <si>
    <t>alexander.singh66@gmail.com</t>
  </si>
  <si>
    <t>noah.mehta24@hotmail.com</t>
  </si>
  <si>
    <t>simran.sharma67@hotmail.com</t>
  </si>
  <si>
    <t>henry.singh35@gmail.com</t>
  </si>
  <si>
    <t>henry.joshi34@hotmail.com</t>
  </si>
  <si>
    <t>priya.verma68@gmail.com</t>
  </si>
  <si>
    <t>reyansh.iyer32@outlook.com</t>
  </si>
  <si>
    <t>aditya.verma12@outlook.com</t>
  </si>
  <si>
    <t>vivaan.verma53@outlook.com</t>
  </si>
  <si>
    <t>pooja.singh54@yahoo.com</t>
  </si>
  <si>
    <t>oliver.iyer91@yahoo.com</t>
  </si>
  <si>
    <t>simran.patel86@outlook.com</t>
  </si>
  <si>
    <t>pooja.singh61@gmail.com</t>
  </si>
  <si>
    <t>ananya.sharma57@hotmail.com</t>
  </si>
  <si>
    <t>karan.verma95@yahoo.com</t>
  </si>
  <si>
    <t>oliver.verma50@hotmail.com</t>
  </si>
  <si>
    <t>divya.khan35@gmail.com</t>
  </si>
  <si>
    <t>priya.gupta67@outlook.com</t>
  </si>
  <si>
    <t>divya.verma57@hotmail.com</t>
  </si>
  <si>
    <t>liam.gupta95@outlook.com</t>
  </si>
  <si>
    <t>arjun.singh21@hotmail.com</t>
  </si>
  <si>
    <t>aarav.verma28@hotmail.com</t>
  </si>
  <si>
    <t>aisha.khan20@gmail.com</t>
  </si>
  <si>
    <t>vivaan.gupta7@hotmail.com</t>
  </si>
  <si>
    <t>divya.nair67@example.com</t>
  </si>
  <si>
    <t>simran.gupta77@gmail.com</t>
  </si>
  <si>
    <t>aisha.singh35@hotmail.com</t>
  </si>
  <si>
    <t>priya.verma13@yahoo.com</t>
  </si>
  <si>
    <t>lucas.gupta31@outlook.com</t>
  </si>
  <si>
    <t>karan.mehta23@example.com</t>
  </si>
  <si>
    <t>karan.gupta31@hotmail.com</t>
  </si>
  <si>
    <t>reyansh.iyer94@yahoo.com</t>
  </si>
  <si>
    <t>simran.singh7@hotmail.com</t>
  </si>
  <si>
    <t>liam.gupta38@gmail.com</t>
  </si>
  <si>
    <t>aditya.sharma89@hotmail.com</t>
  </si>
  <si>
    <t>pooja.singh24@example.com</t>
  </si>
  <si>
    <t>divya.iyer86@yahoo.com</t>
  </si>
  <si>
    <t>ritika.iyer71@outlook.com</t>
  </si>
  <si>
    <t>sana.nair74@yahoo.com</t>
  </si>
  <si>
    <t>simran.nair84@example.com</t>
  </si>
  <si>
    <t>rohan.khan59@yahoo.com</t>
  </si>
  <si>
    <t>aisha.iyer76@yahoo.com</t>
  </si>
  <si>
    <t>priya.khan1@example.com</t>
  </si>
  <si>
    <t>divya.singh73@outlook.com</t>
  </si>
  <si>
    <t>elijah.mehta17@gmail.com</t>
  </si>
  <si>
    <t>karan.nair36@outlook.com</t>
  </si>
  <si>
    <t>siddharth.patel91@gmail.com</t>
  </si>
  <si>
    <t>ritika.khan15@gmail.com</t>
  </si>
  <si>
    <t>rohan.mehta30@example.com</t>
  </si>
  <si>
    <t>william.patel64@yahoo.com</t>
  </si>
  <si>
    <t>divya.joshi6@yahoo.com</t>
  </si>
  <si>
    <t>aditya.joshi9@hotmail.com</t>
  </si>
  <si>
    <t>liam.gupta16@gmail.com</t>
  </si>
  <si>
    <t>william.patel10@gmail.com</t>
  </si>
  <si>
    <t>divya.mehta21@yahoo.com</t>
  </si>
  <si>
    <t>priya.patel69@gmail.com</t>
  </si>
  <si>
    <t>pooja.verma87@gmail.com</t>
  </si>
  <si>
    <t>karan.sharma70@gmail.com</t>
  </si>
  <si>
    <t>lucas.joshi69@example.com</t>
  </si>
  <si>
    <t>simran.sharma27@yahoo.com</t>
  </si>
  <si>
    <t>siddharth.patel40@outlook.com</t>
  </si>
  <si>
    <t>priya.singh51@gmail.com</t>
  </si>
  <si>
    <t>noah.khan96@example.com</t>
  </si>
  <si>
    <t>sana.gupta87@yahoo.com</t>
  </si>
  <si>
    <t>simran.mehta10@hotmail.com</t>
  </si>
  <si>
    <t>simran.mehta61@example.com</t>
  </si>
  <si>
    <t>aditya.gupta28@hotmail.com</t>
  </si>
  <si>
    <t>sana.sharma36@hotmail.com</t>
  </si>
  <si>
    <t>pooja.khan95@hotmail.com</t>
  </si>
  <si>
    <t>rohan.singh15@hotmail.com</t>
  </si>
  <si>
    <t>priya.patel81@gmail.com</t>
  </si>
  <si>
    <t>henry.verma99@hotmail.com</t>
  </si>
  <si>
    <t>noah.singh40@hotmail.com</t>
  </si>
  <si>
    <t>neha.sharma53@yahoo.com</t>
  </si>
  <si>
    <t>simran.verma99@outlook.com</t>
  </si>
  <si>
    <t>pooja.khan93@outlook.com</t>
  </si>
  <si>
    <t>simran.nair91@hotmail.com</t>
  </si>
  <si>
    <t>divya.iyer22@yahoo.com</t>
  </si>
  <si>
    <t>priya.singh3@hotmail.com</t>
  </si>
  <si>
    <t>james.khan86@example.com</t>
  </si>
  <si>
    <t>divya.mehta53@example.com</t>
  </si>
  <si>
    <t>sana.singh39@example.com</t>
  </si>
  <si>
    <t>ananya.nair60@example.com</t>
  </si>
  <si>
    <t>vivaan.singh85@outlook.com</t>
  </si>
  <si>
    <t>aisha.nair73@hotmail.com</t>
  </si>
  <si>
    <t>priya.singh30@hotmail.com</t>
  </si>
  <si>
    <t>henry.iyer19@outlook.com</t>
  </si>
  <si>
    <t>benjamin.verma14@yahoo.com</t>
  </si>
  <si>
    <t>karan.khan89@example.com</t>
  </si>
  <si>
    <t>alexander.verma61@gmail.com</t>
  </si>
  <si>
    <t>reyansh.khan49@example.com</t>
  </si>
  <si>
    <t>reyansh.patel16@gmail.com</t>
  </si>
  <si>
    <t>aarav.gupta4@example.com</t>
  </si>
  <si>
    <t>ritika.sharma5@outlook.com</t>
  </si>
  <si>
    <t>elijah.joshi84@yahoo.com</t>
  </si>
  <si>
    <t>elijah.verma16@example.com</t>
  </si>
  <si>
    <t>aditya.nair36@outlook.com</t>
  </si>
  <si>
    <t>reyansh.iyer48@gmail.com</t>
  </si>
  <si>
    <t>neha.sharma24@yahoo.com</t>
  </si>
  <si>
    <t>noah.nair8@yahoo.com</t>
  </si>
  <si>
    <t>william.khan6@example.com</t>
  </si>
  <si>
    <t>ritika.khan34@outlook.com</t>
  </si>
  <si>
    <t>simran.joshi62@outlook.com</t>
  </si>
  <si>
    <t>elijah.singh7@gmail.com</t>
  </si>
  <si>
    <t>reyansh.mehta39@hotmail.com</t>
  </si>
  <si>
    <t>james.iyer30@hotmail.com</t>
  </si>
  <si>
    <t>aarav.singh4@example.com</t>
  </si>
  <si>
    <t>priya.verma97@example.com</t>
  </si>
  <si>
    <t>aarav.joshi73@yahoo.com</t>
  </si>
  <si>
    <t>siddharth.verma88@example.com</t>
  </si>
  <si>
    <t>ritika.iyer39@yahoo.com</t>
  </si>
  <si>
    <t>pooja.gupta88@yahoo.com</t>
  </si>
  <si>
    <t>karan.khan40@hotmail.com</t>
  </si>
  <si>
    <t>sana.joshi93@yahoo.com</t>
  </si>
  <si>
    <t>sana.joshi94@gmail.com</t>
  </si>
  <si>
    <t>sana.patel77@yahoo.com</t>
  </si>
  <si>
    <t>karan.sharma99@outlook.com</t>
  </si>
  <si>
    <t>ishaan.nair49@yahoo.com</t>
  </si>
  <si>
    <t>sana.nair92@hotmail.com</t>
  </si>
  <si>
    <t>shruti.khan22@hotmail.com</t>
  </si>
  <si>
    <t>sana.patel80@yahoo.com</t>
  </si>
  <si>
    <t>reyansh.joshi67@yahoo.com</t>
  </si>
  <si>
    <t>reyansh.mehta1@example.com</t>
  </si>
  <si>
    <t>divya.mehta73@example.com</t>
  </si>
  <si>
    <t>simran.patel15@gmail.com</t>
  </si>
  <si>
    <t>lucas.joshi29@gmail.com</t>
  </si>
  <si>
    <t>rohan.joshi58@yahoo.com</t>
  </si>
  <si>
    <t>divya.khan7@yahoo.com</t>
  </si>
  <si>
    <t>priya.nair20@example.com</t>
  </si>
  <si>
    <t>aarav.nair84@example.com</t>
  </si>
  <si>
    <t>neha.khan24@yahoo.com</t>
  </si>
  <si>
    <t>liam.iyer80@hotmail.com</t>
  </si>
  <si>
    <t>alexander.sharma26@yahoo.com</t>
  </si>
  <si>
    <t>aditya.joshi44@gmail.com</t>
  </si>
  <si>
    <t>lucas.mehta64@outlook.com</t>
  </si>
  <si>
    <t>aarav.iyer44@hotmail.com</t>
  </si>
  <si>
    <t>simran.gupta32@example.com</t>
  </si>
  <si>
    <t>benjamin.mehta44@gmail.com</t>
  </si>
  <si>
    <t>rohan.nair35@outlook.com</t>
  </si>
  <si>
    <t>oliver.singh85@yahoo.com</t>
  </si>
  <si>
    <t>oliver.joshi33@gmail.com</t>
  </si>
  <si>
    <t>pooja.nair41@example.com</t>
  </si>
  <si>
    <t>aisha.joshi83@yahoo.com</t>
  </si>
  <si>
    <t>henry.joshi69@hotmail.com</t>
  </si>
  <si>
    <t>ishaan.singh74@yahoo.com</t>
  </si>
  <si>
    <t>shruti.nair19@outlook.com</t>
  </si>
  <si>
    <t>william.iyer26@example.com</t>
  </si>
  <si>
    <t>aisha.iyer18@gmail.com</t>
  </si>
  <si>
    <t>ananya.gupta47@example.com</t>
  </si>
  <si>
    <t>aarav.nair44@example.com</t>
  </si>
  <si>
    <t>gaurav.gupta44@example.com</t>
  </si>
  <si>
    <t>priya.khan63@hotmail.com</t>
  </si>
  <si>
    <t>karan.verma32@example.com</t>
  </si>
  <si>
    <t>lucas.singh79@hotmail.com</t>
  </si>
  <si>
    <t>aisha.sharma4@example.com</t>
  </si>
  <si>
    <t>priya.sharma36@hotmail.com</t>
  </si>
  <si>
    <t>ananya.mehta31@hotmail.com</t>
  </si>
  <si>
    <t>simran.singh1@outlook.com</t>
  </si>
  <si>
    <t>lucas.joshi40@gmail.com</t>
  </si>
  <si>
    <t>neha.verma93@hotmail.com</t>
  </si>
  <si>
    <t>shruti.gupta11@yahoo.com</t>
  </si>
  <si>
    <t>sana.verma41@hotmail.com</t>
  </si>
  <si>
    <t>reyansh.sharma38@outlook.com</t>
  </si>
  <si>
    <t>noah.singh15@example.com</t>
  </si>
  <si>
    <t>henry.patel74@gmail.com</t>
  </si>
  <si>
    <t>oliver.joshi86@example.com</t>
  </si>
  <si>
    <t>karan.joshi51@gmail.com</t>
  </si>
  <si>
    <t>pooja.gupta76@example.com</t>
  </si>
  <si>
    <t>gaurav.iyer80@hotmail.com</t>
  </si>
  <si>
    <t>reyansh.joshi47@outlook.com</t>
  </si>
  <si>
    <t>lucas.khan89@gmail.com</t>
  </si>
  <si>
    <t>ritika.nair56@outlook.com</t>
  </si>
  <si>
    <t>elijah.patel75@gmail.com</t>
  </si>
  <si>
    <t>lucas.patel73@yahoo.com</t>
  </si>
  <si>
    <t>neha.sharma52@outlook.com</t>
  </si>
  <si>
    <t>reyansh.singh46@yahoo.com</t>
  </si>
  <si>
    <t>alexander.joshi33@outlook.com</t>
  </si>
  <si>
    <t>divya.patel84@hotmail.com</t>
  </si>
  <si>
    <t>shruti.mehta32@yahoo.com</t>
  </si>
  <si>
    <t>karan.verma60@hotmail.com</t>
  </si>
  <si>
    <t>shruti.iyer96@hotmail.com</t>
  </si>
  <si>
    <t>william.mehta91@yahoo.com</t>
  </si>
  <si>
    <t>benjamin.khan15@example.com</t>
  </si>
  <si>
    <t>shruti.sharma12@gmail.com</t>
  </si>
  <si>
    <t>shruti.khan93@yahoo.com</t>
  </si>
  <si>
    <t>reyansh.verma47@gmail.com</t>
  </si>
  <si>
    <t>gaurav.singh54@yahoo.com</t>
  </si>
  <si>
    <t>rohan.iyer28@outlook.com</t>
  </si>
  <si>
    <t>reyansh.khan31@hotmail.com</t>
  </si>
  <si>
    <t>liam.iyer97@hotmail.com</t>
  </si>
  <si>
    <t>gaurav.nair39@yahoo.com</t>
  </si>
  <si>
    <t>alexander.patel95@yahoo.com</t>
  </si>
  <si>
    <t>simran.sharma18@outlook.com</t>
  </si>
  <si>
    <t>priya.joshi62@gmail.com</t>
  </si>
  <si>
    <t>ritika.gupta97@example.com</t>
  </si>
  <si>
    <t>oliver.verma57@yahoo.com</t>
  </si>
  <si>
    <t>arjun.singh60@gmail.com</t>
  </si>
  <si>
    <t>ritika.iyer28@hotmail.com</t>
  </si>
  <si>
    <t>reyansh.verma45@gmail.com</t>
  </si>
  <si>
    <t>vivaan.mehta21@example.com</t>
  </si>
  <si>
    <t>simran.patel28@hotmail.com</t>
  </si>
  <si>
    <t>ananya.gupta57@outlook.com</t>
  </si>
  <si>
    <t>neha.gupta11@gmail.com</t>
  </si>
  <si>
    <t>pooja.iyer12@gmail.com</t>
  </si>
  <si>
    <t>aisha.singh38@outlook.com</t>
  </si>
  <si>
    <t>aarav.sharma60@yahoo.com</t>
  </si>
  <si>
    <t>james.nair7@hotmail.com</t>
  </si>
  <si>
    <t>siddharth.patel70@outlook.com</t>
  </si>
  <si>
    <t>aisha.patel82@yahoo.com</t>
  </si>
  <si>
    <t>neha.mehta48@hotmail.com</t>
  </si>
  <si>
    <t>james.sharma31@outlook.com</t>
  </si>
  <si>
    <t>oliver.khan84@example.com</t>
  </si>
  <si>
    <t>ritika.khan16@example.com</t>
  </si>
  <si>
    <t>pooja.verma94@example.com</t>
  </si>
  <si>
    <t>shruti.mehta42@example.com</t>
  </si>
  <si>
    <t>sana.gupta73@example.com</t>
  </si>
  <si>
    <t>ishaan.gupta17@outlook.com</t>
  </si>
  <si>
    <t>ritika.joshi83@yahoo.com</t>
  </si>
  <si>
    <t>reyansh.mehta40@yahoo.com</t>
  </si>
  <si>
    <t>william.gupta23@hotmail.com</t>
  </si>
  <si>
    <t>reyansh.singh86@yahoo.com</t>
  </si>
  <si>
    <t>gaurav.iyer51@yahoo.com</t>
  </si>
  <si>
    <t>shruti.khan26@hotmail.com</t>
  </si>
  <si>
    <t>neha.joshi52@example.com</t>
  </si>
  <si>
    <t>gaurav.mehta56@example.com</t>
  </si>
  <si>
    <t>aarav.iyer82@outlook.com</t>
  </si>
  <si>
    <t>priya.nair42@outlook.com</t>
  </si>
  <si>
    <t>sana.mehta49@hotmail.com</t>
  </si>
  <si>
    <t>sana.joshi32@outlook.com</t>
  </si>
  <si>
    <t>simran.gupta25@yahoo.com</t>
  </si>
  <si>
    <t>arjun.singh77@example.com</t>
  </si>
  <si>
    <t>lucas.mehta97@hotmail.com</t>
  </si>
  <si>
    <t>pooja.mehta12@yahoo.com</t>
  </si>
  <si>
    <t>rohan.verma70@yahoo.com</t>
  </si>
  <si>
    <t>william.mehta75@gmail.com</t>
  </si>
  <si>
    <t>ritika.iyer71@gmail.com</t>
  </si>
  <si>
    <t>benjamin.khan24@gmail.com</t>
  </si>
  <si>
    <t>aditya.patel32@example.com</t>
  </si>
  <si>
    <t>ananya.gupta63@gmail.com</t>
  </si>
  <si>
    <t>vivaan.verma24@hotmail.com</t>
  </si>
  <si>
    <t>simran.khan52@hotmail.com</t>
  </si>
  <si>
    <t>henry.verma60@example.com</t>
  </si>
  <si>
    <t>rohan.singh28@hotmail.com</t>
  </si>
  <si>
    <t>william.singh56@hotmail.com</t>
  </si>
  <si>
    <t>simran.sharma18@example.com</t>
  </si>
  <si>
    <t>rohan.nair2@hotmail.com</t>
  </si>
  <si>
    <t>sana.patel22@gmail.com</t>
  </si>
  <si>
    <t>sana.singh90@gmail.com</t>
  </si>
  <si>
    <t>james.mehta21@outlook.com</t>
  </si>
  <si>
    <t>james.iyer45@outlook.com</t>
  </si>
  <si>
    <t>Branch_Name</t>
  </si>
  <si>
    <t>City</t>
  </si>
  <si>
    <t>Address</t>
  </si>
  <si>
    <t>Metro Inn</t>
  </si>
  <si>
    <t>Goa</t>
  </si>
  <si>
    <t>122, Main Street</t>
  </si>
  <si>
    <t>Grand Hotel</t>
  </si>
  <si>
    <t>IT</t>
  </si>
  <si>
    <t>235, MG Road</t>
  </si>
  <si>
    <t>City Lodge</t>
  </si>
  <si>
    <t>Toronto</t>
  </si>
  <si>
    <t>264, Marine Drive</t>
  </si>
  <si>
    <t>Royal Suites</t>
  </si>
  <si>
    <t>181, Station Road</t>
  </si>
  <si>
    <t>Metro Hotel</t>
  </si>
  <si>
    <t>Bengaluru</t>
  </si>
  <si>
    <t>269, Main Street</t>
  </si>
  <si>
    <t>Grand Residency</t>
  </si>
  <si>
    <t>Sydney</t>
  </si>
  <si>
    <t>199, Main Street</t>
  </si>
  <si>
    <t>Grand Suites</t>
  </si>
  <si>
    <t>177, Station Road</t>
  </si>
  <si>
    <t>Elite Lodge</t>
  </si>
  <si>
    <t>London</t>
  </si>
  <si>
    <t>23, Main Street</t>
  </si>
  <si>
    <t>Heritage Hotel</t>
  </si>
  <si>
    <t>Bangkok</t>
  </si>
  <si>
    <t>CA</t>
  </si>
  <si>
    <t>94, Station Road</t>
  </si>
  <si>
    <t>City Inn</t>
  </si>
  <si>
    <t>104, MG Road</t>
  </si>
  <si>
    <t>264, Baker Street</t>
  </si>
  <si>
    <t>City Suites</t>
  </si>
  <si>
    <t>Delhi</t>
  </si>
  <si>
    <t>98, Main Street</t>
  </si>
  <si>
    <t>Ahmedabad</t>
  </si>
  <si>
    <t>64, Main Street</t>
  </si>
  <si>
    <t>Metro Residency</t>
  </si>
  <si>
    <t>Dubai</t>
  </si>
  <si>
    <t>AU</t>
  </si>
  <si>
    <t>96, Baker Street</t>
  </si>
  <si>
    <t>Berlin</t>
  </si>
  <si>
    <t>TH</t>
  </si>
  <si>
    <t>43, Central Ave</t>
  </si>
  <si>
    <t>Elite Residency</t>
  </si>
  <si>
    <t>Rome</t>
  </si>
  <si>
    <t>280, Main Street</t>
  </si>
  <si>
    <t>Elite Inn</t>
  </si>
  <si>
    <t>157, Baker Street</t>
  </si>
  <si>
    <t>229, MG Road</t>
  </si>
  <si>
    <t>Heritage Lodge</t>
  </si>
  <si>
    <t>30, MG Road</t>
  </si>
  <si>
    <t>Metro Suites</t>
  </si>
  <si>
    <t>16, Station Road</t>
  </si>
  <si>
    <t>Kolkata</t>
  </si>
  <si>
    <t>35, Station Road</t>
  </si>
  <si>
    <t>Heritage Suites</t>
  </si>
  <si>
    <t>17, Marine Drive</t>
  </si>
  <si>
    <t>New York</t>
  </si>
  <si>
    <t>40, Marine Drive</t>
  </si>
  <si>
    <t>Heritage Residency</t>
  </si>
  <si>
    <t>128, MG Road</t>
  </si>
  <si>
    <t>Royal Residency</t>
  </si>
  <si>
    <t>DE</t>
  </si>
  <si>
    <t>288, MG Road</t>
  </si>
  <si>
    <t>Ocean Residency</t>
  </si>
  <si>
    <t>Hyderabad</t>
  </si>
  <si>
    <t>147, Central Ave</t>
  </si>
  <si>
    <t>Sunset Inn</t>
  </si>
  <si>
    <t>38, Baker Street</t>
  </si>
  <si>
    <t>34, Marine Drive</t>
  </si>
  <si>
    <t>Ocean Suites</t>
  </si>
  <si>
    <t>Pune</t>
  </si>
  <si>
    <t>90, Main Street</t>
  </si>
  <si>
    <t>72, Station Road</t>
  </si>
  <si>
    <t>189, Baker Street</t>
  </si>
  <si>
    <t>Royal Lodge</t>
  </si>
  <si>
    <t>34, Main Street</t>
  </si>
  <si>
    <t>295, MG Road</t>
  </si>
  <si>
    <t>Heritage Inn</t>
  </si>
  <si>
    <t>265, Main Street</t>
  </si>
  <si>
    <t>Royal Hotel</t>
  </si>
  <si>
    <t>FR</t>
  </si>
  <si>
    <t>29, MG Road</t>
  </si>
  <si>
    <t>83, Main Street</t>
  </si>
  <si>
    <t>Sunset Suites</t>
  </si>
  <si>
    <t>41, Main Street</t>
  </si>
  <si>
    <t>Ocean Hotel</t>
  </si>
  <si>
    <t>274, MG Road</t>
  </si>
  <si>
    <t>Paris</t>
  </si>
  <si>
    <t>88, Central Ave</t>
  </si>
  <si>
    <t>15, MG Road</t>
  </si>
  <si>
    <t>16, Baker Street</t>
  </si>
  <si>
    <t>SG</t>
  </si>
  <si>
    <t>208, Main Street</t>
  </si>
  <si>
    <t>226, Baker Street</t>
  </si>
  <si>
    <t>City Hotel</t>
  </si>
  <si>
    <t>74, Main Street</t>
  </si>
  <si>
    <t>190, Marine Drive</t>
  </si>
  <si>
    <t>Elite Suites</t>
  </si>
  <si>
    <t>Jaipur</t>
  </si>
  <si>
    <t>239, MG Road</t>
  </si>
  <si>
    <t>50, MG Road</t>
  </si>
  <si>
    <t>Metro Lodge</t>
  </si>
  <si>
    <t>82, Main Street</t>
  </si>
  <si>
    <t>256, Marine Drive</t>
  </si>
  <si>
    <t>47, Baker Street</t>
  </si>
  <si>
    <t>299, Main Street</t>
  </si>
  <si>
    <t>241, Main Street</t>
  </si>
  <si>
    <t>Grand Inn</t>
  </si>
  <si>
    <t>136, Central Ave</t>
  </si>
  <si>
    <t>206, MG Road</t>
  </si>
  <si>
    <t>61, Station Road</t>
  </si>
  <si>
    <t>188, Station Road</t>
  </si>
  <si>
    <t>24, MG Road</t>
  </si>
  <si>
    <t>77, Marine Drive</t>
  </si>
  <si>
    <t>84, Baker Street</t>
  </si>
  <si>
    <t>Ocean Lodge</t>
  </si>
  <si>
    <t>261, Marine Drive</t>
  </si>
  <si>
    <t>Mumbai</t>
  </si>
  <si>
    <t>189, Main Street</t>
  </si>
  <si>
    <t>14, Marine Drive</t>
  </si>
  <si>
    <t>27, Marine Drive</t>
  </si>
  <si>
    <t>76, Central Ave</t>
  </si>
  <si>
    <t>Grand Lodge</t>
  </si>
  <si>
    <t>Chennai</t>
  </si>
  <si>
    <t>98, MG Road</t>
  </si>
  <si>
    <t>212, Central Ave</t>
  </si>
  <si>
    <t>32, Central Ave</t>
  </si>
  <si>
    <t>Sunset Lodge</t>
  </si>
  <si>
    <t>270, Baker Street</t>
  </si>
  <si>
    <t>127, Main Street</t>
  </si>
  <si>
    <t>148, Central Ave</t>
  </si>
  <si>
    <t>287, Central Ave</t>
  </si>
  <si>
    <t>Ocean Inn</t>
  </si>
  <si>
    <t>195, Baker Street</t>
  </si>
  <si>
    <t>246, Station Road</t>
  </si>
  <si>
    <t>71, MG Road</t>
  </si>
  <si>
    <t>Sunset Hotel</t>
  </si>
  <si>
    <t>272, Station Road</t>
  </si>
  <si>
    <t>212, Main Street</t>
  </si>
  <si>
    <t>3, Marine Drive</t>
  </si>
  <si>
    <t>148, Main Street</t>
  </si>
  <si>
    <t>274, Central Ave</t>
  </si>
  <si>
    <t>19, Baker Street</t>
  </si>
  <si>
    <t>5, Main Street</t>
  </si>
  <si>
    <t>233, Central Ave</t>
  </si>
  <si>
    <t>140, Station Road</t>
  </si>
  <si>
    <t>96, MG Road</t>
  </si>
  <si>
    <t>90, Marine Drive</t>
  </si>
  <si>
    <t>45, Baker Street</t>
  </si>
  <si>
    <t>Elite Hotel</t>
  </si>
  <si>
    <t>245, Main Street</t>
  </si>
  <si>
    <t>229, Main Street</t>
  </si>
  <si>
    <t>134, Central Ave</t>
  </si>
  <si>
    <t>239, Main Street</t>
  </si>
  <si>
    <t>61, Central Ave</t>
  </si>
  <si>
    <t>113, Station Road</t>
  </si>
  <si>
    <t>213, Central Ave</t>
  </si>
  <si>
    <t>127, Central Ave</t>
  </si>
  <si>
    <t>186, MG Road</t>
  </si>
  <si>
    <t>104, Marine Drive</t>
  </si>
  <si>
    <t>227, MG Road</t>
  </si>
  <si>
    <t>262, Baker Street</t>
  </si>
  <si>
    <t>234, Marine Drive</t>
  </si>
  <si>
    <t>203, Main Street</t>
  </si>
  <si>
    <t>24, Baker Street</t>
  </si>
  <si>
    <t>36, Baker Street</t>
  </si>
  <si>
    <t>70, Central Ave</t>
  </si>
  <si>
    <t>194, Baker Street</t>
  </si>
  <si>
    <t>92, Marine Drive</t>
  </si>
  <si>
    <t>12, Main Street</t>
  </si>
  <si>
    <t>127, Baker Street</t>
  </si>
  <si>
    <t>58, MG Road</t>
  </si>
  <si>
    <t>124, Station Road</t>
  </si>
  <si>
    <t>229, Marine Drive</t>
  </si>
  <si>
    <t>206, Baker Street</t>
  </si>
  <si>
    <t>258, Main Street</t>
  </si>
  <si>
    <t>Sunset Residency</t>
  </si>
  <si>
    <t>141, MG Road</t>
  </si>
  <si>
    <t>25, Main Street</t>
  </si>
  <si>
    <t>210, Station Road</t>
  </si>
  <si>
    <t>288, Baker Street</t>
  </si>
  <si>
    <t>131, Station Road</t>
  </si>
  <si>
    <t>275, Central Ave</t>
  </si>
  <si>
    <t>21, MG Road</t>
  </si>
  <si>
    <t>171, Main Street</t>
  </si>
  <si>
    <t>283, Main Street</t>
  </si>
  <si>
    <t>158, Main Street</t>
  </si>
  <si>
    <t>City Residency</t>
  </si>
  <si>
    <t>289, Station Road</t>
  </si>
  <si>
    <t>Royal Inn</t>
  </si>
  <si>
    <t>284, Marine Drive</t>
  </si>
  <si>
    <t>101, Main Street</t>
  </si>
  <si>
    <t>236, Station Road</t>
  </si>
  <si>
    <t>280, Baker Street</t>
  </si>
  <si>
    <t>39, Central Ave</t>
  </si>
  <si>
    <t>119, MG Road</t>
  </si>
  <si>
    <t>259, Baker Street</t>
  </si>
  <si>
    <t>250, MG Road</t>
  </si>
  <si>
    <t>272, Central Ave</t>
  </si>
  <si>
    <t>92, MG Road</t>
  </si>
  <si>
    <t>270, Main Street</t>
  </si>
  <si>
    <t>192, Baker Street</t>
  </si>
  <si>
    <t>42, Central Ave</t>
  </si>
  <si>
    <t>194, Marine Drive</t>
  </si>
  <si>
    <t>43, Baker Street</t>
  </si>
  <si>
    <t>271, MG Road</t>
  </si>
  <si>
    <t>92, Main Street</t>
  </si>
  <si>
    <t>204, MG Road</t>
  </si>
  <si>
    <t>291, Baker Street</t>
  </si>
  <si>
    <t>41, Marine Drive</t>
  </si>
  <si>
    <t>224, Station Road</t>
  </si>
  <si>
    <t>204, Main Street</t>
  </si>
  <si>
    <t>183, Marine Drive</t>
  </si>
  <si>
    <t>44, Marine Drive</t>
  </si>
  <si>
    <t>138, Station Road</t>
  </si>
  <si>
    <t>55, MG Road</t>
  </si>
  <si>
    <t>53, Station Road</t>
  </si>
  <si>
    <t>285, Marine Drive</t>
  </si>
  <si>
    <t>182, Marine Drive</t>
  </si>
  <si>
    <t>150, Baker Street</t>
  </si>
  <si>
    <t>293, Marine Drive</t>
  </si>
  <si>
    <t>138, Main Street</t>
  </si>
  <si>
    <t>86, Baker Street</t>
  </si>
  <si>
    <t>185, Main Street</t>
  </si>
  <si>
    <t>195, Main Street</t>
  </si>
  <si>
    <t>154, Main Street</t>
  </si>
  <si>
    <t>167, Baker Street</t>
  </si>
  <si>
    <t>237, Central Ave</t>
  </si>
  <si>
    <t>210, Central Ave</t>
  </si>
  <si>
    <t>130, Central Ave</t>
  </si>
  <si>
    <t>230, Marine Drive</t>
  </si>
  <si>
    <t>279, MG Road</t>
  </si>
  <si>
    <t>182, Station Road</t>
  </si>
  <si>
    <t>221, MG Road</t>
  </si>
  <si>
    <t>262, Central Ave</t>
  </si>
  <si>
    <t>238, Central Ave</t>
  </si>
  <si>
    <t>248, MG Road</t>
  </si>
  <si>
    <t>73, Main Street</t>
  </si>
  <si>
    <t>267, Baker Street</t>
  </si>
  <si>
    <t>164, MG Road</t>
  </si>
  <si>
    <t>176, Central Ave</t>
  </si>
  <si>
    <t>283, Station Road</t>
  </si>
  <si>
    <t>208, Central Ave</t>
  </si>
  <si>
    <t>102, Baker Street</t>
  </si>
  <si>
    <t>110, Station Road</t>
  </si>
  <si>
    <t>275, Station Road</t>
  </si>
  <si>
    <t>135, Central Ave</t>
  </si>
  <si>
    <t>201, Marine Drive</t>
  </si>
  <si>
    <t>89, Central Ave</t>
  </si>
  <si>
    <t>69, Main Street</t>
  </si>
  <si>
    <t>94, Main Street</t>
  </si>
  <si>
    <t>71, Marine Drive</t>
  </si>
  <si>
    <t>89, Marine Drive</t>
  </si>
  <si>
    <t>96, Main Street</t>
  </si>
  <si>
    <t>249, Station Road</t>
  </si>
  <si>
    <t>43, Marine Drive</t>
  </si>
  <si>
    <t>141, Station Road</t>
  </si>
  <si>
    <t>254, Marine Drive</t>
  </si>
  <si>
    <t>138, Marine Drive</t>
  </si>
  <si>
    <t>218, MG Road</t>
  </si>
  <si>
    <t>231, Main Street</t>
  </si>
  <si>
    <t>122, Station Road</t>
  </si>
  <si>
    <t>144, Marine Drive</t>
  </si>
  <si>
    <t>149, Marine Drive</t>
  </si>
  <si>
    <t>142, Central Ave</t>
  </si>
  <si>
    <t>165, Station Road</t>
  </si>
  <si>
    <t>296, Central Ave</t>
  </si>
  <si>
    <t>48, Baker Street</t>
  </si>
  <si>
    <t>168, Marine Drive</t>
  </si>
  <si>
    <t>274, Baker Street</t>
  </si>
  <si>
    <t>166, Main Street</t>
  </si>
  <si>
    <t>25, MG Road</t>
  </si>
  <si>
    <t>81, Baker Street</t>
  </si>
  <si>
    <t>68, Central Ave</t>
  </si>
  <si>
    <t>203, Central Ave</t>
  </si>
  <si>
    <t>49, MG Road</t>
  </si>
  <si>
    <t>116, Marine Drive</t>
  </si>
  <si>
    <t>176, MG Road</t>
  </si>
  <si>
    <t>118, Baker Street</t>
  </si>
  <si>
    <t>154, Station Road</t>
  </si>
  <si>
    <t>272, Marine Drive</t>
  </si>
  <si>
    <t>78, Baker Street</t>
  </si>
  <si>
    <t>52, Station Road</t>
  </si>
  <si>
    <t>146, Central Ave</t>
  </si>
  <si>
    <t>261, Station Road</t>
  </si>
  <si>
    <t>123, Baker Street</t>
  </si>
  <si>
    <t>37, Marine Drive</t>
  </si>
  <si>
    <t>199, Marine Drive</t>
  </si>
  <si>
    <t>242, MG Road</t>
  </si>
  <si>
    <t>111, MG Road</t>
  </si>
  <si>
    <t>257, Baker Street</t>
  </si>
  <si>
    <t>79, Main Street</t>
  </si>
  <si>
    <t>80, Marine Drive</t>
  </si>
  <si>
    <t>159, Central Ave</t>
  </si>
  <si>
    <t>71, Central Ave</t>
  </si>
  <si>
    <t>265, Central Ave</t>
  </si>
  <si>
    <t>138, Central Ave</t>
  </si>
  <si>
    <t>269, MG Road</t>
  </si>
  <si>
    <t>185, MG Road</t>
  </si>
  <si>
    <t>131, MG Road</t>
  </si>
  <si>
    <t>23, MG Road</t>
  </si>
  <si>
    <t>77, Station Road</t>
  </si>
  <si>
    <t>214, Central Ave</t>
  </si>
  <si>
    <t>62, Marine Drive</t>
  </si>
  <si>
    <t>265, MG Road</t>
  </si>
  <si>
    <t>160, Main Street</t>
  </si>
  <si>
    <t>150, Marine Drive</t>
  </si>
  <si>
    <t>253, Station Road</t>
  </si>
  <si>
    <t>210, MG Road</t>
  </si>
  <si>
    <t>193, Central Ave</t>
  </si>
  <si>
    <t>144, MG Road</t>
  </si>
  <si>
    <t>235, Central Ave</t>
  </si>
  <si>
    <t>202, MG Road</t>
  </si>
  <si>
    <t>232, Main Street</t>
  </si>
  <si>
    <t>300, MG Road</t>
  </si>
  <si>
    <t>161, Baker Street</t>
  </si>
  <si>
    <t>238, Main Street</t>
  </si>
  <si>
    <t>21, Station Road</t>
  </si>
  <si>
    <t>183, Baker Street</t>
  </si>
  <si>
    <t>90, MG Road</t>
  </si>
  <si>
    <t>49, Baker Street</t>
  </si>
  <si>
    <t>32, Station Road</t>
  </si>
  <si>
    <t>299, Marine Drive</t>
  </si>
  <si>
    <t>102, Central Ave</t>
  </si>
  <si>
    <t>22, Baker Street</t>
  </si>
  <si>
    <t>255, MG Road</t>
  </si>
  <si>
    <t>126, Central Ave</t>
  </si>
  <si>
    <t>32, MG Road</t>
  </si>
  <si>
    <t>270, Station Road</t>
  </si>
  <si>
    <t>279, Baker Street</t>
  </si>
  <si>
    <t>93, MG Road</t>
  </si>
  <si>
    <t>30, Baker Street</t>
  </si>
  <si>
    <t>82, MG Road</t>
  </si>
  <si>
    <t>113, Marine Drive</t>
  </si>
  <si>
    <t>122, Marine Drive</t>
  </si>
  <si>
    <t>181, Marine Drive</t>
  </si>
  <si>
    <t>253, Marine Drive</t>
  </si>
  <si>
    <t>47, MG Road</t>
  </si>
  <si>
    <t>1, Main Street</t>
  </si>
  <si>
    <t>166, MG Road</t>
  </si>
  <si>
    <t>57, Marine Drive</t>
  </si>
  <si>
    <t>52, Main Street</t>
  </si>
  <si>
    <t>224, Central Ave</t>
  </si>
  <si>
    <t>183, Station Road</t>
  </si>
  <si>
    <t>151, Station Road</t>
  </si>
  <si>
    <t>17, Station Road</t>
  </si>
  <si>
    <t>290, MG Road</t>
  </si>
  <si>
    <t>6, Main Street</t>
  </si>
  <si>
    <t>56, Central Ave</t>
  </si>
  <si>
    <t>52, Baker Street</t>
  </si>
  <si>
    <t>18, Main Street</t>
  </si>
  <si>
    <t>38, Main Street</t>
  </si>
  <si>
    <t>281, MG Road</t>
  </si>
  <si>
    <t>223, Station Road</t>
  </si>
  <si>
    <t>98, Baker Street</t>
  </si>
  <si>
    <t>122, MG Road</t>
  </si>
  <si>
    <t>79, MG Road</t>
  </si>
  <si>
    <t>151, Central Ave</t>
  </si>
  <si>
    <t>14, Station Road</t>
  </si>
  <si>
    <t>158, Baker Street</t>
  </si>
  <si>
    <t>116, Main Street</t>
  </si>
  <si>
    <t>44, Central Ave</t>
  </si>
  <si>
    <t>284, MG Road</t>
  </si>
  <si>
    <t>121, Baker Street</t>
  </si>
  <si>
    <t>258, Marine Drive</t>
  </si>
  <si>
    <t>86, Station Road</t>
  </si>
  <si>
    <t>164, Central Ave</t>
  </si>
  <si>
    <t>268, Baker Street</t>
  </si>
  <si>
    <t>291, Marine Drive</t>
  </si>
  <si>
    <t>147, Marine Drive</t>
  </si>
  <si>
    <t>207, Station Road</t>
  </si>
  <si>
    <t>173, Main Street</t>
  </si>
  <si>
    <t>117, Station Road</t>
  </si>
  <si>
    <t>214, Marine Drive</t>
  </si>
  <si>
    <t>209, Central Ave</t>
  </si>
  <si>
    <t>15, Station Road</t>
  </si>
  <si>
    <t>17, Baker Street</t>
  </si>
  <si>
    <t>124, Main Street</t>
  </si>
  <si>
    <t>146, MG Road</t>
  </si>
  <si>
    <t>114, Central Ave</t>
  </si>
  <si>
    <t>11, Central Ave</t>
  </si>
  <si>
    <t>5, Station Road</t>
  </si>
  <si>
    <t>179, Baker Street</t>
  </si>
  <si>
    <t>267, Marine Drive</t>
  </si>
  <si>
    <t>288, Central Ave</t>
  </si>
  <si>
    <t>247, MG Road</t>
  </si>
  <si>
    <t>265, Station Road</t>
  </si>
  <si>
    <t>14, Central Ave</t>
  </si>
  <si>
    <t>199, Central Ave</t>
  </si>
  <si>
    <t>242, Station Road</t>
  </si>
  <si>
    <t>172, Central Ave</t>
  </si>
  <si>
    <t>238, MG Road</t>
  </si>
  <si>
    <t>37, Baker Street</t>
  </si>
  <si>
    <t>212, MG Road</t>
  </si>
  <si>
    <t>292, Baker Street</t>
  </si>
  <si>
    <t>250, Main Street</t>
  </si>
  <si>
    <t>3, Baker Street</t>
  </si>
  <si>
    <t>251, MG Road</t>
  </si>
  <si>
    <t>245, Baker Street</t>
  </si>
  <si>
    <t>192, MG Road</t>
  </si>
  <si>
    <t>128, Station Road</t>
  </si>
  <si>
    <t>53, Baker Street</t>
  </si>
  <si>
    <t>24, Main Street</t>
  </si>
  <si>
    <t>173, Baker Street</t>
  </si>
  <si>
    <t>97, Station Road</t>
  </si>
  <si>
    <t>68, Station Road</t>
  </si>
  <si>
    <t>274, Marine Drive</t>
  </si>
  <si>
    <t>25, Central Ave</t>
  </si>
  <si>
    <t>281, Main Street</t>
  </si>
  <si>
    <t>155, Baker Street</t>
  </si>
  <si>
    <t>71, Baker Street</t>
  </si>
  <si>
    <t>55, Baker Street</t>
  </si>
  <si>
    <t>184, Central Ave</t>
  </si>
  <si>
    <t>281, Baker Street</t>
  </si>
  <si>
    <t>2, MG Road</t>
  </si>
  <si>
    <t>77, MG Road</t>
  </si>
  <si>
    <t>119, Baker Street</t>
  </si>
  <si>
    <t>60, MG Road</t>
  </si>
  <si>
    <t>169, Main Street</t>
  </si>
  <si>
    <t>94, MG Road</t>
  </si>
  <si>
    <t>198, Central Ave</t>
  </si>
  <si>
    <t>184, Marine Drive</t>
  </si>
  <si>
    <t>211, Baker Street</t>
  </si>
  <si>
    <t>269, Central Ave</t>
  </si>
  <si>
    <t>282, Central Ave</t>
  </si>
  <si>
    <t>236, Baker Street</t>
  </si>
  <si>
    <t>162, MG Road</t>
  </si>
  <si>
    <t>19, Marine Drive</t>
  </si>
  <si>
    <t>156, Marine Drive</t>
  </si>
  <si>
    <t>28, Station Road</t>
  </si>
  <si>
    <t>243, Central Ave</t>
  </si>
  <si>
    <t>50, Central Ave</t>
  </si>
  <si>
    <t>281, Marine Drive</t>
  </si>
  <si>
    <t>101, Station Road</t>
  </si>
  <si>
    <t>174, MG Road</t>
  </si>
  <si>
    <t>231, Baker Street</t>
  </si>
  <si>
    <t>91, Central Ave</t>
  </si>
  <si>
    <t>128, Main Street</t>
  </si>
  <si>
    <t>112, Station Road</t>
  </si>
  <si>
    <t>246, Marine Drive</t>
  </si>
  <si>
    <t>217, MG Road</t>
  </si>
  <si>
    <t>28, Central Ave</t>
  </si>
  <si>
    <t>105, Marine Drive</t>
  </si>
  <si>
    <t>288, Station Road</t>
  </si>
  <si>
    <t>25, Baker Street</t>
  </si>
  <si>
    <t>7, Central Ave</t>
  </si>
  <si>
    <t>189, Marine Drive</t>
  </si>
  <si>
    <t>230, Station Road</t>
  </si>
  <si>
    <t>264, MG Road</t>
  </si>
  <si>
    <t>285, Main Street</t>
  </si>
  <si>
    <t>3, Main Street</t>
  </si>
  <si>
    <t>166, Marine Drive</t>
  </si>
  <si>
    <t>184, MG Road</t>
  </si>
  <si>
    <t>95, Marine Drive</t>
  </si>
  <si>
    <t>207, MG Road</t>
  </si>
  <si>
    <t>59, Central Ave</t>
  </si>
  <si>
    <t>125, MG Road</t>
  </si>
  <si>
    <t>198, Main Street</t>
  </si>
  <si>
    <t>99, Main Street</t>
  </si>
  <si>
    <t>276, Marine Drive</t>
  </si>
  <si>
    <t>13, Baker Street</t>
  </si>
  <si>
    <t>38, MG Road</t>
  </si>
  <si>
    <t>295, Station Road</t>
  </si>
  <si>
    <t>222, Main Street</t>
  </si>
  <si>
    <t>33, Central Ave</t>
  </si>
  <si>
    <t>55, Main Street</t>
  </si>
  <si>
    <t>145, Baker Street</t>
  </si>
  <si>
    <t>274, Station Road</t>
  </si>
  <si>
    <t>73, MG Road</t>
  </si>
  <si>
    <t>114, Marine Drive</t>
  </si>
  <si>
    <t>291, MG Road</t>
  </si>
  <si>
    <t>149, Central Ave</t>
  </si>
  <si>
    <t>298, Baker Street</t>
  </si>
  <si>
    <t>290, Marine Drive</t>
  </si>
  <si>
    <t>185, Station Road</t>
  </si>
  <si>
    <t>184, Main Street</t>
  </si>
  <si>
    <t>144, Station Road</t>
  </si>
  <si>
    <t>39, MG Road</t>
  </si>
  <si>
    <t>109, MG Road</t>
  </si>
  <si>
    <t>77, Main Street</t>
  </si>
  <si>
    <t>69, Baker Street</t>
  </si>
  <si>
    <t>6, Central Ave</t>
  </si>
  <si>
    <t>229, Station Road</t>
  </si>
  <si>
    <t>113, Baker Street</t>
  </si>
  <si>
    <t>22, Central Ave</t>
  </si>
  <si>
    <t>135, Marine Drive</t>
  </si>
  <si>
    <t>181, Main Street</t>
  </si>
  <si>
    <t>257, Station Road</t>
  </si>
  <si>
    <t>264, Central Ave</t>
  </si>
  <si>
    <t>81, Main Street</t>
  </si>
  <si>
    <t>59, Baker Street</t>
  </si>
  <si>
    <t>83, Central Ave</t>
  </si>
  <si>
    <t>66, Marine Drive</t>
  </si>
  <si>
    <t>294, Station Road</t>
  </si>
  <si>
    <t>265, Baker Street</t>
  </si>
  <si>
    <t>111, Baker Street</t>
  </si>
  <si>
    <t>262, Main Street</t>
  </si>
  <si>
    <t>36, Station Road</t>
  </si>
  <si>
    <t>9, Station Road</t>
  </si>
  <si>
    <t>91, Baker Street</t>
  </si>
  <si>
    <t>221, Marine Drive</t>
  </si>
  <si>
    <t>218, Station Road</t>
  </si>
  <si>
    <t>146, Marine Drive</t>
  </si>
  <si>
    <t>3, Central Ave</t>
  </si>
  <si>
    <t>267, MG Road</t>
  </si>
  <si>
    <t>55, Station Road</t>
  </si>
  <si>
    <t>290, Main Street</t>
  </si>
  <si>
    <t>212, Marine Drive</t>
  </si>
  <si>
    <t>285, Baker Street</t>
  </si>
  <si>
    <t>27, Station Road</t>
  </si>
  <si>
    <t>242, Marine Drive</t>
  </si>
  <si>
    <t>114, Main Street</t>
  </si>
  <si>
    <t>267, Main Street</t>
  </si>
  <si>
    <t>6, Station Road</t>
  </si>
  <si>
    <t>262, Marine Drive</t>
  </si>
  <si>
    <t>19, Main Street</t>
  </si>
  <si>
    <t>142, Baker Street</t>
  </si>
  <si>
    <t>266, MG Road</t>
  </si>
  <si>
    <t>287, Marine Drive</t>
  </si>
  <si>
    <t>100, Baker Street</t>
  </si>
  <si>
    <t>209, Marine Drive</t>
  </si>
  <si>
    <t>175, MG Road</t>
  </si>
  <si>
    <t>227, Baker Street</t>
  </si>
  <si>
    <t>236, Marine Drive</t>
  </si>
  <si>
    <t>35, Baker Street</t>
  </si>
  <si>
    <t>148, MG Road</t>
  </si>
  <si>
    <t>244, Main Street</t>
  </si>
  <si>
    <t>94, Central Ave</t>
  </si>
  <si>
    <t>121, Central Ave</t>
  </si>
  <si>
    <t>104, Station Road</t>
  </si>
  <si>
    <t>62, MG Road</t>
  </si>
  <si>
    <t>278, MG Road</t>
  </si>
  <si>
    <t>295, Main Street</t>
  </si>
  <si>
    <t>204, Station Road</t>
  </si>
  <si>
    <t>245, Marine Drive</t>
  </si>
  <si>
    <t>167, Main Street</t>
  </si>
  <si>
    <t>256, Baker Street</t>
  </si>
  <si>
    <t>144, Baker Street</t>
  </si>
  <si>
    <t>52, Central Ave</t>
  </si>
  <si>
    <t>84, MG Road</t>
  </si>
  <si>
    <t>231, Central Ave</t>
  </si>
  <si>
    <t>286, Main Street</t>
  </si>
  <si>
    <t>180, Central Ave</t>
  </si>
  <si>
    <t>41, Baker Street</t>
  </si>
  <si>
    <t>86, Central Ave</t>
  </si>
  <si>
    <t>37, MG Road</t>
  </si>
  <si>
    <t>150, Central Ave</t>
  </si>
  <si>
    <t>65, Central Ave</t>
  </si>
  <si>
    <t>28, MG Road</t>
  </si>
  <si>
    <t>80, MG Road</t>
  </si>
  <si>
    <t>240, Marine Drive</t>
  </si>
  <si>
    <t>234, Central Ave</t>
  </si>
  <si>
    <t>178, Baker Street</t>
  </si>
  <si>
    <t>188, Baker Street</t>
  </si>
  <si>
    <t>1, Marine Drive</t>
  </si>
  <si>
    <t>5, Central Ave</t>
  </si>
  <si>
    <t>221, Main Street</t>
  </si>
  <si>
    <t>97, Baker Street</t>
  </si>
  <si>
    <t>84, Central Ave</t>
  </si>
  <si>
    <t>135, MG Road</t>
  </si>
  <si>
    <t>78, MG Road</t>
  </si>
  <si>
    <t>145, Main Street</t>
  </si>
  <si>
    <t>47, Station Road</t>
  </si>
  <si>
    <t>160, Baker Street</t>
  </si>
  <si>
    <t>75, MG Road</t>
  </si>
  <si>
    <t>93, Station Road</t>
  </si>
  <si>
    <t>128, Baker Street</t>
  </si>
  <si>
    <t>236, Central Ave</t>
  </si>
  <si>
    <t>166, Station Road</t>
  </si>
  <si>
    <t>130, Baker Street</t>
  </si>
  <si>
    <t>112, MG Road</t>
  </si>
  <si>
    <t>86, Main Street</t>
  </si>
  <si>
    <t>5, MG Road</t>
  </si>
  <si>
    <t>191, MG Road</t>
  </si>
  <si>
    <t>174, Central Ave</t>
  </si>
  <si>
    <t>275, MG Road</t>
  </si>
  <si>
    <t>278, Central Ave</t>
  </si>
  <si>
    <t>279, Main Street</t>
  </si>
  <si>
    <t>83, MG Road</t>
  </si>
  <si>
    <t>95, MG Road</t>
  </si>
  <si>
    <t>165, Central Ave</t>
  </si>
  <si>
    <t>57, MG Road</t>
  </si>
  <si>
    <t>51, MG Road</t>
  </si>
  <si>
    <t>132, MG Road</t>
  </si>
  <si>
    <t>7, Station Road</t>
  </si>
  <si>
    <t>185, Marine Drive</t>
  </si>
  <si>
    <t>137, Marine Drive</t>
  </si>
  <si>
    <t>111, Marine Drive</t>
  </si>
  <si>
    <t>98, Station Road</t>
  </si>
  <si>
    <t>286, Central Ave</t>
  </si>
  <si>
    <t>93, Marine Drive</t>
  </si>
  <si>
    <t>227, Main Street</t>
  </si>
  <si>
    <t>185, Baker Street</t>
  </si>
  <si>
    <t>236, Main Street</t>
  </si>
  <si>
    <t>292, Station Road</t>
  </si>
  <si>
    <t>250, Central Ave</t>
  </si>
  <si>
    <t>20, Central Ave</t>
  </si>
  <si>
    <t>172, Main Street</t>
  </si>
  <si>
    <t>259, MG Road</t>
  </si>
  <si>
    <t>68, Main Street</t>
  </si>
  <si>
    <t>67, Station Road</t>
  </si>
  <si>
    <t>101, Marine Drive</t>
  </si>
  <si>
    <t>137, Baker Street</t>
  </si>
  <si>
    <t>188, Main Street</t>
  </si>
  <si>
    <t>157, Station Road</t>
  </si>
  <si>
    <t>226, MG Road</t>
  </si>
  <si>
    <t>44, MG Road</t>
  </si>
  <si>
    <t>133, Marine Drive</t>
  </si>
  <si>
    <t>270, MG Road</t>
  </si>
  <si>
    <t>103, Central Ave</t>
  </si>
  <si>
    <t>10, Main Street</t>
  </si>
  <si>
    <t>51, Main Street</t>
  </si>
  <si>
    <t>272, Main Street</t>
  </si>
  <si>
    <t>121, Marine Drive</t>
  </si>
  <si>
    <t>45, Central Ave</t>
  </si>
  <si>
    <t>278, Station Road</t>
  </si>
  <si>
    <t>71, Main Street</t>
  </si>
  <si>
    <t>290, Station Road</t>
  </si>
  <si>
    <t>95, Main Street</t>
  </si>
  <si>
    <t>156, Baker Street</t>
  </si>
  <si>
    <t>241, Central Ave</t>
  </si>
  <si>
    <t>243, Station Road</t>
  </si>
  <si>
    <t>105, MG Road</t>
  </si>
  <si>
    <t>235, Station Road</t>
  </si>
  <si>
    <t>232, Baker Street</t>
  </si>
  <si>
    <t>21, Marine Drive</t>
  </si>
  <si>
    <t>217, Main Street</t>
  </si>
  <si>
    <t>231, MG Road</t>
  </si>
  <si>
    <t>233, MG Road</t>
  </si>
  <si>
    <t>23, Station Road</t>
  </si>
  <si>
    <t>92, Central Ave</t>
  </si>
  <si>
    <t>244, Baker Street</t>
  </si>
  <si>
    <t>4, Station Road</t>
  </si>
  <si>
    <t>26, Station Road</t>
  </si>
  <si>
    <t>26, MG Road</t>
  </si>
  <si>
    <t>294, Marine Drive</t>
  </si>
  <si>
    <t>48, Main Street</t>
  </si>
  <si>
    <t>219, Marine Drive</t>
  </si>
  <si>
    <t>63, Central Ave</t>
  </si>
  <si>
    <t>108, Central Ave</t>
  </si>
  <si>
    <t>255, Marine Drive</t>
  </si>
  <si>
    <t>120, Central Ave</t>
  </si>
  <si>
    <t>170, Main Street</t>
  </si>
  <si>
    <t>70, Baker Street</t>
  </si>
  <si>
    <t>158, Central Ave</t>
  </si>
  <si>
    <t>255, Station Road</t>
  </si>
  <si>
    <t>51, Marine Drive</t>
  </si>
  <si>
    <t>23, Central Ave</t>
  </si>
  <si>
    <t>53, Marine Drive</t>
  </si>
  <si>
    <t>108, Main Street</t>
  </si>
  <si>
    <t>273, Main Street</t>
  </si>
  <si>
    <t>73, Central Ave</t>
  </si>
  <si>
    <t>160, Marine Drive</t>
  </si>
  <si>
    <t>15, Baker Street</t>
  </si>
  <si>
    <t>183, Main Street</t>
  </si>
  <si>
    <t>239, Marine Drive</t>
  </si>
  <si>
    <t>234, Main Street</t>
  </si>
  <si>
    <t>115, Station Road</t>
  </si>
  <si>
    <t>244, MG Road</t>
  </si>
  <si>
    <t>155, Marine Drive</t>
  </si>
  <si>
    <t>125, Marine Drive</t>
  </si>
  <si>
    <t>175, Station Road</t>
  </si>
  <si>
    <t>279, Central Ave</t>
  </si>
  <si>
    <t>59, Marine Drive</t>
  </si>
  <si>
    <t>228, Station Road</t>
  </si>
  <si>
    <t>72, Marine Drive</t>
  </si>
  <si>
    <t>232, Marine Drive</t>
  </si>
  <si>
    <t>223, Central Ave</t>
  </si>
  <si>
    <t>196, Baker Street</t>
  </si>
  <si>
    <t>97, Marine Drive</t>
  </si>
  <si>
    <t>44, Station Road</t>
  </si>
  <si>
    <t>93, Baker Street</t>
  </si>
  <si>
    <t>296, Baker Street</t>
  </si>
  <si>
    <t>211, Marine Drive</t>
  </si>
  <si>
    <t>41, Station Road</t>
  </si>
  <si>
    <t>268, Marine Drive</t>
  </si>
  <si>
    <t>277, Marine Drive</t>
  </si>
  <si>
    <t>241, Baker Street</t>
  </si>
  <si>
    <t>289, Main Street</t>
  </si>
  <si>
    <t>294, MG Road</t>
  </si>
  <si>
    <t>147, Baker Street</t>
  </si>
  <si>
    <t>143, Main Street</t>
  </si>
  <si>
    <t>8, Central Ave</t>
  </si>
  <si>
    <t>254, Baker Street</t>
  </si>
  <si>
    <t>108, Marine Drive</t>
  </si>
  <si>
    <t>244, Central Ave</t>
  </si>
  <si>
    <t>135, Station Road</t>
  </si>
  <si>
    <t>230, Baker Street</t>
  </si>
  <si>
    <t>50, Marine Drive</t>
  </si>
  <si>
    <t>18, MG Road</t>
  </si>
  <si>
    <t>130, Main Street</t>
  </si>
  <si>
    <t>219, Central Ave</t>
  </si>
  <si>
    <t>133, Main Street</t>
  </si>
  <si>
    <t>202, Station Road</t>
  </si>
  <si>
    <t>277, Baker Street</t>
  </si>
  <si>
    <t>53, MG Road</t>
  </si>
  <si>
    <t>200, Main Street</t>
  </si>
  <si>
    <t>277, Station Road</t>
  </si>
  <si>
    <t>47, Main Street</t>
  </si>
  <si>
    <t>154, Central Ave</t>
  </si>
  <si>
    <t>225, Central Ave</t>
  </si>
  <si>
    <t>13, Central Ave</t>
  </si>
  <si>
    <t>277, Central Ave</t>
  </si>
  <si>
    <t>109, Central Ave</t>
  </si>
  <si>
    <t>297, Station Road</t>
  </si>
  <si>
    <t>88, Marine Drive</t>
  </si>
  <si>
    <t>113, MG Road</t>
  </si>
  <si>
    <t>62, Central Ave</t>
  </si>
  <si>
    <t>24, Marine Drive</t>
  </si>
  <si>
    <t>225, Station Road</t>
  </si>
  <si>
    <t>193, Station Road</t>
  </si>
  <si>
    <t>106, Station Road</t>
  </si>
  <si>
    <t>123, Station Road</t>
  </si>
  <si>
    <t>286, Station Road</t>
  </si>
  <si>
    <t>186, Marine Drive</t>
  </si>
  <si>
    <t>142, MG Road</t>
  </si>
  <si>
    <t>91, Station Road</t>
  </si>
  <si>
    <t>108, Baker Street</t>
  </si>
  <si>
    <t>54, Central Ave</t>
  </si>
  <si>
    <t>249, Marine Drive</t>
  </si>
  <si>
    <t>297, Main Street</t>
  </si>
  <si>
    <t>57, Main Street</t>
  </si>
  <si>
    <t>104, Main Street</t>
  </si>
  <si>
    <t>176, Station Road</t>
  </si>
  <si>
    <t>296, Marine Drive</t>
  </si>
  <si>
    <t>220, Central Ave</t>
  </si>
  <si>
    <t>21, Baker Street</t>
  </si>
  <si>
    <t>246, Central Ave</t>
  </si>
  <si>
    <t>208, Station Road</t>
  </si>
  <si>
    <t>278, Marine Drive</t>
  </si>
  <si>
    <t>277, MG Road</t>
  </si>
  <si>
    <t>34, Station Road</t>
  </si>
  <si>
    <t>76, Baker Street</t>
  </si>
  <si>
    <t>151, Baker Street</t>
  </si>
  <si>
    <t>228, Central Ave</t>
  </si>
  <si>
    <t>33, MG Road</t>
  </si>
  <si>
    <t>168, Baker Street</t>
  </si>
  <si>
    <t>291, Station Road</t>
  </si>
  <si>
    <t>248, Main Street</t>
  </si>
  <si>
    <t>234, Station Road</t>
  </si>
  <si>
    <t>190, Station Road</t>
  </si>
  <si>
    <t>191, Baker Street</t>
  </si>
  <si>
    <t>63, MG Road</t>
  </si>
  <si>
    <t>294, Central Ave</t>
  </si>
  <si>
    <t>246, MG Road</t>
  </si>
  <si>
    <t>206, Marine Drive</t>
  </si>
  <si>
    <t>168, MG Road</t>
  </si>
  <si>
    <t>143, Station Road</t>
  </si>
  <si>
    <t>263, Baker Street</t>
  </si>
  <si>
    <t>262, MG Road</t>
  </si>
  <si>
    <t>219, Main Street</t>
  </si>
  <si>
    <t>177, Main Street</t>
  </si>
  <si>
    <t>111, Central Ave</t>
  </si>
  <si>
    <t>45, Station Road</t>
  </si>
  <si>
    <t>213, Station Road</t>
  </si>
  <si>
    <t>103, Station Road</t>
  </si>
  <si>
    <t>14, MG Road</t>
  </si>
  <si>
    <t>148, Baker Street</t>
  </si>
  <si>
    <t>62, Main Street</t>
  </si>
  <si>
    <t>247, Marine Drive</t>
  </si>
  <si>
    <t>192, Marine Drive</t>
  </si>
  <si>
    <t>298, MG Road</t>
  </si>
  <si>
    <t>155, Main Street</t>
  </si>
  <si>
    <t>270, Marine Drive</t>
  </si>
  <si>
    <t>60, Station Road</t>
  </si>
  <si>
    <t>186, Station Road</t>
  </si>
  <si>
    <t>15, Central Ave</t>
  </si>
  <si>
    <t>117, Main Street</t>
  </si>
  <si>
    <t>218, Central Ave</t>
  </si>
  <si>
    <t>22, Station Road</t>
  </si>
  <si>
    <t>241, MG Road</t>
  </si>
  <si>
    <t>6, MG Road</t>
  </si>
  <si>
    <t>95, Central Ave</t>
  </si>
  <si>
    <t>143, Marine Drive</t>
  </si>
  <si>
    <t>124, Marine Drive</t>
  </si>
  <si>
    <t>271, Station Road</t>
  </si>
  <si>
    <t>276, MG Road</t>
  </si>
  <si>
    <t>188, Central Ave</t>
  </si>
  <si>
    <t>93, Main Street</t>
  </si>
  <si>
    <t>209, MG Road</t>
  </si>
  <si>
    <t>267, Station Road</t>
  </si>
  <si>
    <t>43, Main Street</t>
  </si>
  <si>
    <t>284, Baker Street</t>
  </si>
  <si>
    <t>203, Baker Street</t>
  </si>
  <si>
    <t>187, Station Road</t>
  </si>
  <si>
    <t>120, Baker Street</t>
  </si>
  <si>
    <t>140, Central Ave</t>
  </si>
  <si>
    <t>63, Main Street</t>
  </si>
  <si>
    <t>16, MG Road</t>
  </si>
  <si>
    <t>92, Baker Street</t>
  </si>
  <si>
    <t>278, Main Street</t>
  </si>
  <si>
    <t>197, Baker Street</t>
  </si>
  <si>
    <t>292, Central Ave</t>
  </si>
  <si>
    <t>260, MG Road</t>
  </si>
  <si>
    <t>66, Main Street</t>
  </si>
  <si>
    <t>220, Main Street</t>
  </si>
  <si>
    <t>126, Station Road</t>
  </si>
  <si>
    <t>276, Main Street</t>
  </si>
  <si>
    <t>216, Main Street</t>
  </si>
  <si>
    <t>163, Baker Street</t>
  </si>
  <si>
    <t>174, Station Road</t>
  </si>
  <si>
    <t>255, Central Ave</t>
  </si>
  <si>
    <t>297, MG Road</t>
  </si>
  <si>
    <t>213, Baker Street</t>
  </si>
  <si>
    <t>10, Central Ave</t>
  </si>
  <si>
    <t>240, Main Street</t>
  </si>
  <si>
    <t>268, Station Road</t>
  </si>
  <si>
    <t>78, Central Ave</t>
  </si>
  <si>
    <t>59, Station Road</t>
  </si>
  <si>
    <t>238, Baker Street</t>
  </si>
  <si>
    <t>143, Central Ave</t>
  </si>
  <si>
    <t>293, Central Ave</t>
  </si>
  <si>
    <t>129, Baker Street</t>
  </si>
  <si>
    <t>161, Main Street</t>
  </si>
  <si>
    <t>74, MG Road</t>
  </si>
  <si>
    <t>131, Marine Drive</t>
  </si>
  <si>
    <t>163, Marine Drive</t>
  </si>
  <si>
    <t>75, Main Street</t>
  </si>
  <si>
    <t>18, Central Ave</t>
  </si>
  <si>
    <t>283, Baker Street</t>
  </si>
  <si>
    <t>171, Central Ave</t>
  </si>
  <si>
    <t>2, Baker Street</t>
  </si>
  <si>
    <t>57, Station Road</t>
  </si>
  <si>
    <t>168, Main Street</t>
  </si>
  <si>
    <t>202, Baker Street</t>
  </si>
  <si>
    <t>134, Station Road</t>
  </si>
  <si>
    <t>115, Central Ave</t>
  </si>
  <si>
    <t>145, Central Ave</t>
  </si>
  <si>
    <t>231, Station Road</t>
  </si>
  <si>
    <t>241, Station Road</t>
  </si>
  <si>
    <t>242, Main Street</t>
  </si>
  <si>
    <t>259, Marine Drive</t>
  </si>
  <si>
    <t>287, MG Road</t>
  </si>
  <si>
    <t>258, Baker Street</t>
  </si>
  <si>
    <t>163, Central Ave</t>
  </si>
  <si>
    <t>60, Main Street</t>
  </si>
  <si>
    <t>285, Central Ave</t>
  </si>
  <si>
    <t>76, MG Road</t>
  </si>
  <si>
    <t>299, MG Road</t>
  </si>
  <si>
    <t>11, Station Road</t>
  </si>
  <si>
    <t>251, Baker Street</t>
  </si>
  <si>
    <t>152, Marine Drive</t>
  </si>
  <si>
    <t>182, Main Street</t>
  </si>
  <si>
    <t>109, Station Road</t>
  </si>
  <si>
    <t>10, MG Road</t>
  </si>
  <si>
    <t>185, Central Ave</t>
  </si>
  <si>
    <t>65, Station Road</t>
  </si>
  <si>
    <t>97, MG Road</t>
  </si>
  <si>
    <t>238, Station Road</t>
  </si>
  <si>
    <t>231, Marine Drive</t>
  </si>
  <si>
    <t>27, Main Street</t>
  </si>
  <si>
    <t>297, Marine Drive</t>
  </si>
  <si>
    <t>260, Station Road</t>
  </si>
  <si>
    <t>83, Marine Drive</t>
  </si>
  <si>
    <t>89, Station Road</t>
  </si>
  <si>
    <t>156, Station Road</t>
  </si>
  <si>
    <t>183, Central Ave</t>
  </si>
  <si>
    <t>33, Main Street</t>
  </si>
  <si>
    <t>26, Baker Street</t>
  </si>
  <si>
    <t>106, Main Street</t>
  </si>
  <si>
    <t>51, Station Road</t>
  </si>
  <si>
    <t>63, Station Road</t>
  </si>
  <si>
    <t>243, Main Street</t>
  </si>
  <si>
    <t>191, Central Ave</t>
  </si>
  <si>
    <t>272, Baker Street</t>
  </si>
  <si>
    <t>235, Marine Drive</t>
  </si>
  <si>
    <t>206, Station Road</t>
  </si>
  <si>
    <t>78, Marine Drive</t>
  </si>
  <si>
    <t>156, Central Ave</t>
  </si>
  <si>
    <t>279, Marine Drive</t>
  </si>
  <si>
    <t>155, MG Road</t>
  </si>
  <si>
    <t>57, Central Ave</t>
  </si>
  <si>
    <t>64, MG Road</t>
  </si>
  <si>
    <t>298, Marine Drive</t>
  </si>
  <si>
    <t>54, Main Street</t>
  </si>
  <si>
    <t>32, Baker Street</t>
  </si>
  <si>
    <t>190, Central Ave</t>
  </si>
  <si>
    <t>214, Station Road</t>
  </si>
  <si>
    <t>263, Marine Drive</t>
  </si>
  <si>
    <t>81, Marine Drive</t>
  </si>
  <si>
    <t>61, Main Street</t>
  </si>
  <si>
    <t>249, MG Road</t>
  </si>
  <si>
    <t>157, Main Street</t>
  </si>
  <si>
    <t>63, Marine Drive</t>
  </si>
  <si>
    <t>294, Main Street</t>
  </si>
  <si>
    <t>167, MG Road</t>
  </si>
  <si>
    <t>46, Station Road</t>
  </si>
  <si>
    <t>296, MG Road</t>
  </si>
  <si>
    <t>165, Baker Street</t>
  </si>
  <si>
    <t>175, Baker Street</t>
  </si>
  <si>
    <t>196, Main Street</t>
  </si>
  <si>
    <t>147, Station Road</t>
  </si>
  <si>
    <t>164, Station Road</t>
  </si>
  <si>
    <t>198, MG Road</t>
  </si>
  <si>
    <t>86, MG Road</t>
  </si>
  <si>
    <t>24, Station Road</t>
  </si>
  <si>
    <t>222, Station Road</t>
  </si>
  <si>
    <t>202, Marine Drive</t>
  </si>
  <si>
    <t>199, Station Road</t>
  </si>
  <si>
    <t>99, Baker Street</t>
  </si>
  <si>
    <t>184, Station Road</t>
  </si>
  <si>
    <t>253, Main Street</t>
  </si>
  <si>
    <t>292, Marine Drive</t>
  </si>
  <si>
    <t>290, Central Ave</t>
  </si>
  <si>
    <t>99, Central Ave</t>
  </si>
  <si>
    <t>230, Main Street</t>
  </si>
  <si>
    <t>293, MG Road</t>
  </si>
  <si>
    <t>129, Station Road</t>
  </si>
  <si>
    <t>171, Marine Drive</t>
  </si>
  <si>
    <t>49, Central Ave</t>
  </si>
  <si>
    <t>18, Baker Street</t>
  </si>
  <si>
    <t>29, Marine Drive</t>
  </si>
  <si>
    <t>211, Station Road</t>
  </si>
  <si>
    <t>220, Marine Drive</t>
  </si>
  <si>
    <t>233, Marine Drive</t>
  </si>
  <si>
    <t>7, Marine Drive</t>
  </si>
  <si>
    <t>176, Main Street</t>
  </si>
  <si>
    <t>30, Station Road</t>
  </si>
  <si>
    <t>54, Baker Street</t>
  </si>
  <si>
    <t>205, Station Road</t>
  </si>
  <si>
    <t>226, Station Road</t>
  </si>
  <si>
    <t>102, Station Road</t>
  </si>
  <si>
    <t>12, Station Road</t>
  </si>
  <si>
    <t>195, Central Ave</t>
  </si>
  <si>
    <t>275, Main Street</t>
  </si>
  <si>
    <t>261, Main Street</t>
  </si>
  <si>
    <t>270, Central Ave</t>
  </si>
  <si>
    <t>104, Baker Street</t>
  </si>
  <si>
    <t>218, Baker Street</t>
  </si>
  <si>
    <t>282, MG Road</t>
  </si>
  <si>
    <t>255, Main Street</t>
  </si>
  <si>
    <t>227, Station Road</t>
  </si>
  <si>
    <t>151, Marine Drive</t>
  </si>
  <si>
    <t>171, Station Road</t>
  </si>
  <si>
    <t>7, Baker Street</t>
  </si>
  <si>
    <t>117, Central Ave</t>
  </si>
  <si>
    <t>265, Marine Drive</t>
  </si>
  <si>
    <t>161, Station Road</t>
  </si>
  <si>
    <t>286, MG Road</t>
  </si>
  <si>
    <t>157, Central Ave</t>
  </si>
  <si>
    <t>215, Baker Street</t>
  </si>
  <si>
    <t>167, Marine Drive</t>
  </si>
  <si>
    <t>170, Marine Drive</t>
  </si>
  <si>
    <t>201, MG Road</t>
  </si>
  <si>
    <t>169, Marine Drive</t>
  </si>
  <si>
    <t>81, MG Road</t>
  </si>
  <si>
    <t>200, Station Road</t>
  </si>
  <si>
    <t>82, Marine Drive</t>
  </si>
  <si>
    <t>258, Central Ave</t>
  </si>
  <si>
    <t>21, Central Ave</t>
  </si>
  <si>
    <t>222, Baker Street</t>
  </si>
  <si>
    <t>202, Central Ave</t>
  </si>
  <si>
    <t>210, Baker Street</t>
  </si>
  <si>
    <t>237, MG Road</t>
  </si>
  <si>
    <t>70, Main Street</t>
  </si>
  <si>
    <t>91, Main Street</t>
  </si>
  <si>
    <t>268, Central Ave</t>
  </si>
  <si>
    <t>228, MG Road</t>
  </si>
  <si>
    <t>216, MG Road</t>
  </si>
  <si>
    <t>213, Marine Drive</t>
  </si>
  <si>
    <t>107, Marine Drive</t>
  </si>
  <si>
    <t>110, MG Road</t>
  </si>
  <si>
    <t>206, Central Ave</t>
  </si>
  <si>
    <t>275, Marine Drive</t>
  </si>
  <si>
    <t>300, Baker Street</t>
  </si>
  <si>
    <t>120, MG Road</t>
  </si>
  <si>
    <t>220, Station Road</t>
  </si>
  <si>
    <t>20, Station Road</t>
  </si>
  <si>
    <t>13, Station Road</t>
  </si>
  <si>
    <t>106, Marine Drive</t>
  </si>
  <si>
    <t>252, MG Road</t>
  </si>
  <si>
    <t>65, MG Road</t>
  </si>
  <si>
    <t>126, Baker Street</t>
  </si>
  <si>
    <t>284, Central Ave</t>
  </si>
  <si>
    <t>233, Main Street</t>
  </si>
  <si>
    <t>257, Central Ave</t>
  </si>
  <si>
    <t>30, Central Ave</t>
  </si>
  <si>
    <t>245, MG Road</t>
  </si>
  <si>
    <t>42, Marine Drive</t>
  </si>
  <si>
    <t>211, Central Ave</t>
  </si>
  <si>
    <t>87, Baker Street</t>
  </si>
  <si>
    <t>192, Station Road</t>
  </si>
  <si>
    <t>258, MG Road</t>
  </si>
  <si>
    <t>31, Central Ave</t>
  </si>
  <si>
    <t>194, MG Road</t>
  </si>
  <si>
    <t>300, Station Road</t>
  </si>
  <si>
    <t>32, Main Street</t>
  </si>
  <si>
    <t>268, MG Road</t>
  </si>
  <si>
    <t>244, Marine Drive</t>
  </si>
  <si>
    <t>249, Baker Street</t>
  </si>
  <si>
    <t>74, Marine Drive</t>
  </si>
  <si>
    <t>155, Central Ave</t>
  </si>
  <si>
    <t>247, Central Ave</t>
  </si>
  <si>
    <t>149, MG Road</t>
  </si>
  <si>
    <t>60, Marine Drive</t>
  </si>
  <si>
    <t>187, Central Ave</t>
  </si>
  <si>
    <t>276, Baker Street</t>
  </si>
  <si>
    <t>256, Central Ave</t>
  </si>
  <si>
    <t>75, Central Ave</t>
  </si>
  <si>
    <t>254, Main Street</t>
  </si>
  <si>
    <t>217, Central Ave</t>
  </si>
  <si>
    <t>271, Central Ave</t>
  </si>
  <si>
    <t>50, Station Road</t>
  </si>
  <si>
    <t>296, Station Road</t>
  </si>
  <si>
    <t>108, Station Road</t>
  </si>
  <si>
    <t>53, Central Ave</t>
  </si>
  <si>
    <t>61, Marine Drive</t>
  </si>
  <si>
    <t>12, Marine Drive</t>
  </si>
  <si>
    <t>276, Central Ave</t>
  </si>
  <si>
    <t>161, MG Road</t>
  </si>
  <si>
    <t>64, Marine Drive</t>
  </si>
  <si>
    <t>266, Main Street</t>
  </si>
  <si>
    <t>161, Marine Drive</t>
  </si>
  <si>
    <t>69, Marine Drive</t>
  </si>
  <si>
    <t>66, Central Ave</t>
  </si>
  <si>
    <t>134, Baker Street</t>
  </si>
  <si>
    <t>131, Central Ave</t>
  </si>
  <si>
    <t>37, Central Ave</t>
  </si>
  <si>
    <t>195, MG Road</t>
  </si>
  <si>
    <t>186, Main Street</t>
  </si>
  <si>
    <t>64, Station Road</t>
  </si>
  <si>
    <t>271, Main Street</t>
  </si>
  <si>
    <t>177, Central Ave</t>
  </si>
  <si>
    <t>133, MG Road</t>
  </si>
  <si>
    <t>215, Central Ave</t>
  </si>
  <si>
    <t>41, MG Road</t>
  </si>
  <si>
    <t>273, Central Ave</t>
  </si>
  <si>
    <t>4, Central Ave</t>
  </si>
  <si>
    <t>22, Marine Drive</t>
  </si>
  <si>
    <t>217, Baker Street</t>
  </si>
  <si>
    <t>112, Main Street</t>
  </si>
  <si>
    <t>30, Main Street</t>
  </si>
  <si>
    <t>182, MG Road</t>
  </si>
  <si>
    <t>271, Marine Drive</t>
  </si>
  <si>
    <t>80, Central Ave</t>
  </si>
  <si>
    <t>56, Baker Street</t>
  </si>
  <si>
    <t>182, Central Ave</t>
  </si>
  <si>
    <t>170, MG Road</t>
  </si>
  <si>
    <t>61, Baker Street</t>
  </si>
  <si>
    <t>56, MG Road</t>
  </si>
  <si>
    <t>223, Baker Street</t>
  </si>
  <si>
    <t>118, MG Road</t>
  </si>
  <si>
    <t>99, Station Road</t>
  </si>
  <si>
    <t>119, Station Road</t>
  </si>
  <si>
    <t>221, Station Road</t>
  </si>
  <si>
    <t>191, Station Road</t>
  </si>
  <si>
    <t>45, MG Road</t>
  </si>
  <si>
    <t>287, Main Street</t>
  </si>
  <si>
    <t>248, Baker Street</t>
  </si>
  <si>
    <t>67, Main Street</t>
  </si>
  <si>
    <t>273, Marine Drive</t>
  </si>
  <si>
    <t>2, Station Road</t>
  </si>
  <si>
    <t>152, Central Ave</t>
  </si>
  <si>
    <t>151, Main Street</t>
  </si>
  <si>
    <t>196, Central Ave</t>
  </si>
  <si>
    <t>223, Main Street</t>
  </si>
  <si>
    <t>145, MG Road</t>
  </si>
  <si>
    <t>80, Station Road</t>
  </si>
  <si>
    <t>11, MG Road</t>
  </si>
  <si>
    <t>76, Main Street</t>
  </si>
  <si>
    <t>252, Station Road</t>
  </si>
  <si>
    <t>183, MG Road</t>
  </si>
  <si>
    <t>23, Marine Drive</t>
  </si>
  <si>
    <t>93, Central Ave</t>
  </si>
  <si>
    <t>179, MG Road</t>
  </si>
  <si>
    <t>40, MG Road</t>
  </si>
  <si>
    <t>200, Baker Street</t>
  </si>
  <si>
    <t>69, MG Road</t>
  </si>
  <si>
    <t>115, MG Road</t>
  </si>
  <si>
    <t>194, Central Ave</t>
  </si>
  <si>
    <t>55, Central Ave</t>
  </si>
  <si>
    <t>258, Station Road</t>
  </si>
  <si>
    <t>140, MG Road</t>
  </si>
  <si>
    <t>195, Station Road</t>
  </si>
  <si>
    <t>139, MG Road</t>
  </si>
  <si>
    <t>204, Marine Drive</t>
  </si>
  <si>
    <t>50, Main Street</t>
  </si>
  <si>
    <t>13, Marine Drive</t>
  </si>
  <si>
    <t>149, Station Road</t>
  </si>
  <si>
    <t>268, Main Street</t>
  </si>
  <si>
    <t>256, MG Road</t>
  </si>
  <si>
    <t>37, Station Road</t>
  </si>
  <si>
    <t>227, Central Ave</t>
  </si>
  <si>
    <t>187, Main Street</t>
  </si>
  <si>
    <t>226, Main Street</t>
  </si>
  <si>
    <t>149, Baker Street</t>
  </si>
  <si>
    <t>199, Baker Street</t>
  </si>
  <si>
    <t>204, Baker Street</t>
  </si>
  <si>
    <t>163, Main Street</t>
  </si>
  <si>
    <t>143, Baker Street</t>
  </si>
  <si>
    <t>110, Main Street</t>
  </si>
  <si>
    <t>186, Baker Street</t>
  </si>
  <si>
    <t>12, Central Ave</t>
  </si>
  <si>
    <t>43, Station Road</t>
  </si>
  <si>
    <t>153, Central Ave</t>
  </si>
  <si>
    <t>133, Station Road</t>
  </si>
  <si>
    <t>85, Station Road</t>
  </si>
  <si>
    <t>288, Marine Drive</t>
  </si>
  <si>
    <t>166, Central Ave</t>
  </si>
  <si>
    <t>267, Central Ave</t>
  </si>
  <si>
    <t>194, Station Road</t>
  </si>
  <si>
    <t>190, Main Street</t>
  </si>
  <si>
    <t>278, Baker Street</t>
  </si>
  <si>
    <t>235, Baker Street</t>
  </si>
  <si>
    <t>17, Central Ave</t>
  </si>
  <si>
    <t>180, Baker Street</t>
  </si>
  <si>
    <t>260, Main Street</t>
  </si>
  <si>
    <t>293, Baker Street</t>
  </si>
  <si>
    <t>207, Main Street</t>
  </si>
  <si>
    <t>51, Central Ave</t>
  </si>
  <si>
    <t>284, Station Road</t>
  </si>
  <si>
    <t>14, Baker Street</t>
  </si>
  <si>
    <t>96, Station Road</t>
  </si>
  <si>
    <t>57, Baker Street</t>
  </si>
  <si>
    <t>107, Baker Street</t>
  </si>
  <si>
    <t>291, Central Ave</t>
  </si>
  <si>
    <t>248, Marine Drive</t>
  </si>
  <si>
    <t>266, Marine Drive</t>
  </si>
  <si>
    <t>65, Main Street</t>
  </si>
  <si>
    <t>179, Central Ave</t>
  </si>
  <si>
    <t>250, Baker Street</t>
  </si>
  <si>
    <t>164, Marine Drive</t>
  </si>
  <si>
    <t>291, Main Street</t>
  </si>
  <si>
    <t>18, Marine Drive</t>
  </si>
  <si>
    <t>181, Baker Street</t>
  </si>
  <si>
    <t>169, Station Road</t>
  </si>
  <si>
    <t>68, Baker Street</t>
  </si>
  <si>
    <t>88, MG Road</t>
  </si>
  <si>
    <t>39, Main Street</t>
  </si>
  <si>
    <t>116, MG Road</t>
  </si>
  <si>
    <t>125, Central Ave</t>
  </si>
  <si>
    <t>254, MG Road</t>
  </si>
  <si>
    <t>264, Main Street</t>
  </si>
  <si>
    <t>158, Marine Drive</t>
  </si>
  <si>
    <t>100, Main Street</t>
  </si>
  <si>
    <t>142, Station Road</t>
  </si>
  <si>
    <t>113, Central Ave</t>
  </si>
  <si>
    <t>88, Station Road</t>
  </si>
  <si>
    <t>88, Main Street</t>
  </si>
  <si>
    <t>171, Baker Street</t>
  </si>
  <si>
    <t>117, Marine Drive</t>
  </si>
  <si>
    <t>7, Main Street</t>
  </si>
  <si>
    <t>58, Main Street</t>
  </si>
  <si>
    <t>141, Central Ave</t>
  </si>
  <si>
    <t>142, Main Street</t>
  </si>
  <si>
    <t>63, Baker Street</t>
  </si>
  <si>
    <t>5, Baker Street</t>
  </si>
  <si>
    <t>145, Marine Drive</t>
  </si>
  <si>
    <t>74, Central Ave</t>
  </si>
  <si>
    <t>198, Baker Street</t>
  </si>
  <si>
    <t>160, Station Road</t>
  </si>
  <si>
    <t>103, Main Street</t>
  </si>
  <si>
    <t>94, Baker Street</t>
  </si>
  <si>
    <t>239, Baker Street</t>
  </si>
  <si>
    <t>207, Central Ave</t>
  </si>
  <si>
    <t>300, Central Ave</t>
  </si>
  <si>
    <t>59, MG Road</t>
  </si>
  <si>
    <t>208, Baker Street</t>
  </si>
  <si>
    <t>103, Baker Street</t>
  </si>
  <si>
    <t>240, Central Ave</t>
  </si>
  <si>
    <t>263, MG Road</t>
  </si>
  <si>
    <t>300, Marine Drive</t>
  </si>
  <si>
    <t>82, Station Road</t>
  </si>
  <si>
    <t>119, Central Ave</t>
  </si>
  <si>
    <t>252, Baker Street</t>
  </si>
  <si>
    <t>83, Baker Street</t>
  </si>
  <si>
    <t>287, Station Road</t>
  </si>
  <si>
    <t>292, MG Road</t>
  </si>
  <si>
    <t>256, Station Road</t>
  </si>
  <si>
    <t>149, Main Street</t>
  </si>
  <si>
    <t>299, Baker Street</t>
  </si>
  <si>
    <t>281, Central Ave</t>
  </si>
  <si>
    <t>289, Marine Drive</t>
  </si>
  <si>
    <t>139, Central Ave</t>
  </si>
  <si>
    <t>116, Central Ave</t>
  </si>
  <si>
    <t>117, MG Road</t>
  </si>
  <si>
    <t>48, Marine Drive</t>
  </si>
  <si>
    <t>129, Marine Drive</t>
  </si>
  <si>
    <t>126, Marine Drive</t>
  </si>
  <si>
    <t>28, Main Street</t>
  </si>
  <si>
    <t>105, Station Road</t>
  </si>
  <si>
    <t>226, Central Ave</t>
  </si>
  <si>
    <t>139, Main Street</t>
  </si>
  <si>
    <t>31, Main Street</t>
  </si>
  <si>
    <t>157, MG Road</t>
  </si>
  <si>
    <t>148, Marine Drive</t>
  </si>
  <si>
    <t>8, Main Street</t>
  </si>
  <si>
    <t>228, Baker Street</t>
  </si>
  <si>
    <t>184, Baker Street</t>
  </si>
  <si>
    <t>90, Station Road</t>
  </si>
  <si>
    <t>9, Central Ave</t>
  </si>
  <si>
    <t>180, MG Road</t>
  </si>
  <si>
    <t>172, Baker Street</t>
  </si>
  <si>
    <t>298, Central Ave</t>
  </si>
  <si>
    <t>77, Baker Street</t>
  </si>
  <si>
    <t>147, Main Street</t>
  </si>
  <si>
    <t>259, Station Road</t>
  </si>
  <si>
    <t>182, Baker Street</t>
  </si>
  <si>
    <t>245, Central Ave</t>
  </si>
  <si>
    <t>153, Baker Street</t>
  </si>
  <si>
    <t>92, Station Road</t>
  </si>
  <si>
    <t>295, Marine Drive</t>
  </si>
  <si>
    <t>85, MG Road</t>
  </si>
  <si>
    <t>87, Main Street</t>
  </si>
  <si>
    <t>222, MG Road</t>
  </si>
  <si>
    <t>136, Baker Street</t>
  </si>
  <si>
    <t>178, Central Ave</t>
  </si>
  <si>
    <t>67, Marine Drive</t>
  </si>
  <si>
    <t>100, Marine Drive</t>
  </si>
  <si>
    <t>114, Baker Street</t>
  </si>
  <si>
    <t>191, Marine Drive</t>
  </si>
  <si>
    <t>289, MG Road</t>
  </si>
  <si>
    <t>43, MG Road</t>
  </si>
  <si>
    <t>173, Station Road</t>
  </si>
  <si>
    <t>256, Main Street</t>
  </si>
  <si>
    <t>205, MG Road</t>
  </si>
  <si>
    <t>139, Marine Drive</t>
  </si>
  <si>
    <t>85, Marine Drive</t>
  </si>
  <si>
    <t>35, Main Street</t>
  </si>
  <si>
    <t>197, Main Street</t>
  </si>
  <si>
    <t>87, MG Road</t>
  </si>
  <si>
    <t>74, Station Road</t>
  </si>
  <si>
    <t>272, MG Road</t>
  </si>
  <si>
    <t>74, Baker Street</t>
  </si>
  <si>
    <t>101, Baker Street</t>
  </si>
  <si>
    <t>169, MG Road</t>
  </si>
  <si>
    <t>79, Central Ave</t>
  </si>
  <si>
    <t>215, MG Road</t>
  </si>
  <si>
    <t>188, Marine Drive</t>
  </si>
  <si>
    <t>89, Baker Street</t>
  </si>
  <si>
    <t>288, Main Street</t>
  </si>
  <si>
    <t>290, Baker Street</t>
  </si>
  <si>
    <t>112, Central Ave</t>
  </si>
  <si>
    <t>28, Baker Street</t>
  </si>
  <si>
    <t>82, Baker Street</t>
  </si>
  <si>
    <t>12, Baker Street</t>
  </si>
  <si>
    <t>205, Baker Street</t>
  </si>
  <si>
    <t>248, Central Ave</t>
  </si>
  <si>
    <t>102, Marine Drive</t>
  </si>
  <si>
    <t>236, MG Road</t>
  </si>
  <si>
    <t>224, MG Road</t>
  </si>
  <si>
    <t>50, Baker Street</t>
  </si>
  <si>
    <t>37, Main Street</t>
  </si>
  <si>
    <t>121, Main Street</t>
  </si>
  <si>
    <t>249, Central Ave</t>
  </si>
  <si>
    <t>4, Main Street</t>
  </si>
  <si>
    <t>233, Baker Street</t>
  </si>
  <si>
    <t>177, Baker Street</t>
  </si>
  <si>
    <t>209, Station Road</t>
  </si>
  <si>
    <t>250, Marine Drive</t>
  </si>
  <si>
    <t>156, Main Street</t>
  </si>
  <si>
    <t>221, Baker Street</t>
  </si>
  <si>
    <t>193, Marine Drive</t>
  </si>
  <si>
    <t>112, Baker Street</t>
  </si>
  <si>
    <t>2, Marine Drive</t>
  </si>
  <si>
    <t>197, Marine Drive</t>
  </si>
  <si>
    <t>15, Marine Drive</t>
  </si>
  <si>
    <t>200, Marine Drive</t>
  </si>
  <si>
    <t>151, MG Road</t>
  </si>
  <si>
    <t>237, Marine Drive</t>
  </si>
  <si>
    <t>73, Station Road</t>
  </si>
  <si>
    <t>169, Central Ave</t>
  </si>
  <si>
    <t>134, Main Street</t>
  </si>
  <si>
    <t>150, Main Street</t>
  </si>
  <si>
    <t>76, Marine Drive</t>
  </si>
  <si>
    <t>269, Station Road</t>
  </si>
  <si>
    <t>205, Central Ave</t>
  </si>
  <si>
    <t>68, Marine Drive</t>
  </si>
  <si>
    <t>234, MG Road</t>
  </si>
  <si>
    <t>253, Central Ave</t>
  </si>
  <si>
    <t>175, Main Street</t>
  </si>
  <si>
    <t>84, Station Road</t>
  </si>
  <si>
    <t>118, Main Street</t>
  </si>
  <si>
    <t>218, Marine Drive</t>
  </si>
  <si>
    <t>210, Main Street</t>
  </si>
  <si>
    <t>29, Central Ave</t>
  </si>
  <si>
    <t>78, Station Road</t>
  </si>
  <si>
    <t>134, Marine Drive</t>
  </si>
  <si>
    <t>35, Central Ave</t>
  </si>
  <si>
    <t>72, MG Road</t>
  </si>
  <si>
    <t>25, Marine Drive</t>
  </si>
  <si>
    <t>273, Station Road</t>
  </si>
  <si>
    <t>36, Main Street</t>
  </si>
  <si>
    <t>229, Baker Street</t>
  </si>
  <si>
    <t>62, Baker Street</t>
  </si>
  <si>
    <t>108, MG Road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</si>
</sst>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yyyy/mm/dd;@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80" fontId="0" fillId="0" borderId="0" xfId="0" applyNumberFormat="1"/>
    <xf numFmtId="180" fontId="1" fillId="2" borderId="1" xfId="0" applyNumberFormat="1" applyFont="1" applyFill="1" applyBorder="1" applyAlignment="1">
      <alignment horizontal="center" vertical="top"/>
    </xf>
    <xf numFmtId="181" fontId="0" fillId="0" borderId="0" xfId="0" applyNumberFormat="1"/>
    <xf numFmtId="181" fontId="1" fillId="2" borderId="1" xfId="0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Font="1" applyFill="1" applyAlignment="1"/>
    <xf numFmtId="0" fontId="2" fillId="2" borderId="0" xfId="0" applyFont="1" applyFill="1"/>
    <xf numFmtId="0" fontId="0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01"/>
  <sheetViews>
    <sheetView topLeftCell="E1" workbookViewId="0">
      <selection activeCell="S2" sqref="S2"/>
    </sheetView>
  </sheetViews>
  <sheetFormatPr defaultColWidth="9" defaultRowHeight="14.4"/>
  <cols>
    <col min="1" max="1" width="13.8888888888889" customWidth="1"/>
    <col min="2" max="2" width="12.8888888888889" customWidth="1"/>
    <col min="3" max="3" width="17.1111111111111" customWidth="1"/>
    <col min="4" max="4" width="10.4444444444444" customWidth="1"/>
    <col min="5" max="5" width="9.44444444444444" customWidth="1"/>
    <col min="6" max="6" width="8.33333333333333" customWidth="1"/>
    <col min="7" max="7" width="13.8888888888889" style="4" customWidth="1"/>
    <col min="8" max="8" width="13.6666666666667" style="4" customWidth="1"/>
    <col min="9" max="9" width="15.1111111111111" style="4" customWidth="1"/>
    <col min="10" max="10" width="7" customWidth="1"/>
    <col min="11" max="11" width="13.5555555555556" customWidth="1"/>
    <col min="12" max="12" width="16" customWidth="1"/>
    <col min="13" max="13" width="20.1111111111111" style="8" customWidth="1"/>
    <col min="14" max="14" width="15.4444444444444" customWidth="1"/>
    <col min="15" max="15" width="17.8888888888889" customWidth="1"/>
    <col min="16" max="16" width="15.2222222222222" customWidth="1"/>
    <col min="17" max="17" width="11.1111111111111" customWidth="1"/>
    <col min="18" max="18" width="10.2222222222222" customWidth="1"/>
    <col min="19" max="19" width="15.555555555555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9" t="s">
        <v>15</v>
      </c>
      <c r="Q1" s="1" t="s">
        <v>16</v>
      </c>
      <c r="R1" s="9" t="s">
        <v>17</v>
      </c>
      <c r="S1" s="9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4">
        <v>45828</v>
      </c>
      <c r="H2" s="4">
        <v>45841</v>
      </c>
      <c r="I2" s="4">
        <v>45853</v>
      </c>
      <c r="J2">
        <f t="shared" ref="J2:J65" si="0">I2-H2</f>
        <v>12</v>
      </c>
      <c r="K2" t="str">
        <f t="array" ref="K2">_xlfn.IFS(J2=1,"Day Use",J2&lt;=3,"Short Stay",J2&lt;=7,"Extended Stay",J2&gt;=8,"Long Stay")</f>
        <v>Long Stay</v>
      </c>
      <c r="L2" t="s">
        <v>25</v>
      </c>
      <c r="M2" s="10" t="str">
        <f t="shared" ref="M2:M65" si="1">IF($J2&lt;=3,"Standard",IF($J2&lt;=6,"Deluxe",IF($J2&lt;=10,"Premium","Suite")))</f>
        <v>Suite</v>
      </c>
      <c r="N2" t="s">
        <v>26</v>
      </c>
      <c r="O2" t="s">
        <v>27</v>
      </c>
      <c r="P2">
        <f>IFERROR(VLOOKUP(TRIM(M2),Room!D:H,5,FALSE),5000)</f>
        <v>12500</v>
      </c>
      <c r="Q2">
        <f>P2*J2</f>
        <v>150000</v>
      </c>
      <c r="R2" s="11" t="str">
        <f>IF(ISNUMBER(SEARCH("Suite",D2)),"Honeymoon",IF(P2&gt;10000,"Business",IF(P2&gt;5000,"Conference",IF(J2&gt;=8,"Family Vacation","Other"))))</f>
        <v>Business</v>
      </c>
      <c r="S2" s="11">
        <f>IF(M2="Suite",5,IF(M2="Premium",IF(Q2&gt;20000,4,3),IF(M2="Deluxe",IF(Q2&gt;=10000,3,2),IF(M2="Standard",IF(Q2&gt;=5000,2,1),1))))</f>
        <v>5</v>
      </c>
    </row>
    <row r="3" spans="1:19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s="4">
        <v>45285</v>
      </c>
      <c r="H3" s="4">
        <v>45786</v>
      </c>
      <c r="I3" s="4">
        <v>45797</v>
      </c>
      <c r="J3">
        <f t="shared" si="0"/>
        <v>11</v>
      </c>
      <c r="K3" t="str">
        <f t="array" ref="K3">_xlfn.IFS(J3=1,"Day Use",J3&lt;=3,"Short Stay",J3&lt;=7,"Extended Stay",J3&gt;=8,"Long Stay")</f>
        <v>Long Stay</v>
      </c>
      <c r="L3" t="s">
        <v>34</v>
      </c>
      <c r="M3" s="10" t="str">
        <f t="shared" si="1"/>
        <v>Suite</v>
      </c>
      <c r="N3" t="s">
        <v>26</v>
      </c>
      <c r="O3" t="s">
        <v>35</v>
      </c>
      <c r="P3">
        <f>IFERROR(VLOOKUP(TRIM(M3),Room!D:H,5,FALSE),5000)</f>
        <v>12500</v>
      </c>
      <c r="Q3">
        <f t="shared" ref="Q3:Q66" si="2">P3*J3</f>
        <v>137500</v>
      </c>
      <c r="R3" s="11" t="str">
        <f t="shared" ref="R3:R66" si="3">IF(ISNUMBER(SEARCH("Suite",D3)),"Honeymoon",IF(P3&gt;10000,"Business",IF(P3&gt;5000,"Conference",IF(J3&gt;=8,"Family Vacation","Other"))))</f>
        <v>Business</v>
      </c>
      <c r="S3" s="11">
        <f t="shared" ref="S3:S66" si="4">IF(M3="Suite",5,IF(M3="Premium",IF(Q3&gt;20000,4,3),IF(M3="Deluxe",IF(Q3&gt;=10000,3,2),IF(M3="Standard",IF(Q3&gt;=5000,2,1),1))))</f>
        <v>5</v>
      </c>
    </row>
    <row r="4" spans="1:19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s="4">
        <v>45541</v>
      </c>
      <c r="H4" s="4">
        <v>45557</v>
      </c>
      <c r="I4" s="4">
        <v>45563</v>
      </c>
      <c r="J4">
        <f t="shared" si="0"/>
        <v>6</v>
      </c>
      <c r="K4" t="str">
        <f t="array" ref="K4">_xlfn.IFS(J4=1,"Day Use",J4&lt;=3,"Short Stay",J4&lt;=7,"Extended Stay",J4&gt;=8,"Long Stay")</f>
        <v>Extended Stay</v>
      </c>
      <c r="L4" t="s">
        <v>25</v>
      </c>
      <c r="M4" s="10" t="str">
        <f t="shared" si="1"/>
        <v>Deluxe</v>
      </c>
      <c r="N4" t="s">
        <v>26</v>
      </c>
      <c r="O4" t="s">
        <v>42</v>
      </c>
      <c r="P4">
        <f>IFERROR(VLOOKUP(TRIM(M4),Room!D:H,5,FALSE),5000)</f>
        <v>5400</v>
      </c>
      <c r="Q4">
        <f t="shared" si="2"/>
        <v>32400</v>
      </c>
      <c r="R4" s="11" t="str">
        <f t="shared" si="3"/>
        <v>Conference</v>
      </c>
      <c r="S4" s="11">
        <f t="shared" si="4"/>
        <v>3</v>
      </c>
    </row>
    <row r="5" spans="1:19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s="4">
        <v>45740</v>
      </c>
      <c r="H5" s="4">
        <v>45752</v>
      </c>
      <c r="I5" s="4">
        <v>45757</v>
      </c>
      <c r="J5">
        <f t="shared" si="0"/>
        <v>5</v>
      </c>
      <c r="K5" t="str">
        <f t="array" ref="K5">_xlfn.IFS(J5=1,"Day Use",J5&lt;=3,"Short Stay",J5&lt;=7,"Extended Stay",J5&gt;=8,"Long Stay")</f>
        <v>Extended Stay</v>
      </c>
      <c r="L5" t="s">
        <v>49</v>
      </c>
      <c r="M5" s="10" t="str">
        <f t="shared" si="1"/>
        <v>Deluxe</v>
      </c>
      <c r="N5" t="s">
        <v>26</v>
      </c>
      <c r="O5" t="s">
        <v>27</v>
      </c>
      <c r="P5">
        <f>IFERROR(VLOOKUP(TRIM(M5),Room!D:H,5,FALSE),5000)</f>
        <v>5400</v>
      </c>
      <c r="Q5">
        <f t="shared" si="2"/>
        <v>27000</v>
      </c>
      <c r="R5" s="11" t="str">
        <f t="shared" si="3"/>
        <v>Conference</v>
      </c>
      <c r="S5" s="11">
        <f t="shared" si="4"/>
        <v>3</v>
      </c>
    </row>
    <row r="6" spans="1:19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s="4">
        <v>45340</v>
      </c>
      <c r="H6" s="4">
        <v>45853</v>
      </c>
      <c r="I6" s="4">
        <v>45856</v>
      </c>
      <c r="J6">
        <f t="shared" si="0"/>
        <v>3</v>
      </c>
      <c r="K6" t="str">
        <f t="array" ref="K6">_xlfn.IFS(J6=1,"Day Use",J6&lt;=3,"Short Stay",J6&lt;=7,"Extended Stay",J6&gt;=8,"Long Stay")</f>
        <v>Short Stay</v>
      </c>
      <c r="L6" t="s">
        <v>56</v>
      </c>
      <c r="M6" s="10" t="str">
        <f t="shared" si="1"/>
        <v>Standard</v>
      </c>
      <c r="N6" t="s">
        <v>57</v>
      </c>
      <c r="O6" t="s">
        <v>58</v>
      </c>
      <c r="P6">
        <f>IFERROR(VLOOKUP(TRIM(M6),Room!D:H,5,FALSE),5000)</f>
        <v>3200</v>
      </c>
      <c r="Q6">
        <f t="shared" si="2"/>
        <v>9600</v>
      </c>
      <c r="R6" s="11" t="str">
        <f t="shared" si="3"/>
        <v>Other</v>
      </c>
      <c r="S6" s="11">
        <f t="shared" si="4"/>
        <v>2</v>
      </c>
    </row>
    <row r="7" spans="1:19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s="4">
        <v>45231</v>
      </c>
      <c r="H7" s="4">
        <v>45366</v>
      </c>
      <c r="I7" s="4">
        <v>45376</v>
      </c>
      <c r="J7">
        <f t="shared" si="0"/>
        <v>10</v>
      </c>
      <c r="K7" t="str">
        <f t="array" ref="K7">_xlfn.IFS(J7=1,"Day Use",J7&lt;=3,"Short Stay",J7&lt;=7,"Extended Stay",J7&gt;=8,"Long Stay")</f>
        <v>Long Stay</v>
      </c>
      <c r="L7" t="s">
        <v>56</v>
      </c>
      <c r="M7" s="10" t="str">
        <f t="shared" si="1"/>
        <v>Premium</v>
      </c>
      <c r="N7" t="s">
        <v>26</v>
      </c>
      <c r="O7" t="s">
        <v>42</v>
      </c>
      <c r="P7">
        <f>IFERROR(VLOOKUP(TRIM(M7),Room!D:H,5,FALSE),5000)</f>
        <v>9500</v>
      </c>
      <c r="Q7">
        <f t="shared" si="2"/>
        <v>95000</v>
      </c>
      <c r="R7" s="11" t="str">
        <f t="shared" si="3"/>
        <v>Conference</v>
      </c>
      <c r="S7" s="11">
        <f t="shared" si="4"/>
        <v>4</v>
      </c>
    </row>
    <row r="8" spans="1:19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s="4">
        <v>45686</v>
      </c>
      <c r="H8" s="4">
        <v>45694</v>
      </c>
      <c r="I8" s="4">
        <v>45703</v>
      </c>
      <c r="J8">
        <f t="shared" si="0"/>
        <v>9</v>
      </c>
      <c r="K8" t="str">
        <f t="array" ref="K8">_xlfn.IFS(J8=1,"Day Use",J8&lt;=3,"Short Stay",J8&lt;=7,"Extended Stay",J8&gt;=8,"Long Stay")</f>
        <v>Long Stay</v>
      </c>
      <c r="L8" t="s">
        <v>34</v>
      </c>
      <c r="M8" s="10" t="str">
        <f t="shared" si="1"/>
        <v>Premium</v>
      </c>
      <c r="N8" t="s">
        <v>26</v>
      </c>
      <c r="O8" t="s">
        <v>71</v>
      </c>
      <c r="P8">
        <f>IFERROR(VLOOKUP(TRIM(M8),Room!D:H,5,FALSE),5000)</f>
        <v>9500</v>
      </c>
      <c r="Q8">
        <f t="shared" si="2"/>
        <v>85500</v>
      </c>
      <c r="R8" s="11" t="str">
        <f t="shared" si="3"/>
        <v>Conference</v>
      </c>
      <c r="S8" s="11">
        <f t="shared" si="4"/>
        <v>4</v>
      </c>
    </row>
    <row r="9" spans="1:19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s="4">
        <v>45225</v>
      </c>
      <c r="H9" s="4">
        <v>45607</v>
      </c>
      <c r="I9" s="4">
        <v>45618</v>
      </c>
      <c r="J9">
        <f t="shared" si="0"/>
        <v>11</v>
      </c>
      <c r="K9" t="str">
        <f t="array" ref="K9">_xlfn.IFS(J9=1,"Day Use",J9&lt;=3,"Short Stay",J9&lt;=7,"Extended Stay",J9&gt;=8,"Long Stay")</f>
        <v>Long Stay</v>
      </c>
      <c r="L9" t="s">
        <v>49</v>
      </c>
      <c r="M9" s="10" t="str">
        <f t="shared" si="1"/>
        <v>Suite</v>
      </c>
      <c r="N9" t="s">
        <v>26</v>
      </c>
      <c r="O9" t="s">
        <v>71</v>
      </c>
      <c r="P9">
        <f>IFERROR(VLOOKUP(TRIM(M9),Room!D:H,5,FALSE),5000)</f>
        <v>12500</v>
      </c>
      <c r="Q9">
        <f t="shared" si="2"/>
        <v>137500</v>
      </c>
      <c r="R9" s="11" t="str">
        <f t="shared" si="3"/>
        <v>Business</v>
      </c>
      <c r="S9" s="11">
        <f t="shared" si="4"/>
        <v>5</v>
      </c>
    </row>
    <row r="10" spans="1:19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s="4">
        <v>45616</v>
      </c>
      <c r="H10" s="4">
        <v>45803</v>
      </c>
      <c r="I10" s="4">
        <v>45816</v>
      </c>
      <c r="J10">
        <f t="shared" si="0"/>
        <v>13</v>
      </c>
      <c r="K10" t="str">
        <f t="array" ref="K10">_xlfn.IFS(J10=1,"Day Use",J10&lt;=3,"Short Stay",J10&lt;=7,"Extended Stay",J10&gt;=8,"Long Stay")</f>
        <v>Long Stay</v>
      </c>
      <c r="L10" t="s">
        <v>84</v>
      </c>
      <c r="M10" s="10" t="str">
        <f t="shared" si="1"/>
        <v>Suite</v>
      </c>
      <c r="N10" t="s">
        <v>26</v>
      </c>
      <c r="O10" t="s">
        <v>71</v>
      </c>
      <c r="P10">
        <f>IFERROR(VLOOKUP(TRIM(M10),Room!D:H,5,FALSE),5000)</f>
        <v>12500</v>
      </c>
      <c r="Q10">
        <f t="shared" si="2"/>
        <v>162500</v>
      </c>
      <c r="R10" s="11" t="str">
        <f t="shared" si="3"/>
        <v>Business</v>
      </c>
      <c r="S10" s="11">
        <f t="shared" si="4"/>
        <v>5</v>
      </c>
    </row>
    <row r="11" spans="1:19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s="4">
        <v>45339</v>
      </c>
      <c r="H11" s="4">
        <v>45368</v>
      </c>
      <c r="I11" s="4">
        <v>45376</v>
      </c>
      <c r="J11">
        <f t="shared" si="0"/>
        <v>8</v>
      </c>
      <c r="K11" t="str">
        <f t="array" ref="K11">_xlfn.IFS(J11=1,"Day Use",J11&lt;=3,"Short Stay",J11&lt;=7,"Extended Stay",J11&gt;=8,"Long Stay")</f>
        <v>Long Stay</v>
      </c>
      <c r="L11" t="s">
        <v>91</v>
      </c>
      <c r="M11" s="10" t="str">
        <f t="shared" si="1"/>
        <v>Premium</v>
      </c>
      <c r="N11" t="s">
        <v>26</v>
      </c>
      <c r="O11" t="s">
        <v>58</v>
      </c>
      <c r="P11">
        <f>IFERROR(VLOOKUP(TRIM(M11),Room!D:H,5,FALSE),5000)</f>
        <v>9500</v>
      </c>
      <c r="Q11">
        <f t="shared" si="2"/>
        <v>76000</v>
      </c>
      <c r="R11" s="11" t="str">
        <f t="shared" si="3"/>
        <v>Conference</v>
      </c>
      <c r="S11" s="11">
        <f t="shared" si="4"/>
        <v>4</v>
      </c>
    </row>
    <row r="12" spans="1:19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s="4">
        <v>45394</v>
      </c>
      <c r="H12" s="4">
        <v>45444</v>
      </c>
      <c r="I12" s="4">
        <v>45445</v>
      </c>
      <c r="J12">
        <f t="shared" si="0"/>
        <v>1</v>
      </c>
      <c r="K12" t="str">
        <f t="array" ref="K12">_xlfn.IFS(J12=1,"Day Use",J12&lt;=3,"Short Stay",J12&lt;=7,"Extended Stay",J12&gt;=8,"Long Stay")</f>
        <v>Day Use</v>
      </c>
      <c r="L12" t="s">
        <v>34</v>
      </c>
      <c r="M12" s="10" t="str">
        <f t="shared" si="1"/>
        <v>Standard</v>
      </c>
      <c r="N12" t="s">
        <v>26</v>
      </c>
      <c r="O12" t="s">
        <v>27</v>
      </c>
      <c r="P12">
        <f>IFERROR(VLOOKUP(TRIM(M12),Room!D:H,5,FALSE),5000)</f>
        <v>3200</v>
      </c>
      <c r="Q12">
        <f t="shared" si="2"/>
        <v>3200</v>
      </c>
      <c r="R12" s="11" t="str">
        <f t="shared" si="3"/>
        <v>Other</v>
      </c>
      <c r="S12" s="11">
        <f t="shared" si="4"/>
        <v>1</v>
      </c>
    </row>
    <row r="13" spans="1:19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s="4">
        <v>45394</v>
      </c>
      <c r="H13" s="4">
        <v>45512</v>
      </c>
      <c r="I13" s="4">
        <v>45523</v>
      </c>
      <c r="J13">
        <f t="shared" si="0"/>
        <v>11</v>
      </c>
      <c r="K13" t="str">
        <f t="array" ref="K13">_xlfn.IFS(J13=1,"Day Use",J13&lt;=3,"Short Stay",J13&lt;=7,"Extended Stay",J13&gt;=8,"Long Stay")</f>
        <v>Long Stay</v>
      </c>
      <c r="L13" t="s">
        <v>34</v>
      </c>
      <c r="M13" s="10" t="str">
        <f t="shared" si="1"/>
        <v>Suite</v>
      </c>
      <c r="N13" t="s">
        <v>57</v>
      </c>
      <c r="O13" t="s">
        <v>58</v>
      </c>
      <c r="P13">
        <f>IFERROR(VLOOKUP(TRIM(M13),Room!D:H,5,FALSE),5000)</f>
        <v>12500</v>
      </c>
      <c r="Q13">
        <f t="shared" si="2"/>
        <v>137500</v>
      </c>
      <c r="R13" s="11" t="str">
        <f t="shared" si="3"/>
        <v>Business</v>
      </c>
      <c r="S13" s="11">
        <f t="shared" si="4"/>
        <v>5</v>
      </c>
    </row>
    <row r="14" spans="1:19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s="4">
        <v>45515</v>
      </c>
      <c r="H14" s="4">
        <v>45685</v>
      </c>
      <c r="I14" s="4">
        <v>45690</v>
      </c>
      <c r="J14">
        <f t="shared" si="0"/>
        <v>5</v>
      </c>
      <c r="K14" t="str">
        <f t="array" ref="K14">_xlfn.IFS(J14=1,"Day Use",J14&lt;=3,"Short Stay",J14&lt;=7,"Extended Stay",J14&gt;=8,"Long Stay")</f>
        <v>Extended Stay</v>
      </c>
      <c r="L14" t="s">
        <v>49</v>
      </c>
      <c r="M14" s="10" t="str">
        <f t="shared" si="1"/>
        <v>Deluxe</v>
      </c>
      <c r="N14" t="s">
        <v>26</v>
      </c>
      <c r="O14" t="s">
        <v>71</v>
      </c>
      <c r="P14">
        <f>IFERROR(VLOOKUP(TRIM(M14),Room!D:H,5,FALSE),5000)</f>
        <v>5400</v>
      </c>
      <c r="Q14">
        <f t="shared" si="2"/>
        <v>27000</v>
      </c>
      <c r="R14" s="11" t="str">
        <f t="shared" si="3"/>
        <v>Conference</v>
      </c>
      <c r="S14" s="11">
        <f t="shared" si="4"/>
        <v>3</v>
      </c>
    </row>
    <row r="15" spans="1:19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s="4">
        <v>45744</v>
      </c>
      <c r="H15" s="4">
        <v>45756</v>
      </c>
      <c r="I15" s="4">
        <v>45759</v>
      </c>
      <c r="J15">
        <f t="shared" si="0"/>
        <v>3</v>
      </c>
      <c r="K15" t="str">
        <f t="array" ref="K15">_xlfn.IFS(J15=1,"Day Use",J15&lt;=3,"Short Stay",J15&lt;=7,"Extended Stay",J15&gt;=8,"Long Stay")</f>
        <v>Short Stay</v>
      </c>
      <c r="L15" t="s">
        <v>25</v>
      </c>
      <c r="M15" s="10" t="str">
        <f t="shared" si="1"/>
        <v>Standard</v>
      </c>
      <c r="N15" t="s">
        <v>26</v>
      </c>
      <c r="O15" t="s">
        <v>58</v>
      </c>
      <c r="P15">
        <f>IFERROR(VLOOKUP(TRIM(M15),Room!D:H,5,FALSE),5000)</f>
        <v>3200</v>
      </c>
      <c r="Q15">
        <f t="shared" si="2"/>
        <v>9600</v>
      </c>
      <c r="R15" s="11" t="str">
        <f t="shared" si="3"/>
        <v>Other</v>
      </c>
      <c r="S15" s="11">
        <f t="shared" si="4"/>
        <v>2</v>
      </c>
    </row>
    <row r="16" spans="1:19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s="4">
        <v>45349</v>
      </c>
      <c r="H16" s="4">
        <v>45352</v>
      </c>
      <c r="I16" s="4">
        <v>45357</v>
      </c>
      <c r="J16">
        <f t="shared" si="0"/>
        <v>5</v>
      </c>
      <c r="K16" t="str">
        <f t="array" ref="K16">_xlfn.IFS(J16=1,"Day Use",J16&lt;=3,"Short Stay",J16&lt;=7,"Extended Stay",J16&gt;=8,"Long Stay")</f>
        <v>Extended Stay</v>
      </c>
      <c r="L16" t="s">
        <v>25</v>
      </c>
      <c r="M16" s="10" t="str">
        <f t="shared" si="1"/>
        <v>Deluxe</v>
      </c>
      <c r="N16" t="s">
        <v>26</v>
      </c>
      <c r="O16" t="s">
        <v>27</v>
      </c>
      <c r="P16">
        <f>IFERROR(VLOOKUP(TRIM(M16),Room!D:H,5,FALSE),5000)</f>
        <v>5400</v>
      </c>
      <c r="Q16">
        <f t="shared" si="2"/>
        <v>27000</v>
      </c>
      <c r="R16" s="11" t="str">
        <f t="shared" si="3"/>
        <v>Conference</v>
      </c>
      <c r="S16" s="11">
        <f t="shared" si="4"/>
        <v>3</v>
      </c>
    </row>
    <row r="17" spans="1:19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s="4">
        <v>45422</v>
      </c>
      <c r="H17" s="4">
        <v>45491</v>
      </c>
      <c r="I17" s="4">
        <v>45497</v>
      </c>
      <c r="J17">
        <f t="shared" si="0"/>
        <v>6</v>
      </c>
      <c r="K17" t="str">
        <f t="array" ref="K17">_xlfn.IFS(J17=1,"Day Use",J17&lt;=3,"Short Stay",J17&lt;=7,"Extended Stay",J17&gt;=8,"Long Stay")</f>
        <v>Extended Stay</v>
      </c>
      <c r="L17" t="s">
        <v>91</v>
      </c>
      <c r="M17" s="10" t="str">
        <f t="shared" si="1"/>
        <v>Deluxe</v>
      </c>
      <c r="N17" t="s">
        <v>26</v>
      </c>
      <c r="O17" t="s">
        <v>27</v>
      </c>
      <c r="P17">
        <f>IFERROR(VLOOKUP(TRIM(M17),Room!D:H,5,FALSE),5000)</f>
        <v>5400</v>
      </c>
      <c r="Q17">
        <f t="shared" si="2"/>
        <v>32400</v>
      </c>
      <c r="R17" s="11" t="str">
        <f t="shared" si="3"/>
        <v>Conference</v>
      </c>
      <c r="S17" s="11">
        <f t="shared" si="4"/>
        <v>3</v>
      </c>
    </row>
    <row r="18" spans="1:19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133</v>
      </c>
      <c r="G18" s="4">
        <v>45631</v>
      </c>
      <c r="H18" s="4">
        <v>45639</v>
      </c>
      <c r="I18" s="4">
        <v>45649</v>
      </c>
      <c r="J18">
        <f t="shared" si="0"/>
        <v>10</v>
      </c>
      <c r="K18" t="str">
        <f t="array" ref="K18">_xlfn.IFS(J18=1,"Day Use",J18&lt;=3,"Short Stay",J18&lt;=7,"Extended Stay",J18&gt;=8,"Long Stay")</f>
        <v>Long Stay</v>
      </c>
      <c r="L18" t="s">
        <v>49</v>
      </c>
      <c r="M18" s="10" t="str">
        <f t="shared" si="1"/>
        <v>Premium</v>
      </c>
      <c r="N18" t="s">
        <v>134</v>
      </c>
      <c r="O18" t="s">
        <v>27</v>
      </c>
      <c r="P18">
        <f>IFERROR(VLOOKUP(TRIM(M18),Room!D:H,5,FALSE),5000)</f>
        <v>9500</v>
      </c>
      <c r="Q18">
        <f t="shared" si="2"/>
        <v>95000</v>
      </c>
      <c r="R18" s="11" t="str">
        <f t="shared" si="3"/>
        <v>Conference</v>
      </c>
      <c r="S18" s="11">
        <f t="shared" si="4"/>
        <v>4</v>
      </c>
    </row>
    <row r="19" spans="1:19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s="4">
        <v>45363</v>
      </c>
      <c r="H19" s="4">
        <v>45368</v>
      </c>
      <c r="I19" s="4">
        <v>45378</v>
      </c>
      <c r="J19">
        <f t="shared" si="0"/>
        <v>10</v>
      </c>
      <c r="K19" t="str">
        <f t="array" ref="K19">_xlfn.IFS(J19=1,"Day Use",J19&lt;=3,"Short Stay",J19&lt;=7,"Extended Stay",J19&gt;=8,"Long Stay")</f>
        <v>Long Stay</v>
      </c>
      <c r="L19" t="s">
        <v>141</v>
      </c>
      <c r="M19" s="10" t="str">
        <f t="shared" si="1"/>
        <v>Premium</v>
      </c>
      <c r="N19" t="s">
        <v>134</v>
      </c>
      <c r="O19" t="s">
        <v>42</v>
      </c>
      <c r="P19">
        <f>IFERROR(VLOOKUP(TRIM(M19),Room!D:H,5,FALSE),5000)</f>
        <v>9500</v>
      </c>
      <c r="Q19">
        <f t="shared" si="2"/>
        <v>95000</v>
      </c>
      <c r="R19" s="11" t="str">
        <f t="shared" si="3"/>
        <v>Conference</v>
      </c>
      <c r="S19" s="11">
        <f t="shared" si="4"/>
        <v>4</v>
      </c>
    </row>
    <row r="20" spans="1:19">
      <c r="A20" t="s">
        <v>142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s="4">
        <v>45491</v>
      </c>
      <c r="H20" s="4">
        <v>45501</v>
      </c>
      <c r="I20" s="4">
        <v>45505</v>
      </c>
      <c r="J20">
        <f t="shared" si="0"/>
        <v>4</v>
      </c>
      <c r="K20" t="str">
        <f t="array" ref="K20">_xlfn.IFS(J20=1,"Day Use",J20&lt;=3,"Short Stay",J20&lt;=7,"Extended Stay",J20&gt;=8,"Long Stay")</f>
        <v>Extended Stay</v>
      </c>
      <c r="L20" t="s">
        <v>91</v>
      </c>
      <c r="M20" s="10" t="str">
        <f t="shared" si="1"/>
        <v>Deluxe</v>
      </c>
      <c r="N20" t="s">
        <v>148</v>
      </c>
      <c r="O20" t="s">
        <v>35</v>
      </c>
      <c r="P20">
        <f>IFERROR(VLOOKUP(TRIM(M20),Room!D:H,5,FALSE),5000)</f>
        <v>5400</v>
      </c>
      <c r="Q20">
        <f t="shared" si="2"/>
        <v>21600</v>
      </c>
      <c r="R20" s="11" t="str">
        <f t="shared" si="3"/>
        <v>Conference</v>
      </c>
      <c r="S20" s="11">
        <f t="shared" si="4"/>
        <v>3</v>
      </c>
    </row>
    <row r="21" spans="1:19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154</v>
      </c>
      <c r="G21" s="4">
        <v>45484</v>
      </c>
      <c r="H21" s="4">
        <v>45783</v>
      </c>
      <c r="I21" s="4">
        <v>45793</v>
      </c>
      <c r="J21">
        <f t="shared" si="0"/>
        <v>10</v>
      </c>
      <c r="K21" t="str">
        <f t="array" ref="K21">_xlfn.IFS(J21=1,"Day Use",J21&lt;=3,"Short Stay",J21&lt;=7,"Extended Stay",J21&gt;=8,"Long Stay")</f>
        <v>Long Stay</v>
      </c>
      <c r="L21" t="s">
        <v>25</v>
      </c>
      <c r="M21" s="10" t="str">
        <f t="shared" si="1"/>
        <v>Premium</v>
      </c>
      <c r="N21" t="s">
        <v>26</v>
      </c>
      <c r="O21" t="s">
        <v>71</v>
      </c>
      <c r="P21">
        <f>IFERROR(VLOOKUP(TRIM(M21),Room!D:H,5,FALSE),5000)</f>
        <v>9500</v>
      </c>
      <c r="Q21">
        <f t="shared" si="2"/>
        <v>95000</v>
      </c>
      <c r="R21" s="11" t="str">
        <f t="shared" si="3"/>
        <v>Conference</v>
      </c>
      <c r="S21" s="11">
        <f t="shared" si="4"/>
        <v>4</v>
      </c>
    </row>
    <row r="22" spans="1:19">
      <c r="A22" t="s">
        <v>155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 s="4">
        <v>45444</v>
      </c>
      <c r="H22" s="4">
        <v>45781</v>
      </c>
      <c r="I22" s="4">
        <v>45790</v>
      </c>
      <c r="J22">
        <f t="shared" si="0"/>
        <v>9</v>
      </c>
      <c r="K22" t="str">
        <f t="array" ref="K22">_xlfn.IFS(J22=1,"Day Use",J22&lt;=3,"Short Stay",J22&lt;=7,"Extended Stay",J22&gt;=8,"Long Stay")</f>
        <v>Long Stay</v>
      </c>
      <c r="L22" t="s">
        <v>84</v>
      </c>
      <c r="M22" s="10" t="str">
        <f t="shared" si="1"/>
        <v>Premium</v>
      </c>
      <c r="N22" t="s">
        <v>26</v>
      </c>
      <c r="O22" t="s">
        <v>35</v>
      </c>
      <c r="P22">
        <f>IFERROR(VLOOKUP(TRIM(M22),Room!D:H,5,FALSE),5000)</f>
        <v>9500</v>
      </c>
      <c r="Q22">
        <f t="shared" si="2"/>
        <v>85500</v>
      </c>
      <c r="R22" s="11" t="str">
        <f t="shared" si="3"/>
        <v>Conference</v>
      </c>
      <c r="S22" s="11">
        <f t="shared" si="4"/>
        <v>4</v>
      </c>
    </row>
    <row r="23" spans="1:19">
      <c r="A23" t="s">
        <v>161</v>
      </c>
      <c r="B23" t="s">
        <v>162</v>
      </c>
      <c r="C23" t="s">
        <v>163</v>
      </c>
      <c r="D23" t="s">
        <v>164</v>
      </c>
      <c r="E23" t="s">
        <v>165</v>
      </c>
      <c r="F23" t="s">
        <v>166</v>
      </c>
      <c r="G23" s="4">
        <v>45708</v>
      </c>
      <c r="H23" s="4">
        <v>45715</v>
      </c>
      <c r="I23" s="4">
        <v>45727</v>
      </c>
      <c r="J23">
        <f t="shared" si="0"/>
        <v>12</v>
      </c>
      <c r="K23" t="str">
        <f t="array" ref="K23">_xlfn.IFS(J23=1,"Day Use",J23&lt;=3,"Short Stay",J23&lt;=7,"Extended Stay",J23&gt;=8,"Long Stay")</f>
        <v>Long Stay</v>
      </c>
      <c r="L23" t="s">
        <v>91</v>
      </c>
      <c r="M23" s="10" t="str">
        <f t="shared" si="1"/>
        <v>Suite</v>
      </c>
      <c r="N23" t="s">
        <v>26</v>
      </c>
      <c r="O23" t="s">
        <v>58</v>
      </c>
      <c r="P23">
        <f>IFERROR(VLOOKUP(TRIM(M23),Room!D:H,5,FALSE),5000)</f>
        <v>12500</v>
      </c>
      <c r="Q23">
        <f t="shared" si="2"/>
        <v>150000</v>
      </c>
      <c r="R23" s="11" t="str">
        <f t="shared" si="3"/>
        <v>Business</v>
      </c>
      <c r="S23" s="11">
        <f t="shared" si="4"/>
        <v>5</v>
      </c>
    </row>
    <row r="24" spans="1:19">
      <c r="A24" t="s">
        <v>167</v>
      </c>
      <c r="B24" t="s">
        <v>168</v>
      </c>
      <c r="C24" t="s">
        <v>130</v>
      </c>
      <c r="D24" t="s">
        <v>169</v>
      </c>
      <c r="E24" t="s">
        <v>170</v>
      </c>
      <c r="F24" t="s">
        <v>171</v>
      </c>
      <c r="G24" s="4">
        <v>45550</v>
      </c>
      <c r="H24" s="4">
        <v>45564</v>
      </c>
      <c r="I24" s="4">
        <v>45566</v>
      </c>
      <c r="J24">
        <f t="shared" si="0"/>
        <v>2</v>
      </c>
      <c r="K24" t="str">
        <f t="array" ref="K24">_xlfn.IFS(J24=1,"Day Use",J24&lt;=3,"Short Stay",J24&lt;=7,"Extended Stay",J24&gt;=8,"Long Stay")</f>
        <v>Short Stay</v>
      </c>
      <c r="L24" t="s">
        <v>34</v>
      </c>
      <c r="M24" s="10" t="str">
        <f t="shared" si="1"/>
        <v>Standard</v>
      </c>
      <c r="N24" t="s">
        <v>26</v>
      </c>
      <c r="O24" t="s">
        <v>58</v>
      </c>
      <c r="P24">
        <f>IFERROR(VLOOKUP(TRIM(M24),Room!D:H,5,FALSE),5000)</f>
        <v>3200</v>
      </c>
      <c r="Q24">
        <f t="shared" si="2"/>
        <v>6400</v>
      </c>
      <c r="R24" s="11" t="str">
        <f t="shared" si="3"/>
        <v>Other</v>
      </c>
      <c r="S24" s="11">
        <f t="shared" si="4"/>
        <v>2</v>
      </c>
    </row>
    <row r="25" spans="1:19">
      <c r="A25" t="s">
        <v>172</v>
      </c>
      <c r="B25" t="s">
        <v>173</v>
      </c>
      <c r="C25" t="s">
        <v>174</v>
      </c>
      <c r="D25" t="s">
        <v>175</v>
      </c>
      <c r="E25" t="s">
        <v>176</v>
      </c>
      <c r="F25" t="s">
        <v>177</v>
      </c>
      <c r="G25" s="4">
        <v>45771</v>
      </c>
      <c r="H25" s="4">
        <v>45927</v>
      </c>
      <c r="I25" s="4">
        <v>45936</v>
      </c>
      <c r="J25">
        <f t="shared" si="0"/>
        <v>9</v>
      </c>
      <c r="K25" t="str">
        <f t="array" ref="K25">_xlfn.IFS(J25=1,"Day Use",J25&lt;=3,"Short Stay",J25&lt;=7,"Extended Stay",J25&gt;=8,"Long Stay")</f>
        <v>Long Stay</v>
      </c>
      <c r="L25" t="s">
        <v>84</v>
      </c>
      <c r="M25" s="10" t="str">
        <f t="shared" si="1"/>
        <v>Premium</v>
      </c>
      <c r="N25" t="s">
        <v>134</v>
      </c>
      <c r="O25" t="s">
        <v>35</v>
      </c>
      <c r="P25">
        <f>IFERROR(VLOOKUP(TRIM(M25),Room!D:H,5,FALSE),5000)</f>
        <v>9500</v>
      </c>
      <c r="Q25">
        <f t="shared" si="2"/>
        <v>85500</v>
      </c>
      <c r="R25" s="11" t="str">
        <f t="shared" si="3"/>
        <v>Conference</v>
      </c>
      <c r="S25" s="11">
        <f t="shared" si="4"/>
        <v>4</v>
      </c>
    </row>
    <row r="26" spans="1:19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F26" t="s">
        <v>183</v>
      </c>
      <c r="G26" s="4">
        <v>45672</v>
      </c>
      <c r="H26" s="4">
        <v>45696</v>
      </c>
      <c r="I26" s="4">
        <v>45703</v>
      </c>
      <c r="J26">
        <f t="shared" si="0"/>
        <v>7</v>
      </c>
      <c r="K26" t="str">
        <f t="array" ref="K26">_xlfn.IFS(J26=1,"Day Use",J26&lt;=3,"Short Stay",J26&lt;=7,"Extended Stay",J26&gt;=8,"Long Stay")</f>
        <v>Extended Stay</v>
      </c>
      <c r="L26" t="s">
        <v>91</v>
      </c>
      <c r="M26" s="10" t="str">
        <f t="shared" si="1"/>
        <v>Premium</v>
      </c>
      <c r="N26" t="s">
        <v>57</v>
      </c>
      <c r="O26" t="s">
        <v>35</v>
      </c>
      <c r="P26">
        <f>IFERROR(VLOOKUP(TRIM(M26),Room!D:H,5,FALSE),5000)</f>
        <v>9500</v>
      </c>
      <c r="Q26">
        <f t="shared" si="2"/>
        <v>66500</v>
      </c>
      <c r="R26" s="11" t="str">
        <f t="shared" si="3"/>
        <v>Conference</v>
      </c>
      <c r="S26" s="11">
        <f t="shared" si="4"/>
        <v>4</v>
      </c>
    </row>
    <row r="27" spans="1:19">
      <c r="A27" t="s">
        <v>184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s="4">
        <v>45809</v>
      </c>
      <c r="H27" s="4">
        <v>45838</v>
      </c>
      <c r="I27" s="4">
        <v>45845</v>
      </c>
      <c r="J27">
        <f t="shared" si="0"/>
        <v>7</v>
      </c>
      <c r="K27" t="str">
        <f t="array" ref="K27">_xlfn.IFS(J27=1,"Day Use",J27&lt;=3,"Short Stay",J27&lt;=7,"Extended Stay",J27&gt;=8,"Long Stay")</f>
        <v>Extended Stay</v>
      </c>
      <c r="L27" t="s">
        <v>141</v>
      </c>
      <c r="M27" s="10" t="str">
        <f t="shared" si="1"/>
        <v>Premium</v>
      </c>
      <c r="N27" t="s">
        <v>26</v>
      </c>
      <c r="O27" t="s">
        <v>27</v>
      </c>
      <c r="P27">
        <f>IFERROR(VLOOKUP(TRIM(M27),Room!D:H,5,FALSE),5000)</f>
        <v>9500</v>
      </c>
      <c r="Q27">
        <f t="shared" si="2"/>
        <v>66500</v>
      </c>
      <c r="R27" s="11" t="str">
        <f t="shared" si="3"/>
        <v>Conference</v>
      </c>
      <c r="S27" s="11">
        <f t="shared" si="4"/>
        <v>4</v>
      </c>
    </row>
    <row r="28" spans="1:19">
      <c r="A28" t="s">
        <v>190</v>
      </c>
      <c r="B28" t="s">
        <v>191</v>
      </c>
      <c r="C28" t="s">
        <v>192</v>
      </c>
      <c r="D28" t="s">
        <v>193</v>
      </c>
      <c r="E28" t="s">
        <v>194</v>
      </c>
      <c r="F28" t="s">
        <v>195</v>
      </c>
      <c r="G28" s="4">
        <v>45899</v>
      </c>
      <c r="H28" s="4">
        <v>45915</v>
      </c>
      <c r="I28" s="4">
        <v>45918</v>
      </c>
      <c r="J28">
        <f t="shared" si="0"/>
        <v>3</v>
      </c>
      <c r="K28" t="str">
        <f t="array" ref="K28">_xlfn.IFS(J28=1,"Day Use",J28&lt;=3,"Short Stay",J28&lt;=7,"Extended Stay",J28&gt;=8,"Long Stay")</f>
        <v>Short Stay</v>
      </c>
      <c r="L28" t="s">
        <v>196</v>
      </c>
      <c r="M28" s="10" t="str">
        <f t="shared" si="1"/>
        <v>Standard</v>
      </c>
      <c r="N28" t="s">
        <v>26</v>
      </c>
      <c r="O28" t="s">
        <v>71</v>
      </c>
      <c r="P28">
        <f>IFERROR(VLOOKUP(TRIM(M28),Room!D:H,5,FALSE),5000)</f>
        <v>3200</v>
      </c>
      <c r="Q28">
        <f t="shared" si="2"/>
        <v>9600</v>
      </c>
      <c r="R28" s="11" t="str">
        <f t="shared" si="3"/>
        <v>Other</v>
      </c>
      <c r="S28" s="11">
        <f t="shared" si="4"/>
        <v>2</v>
      </c>
    </row>
    <row r="29" spans="1:19">
      <c r="A29" t="s">
        <v>197</v>
      </c>
      <c r="B29" t="s">
        <v>198</v>
      </c>
      <c r="C29" t="s">
        <v>199</v>
      </c>
      <c r="D29" t="s">
        <v>200</v>
      </c>
      <c r="E29" t="s">
        <v>201</v>
      </c>
      <c r="F29" t="s">
        <v>202</v>
      </c>
      <c r="G29" s="4">
        <v>45241</v>
      </c>
      <c r="H29" s="4">
        <v>45669</v>
      </c>
      <c r="I29" s="4">
        <v>45679</v>
      </c>
      <c r="J29">
        <f t="shared" si="0"/>
        <v>10</v>
      </c>
      <c r="K29" t="str">
        <f t="array" ref="K29">_xlfn.IFS(J29=1,"Day Use",J29&lt;=3,"Short Stay",J29&lt;=7,"Extended Stay",J29&gt;=8,"Long Stay")</f>
        <v>Long Stay</v>
      </c>
      <c r="L29" t="s">
        <v>196</v>
      </c>
      <c r="M29" s="10" t="str">
        <f t="shared" si="1"/>
        <v>Premium</v>
      </c>
      <c r="N29" t="s">
        <v>26</v>
      </c>
      <c r="O29" t="s">
        <v>35</v>
      </c>
      <c r="P29">
        <f>IFERROR(VLOOKUP(TRIM(M29),Room!D:H,5,FALSE),5000)</f>
        <v>9500</v>
      </c>
      <c r="Q29">
        <f t="shared" si="2"/>
        <v>95000</v>
      </c>
      <c r="R29" s="11" t="str">
        <f t="shared" si="3"/>
        <v>Conference</v>
      </c>
      <c r="S29" s="11">
        <f t="shared" si="4"/>
        <v>4</v>
      </c>
    </row>
    <row r="30" spans="1:19">
      <c r="A30" t="s">
        <v>203</v>
      </c>
      <c r="B30" t="s">
        <v>204</v>
      </c>
      <c r="C30" t="s">
        <v>205</v>
      </c>
      <c r="D30" t="s">
        <v>206</v>
      </c>
      <c r="E30" t="s">
        <v>207</v>
      </c>
      <c r="F30" t="s">
        <v>208</v>
      </c>
      <c r="G30" s="4">
        <v>45336</v>
      </c>
      <c r="H30" s="4">
        <v>45835</v>
      </c>
      <c r="I30" s="4">
        <v>45841</v>
      </c>
      <c r="J30">
        <f t="shared" si="0"/>
        <v>6</v>
      </c>
      <c r="K30" t="str">
        <f t="array" ref="K30">_xlfn.IFS(J30=1,"Day Use",J30&lt;=3,"Short Stay",J30&lt;=7,"Extended Stay",J30&gt;=8,"Long Stay")</f>
        <v>Extended Stay</v>
      </c>
      <c r="L30" t="s">
        <v>84</v>
      </c>
      <c r="M30" s="10" t="str">
        <f t="shared" si="1"/>
        <v>Deluxe</v>
      </c>
      <c r="N30" t="s">
        <v>26</v>
      </c>
      <c r="O30" t="s">
        <v>35</v>
      </c>
      <c r="P30">
        <f>IFERROR(VLOOKUP(TRIM(M30),Room!D:H,5,FALSE),5000)</f>
        <v>5400</v>
      </c>
      <c r="Q30">
        <f t="shared" si="2"/>
        <v>32400</v>
      </c>
      <c r="R30" s="11" t="str">
        <f t="shared" si="3"/>
        <v>Conference</v>
      </c>
      <c r="S30" s="11">
        <f t="shared" si="4"/>
        <v>3</v>
      </c>
    </row>
    <row r="31" spans="1:19">
      <c r="A31" t="s">
        <v>209</v>
      </c>
      <c r="B31" t="s">
        <v>210</v>
      </c>
      <c r="C31" t="s">
        <v>211</v>
      </c>
      <c r="D31" t="s">
        <v>212</v>
      </c>
      <c r="E31" t="s">
        <v>213</v>
      </c>
      <c r="F31" t="s">
        <v>214</v>
      </c>
      <c r="G31" s="4">
        <v>45375</v>
      </c>
      <c r="H31" s="4">
        <v>45381</v>
      </c>
      <c r="I31" s="4">
        <v>45382</v>
      </c>
      <c r="J31">
        <f t="shared" si="0"/>
        <v>1</v>
      </c>
      <c r="K31" t="str">
        <f t="array" ref="K31">_xlfn.IFS(J31=1,"Day Use",J31&lt;=3,"Short Stay",J31&lt;=7,"Extended Stay",J31&gt;=8,"Long Stay")</f>
        <v>Day Use</v>
      </c>
      <c r="L31" t="s">
        <v>141</v>
      </c>
      <c r="M31" s="10" t="str">
        <f t="shared" si="1"/>
        <v>Standard</v>
      </c>
      <c r="N31" t="s">
        <v>26</v>
      </c>
      <c r="O31" t="s">
        <v>58</v>
      </c>
      <c r="P31">
        <f>IFERROR(VLOOKUP(TRIM(M31),Room!D:H,5,FALSE),5000)</f>
        <v>3200</v>
      </c>
      <c r="Q31">
        <f t="shared" si="2"/>
        <v>3200</v>
      </c>
      <c r="R31" s="11" t="str">
        <f t="shared" si="3"/>
        <v>Other</v>
      </c>
      <c r="S31" s="11">
        <f t="shared" si="4"/>
        <v>1</v>
      </c>
    </row>
    <row r="32" spans="1:19">
      <c r="A32" t="s">
        <v>215</v>
      </c>
      <c r="B32" t="s">
        <v>216</v>
      </c>
      <c r="C32" t="s">
        <v>217</v>
      </c>
      <c r="D32" t="s">
        <v>218</v>
      </c>
      <c r="E32" t="s">
        <v>219</v>
      </c>
      <c r="F32" t="s">
        <v>220</v>
      </c>
      <c r="G32" s="4">
        <v>45624</v>
      </c>
      <c r="H32" s="4">
        <v>45649</v>
      </c>
      <c r="I32" s="4">
        <v>45659</v>
      </c>
      <c r="J32">
        <f t="shared" si="0"/>
        <v>10</v>
      </c>
      <c r="K32" t="str">
        <f t="array" ref="K32">_xlfn.IFS(J32=1,"Day Use",J32&lt;=3,"Short Stay",J32&lt;=7,"Extended Stay",J32&gt;=8,"Long Stay")</f>
        <v>Long Stay</v>
      </c>
      <c r="L32" t="s">
        <v>196</v>
      </c>
      <c r="M32" s="10" t="str">
        <f t="shared" si="1"/>
        <v>Premium</v>
      </c>
      <c r="N32" t="s">
        <v>26</v>
      </c>
      <c r="O32" t="s">
        <v>58</v>
      </c>
      <c r="P32">
        <f>IFERROR(VLOOKUP(TRIM(M32),Room!D:H,5,FALSE),5000)</f>
        <v>9500</v>
      </c>
      <c r="Q32">
        <f t="shared" si="2"/>
        <v>95000</v>
      </c>
      <c r="R32" s="11" t="str">
        <f t="shared" si="3"/>
        <v>Conference</v>
      </c>
      <c r="S32" s="11">
        <f t="shared" si="4"/>
        <v>4</v>
      </c>
    </row>
    <row r="33" spans="1:19">
      <c r="A33" t="s">
        <v>221</v>
      </c>
      <c r="B33" t="s">
        <v>222</v>
      </c>
      <c r="C33" t="s">
        <v>223</v>
      </c>
      <c r="D33" t="s">
        <v>224</v>
      </c>
      <c r="E33" t="s">
        <v>225</v>
      </c>
      <c r="F33" t="s">
        <v>226</v>
      </c>
      <c r="G33" s="4">
        <v>45639</v>
      </c>
      <c r="H33" s="4">
        <v>45663</v>
      </c>
      <c r="I33" s="4">
        <v>45676</v>
      </c>
      <c r="J33">
        <f t="shared" si="0"/>
        <v>13</v>
      </c>
      <c r="K33" t="str">
        <f t="array" ref="K33">_xlfn.IFS(J33=1,"Day Use",J33&lt;=3,"Short Stay",J33&lt;=7,"Extended Stay",J33&gt;=8,"Long Stay")</f>
        <v>Long Stay</v>
      </c>
      <c r="L33" t="s">
        <v>34</v>
      </c>
      <c r="M33" s="10" t="str">
        <f t="shared" si="1"/>
        <v>Suite</v>
      </c>
      <c r="N33" t="s">
        <v>57</v>
      </c>
      <c r="O33" t="s">
        <v>27</v>
      </c>
      <c r="P33">
        <f>IFERROR(VLOOKUP(TRIM(M33),Room!D:H,5,FALSE),5000)</f>
        <v>12500</v>
      </c>
      <c r="Q33">
        <f t="shared" si="2"/>
        <v>162500</v>
      </c>
      <c r="R33" s="11" t="str">
        <f t="shared" si="3"/>
        <v>Business</v>
      </c>
      <c r="S33" s="11">
        <f t="shared" si="4"/>
        <v>5</v>
      </c>
    </row>
    <row r="34" spans="1:19">
      <c r="A34" t="s">
        <v>227</v>
      </c>
      <c r="B34" t="s">
        <v>228</v>
      </c>
      <c r="C34" t="s">
        <v>229</v>
      </c>
      <c r="D34" t="s">
        <v>230</v>
      </c>
      <c r="E34" t="s">
        <v>231</v>
      </c>
      <c r="F34" t="s">
        <v>232</v>
      </c>
      <c r="G34" s="4">
        <v>45830</v>
      </c>
      <c r="H34" s="4">
        <v>45856</v>
      </c>
      <c r="I34" s="4">
        <v>45861</v>
      </c>
      <c r="J34">
        <f t="shared" si="0"/>
        <v>5</v>
      </c>
      <c r="K34" t="str">
        <f t="array" ref="K34">_xlfn.IFS(J34=1,"Day Use",J34&lt;=3,"Short Stay",J34&lt;=7,"Extended Stay",J34&gt;=8,"Long Stay")</f>
        <v>Extended Stay</v>
      </c>
      <c r="L34" t="s">
        <v>84</v>
      </c>
      <c r="M34" s="10" t="str">
        <f t="shared" si="1"/>
        <v>Deluxe</v>
      </c>
      <c r="N34" t="s">
        <v>148</v>
      </c>
      <c r="O34" t="s">
        <v>35</v>
      </c>
      <c r="P34">
        <f>IFERROR(VLOOKUP(TRIM(M34),Room!D:H,5,FALSE),5000)</f>
        <v>5400</v>
      </c>
      <c r="Q34">
        <f t="shared" si="2"/>
        <v>27000</v>
      </c>
      <c r="R34" s="11" t="str">
        <f t="shared" si="3"/>
        <v>Conference</v>
      </c>
      <c r="S34" s="11">
        <f t="shared" si="4"/>
        <v>3</v>
      </c>
    </row>
    <row r="35" spans="1:19">
      <c r="A35" t="s">
        <v>233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s="4">
        <v>45776</v>
      </c>
      <c r="H35" s="4">
        <v>45994</v>
      </c>
      <c r="I35" s="4">
        <v>46007</v>
      </c>
      <c r="J35">
        <f t="shared" si="0"/>
        <v>13</v>
      </c>
      <c r="K35" t="str">
        <f t="array" ref="K35">_xlfn.IFS(J35=1,"Day Use",J35&lt;=3,"Short Stay",J35&lt;=7,"Extended Stay",J35&gt;=8,"Long Stay")</f>
        <v>Long Stay</v>
      </c>
      <c r="L35" t="s">
        <v>84</v>
      </c>
      <c r="M35" s="10" t="str">
        <f t="shared" si="1"/>
        <v>Suite</v>
      </c>
      <c r="N35" t="s">
        <v>57</v>
      </c>
      <c r="O35" t="s">
        <v>71</v>
      </c>
      <c r="P35">
        <f>IFERROR(VLOOKUP(TRIM(M35),Room!D:H,5,FALSE),5000)</f>
        <v>12500</v>
      </c>
      <c r="Q35">
        <f t="shared" si="2"/>
        <v>162500</v>
      </c>
      <c r="R35" s="11" t="str">
        <f t="shared" si="3"/>
        <v>Business</v>
      </c>
      <c r="S35" s="11">
        <f t="shared" si="4"/>
        <v>5</v>
      </c>
    </row>
    <row r="36" spans="1:19">
      <c r="A36" t="s">
        <v>239</v>
      </c>
      <c r="B36" t="s">
        <v>240</v>
      </c>
      <c r="C36" t="s">
        <v>241</v>
      </c>
      <c r="D36" t="s">
        <v>242</v>
      </c>
      <c r="E36" t="s">
        <v>243</v>
      </c>
      <c r="F36" t="s">
        <v>244</v>
      </c>
      <c r="G36" s="4">
        <v>45316</v>
      </c>
      <c r="H36" s="4">
        <v>45330</v>
      </c>
      <c r="I36" s="4">
        <v>45331</v>
      </c>
      <c r="J36">
        <f t="shared" si="0"/>
        <v>1</v>
      </c>
      <c r="K36" t="str">
        <f t="array" ref="K36">_xlfn.IFS(J36=1,"Day Use",J36&lt;=3,"Short Stay",J36&lt;=7,"Extended Stay",J36&gt;=8,"Long Stay")</f>
        <v>Day Use</v>
      </c>
      <c r="L36" t="s">
        <v>56</v>
      </c>
      <c r="M36" s="10" t="str">
        <f t="shared" si="1"/>
        <v>Standard</v>
      </c>
      <c r="N36" t="s">
        <v>26</v>
      </c>
      <c r="O36" t="s">
        <v>71</v>
      </c>
      <c r="P36">
        <f>IFERROR(VLOOKUP(TRIM(M36),Room!D:H,5,FALSE),5000)</f>
        <v>3200</v>
      </c>
      <c r="Q36">
        <f t="shared" si="2"/>
        <v>3200</v>
      </c>
      <c r="R36" s="11" t="str">
        <f t="shared" si="3"/>
        <v>Other</v>
      </c>
      <c r="S36" s="11">
        <f t="shared" si="4"/>
        <v>1</v>
      </c>
    </row>
    <row r="37" spans="1:19">
      <c r="A37" t="s">
        <v>245</v>
      </c>
      <c r="B37" t="s">
        <v>246</v>
      </c>
      <c r="C37" t="s">
        <v>247</v>
      </c>
      <c r="D37" t="s">
        <v>248</v>
      </c>
      <c r="E37" t="s">
        <v>249</v>
      </c>
      <c r="F37" t="s">
        <v>250</v>
      </c>
      <c r="G37" s="4">
        <v>45270</v>
      </c>
      <c r="H37" s="4">
        <v>46016</v>
      </c>
      <c r="I37" s="4">
        <v>46020</v>
      </c>
      <c r="J37">
        <f t="shared" si="0"/>
        <v>4</v>
      </c>
      <c r="K37" t="str">
        <f t="array" ref="K37">_xlfn.IFS(J37=1,"Day Use",J37&lt;=3,"Short Stay",J37&lt;=7,"Extended Stay",J37&gt;=8,"Long Stay")</f>
        <v>Extended Stay</v>
      </c>
      <c r="L37" t="s">
        <v>91</v>
      </c>
      <c r="M37" s="10" t="str">
        <f t="shared" si="1"/>
        <v>Deluxe</v>
      </c>
      <c r="N37" t="s">
        <v>148</v>
      </c>
      <c r="O37" t="s">
        <v>71</v>
      </c>
      <c r="P37">
        <f>IFERROR(VLOOKUP(TRIM(M37),Room!D:H,5,FALSE),5000)</f>
        <v>5400</v>
      </c>
      <c r="Q37">
        <f t="shared" si="2"/>
        <v>21600</v>
      </c>
      <c r="R37" s="11" t="str">
        <f t="shared" si="3"/>
        <v>Conference</v>
      </c>
      <c r="S37" s="11">
        <f t="shared" si="4"/>
        <v>3</v>
      </c>
    </row>
    <row r="38" spans="1:19">
      <c r="A38" t="s">
        <v>251</v>
      </c>
      <c r="B38" t="s">
        <v>252</v>
      </c>
      <c r="C38" t="s">
        <v>253</v>
      </c>
      <c r="D38" t="s">
        <v>254</v>
      </c>
      <c r="E38" t="s">
        <v>255</v>
      </c>
      <c r="F38" t="s">
        <v>256</v>
      </c>
      <c r="G38" s="4">
        <v>45451</v>
      </c>
      <c r="H38" s="4">
        <v>45501</v>
      </c>
      <c r="I38" s="4">
        <v>45506</v>
      </c>
      <c r="J38">
        <f t="shared" si="0"/>
        <v>5</v>
      </c>
      <c r="K38" t="str">
        <f t="array" ref="K38">_xlfn.IFS(J38=1,"Day Use",J38&lt;=3,"Short Stay",J38&lt;=7,"Extended Stay",J38&gt;=8,"Long Stay")</f>
        <v>Extended Stay</v>
      </c>
      <c r="L38" t="s">
        <v>84</v>
      </c>
      <c r="M38" s="10" t="str">
        <f t="shared" si="1"/>
        <v>Deluxe</v>
      </c>
      <c r="N38" t="s">
        <v>26</v>
      </c>
      <c r="O38" t="s">
        <v>71</v>
      </c>
      <c r="P38">
        <f>IFERROR(VLOOKUP(TRIM(M38),Room!D:H,5,FALSE),5000)</f>
        <v>5400</v>
      </c>
      <c r="Q38">
        <f t="shared" si="2"/>
        <v>27000</v>
      </c>
      <c r="R38" s="11" t="str">
        <f t="shared" si="3"/>
        <v>Conference</v>
      </c>
      <c r="S38" s="11">
        <f t="shared" si="4"/>
        <v>3</v>
      </c>
    </row>
    <row r="39" spans="1:19">
      <c r="A39" t="s">
        <v>257</v>
      </c>
      <c r="B39" t="s">
        <v>258</v>
      </c>
      <c r="C39" t="s">
        <v>259</v>
      </c>
      <c r="D39" t="s">
        <v>260</v>
      </c>
      <c r="E39" t="s">
        <v>261</v>
      </c>
      <c r="F39" t="s">
        <v>262</v>
      </c>
      <c r="G39" s="4">
        <v>45325</v>
      </c>
      <c r="H39" s="4">
        <v>45334</v>
      </c>
      <c r="I39" s="4">
        <v>45336</v>
      </c>
      <c r="J39">
        <f t="shared" si="0"/>
        <v>2</v>
      </c>
      <c r="K39" t="str">
        <f t="array" ref="K39">_xlfn.IFS(J39=1,"Day Use",J39&lt;=3,"Short Stay",J39&lt;=7,"Extended Stay",J39&gt;=8,"Long Stay")</f>
        <v>Short Stay</v>
      </c>
      <c r="L39" t="s">
        <v>141</v>
      </c>
      <c r="M39" s="10" t="str">
        <f t="shared" si="1"/>
        <v>Standard</v>
      </c>
      <c r="N39" t="s">
        <v>26</v>
      </c>
      <c r="O39" t="s">
        <v>42</v>
      </c>
      <c r="P39">
        <f>IFERROR(VLOOKUP(TRIM(M39),Room!D:H,5,FALSE),5000)</f>
        <v>3200</v>
      </c>
      <c r="Q39">
        <f t="shared" si="2"/>
        <v>6400</v>
      </c>
      <c r="R39" s="11" t="str">
        <f t="shared" si="3"/>
        <v>Other</v>
      </c>
      <c r="S39" s="11">
        <f t="shared" si="4"/>
        <v>2</v>
      </c>
    </row>
    <row r="40" spans="1:19">
      <c r="A40" t="s">
        <v>263</v>
      </c>
      <c r="B40" t="s">
        <v>264</v>
      </c>
      <c r="C40" t="s">
        <v>265</v>
      </c>
      <c r="D40" t="s">
        <v>266</v>
      </c>
      <c r="E40" t="s">
        <v>267</v>
      </c>
      <c r="F40" t="s">
        <v>268</v>
      </c>
      <c r="G40" s="4">
        <v>45593</v>
      </c>
      <c r="H40" s="4">
        <v>45600</v>
      </c>
      <c r="I40" s="4">
        <v>45607</v>
      </c>
      <c r="J40">
        <f t="shared" si="0"/>
        <v>7</v>
      </c>
      <c r="K40" t="str">
        <f t="array" ref="K40">_xlfn.IFS(J40=1,"Day Use",J40&lt;=3,"Short Stay",J40&lt;=7,"Extended Stay",J40&gt;=8,"Long Stay")</f>
        <v>Extended Stay</v>
      </c>
      <c r="L40" t="s">
        <v>84</v>
      </c>
      <c r="M40" s="10" t="str">
        <f t="shared" si="1"/>
        <v>Premium</v>
      </c>
      <c r="N40" t="s">
        <v>26</v>
      </c>
      <c r="O40" t="s">
        <v>71</v>
      </c>
      <c r="P40">
        <f>IFERROR(VLOOKUP(TRIM(M40),Room!D:H,5,FALSE),5000)</f>
        <v>9500</v>
      </c>
      <c r="Q40">
        <f t="shared" si="2"/>
        <v>66500</v>
      </c>
      <c r="R40" s="11" t="str">
        <f t="shared" si="3"/>
        <v>Conference</v>
      </c>
      <c r="S40" s="11">
        <f t="shared" si="4"/>
        <v>4</v>
      </c>
    </row>
    <row r="41" spans="1:19">
      <c r="A41" t="s">
        <v>269</v>
      </c>
      <c r="B41" t="s">
        <v>270</v>
      </c>
      <c r="C41" t="s">
        <v>271</v>
      </c>
      <c r="D41" t="s">
        <v>272</v>
      </c>
      <c r="E41" t="s">
        <v>273</v>
      </c>
      <c r="F41" t="s">
        <v>274</v>
      </c>
      <c r="G41" s="4">
        <v>45625</v>
      </c>
      <c r="H41" s="4">
        <v>45789</v>
      </c>
      <c r="I41" s="4">
        <v>45801</v>
      </c>
      <c r="J41">
        <f t="shared" si="0"/>
        <v>12</v>
      </c>
      <c r="K41" t="str">
        <f t="array" ref="K41">_xlfn.IFS(J41=1,"Day Use",J41&lt;=3,"Short Stay",J41&lt;=7,"Extended Stay",J41&gt;=8,"Long Stay")</f>
        <v>Long Stay</v>
      </c>
      <c r="L41" t="s">
        <v>84</v>
      </c>
      <c r="M41" s="10" t="str">
        <f t="shared" si="1"/>
        <v>Suite</v>
      </c>
      <c r="N41" t="s">
        <v>57</v>
      </c>
      <c r="O41" t="s">
        <v>42</v>
      </c>
      <c r="P41">
        <f>IFERROR(VLOOKUP(TRIM(M41),Room!D:H,5,FALSE),5000)</f>
        <v>12500</v>
      </c>
      <c r="Q41">
        <f t="shared" si="2"/>
        <v>150000</v>
      </c>
      <c r="R41" s="11" t="str">
        <f t="shared" si="3"/>
        <v>Business</v>
      </c>
      <c r="S41" s="11">
        <f t="shared" si="4"/>
        <v>5</v>
      </c>
    </row>
    <row r="42" spans="1:19">
      <c r="A42" t="s">
        <v>275</v>
      </c>
      <c r="B42" t="s">
        <v>276</v>
      </c>
      <c r="C42" t="s">
        <v>199</v>
      </c>
      <c r="D42" t="s">
        <v>277</v>
      </c>
      <c r="E42" t="s">
        <v>278</v>
      </c>
      <c r="F42" t="s">
        <v>279</v>
      </c>
      <c r="G42" s="4">
        <v>45386</v>
      </c>
      <c r="H42" s="4">
        <v>45405</v>
      </c>
      <c r="I42" s="4">
        <v>45411</v>
      </c>
      <c r="J42">
        <f t="shared" si="0"/>
        <v>6</v>
      </c>
      <c r="K42" t="str">
        <f t="array" ref="K42">_xlfn.IFS(J42=1,"Day Use",J42&lt;=3,"Short Stay",J42&lt;=7,"Extended Stay",J42&gt;=8,"Long Stay")</f>
        <v>Extended Stay</v>
      </c>
      <c r="L42" t="s">
        <v>49</v>
      </c>
      <c r="M42" s="10" t="str">
        <f t="shared" si="1"/>
        <v>Deluxe</v>
      </c>
      <c r="N42" t="s">
        <v>26</v>
      </c>
      <c r="O42" t="s">
        <v>35</v>
      </c>
      <c r="P42">
        <f>IFERROR(VLOOKUP(TRIM(M42),Room!D:H,5,FALSE),5000)</f>
        <v>5400</v>
      </c>
      <c r="Q42">
        <f t="shared" si="2"/>
        <v>32400</v>
      </c>
      <c r="R42" s="11" t="str">
        <f t="shared" si="3"/>
        <v>Conference</v>
      </c>
      <c r="S42" s="11">
        <f t="shared" si="4"/>
        <v>3</v>
      </c>
    </row>
    <row r="43" spans="1:19">
      <c r="A43" t="s">
        <v>280</v>
      </c>
      <c r="B43" t="s">
        <v>281</v>
      </c>
      <c r="C43" t="s">
        <v>282</v>
      </c>
      <c r="D43" t="s">
        <v>283</v>
      </c>
      <c r="E43" t="s">
        <v>284</v>
      </c>
      <c r="F43" t="s">
        <v>285</v>
      </c>
      <c r="G43" s="4">
        <v>45338</v>
      </c>
      <c r="H43" s="4">
        <v>45488</v>
      </c>
      <c r="I43" s="4">
        <v>45500</v>
      </c>
      <c r="J43">
        <f t="shared" si="0"/>
        <v>12</v>
      </c>
      <c r="K43" t="str">
        <f t="array" ref="K43">_xlfn.IFS(J43=1,"Day Use",J43&lt;=3,"Short Stay",J43&lt;=7,"Extended Stay",J43&gt;=8,"Long Stay")</f>
        <v>Long Stay</v>
      </c>
      <c r="L43" t="s">
        <v>196</v>
      </c>
      <c r="M43" s="10" t="str">
        <f t="shared" si="1"/>
        <v>Suite</v>
      </c>
      <c r="N43" t="s">
        <v>26</v>
      </c>
      <c r="O43" t="s">
        <v>58</v>
      </c>
      <c r="P43">
        <f>IFERROR(VLOOKUP(TRIM(M43),Room!D:H,5,FALSE),5000)</f>
        <v>12500</v>
      </c>
      <c r="Q43">
        <f t="shared" si="2"/>
        <v>150000</v>
      </c>
      <c r="R43" s="11" t="str">
        <f t="shared" si="3"/>
        <v>Business</v>
      </c>
      <c r="S43" s="11">
        <f t="shared" si="4"/>
        <v>5</v>
      </c>
    </row>
    <row r="44" spans="1:19">
      <c r="A44" t="s">
        <v>286</v>
      </c>
      <c r="B44" t="s">
        <v>287</v>
      </c>
      <c r="C44" t="s">
        <v>288</v>
      </c>
      <c r="D44" t="s">
        <v>289</v>
      </c>
      <c r="E44" t="s">
        <v>290</v>
      </c>
      <c r="F44" t="s">
        <v>291</v>
      </c>
      <c r="G44" s="4">
        <v>45296</v>
      </c>
      <c r="H44" s="4">
        <v>45309</v>
      </c>
      <c r="I44" s="4">
        <v>45312</v>
      </c>
      <c r="J44">
        <f t="shared" si="0"/>
        <v>3</v>
      </c>
      <c r="K44" t="str">
        <f t="array" ref="K44">_xlfn.IFS(J44=1,"Day Use",J44&lt;=3,"Short Stay",J44&lt;=7,"Extended Stay",J44&gt;=8,"Long Stay")</f>
        <v>Short Stay</v>
      </c>
      <c r="L44" t="s">
        <v>84</v>
      </c>
      <c r="M44" s="10" t="str">
        <f t="shared" si="1"/>
        <v>Standard</v>
      </c>
      <c r="N44" t="s">
        <v>26</v>
      </c>
      <c r="O44" t="s">
        <v>35</v>
      </c>
      <c r="P44">
        <f>IFERROR(VLOOKUP(TRIM(M44),Room!D:H,5,FALSE),5000)</f>
        <v>3200</v>
      </c>
      <c r="Q44">
        <f t="shared" si="2"/>
        <v>9600</v>
      </c>
      <c r="R44" s="11" t="str">
        <f t="shared" si="3"/>
        <v>Other</v>
      </c>
      <c r="S44" s="11">
        <f t="shared" si="4"/>
        <v>2</v>
      </c>
    </row>
    <row r="45" spans="1:19">
      <c r="A45" t="s">
        <v>292</v>
      </c>
      <c r="B45" t="s">
        <v>293</v>
      </c>
      <c r="C45" t="s">
        <v>294</v>
      </c>
      <c r="D45" t="s">
        <v>295</v>
      </c>
      <c r="E45" t="s">
        <v>296</v>
      </c>
      <c r="F45" t="s">
        <v>297</v>
      </c>
      <c r="G45" s="4">
        <v>45492</v>
      </c>
      <c r="H45" s="4">
        <v>45867</v>
      </c>
      <c r="I45" s="4">
        <v>45871</v>
      </c>
      <c r="J45">
        <f t="shared" si="0"/>
        <v>4</v>
      </c>
      <c r="K45" t="str">
        <f t="array" ref="K45">_xlfn.IFS(J45=1,"Day Use",J45&lt;=3,"Short Stay",J45&lt;=7,"Extended Stay",J45&gt;=8,"Long Stay")</f>
        <v>Extended Stay</v>
      </c>
      <c r="L45" t="s">
        <v>49</v>
      </c>
      <c r="M45" s="10" t="str">
        <f t="shared" si="1"/>
        <v>Deluxe</v>
      </c>
      <c r="N45" t="s">
        <v>26</v>
      </c>
      <c r="O45" t="s">
        <v>71</v>
      </c>
      <c r="P45">
        <f>IFERROR(VLOOKUP(TRIM(M45),Room!D:H,5,FALSE),5000)</f>
        <v>5400</v>
      </c>
      <c r="Q45">
        <f t="shared" si="2"/>
        <v>21600</v>
      </c>
      <c r="R45" s="11" t="str">
        <f t="shared" si="3"/>
        <v>Conference</v>
      </c>
      <c r="S45" s="11">
        <f t="shared" si="4"/>
        <v>3</v>
      </c>
    </row>
    <row r="46" spans="1:19">
      <c r="A46" t="s">
        <v>298</v>
      </c>
      <c r="B46" t="s">
        <v>299</v>
      </c>
      <c r="C46" t="s">
        <v>300</v>
      </c>
      <c r="D46" t="s">
        <v>301</v>
      </c>
      <c r="E46" t="s">
        <v>302</v>
      </c>
      <c r="F46" t="s">
        <v>303</v>
      </c>
      <c r="G46" s="4">
        <v>45361</v>
      </c>
      <c r="H46" s="4">
        <v>45526</v>
      </c>
      <c r="I46" s="4">
        <v>45538</v>
      </c>
      <c r="J46">
        <f t="shared" si="0"/>
        <v>12</v>
      </c>
      <c r="K46" t="str">
        <f t="array" ref="K46">_xlfn.IFS(J46=1,"Day Use",J46&lt;=3,"Short Stay",J46&lt;=7,"Extended Stay",J46&gt;=8,"Long Stay")</f>
        <v>Long Stay</v>
      </c>
      <c r="L46" t="s">
        <v>34</v>
      </c>
      <c r="M46" s="10" t="str">
        <f t="shared" si="1"/>
        <v>Suite</v>
      </c>
      <c r="N46" t="s">
        <v>26</v>
      </c>
      <c r="O46" t="s">
        <v>35</v>
      </c>
      <c r="P46">
        <f>IFERROR(VLOOKUP(TRIM(M46),Room!D:H,5,FALSE),5000)</f>
        <v>12500</v>
      </c>
      <c r="Q46">
        <f t="shared" si="2"/>
        <v>150000</v>
      </c>
      <c r="R46" s="11" t="str">
        <f t="shared" si="3"/>
        <v>Business</v>
      </c>
      <c r="S46" s="11">
        <f t="shared" si="4"/>
        <v>5</v>
      </c>
    </row>
    <row r="47" spans="1:19">
      <c r="A47" t="s">
        <v>304</v>
      </c>
      <c r="B47" t="s">
        <v>305</v>
      </c>
      <c r="C47" t="s">
        <v>186</v>
      </c>
      <c r="D47" t="s">
        <v>306</v>
      </c>
      <c r="E47" t="s">
        <v>307</v>
      </c>
      <c r="F47" t="s">
        <v>308</v>
      </c>
      <c r="G47" s="4">
        <v>45573</v>
      </c>
      <c r="H47" s="4">
        <v>45599</v>
      </c>
      <c r="I47" s="4">
        <v>45609</v>
      </c>
      <c r="J47">
        <f t="shared" si="0"/>
        <v>10</v>
      </c>
      <c r="K47" t="str">
        <f t="array" ref="K47">_xlfn.IFS(J47=1,"Day Use",J47&lt;=3,"Short Stay",J47&lt;=7,"Extended Stay",J47&gt;=8,"Long Stay")</f>
        <v>Long Stay</v>
      </c>
      <c r="L47" t="s">
        <v>34</v>
      </c>
      <c r="M47" s="10" t="str">
        <f t="shared" si="1"/>
        <v>Premium</v>
      </c>
      <c r="N47" t="s">
        <v>26</v>
      </c>
      <c r="O47" t="s">
        <v>71</v>
      </c>
      <c r="P47">
        <f>IFERROR(VLOOKUP(TRIM(M47),Room!D:H,5,FALSE),5000)</f>
        <v>9500</v>
      </c>
      <c r="Q47">
        <f t="shared" si="2"/>
        <v>95000</v>
      </c>
      <c r="R47" s="11" t="str">
        <f t="shared" si="3"/>
        <v>Conference</v>
      </c>
      <c r="S47" s="11">
        <f t="shared" si="4"/>
        <v>4</v>
      </c>
    </row>
    <row r="48" spans="1:19">
      <c r="A48" t="s">
        <v>309</v>
      </c>
      <c r="B48" t="s">
        <v>310</v>
      </c>
      <c r="C48" t="s">
        <v>311</v>
      </c>
      <c r="D48" t="s">
        <v>312</v>
      </c>
      <c r="E48" t="s">
        <v>313</v>
      </c>
      <c r="F48" t="s">
        <v>314</v>
      </c>
      <c r="G48" s="4">
        <v>45617</v>
      </c>
      <c r="H48" s="4">
        <v>45621</v>
      </c>
      <c r="I48" s="4">
        <v>45625</v>
      </c>
      <c r="J48">
        <f t="shared" si="0"/>
        <v>4</v>
      </c>
      <c r="K48" t="str">
        <f t="array" ref="K48">_xlfn.IFS(J48=1,"Day Use",J48&lt;=3,"Short Stay",J48&lt;=7,"Extended Stay",J48&gt;=8,"Long Stay")</f>
        <v>Extended Stay</v>
      </c>
      <c r="L48" t="s">
        <v>56</v>
      </c>
      <c r="M48" s="10" t="str">
        <f t="shared" si="1"/>
        <v>Deluxe</v>
      </c>
      <c r="N48" t="s">
        <v>26</v>
      </c>
      <c r="O48" t="s">
        <v>58</v>
      </c>
      <c r="P48">
        <f>IFERROR(VLOOKUP(TRIM(M48),Room!D:H,5,FALSE),5000)</f>
        <v>5400</v>
      </c>
      <c r="Q48">
        <f t="shared" si="2"/>
        <v>21600</v>
      </c>
      <c r="R48" s="11" t="str">
        <f t="shared" si="3"/>
        <v>Conference</v>
      </c>
      <c r="S48" s="11">
        <f t="shared" si="4"/>
        <v>3</v>
      </c>
    </row>
    <row r="49" spans="1:19">
      <c r="A49" t="s">
        <v>315</v>
      </c>
      <c r="B49" t="s">
        <v>316</v>
      </c>
      <c r="C49" t="s">
        <v>137</v>
      </c>
      <c r="D49" t="s">
        <v>317</v>
      </c>
      <c r="E49" t="s">
        <v>318</v>
      </c>
      <c r="F49" t="s">
        <v>319</v>
      </c>
      <c r="G49" s="4">
        <v>45346</v>
      </c>
      <c r="H49" s="4">
        <v>45362</v>
      </c>
      <c r="I49" s="4">
        <v>45372</v>
      </c>
      <c r="J49">
        <f t="shared" si="0"/>
        <v>10</v>
      </c>
      <c r="K49" t="str">
        <f t="array" ref="K49">_xlfn.IFS(J49=1,"Day Use",J49&lt;=3,"Short Stay",J49&lt;=7,"Extended Stay",J49&gt;=8,"Long Stay")</f>
        <v>Long Stay</v>
      </c>
      <c r="L49" t="s">
        <v>91</v>
      </c>
      <c r="M49" s="10" t="str">
        <f t="shared" si="1"/>
        <v>Premium</v>
      </c>
      <c r="N49" t="s">
        <v>26</v>
      </c>
      <c r="O49" t="s">
        <v>35</v>
      </c>
      <c r="P49">
        <f>IFERROR(VLOOKUP(TRIM(M49),Room!D:H,5,FALSE),5000)</f>
        <v>9500</v>
      </c>
      <c r="Q49">
        <f t="shared" si="2"/>
        <v>95000</v>
      </c>
      <c r="R49" s="11" t="str">
        <f t="shared" si="3"/>
        <v>Conference</v>
      </c>
      <c r="S49" s="11">
        <f t="shared" si="4"/>
        <v>4</v>
      </c>
    </row>
    <row r="50" spans="1:19">
      <c r="A50" t="s">
        <v>320</v>
      </c>
      <c r="B50" t="s">
        <v>321</v>
      </c>
      <c r="C50" t="s">
        <v>288</v>
      </c>
      <c r="D50" t="s">
        <v>322</v>
      </c>
      <c r="E50" t="s">
        <v>323</v>
      </c>
      <c r="F50" t="s">
        <v>324</v>
      </c>
      <c r="G50" s="4">
        <v>45615</v>
      </c>
      <c r="H50" s="4">
        <v>45643</v>
      </c>
      <c r="I50" s="4">
        <v>45644</v>
      </c>
      <c r="J50">
        <f t="shared" si="0"/>
        <v>1</v>
      </c>
      <c r="K50" t="str">
        <f t="array" ref="K50">_xlfn.IFS(J50=1,"Day Use",J50&lt;=3,"Short Stay",J50&lt;=7,"Extended Stay",J50&gt;=8,"Long Stay")</f>
        <v>Day Use</v>
      </c>
      <c r="L50" t="s">
        <v>25</v>
      </c>
      <c r="M50" s="10" t="str">
        <f t="shared" si="1"/>
        <v>Standard</v>
      </c>
      <c r="N50" t="s">
        <v>26</v>
      </c>
      <c r="O50" t="s">
        <v>27</v>
      </c>
      <c r="P50">
        <f>IFERROR(VLOOKUP(TRIM(M50),Room!D:H,5,FALSE),5000)</f>
        <v>3200</v>
      </c>
      <c r="Q50">
        <f t="shared" si="2"/>
        <v>3200</v>
      </c>
      <c r="R50" s="11" t="str">
        <f t="shared" si="3"/>
        <v>Other</v>
      </c>
      <c r="S50" s="11">
        <f t="shared" si="4"/>
        <v>1</v>
      </c>
    </row>
    <row r="51" spans="1:19">
      <c r="A51" t="s">
        <v>325</v>
      </c>
      <c r="B51" t="s">
        <v>326</v>
      </c>
      <c r="C51" t="s">
        <v>327</v>
      </c>
      <c r="D51" t="s">
        <v>328</v>
      </c>
      <c r="E51" t="s">
        <v>329</v>
      </c>
      <c r="F51" t="s">
        <v>330</v>
      </c>
      <c r="G51" s="4">
        <v>45308</v>
      </c>
      <c r="H51" s="4">
        <v>45715</v>
      </c>
      <c r="I51" s="4">
        <v>45717</v>
      </c>
      <c r="J51">
        <f t="shared" si="0"/>
        <v>2</v>
      </c>
      <c r="K51" t="str">
        <f t="array" ref="K51">_xlfn.IFS(J51=1,"Day Use",J51&lt;=3,"Short Stay",J51&lt;=7,"Extended Stay",J51&gt;=8,"Long Stay")</f>
        <v>Short Stay</v>
      </c>
      <c r="L51" t="s">
        <v>196</v>
      </c>
      <c r="M51" s="10" t="str">
        <f t="shared" si="1"/>
        <v>Standard</v>
      </c>
      <c r="N51" t="s">
        <v>26</v>
      </c>
      <c r="O51" t="s">
        <v>71</v>
      </c>
      <c r="P51">
        <f>IFERROR(VLOOKUP(TRIM(M51),Room!D:H,5,FALSE),5000)</f>
        <v>3200</v>
      </c>
      <c r="Q51">
        <f t="shared" si="2"/>
        <v>6400</v>
      </c>
      <c r="R51" s="11" t="str">
        <f t="shared" si="3"/>
        <v>Other</v>
      </c>
      <c r="S51" s="11">
        <f t="shared" si="4"/>
        <v>2</v>
      </c>
    </row>
    <row r="52" spans="1:19">
      <c r="A52" t="s">
        <v>331</v>
      </c>
      <c r="B52" t="s">
        <v>332</v>
      </c>
      <c r="C52" t="s">
        <v>333</v>
      </c>
      <c r="D52" t="s">
        <v>334</v>
      </c>
      <c r="E52" t="s">
        <v>335</v>
      </c>
      <c r="F52" t="s">
        <v>336</v>
      </c>
      <c r="G52" s="4">
        <v>45784</v>
      </c>
      <c r="H52" s="4">
        <v>45806</v>
      </c>
      <c r="I52" s="4">
        <v>45817</v>
      </c>
      <c r="J52">
        <f t="shared" si="0"/>
        <v>11</v>
      </c>
      <c r="K52" t="str">
        <f t="array" ref="K52">_xlfn.IFS(J52=1,"Day Use",J52&lt;=3,"Short Stay",J52&lt;=7,"Extended Stay",J52&gt;=8,"Long Stay")</f>
        <v>Long Stay</v>
      </c>
      <c r="L52" t="s">
        <v>196</v>
      </c>
      <c r="M52" s="10" t="str">
        <f t="shared" si="1"/>
        <v>Suite</v>
      </c>
      <c r="N52" t="s">
        <v>148</v>
      </c>
      <c r="O52" t="s">
        <v>42</v>
      </c>
      <c r="P52">
        <f>IFERROR(VLOOKUP(TRIM(M52),Room!D:H,5,FALSE),5000)</f>
        <v>12500</v>
      </c>
      <c r="Q52">
        <f t="shared" si="2"/>
        <v>137500</v>
      </c>
      <c r="R52" s="11" t="str">
        <f t="shared" si="3"/>
        <v>Business</v>
      </c>
      <c r="S52" s="11">
        <f t="shared" si="4"/>
        <v>5</v>
      </c>
    </row>
    <row r="53" spans="1:19">
      <c r="A53" t="s">
        <v>337</v>
      </c>
      <c r="B53" t="s">
        <v>338</v>
      </c>
      <c r="C53" t="s">
        <v>339</v>
      </c>
      <c r="D53" t="s">
        <v>340</v>
      </c>
      <c r="E53" t="s">
        <v>341</v>
      </c>
      <c r="F53" t="s">
        <v>342</v>
      </c>
      <c r="G53" s="4">
        <v>45555</v>
      </c>
      <c r="H53" s="4">
        <v>45659</v>
      </c>
      <c r="I53" s="4">
        <v>45671</v>
      </c>
      <c r="J53">
        <f t="shared" si="0"/>
        <v>12</v>
      </c>
      <c r="K53" t="str">
        <f t="array" ref="K53">_xlfn.IFS(J53=1,"Day Use",J53&lt;=3,"Short Stay",J53&lt;=7,"Extended Stay",J53&gt;=8,"Long Stay")</f>
        <v>Long Stay</v>
      </c>
      <c r="L53" t="s">
        <v>91</v>
      </c>
      <c r="M53" s="10" t="str">
        <f t="shared" si="1"/>
        <v>Suite</v>
      </c>
      <c r="N53" t="s">
        <v>26</v>
      </c>
      <c r="O53" t="s">
        <v>42</v>
      </c>
      <c r="P53">
        <f>IFERROR(VLOOKUP(TRIM(M53),Room!D:H,5,FALSE),5000)</f>
        <v>12500</v>
      </c>
      <c r="Q53">
        <f t="shared" si="2"/>
        <v>150000</v>
      </c>
      <c r="R53" s="11" t="str">
        <f t="shared" si="3"/>
        <v>Business</v>
      </c>
      <c r="S53" s="11">
        <f t="shared" si="4"/>
        <v>5</v>
      </c>
    </row>
    <row r="54" spans="1:19">
      <c r="A54" t="s">
        <v>343</v>
      </c>
      <c r="B54" t="s">
        <v>344</v>
      </c>
      <c r="C54" t="s">
        <v>345</v>
      </c>
      <c r="D54" t="s">
        <v>346</v>
      </c>
      <c r="E54" t="s">
        <v>347</v>
      </c>
      <c r="F54" t="s">
        <v>348</v>
      </c>
      <c r="G54" s="4">
        <v>45444</v>
      </c>
      <c r="H54" s="4">
        <v>45689</v>
      </c>
      <c r="I54" s="4">
        <v>45694</v>
      </c>
      <c r="J54">
        <f t="shared" si="0"/>
        <v>5</v>
      </c>
      <c r="K54" t="str">
        <f t="array" ref="K54">_xlfn.IFS(J54=1,"Day Use",J54&lt;=3,"Short Stay",J54&lt;=7,"Extended Stay",J54&gt;=8,"Long Stay")</f>
        <v>Extended Stay</v>
      </c>
      <c r="L54" t="s">
        <v>84</v>
      </c>
      <c r="M54" s="10" t="str">
        <f t="shared" si="1"/>
        <v>Deluxe</v>
      </c>
      <c r="N54" t="s">
        <v>26</v>
      </c>
      <c r="O54" t="s">
        <v>27</v>
      </c>
      <c r="P54">
        <f>IFERROR(VLOOKUP(TRIM(M54),Room!D:H,5,FALSE),5000)</f>
        <v>5400</v>
      </c>
      <c r="Q54">
        <f t="shared" si="2"/>
        <v>27000</v>
      </c>
      <c r="R54" s="11" t="str">
        <f t="shared" si="3"/>
        <v>Conference</v>
      </c>
      <c r="S54" s="11">
        <f t="shared" si="4"/>
        <v>3</v>
      </c>
    </row>
    <row r="55" spans="1:19">
      <c r="A55" t="s">
        <v>349</v>
      </c>
      <c r="B55" t="s">
        <v>350</v>
      </c>
      <c r="C55" t="s">
        <v>351</v>
      </c>
      <c r="D55" t="s">
        <v>352</v>
      </c>
      <c r="E55" t="s">
        <v>353</v>
      </c>
      <c r="F55" t="s">
        <v>354</v>
      </c>
      <c r="G55" s="4">
        <v>45352</v>
      </c>
      <c r="H55" s="4">
        <v>45368</v>
      </c>
      <c r="I55" s="4">
        <v>45371</v>
      </c>
      <c r="J55">
        <f t="shared" si="0"/>
        <v>3</v>
      </c>
      <c r="K55" t="str">
        <f t="array" ref="K55">_xlfn.IFS(J55=1,"Day Use",J55&lt;=3,"Short Stay",J55&lt;=7,"Extended Stay",J55&gt;=8,"Long Stay")</f>
        <v>Short Stay</v>
      </c>
      <c r="L55" t="s">
        <v>34</v>
      </c>
      <c r="M55" s="10" t="str">
        <f t="shared" si="1"/>
        <v>Standard</v>
      </c>
      <c r="N55" t="s">
        <v>26</v>
      </c>
      <c r="O55" t="s">
        <v>58</v>
      </c>
      <c r="P55">
        <f>IFERROR(VLOOKUP(TRIM(M55),Room!D:H,5,FALSE),5000)</f>
        <v>3200</v>
      </c>
      <c r="Q55">
        <f t="shared" si="2"/>
        <v>9600</v>
      </c>
      <c r="R55" s="11" t="str">
        <f t="shared" si="3"/>
        <v>Other</v>
      </c>
      <c r="S55" s="11">
        <f t="shared" si="4"/>
        <v>2</v>
      </c>
    </row>
    <row r="56" spans="1:19">
      <c r="A56" t="s">
        <v>355</v>
      </c>
      <c r="B56" t="s">
        <v>356</v>
      </c>
      <c r="C56" t="s">
        <v>357</v>
      </c>
      <c r="D56" t="s">
        <v>358</v>
      </c>
      <c r="E56" t="s">
        <v>359</v>
      </c>
      <c r="F56" t="s">
        <v>360</v>
      </c>
      <c r="G56" s="4">
        <v>45597</v>
      </c>
      <c r="H56" s="4">
        <v>45885</v>
      </c>
      <c r="I56" s="4">
        <v>45893</v>
      </c>
      <c r="J56">
        <f t="shared" si="0"/>
        <v>8</v>
      </c>
      <c r="K56" t="str">
        <f t="array" ref="K56">_xlfn.IFS(J56=1,"Day Use",J56&lt;=3,"Short Stay",J56&lt;=7,"Extended Stay",J56&gt;=8,"Long Stay")</f>
        <v>Long Stay</v>
      </c>
      <c r="L56" t="s">
        <v>49</v>
      </c>
      <c r="M56" s="10" t="str">
        <f t="shared" si="1"/>
        <v>Premium</v>
      </c>
      <c r="N56" t="s">
        <v>26</v>
      </c>
      <c r="O56" t="s">
        <v>71</v>
      </c>
      <c r="P56">
        <f>IFERROR(VLOOKUP(TRIM(M56),Room!D:H,5,FALSE),5000)</f>
        <v>9500</v>
      </c>
      <c r="Q56">
        <f t="shared" si="2"/>
        <v>76000</v>
      </c>
      <c r="R56" s="11" t="str">
        <f t="shared" si="3"/>
        <v>Conference</v>
      </c>
      <c r="S56" s="11">
        <f t="shared" si="4"/>
        <v>4</v>
      </c>
    </row>
    <row r="57" spans="1:19">
      <c r="A57" t="s">
        <v>361</v>
      </c>
      <c r="B57" t="s">
        <v>362</v>
      </c>
      <c r="C57" t="s">
        <v>363</v>
      </c>
      <c r="D57" t="s">
        <v>364</v>
      </c>
      <c r="E57" t="s">
        <v>365</v>
      </c>
      <c r="F57" t="s">
        <v>366</v>
      </c>
      <c r="G57" s="4">
        <v>45489</v>
      </c>
      <c r="H57" s="4">
        <v>45501</v>
      </c>
      <c r="I57" s="4">
        <v>45511</v>
      </c>
      <c r="J57">
        <f t="shared" si="0"/>
        <v>10</v>
      </c>
      <c r="K57" t="str">
        <f t="array" ref="K57">_xlfn.IFS(J57=1,"Day Use",J57&lt;=3,"Short Stay",J57&lt;=7,"Extended Stay",J57&gt;=8,"Long Stay")</f>
        <v>Long Stay</v>
      </c>
      <c r="L57" t="s">
        <v>25</v>
      </c>
      <c r="M57" s="10" t="str">
        <f t="shared" si="1"/>
        <v>Premium</v>
      </c>
      <c r="N57" t="s">
        <v>148</v>
      </c>
      <c r="O57" t="s">
        <v>35</v>
      </c>
      <c r="P57">
        <f>IFERROR(VLOOKUP(TRIM(M57),Room!D:H,5,FALSE),5000)</f>
        <v>9500</v>
      </c>
      <c r="Q57">
        <f t="shared" si="2"/>
        <v>95000</v>
      </c>
      <c r="R57" s="11" t="str">
        <f t="shared" si="3"/>
        <v>Conference</v>
      </c>
      <c r="S57" s="11">
        <f t="shared" si="4"/>
        <v>4</v>
      </c>
    </row>
    <row r="58" spans="1:19">
      <c r="A58" t="s">
        <v>367</v>
      </c>
      <c r="B58" t="s">
        <v>368</v>
      </c>
      <c r="C58" t="s">
        <v>144</v>
      </c>
      <c r="D58" t="s">
        <v>369</v>
      </c>
      <c r="E58" t="s">
        <v>370</v>
      </c>
      <c r="F58" t="s">
        <v>371</v>
      </c>
      <c r="G58" s="4">
        <v>45497</v>
      </c>
      <c r="H58" s="4">
        <v>45500</v>
      </c>
      <c r="I58" s="4">
        <v>45513</v>
      </c>
      <c r="J58">
        <f t="shared" si="0"/>
        <v>13</v>
      </c>
      <c r="K58" t="str">
        <f t="array" ref="K58">_xlfn.IFS(J58=1,"Day Use",J58&lt;=3,"Short Stay",J58&lt;=7,"Extended Stay",J58&gt;=8,"Long Stay")</f>
        <v>Long Stay</v>
      </c>
      <c r="L58" t="s">
        <v>141</v>
      </c>
      <c r="M58" s="10" t="str">
        <f t="shared" si="1"/>
        <v>Suite</v>
      </c>
      <c r="N58" t="s">
        <v>372</v>
      </c>
      <c r="O58" t="s">
        <v>58</v>
      </c>
      <c r="P58">
        <f>IFERROR(VLOOKUP(TRIM(M58),Room!D:H,5,FALSE),5000)</f>
        <v>12500</v>
      </c>
      <c r="Q58">
        <f t="shared" si="2"/>
        <v>162500</v>
      </c>
      <c r="R58" s="11" t="str">
        <f t="shared" si="3"/>
        <v>Business</v>
      </c>
      <c r="S58" s="11">
        <f t="shared" si="4"/>
        <v>5</v>
      </c>
    </row>
    <row r="59" spans="1:19">
      <c r="A59" t="s">
        <v>373</v>
      </c>
      <c r="B59" t="s">
        <v>374</v>
      </c>
      <c r="C59" t="s">
        <v>375</v>
      </c>
      <c r="D59" t="s">
        <v>376</v>
      </c>
      <c r="E59" t="s">
        <v>377</v>
      </c>
      <c r="F59" t="s">
        <v>378</v>
      </c>
      <c r="G59" s="4">
        <v>45291</v>
      </c>
      <c r="H59" s="4">
        <v>45304</v>
      </c>
      <c r="I59" s="4">
        <v>45308</v>
      </c>
      <c r="J59">
        <f t="shared" si="0"/>
        <v>4</v>
      </c>
      <c r="K59" t="str">
        <f t="array" ref="K59">_xlfn.IFS(J59=1,"Day Use",J59&lt;=3,"Short Stay",J59&lt;=7,"Extended Stay",J59&gt;=8,"Long Stay")</f>
        <v>Extended Stay</v>
      </c>
      <c r="L59" t="s">
        <v>34</v>
      </c>
      <c r="M59" s="10" t="str">
        <f t="shared" si="1"/>
        <v>Deluxe</v>
      </c>
      <c r="N59" t="s">
        <v>26</v>
      </c>
      <c r="O59" t="s">
        <v>27</v>
      </c>
      <c r="P59">
        <f>IFERROR(VLOOKUP(TRIM(M59),Room!D:H,5,FALSE),5000)</f>
        <v>5400</v>
      </c>
      <c r="Q59">
        <f t="shared" si="2"/>
        <v>21600</v>
      </c>
      <c r="R59" s="11" t="str">
        <f t="shared" si="3"/>
        <v>Conference</v>
      </c>
      <c r="S59" s="11">
        <f t="shared" si="4"/>
        <v>3</v>
      </c>
    </row>
    <row r="60" spans="1:19">
      <c r="A60" t="s">
        <v>379</v>
      </c>
      <c r="B60" t="s">
        <v>380</v>
      </c>
      <c r="C60" t="s">
        <v>118</v>
      </c>
      <c r="D60" t="s">
        <v>381</v>
      </c>
      <c r="E60" t="s">
        <v>382</v>
      </c>
      <c r="F60" t="s">
        <v>383</v>
      </c>
      <c r="G60" s="4">
        <v>45208</v>
      </c>
      <c r="H60" s="4">
        <v>46018</v>
      </c>
      <c r="I60" s="4">
        <v>46019</v>
      </c>
      <c r="J60">
        <f t="shared" si="0"/>
        <v>1</v>
      </c>
      <c r="K60" t="str">
        <f t="array" ref="K60">_xlfn.IFS(J60=1,"Day Use",J60&lt;=3,"Short Stay",J60&lt;=7,"Extended Stay",J60&gt;=8,"Long Stay")</f>
        <v>Day Use</v>
      </c>
      <c r="L60" t="s">
        <v>196</v>
      </c>
      <c r="M60" s="10" t="str">
        <f t="shared" si="1"/>
        <v>Standard</v>
      </c>
      <c r="N60" t="s">
        <v>26</v>
      </c>
      <c r="O60" t="s">
        <v>58</v>
      </c>
      <c r="P60">
        <f>IFERROR(VLOOKUP(TRIM(M60),Room!D:H,5,FALSE),5000)</f>
        <v>3200</v>
      </c>
      <c r="Q60">
        <f t="shared" si="2"/>
        <v>3200</v>
      </c>
      <c r="R60" s="11" t="str">
        <f t="shared" si="3"/>
        <v>Other</v>
      </c>
      <c r="S60" s="11">
        <f t="shared" si="4"/>
        <v>1</v>
      </c>
    </row>
    <row r="61" spans="1:19">
      <c r="A61" t="s">
        <v>384</v>
      </c>
      <c r="B61" t="s">
        <v>385</v>
      </c>
      <c r="C61" t="s">
        <v>386</v>
      </c>
      <c r="D61" t="s">
        <v>387</v>
      </c>
      <c r="E61" t="s">
        <v>388</v>
      </c>
      <c r="F61" t="s">
        <v>389</v>
      </c>
      <c r="G61" s="4">
        <v>45434</v>
      </c>
      <c r="H61" s="4">
        <v>45641</v>
      </c>
      <c r="I61" s="4">
        <v>45655</v>
      </c>
      <c r="J61">
        <f t="shared" si="0"/>
        <v>14</v>
      </c>
      <c r="K61" t="str">
        <f t="array" ref="K61">_xlfn.IFS(J61=1,"Day Use",J61&lt;=3,"Short Stay",J61&lt;=7,"Extended Stay",J61&gt;=8,"Long Stay")</f>
        <v>Long Stay</v>
      </c>
      <c r="L61" t="s">
        <v>84</v>
      </c>
      <c r="M61" s="10" t="str">
        <f t="shared" si="1"/>
        <v>Suite</v>
      </c>
      <c r="N61" t="s">
        <v>26</v>
      </c>
      <c r="O61" t="s">
        <v>58</v>
      </c>
      <c r="P61">
        <f>IFERROR(VLOOKUP(TRIM(M61),Room!D:H,5,FALSE),5000)</f>
        <v>12500</v>
      </c>
      <c r="Q61">
        <f t="shared" si="2"/>
        <v>175000</v>
      </c>
      <c r="R61" s="11" t="str">
        <f t="shared" si="3"/>
        <v>Business</v>
      </c>
      <c r="S61" s="11">
        <f t="shared" si="4"/>
        <v>5</v>
      </c>
    </row>
    <row r="62" spans="1:19">
      <c r="A62" t="s">
        <v>390</v>
      </c>
      <c r="B62" t="s">
        <v>391</v>
      </c>
      <c r="C62" t="s">
        <v>392</v>
      </c>
      <c r="D62" t="s">
        <v>393</v>
      </c>
      <c r="E62" t="s">
        <v>394</v>
      </c>
      <c r="F62" t="s">
        <v>395</v>
      </c>
      <c r="G62" s="4">
        <v>45684</v>
      </c>
      <c r="H62" s="4">
        <v>45714</v>
      </c>
      <c r="I62" s="4">
        <v>45717</v>
      </c>
      <c r="J62">
        <f t="shared" si="0"/>
        <v>3</v>
      </c>
      <c r="K62" t="str">
        <f t="array" ref="K62">_xlfn.IFS(J62=1,"Day Use",J62&lt;=3,"Short Stay",J62&lt;=7,"Extended Stay",J62&gt;=8,"Long Stay")</f>
        <v>Short Stay</v>
      </c>
      <c r="L62" t="s">
        <v>141</v>
      </c>
      <c r="M62" s="10" t="str">
        <f t="shared" si="1"/>
        <v>Standard</v>
      </c>
      <c r="N62" t="s">
        <v>26</v>
      </c>
      <c r="O62" t="s">
        <v>35</v>
      </c>
      <c r="P62">
        <f>IFERROR(VLOOKUP(TRIM(M62),Room!D:H,5,FALSE),5000)</f>
        <v>3200</v>
      </c>
      <c r="Q62">
        <f t="shared" si="2"/>
        <v>9600</v>
      </c>
      <c r="R62" s="11" t="str">
        <f t="shared" si="3"/>
        <v>Other</v>
      </c>
      <c r="S62" s="11">
        <f t="shared" si="4"/>
        <v>2</v>
      </c>
    </row>
    <row r="63" spans="1:19">
      <c r="A63" t="s">
        <v>396</v>
      </c>
      <c r="B63" t="s">
        <v>397</v>
      </c>
      <c r="C63" t="s">
        <v>398</v>
      </c>
      <c r="D63" t="s">
        <v>399</v>
      </c>
      <c r="E63" t="s">
        <v>400</v>
      </c>
      <c r="F63" t="s">
        <v>401</v>
      </c>
      <c r="G63" s="4">
        <v>45600</v>
      </c>
      <c r="H63" s="4">
        <v>45726</v>
      </c>
      <c r="I63" s="4">
        <v>45733</v>
      </c>
      <c r="J63">
        <f t="shared" si="0"/>
        <v>7</v>
      </c>
      <c r="K63" t="str">
        <f t="array" ref="K63">_xlfn.IFS(J63=1,"Day Use",J63&lt;=3,"Short Stay",J63&lt;=7,"Extended Stay",J63&gt;=8,"Long Stay")</f>
        <v>Extended Stay</v>
      </c>
      <c r="L63" t="s">
        <v>84</v>
      </c>
      <c r="M63" s="10" t="str">
        <f t="shared" si="1"/>
        <v>Premium</v>
      </c>
      <c r="N63" t="s">
        <v>26</v>
      </c>
      <c r="O63" t="s">
        <v>71</v>
      </c>
      <c r="P63">
        <f>IFERROR(VLOOKUP(TRIM(M63),Room!D:H,5,FALSE),5000)</f>
        <v>9500</v>
      </c>
      <c r="Q63">
        <f t="shared" si="2"/>
        <v>66500</v>
      </c>
      <c r="R63" s="11" t="str">
        <f t="shared" si="3"/>
        <v>Conference</v>
      </c>
      <c r="S63" s="11">
        <f t="shared" si="4"/>
        <v>4</v>
      </c>
    </row>
    <row r="64" spans="1:19">
      <c r="A64" t="s">
        <v>402</v>
      </c>
      <c r="B64" t="s">
        <v>403</v>
      </c>
      <c r="C64" t="s">
        <v>404</v>
      </c>
      <c r="D64" t="s">
        <v>405</v>
      </c>
      <c r="E64" t="s">
        <v>406</v>
      </c>
      <c r="F64" t="s">
        <v>407</v>
      </c>
      <c r="G64" s="4">
        <v>45405</v>
      </c>
      <c r="H64" s="4">
        <v>45992</v>
      </c>
      <c r="I64" s="4">
        <v>46000</v>
      </c>
      <c r="J64">
        <f t="shared" si="0"/>
        <v>8</v>
      </c>
      <c r="K64" t="str">
        <f t="array" ref="K64">_xlfn.IFS(J64=1,"Day Use",J64&lt;=3,"Short Stay",J64&lt;=7,"Extended Stay",J64&gt;=8,"Long Stay")</f>
        <v>Long Stay</v>
      </c>
      <c r="L64" t="s">
        <v>56</v>
      </c>
      <c r="M64" s="10" t="str">
        <f t="shared" si="1"/>
        <v>Premium</v>
      </c>
      <c r="N64" t="s">
        <v>26</v>
      </c>
      <c r="O64" t="s">
        <v>35</v>
      </c>
      <c r="P64">
        <f>IFERROR(VLOOKUP(TRIM(M64),Room!D:H,5,FALSE),5000)</f>
        <v>9500</v>
      </c>
      <c r="Q64">
        <f t="shared" si="2"/>
        <v>76000</v>
      </c>
      <c r="R64" s="11" t="str">
        <f t="shared" si="3"/>
        <v>Conference</v>
      </c>
      <c r="S64" s="11">
        <f t="shared" si="4"/>
        <v>4</v>
      </c>
    </row>
    <row r="65" spans="1:19">
      <c r="A65" t="s">
        <v>408</v>
      </c>
      <c r="B65" t="s">
        <v>409</v>
      </c>
      <c r="C65" t="s">
        <v>363</v>
      </c>
      <c r="D65" t="s">
        <v>410</v>
      </c>
      <c r="E65" t="s">
        <v>411</v>
      </c>
      <c r="F65" t="s">
        <v>412</v>
      </c>
      <c r="G65" s="4">
        <v>45394</v>
      </c>
      <c r="H65" s="4">
        <v>45421</v>
      </c>
      <c r="I65" s="4">
        <v>45433</v>
      </c>
      <c r="J65">
        <f t="shared" si="0"/>
        <v>12</v>
      </c>
      <c r="K65" t="str">
        <f t="array" ref="K65">_xlfn.IFS(J65=1,"Day Use",J65&lt;=3,"Short Stay",J65&lt;=7,"Extended Stay",J65&gt;=8,"Long Stay")</f>
        <v>Long Stay</v>
      </c>
      <c r="L65" t="s">
        <v>91</v>
      </c>
      <c r="M65" s="10" t="str">
        <f t="shared" si="1"/>
        <v>Suite</v>
      </c>
      <c r="N65" t="s">
        <v>26</v>
      </c>
      <c r="O65" t="s">
        <v>71</v>
      </c>
      <c r="P65">
        <f>IFERROR(VLOOKUP(TRIM(M65),Room!D:H,5,FALSE),5000)</f>
        <v>12500</v>
      </c>
      <c r="Q65">
        <f t="shared" si="2"/>
        <v>150000</v>
      </c>
      <c r="R65" s="11" t="str">
        <f t="shared" si="3"/>
        <v>Business</v>
      </c>
      <c r="S65" s="11">
        <f t="shared" si="4"/>
        <v>5</v>
      </c>
    </row>
    <row r="66" spans="1:19">
      <c r="A66" t="s">
        <v>413</v>
      </c>
      <c r="B66" t="s">
        <v>414</v>
      </c>
      <c r="C66" t="s">
        <v>415</v>
      </c>
      <c r="D66" t="s">
        <v>416</v>
      </c>
      <c r="E66" t="s">
        <v>417</v>
      </c>
      <c r="F66" t="s">
        <v>418</v>
      </c>
      <c r="G66" s="4">
        <v>45268</v>
      </c>
      <c r="H66" s="4">
        <v>45420</v>
      </c>
      <c r="I66" s="4">
        <v>45432</v>
      </c>
      <c r="J66">
        <f t="shared" ref="J66:J129" si="5">I66-H66</f>
        <v>12</v>
      </c>
      <c r="K66" t="str">
        <f t="array" ref="K66">_xlfn.IFS(J66=1,"Day Use",J66&lt;=3,"Short Stay",J66&lt;=7,"Extended Stay",J66&gt;=8,"Long Stay")</f>
        <v>Long Stay</v>
      </c>
      <c r="L66" t="s">
        <v>84</v>
      </c>
      <c r="M66" s="10" t="str">
        <f t="shared" ref="M66:M129" si="6">IF($J66&lt;=3,"Standard",IF($J66&lt;=6,"Deluxe",IF($J66&lt;=10,"Premium","Suite")))</f>
        <v>Suite</v>
      </c>
      <c r="N66" t="s">
        <v>26</v>
      </c>
      <c r="O66" t="s">
        <v>71</v>
      </c>
      <c r="P66">
        <f>IFERROR(VLOOKUP(TRIM(M66),Room!D:H,5,FALSE),5000)</f>
        <v>12500</v>
      </c>
      <c r="Q66">
        <f t="shared" si="2"/>
        <v>150000</v>
      </c>
      <c r="R66" s="11" t="str">
        <f t="shared" si="3"/>
        <v>Business</v>
      </c>
      <c r="S66" s="11">
        <f t="shared" si="4"/>
        <v>5</v>
      </c>
    </row>
    <row r="67" spans="1:19">
      <c r="A67" t="s">
        <v>419</v>
      </c>
      <c r="B67" t="s">
        <v>420</v>
      </c>
      <c r="C67" t="s">
        <v>421</v>
      </c>
      <c r="D67" t="s">
        <v>422</v>
      </c>
      <c r="E67" t="s">
        <v>423</v>
      </c>
      <c r="F67" t="s">
        <v>424</v>
      </c>
      <c r="G67" s="4">
        <v>45204</v>
      </c>
      <c r="H67" s="4">
        <v>46022</v>
      </c>
      <c r="I67" s="4">
        <v>46022</v>
      </c>
      <c r="J67">
        <f t="shared" si="5"/>
        <v>0</v>
      </c>
      <c r="K67" t="str">
        <f t="array" ref="K67">_xlfn.IFS(J67=1,"Day Use",J67&lt;=3,"Short Stay",J67&lt;=7,"Extended Stay",J67&gt;=8,"Long Stay")</f>
        <v>Short Stay</v>
      </c>
      <c r="L67" t="s">
        <v>34</v>
      </c>
      <c r="M67" s="10" t="str">
        <f t="shared" si="6"/>
        <v>Standard</v>
      </c>
      <c r="N67" t="s">
        <v>26</v>
      </c>
      <c r="O67" t="s">
        <v>42</v>
      </c>
      <c r="P67">
        <f>IFERROR(VLOOKUP(TRIM(M67),Room!D:H,5,FALSE),5000)</f>
        <v>3200</v>
      </c>
      <c r="Q67">
        <f t="shared" ref="Q67:Q130" si="7">P67*J67</f>
        <v>0</v>
      </c>
      <c r="R67" s="11" t="str">
        <f t="shared" ref="R67:R130" si="8">IF(ISNUMBER(SEARCH("Suite",D67)),"Honeymoon",IF(P67&gt;10000,"Business",IF(P67&gt;5000,"Conference",IF(J67&gt;=8,"Family Vacation","Other"))))</f>
        <v>Other</v>
      </c>
      <c r="S67" s="11">
        <f t="shared" ref="S67:S130" si="9">IF(M67="Suite",5,IF(M67="Premium",IF(Q67&gt;20000,4,3),IF(M67="Deluxe",IF(Q67&gt;=10000,3,2),IF(M67="Standard",IF(Q67&gt;=5000,2,1),1))))</f>
        <v>1</v>
      </c>
    </row>
    <row r="68" spans="1:19">
      <c r="A68" t="s">
        <v>425</v>
      </c>
      <c r="B68" t="s">
        <v>426</v>
      </c>
      <c r="C68" t="s">
        <v>339</v>
      </c>
      <c r="D68" t="s">
        <v>427</v>
      </c>
      <c r="E68" t="s">
        <v>428</v>
      </c>
      <c r="F68" t="s">
        <v>429</v>
      </c>
      <c r="G68" s="4">
        <v>45370</v>
      </c>
      <c r="H68" s="4">
        <v>45429</v>
      </c>
      <c r="I68" s="4">
        <v>45441</v>
      </c>
      <c r="J68">
        <f t="shared" si="5"/>
        <v>12</v>
      </c>
      <c r="K68" t="str">
        <f t="array" ref="K68">_xlfn.IFS(J68=1,"Day Use",J68&lt;=3,"Short Stay",J68&lt;=7,"Extended Stay",J68&gt;=8,"Long Stay")</f>
        <v>Long Stay</v>
      </c>
      <c r="L68" t="s">
        <v>84</v>
      </c>
      <c r="M68" s="10" t="str">
        <f t="shared" si="6"/>
        <v>Suite</v>
      </c>
      <c r="N68" t="s">
        <v>57</v>
      </c>
      <c r="O68" t="s">
        <v>27</v>
      </c>
      <c r="P68">
        <f>IFERROR(VLOOKUP(TRIM(M68),Room!D:H,5,FALSE),5000)</f>
        <v>12500</v>
      </c>
      <c r="Q68">
        <f t="shared" si="7"/>
        <v>150000</v>
      </c>
      <c r="R68" s="11" t="str">
        <f t="shared" si="8"/>
        <v>Business</v>
      </c>
      <c r="S68" s="11">
        <f t="shared" si="9"/>
        <v>5</v>
      </c>
    </row>
    <row r="69" spans="1:19">
      <c r="A69" t="s">
        <v>430</v>
      </c>
      <c r="B69" t="s">
        <v>431</v>
      </c>
      <c r="C69" t="s">
        <v>432</v>
      </c>
      <c r="D69" t="s">
        <v>433</v>
      </c>
      <c r="E69" t="s">
        <v>434</v>
      </c>
      <c r="F69" t="s">
        <v>435</v>
      </c>
      <c r="G69" s="4">
        <v>45394</v>
      </c>
      <c r="H69" s="4">
        <v>45979</v>
      </c>
      <c r="I69" s="4">
        <v>45993</v>
      </c>
      <c r="J69">
        <f t="shared" si="5"/>
        <v>14</v>
      </c>
      <c r="K69" t="str">
        <f t="array" ref="K69">_xlfn.IFS(J69=1,"Day Use",J69&lt;=3,"Short Stay",J69&lt;=7,"Extended Stay",J69&gt;=8,"Long Stay")</f>
        <v>Long Stay</v>
      </c>
      <c r="L69" t="s">
        <v>49</v>
      </c>
      <c r="M69" s="10" t="str">
        <f t="shared" si="6"/>
        <v>Suite</v>
      </c>
      <c r="N69" t="s">
        <v>26</v>
      </c>
      <c r="O69" t="s">
        <v>42</v>
      </c>
      <c r="P69">
        <f>IFERROR(VLOOKUP(TRIM(M69),Room!D:H,5,FALSE),5000)</f>
        <v>12500</v>
      </c>
      <c r="Q69">
        <f t="shared" si="7"/>
        <v>175000</v>
      </c>
      <c r="R69" s="11" t="str">
        <f t="shared" si="8"/>
        <v>Business</v>
      </c>
      <c r="S69" s="11">
        <f t="shared" si="9"/>
        <v>5</v>
      </c>
    </row>
    <row r="70" spans="1:19">
      <c r="A70" t="s">
        <v>436</v>
      </c>
      <c r="B70" t="s">
        <v>437</v>
      </c>
      <c r="C70" t="s">
        <v>157</v>
      </c>
      <c r="D70" t="s">
        <v>438</v>
      </c>
      <c r="E70" t="s">
        <v>439</v>
      </c>
      <c r="F70" t="s">
        <v>440</v>
      </c>
      <c r="G70" s="4">
        <v>45234</v>
      </c>
      <c r="H70" s="4">
        <v>46016</v>
      </c>
      <c r="I70" s="4">
        <v>46022</v>
      </c>
      <c r="J70">
        <f t="shared" si="5"/>
        <v>6</v>
      </c>
      <c r="K70" t="str">
        <f t="array" ref="K70">_xlfn.IFS(J70=1,"Day Use",J70&lt;=3,"Short Stay",J70&lt;=7,"Extended Stay",J70&gt;=8,"Long Stay")</f>
        <v>Extended Stay</v>
      </c>
      <c r="L70" t="s">
        <v>141</v>
      </c>
      <c r="M70" s="10" t="str">
        <f t="shared" si="6"/>
        <v>Deluxe</v>
      </c>
      <c r="N70" t="s">
        <v>26</v>
      </c>
      <c r="O70" t="s">
        <v>42</v>
      </c>
      <c r="P70">
        <f>IFERROR(VLOOKUP(TRIM(M70),Room!D:H,5,FALSE),5000)</f>
        <v>5400</v>
      </c>
      <c r="Q70">
        <f t="shared" si="7"/>
        <v>32400</v>
      </c>
      <c r="R70" s="11" t="str">
        <f t="shared" si="8"/>
        <v>Conference</v>
      </c>
      <c r="S70" s="11">
        <f t="shared" si="9"/>
        <v>3</v>
      </c>
    </row>
    <row r="71" spans="1:19">
      <c r="A71" t="s">
        <v>441</v>
      </c>
      <c r="B71" t="s">
        <v>442</v>
      </c>
      <c r="C71" t="s">
        <v>443</v>
      </c>
      <c r="D71" t="s">
        <v>444</v>
      </c>
      <c r="E71" t="s">
        <v>445</v>
      </c>
      <c r="F71" t="s">
        <v>446</v>
      </c>
      <c r="G71" s="4">
        <v>45392</v>
      </c>
      <c r="H71" s="4">
        <v>45684</v>
      </c>
      <c r="I71" s="4">
        <v>45697</v>
      </c>
      <c r="J71">
        <f t="shared" si="5"/>
        <v>13</v>
      </c>
      <c r="K71" t="str">
        <f t="array" ref="K71">_xlfn.IFS(J71=1,"Day Use",J71&lt;=3,"Short Stay",J71&lt;=7,"Extended Stay",J71&gt;=8,"Long Stay")</f>
        <v>Long Stay</v>
      </c>
      <c r="L71" t="s">
        <v>56</v>
      </c>
      <c r="M71" s="10" t="str">
        <f t="shared" si="6"/>
        <v>Suite</v>
      </c>
      <c r="N71" t="s">
        <v>26</v>
      </c>
      <c r="O71" t="s">
        <v>58</v>
      </c>
      <c r="P71">
        <f>IFERROR(VLOOKUP(TRIM(M71),Room!D:H,5,FALSE),5000)</f>
        <v>12500</v>
      </c>
      <c r="Q71">
        <f t="shared" si="7"/>
        <v>162500</v>
      </c>
      <c r="R71" s="11" t="str">
        <f t="shared" si="8"/>
        <v>Business</v>
      </c>
      <c r="S71" s="11">
        <f t="shared" si="9"/>
        <v>5</v>
      </c>
    </row>
    <row r="72" spans="1:19">
      <c r="A72" t="s">
        <v>447</v>
      </c>
      <c r="B72" t="s">
        <v>448</v>
      </c>
      <c r="C72" t="s">
        <v>449</v>
      </c>
      <c r="D72" t="s">
        <v>450</v>
      </c>
      <c r="E72" t="s">
        <v>451</v>
      </c>
      <c r="F72" t="s">
        <v>452</v>
      </c>
      <c r="G72" s="4">
        <v>45431</v>
      </c>
      <c r="H72" s="4">
        <v>45431</v>
      </c>
      <c r="I72" s="4">
        <v>45442</v>
      </c>
      <c r="J72">
        <f t="shared" si="5"/>
        <v>11</v>
      </c>
      <c r="K72" t="str">
        <f t="array" ref="K72">_xlfn.IFS(J72=1,"Day Use",J72&lt;=3,"Short Stay",J72&lt;=7,"Extended Stay",J72&gt;=8,"Long Stay")</f>
        <v>Long Stay</v>
      </c>
      <c r="L72" t="s">
        <v>25</v>
      </c>
      <c r="M72" s="10" t="str">
        <f t="shared" si="6"/>
        <v>Suite</v>
      </c>
      <c r="N72" t="s">
        <v>57</v>
      </c>
      <c r="O72" t="s">
        <v>58</v>
      </c>
      <c r="P72">
        <f>IFERROR(VLOOKUP(TRIM(M72),Room!D:H,5,FALSE),5000)</f>
        <v>12500</v>
      </c>
      <c r="Q72">
        <f t="shared" si="7"/>
        <v>137500</v>
      </c>
      <c r="R72" s="11" t="str">
        <f t="shared" si="8"/>
        <v>Business</v>
      </c>
      <c r="S72" s="11">
        <f t="shared" si="9"/>
        <v>5</v>
      </c>
    </row>
    <row r="73" spans="1:19">
      <c r="A73" t="s">
        <v>453</v>
      </c>
      <c r="B73" t="s">
        <v>454</v>
      </c>
      <c r="C73" t="s">
        <v>333</v>
      </c>
      <c r="D73" t="s">
        <v>455</v>
      </c>
      <c r="E73" t="s">
        <v>456</v>
      </c>
      <c r="F73" t="s">
        <v>457</v>
      </c>
      <c r="G73" s="4">
        <v>45429</v>
      </c>
      <c r="H73" s="4">
        <v>45459</v>
      </c>
      <c r="I73" s="4">
        <v>45460</v>
      </c>
      <c r="J73">
        <f t="shared" si="5"/>
        <v>1</v>
      </c>
      <c r="K73" t="str">
        <f t="array" ref="K73">_xlfn.IFS(J73=1,"Day Use",J73&lt;=3,"Short Stay",J73&lt;=7,"Extended Stay",J73&gt;=8,"Long Stay")</f>
        <v>Day Use</v>
      </c>
      <c r="L73" t="s">
        <v>196</v>
      </c>
      <c r="M73" s="10" t="str">
        <f t="shared" si="6"/>
        <v>Standard</v>
      </c>
      <c r="N73" t="s">
        <v>26</v>
      </c>
      <c r="O73" t="s">
        <v>71</v>
      </c>
      <c r="P73">
        <f>IFERROR(VLOOKUP(TRIM(M73),Room!D:H,5,FALSE),5000)</f>
        <v>3200</v>
      </c>
      <c r="Q73">
        <f t="shared" si="7"/>
        <v>3200</v>
      </c>
      <c r="R73" s="11" t="str">
        <f t="shared" si="8"/>
        <v>Other</v>
      </c>
      <c r="S73" s="11">
        <f t="shared" si="9"/>
        <v>1</v>
      </c>
    </row>
    <row r="74" spans="1:19">
      <c r="A74" t="s">
        <v>458</v>
      </c>
      <c r="B74" t="s">
        <v>459</v>
      </c>
      <c r="C74" t="s">
        <v>460</v>
      </c>
      <c r="D74" t="s">
        <v>461</v>
      </c>
      <c r="E74" t="s">
        <v>462</v>
      </c>
      <c r="F74" t="s">
        <v>463</v>
      </c>
      <c r="G74" s="4">
        <v>45533</v>
      </c>
      <c r="H74" s="4">
        <v>45794</v>
      </c>
      <c r="I74" s="4">
        <v>45807</v>
      </c>
      <c r="J74">
        <f t="shared" si="5"/>
        <v>13</v>
      </c>
      <c r="K74" t="str">
        <f t="array" ref="K74">_xlfn.IFS(J74=1,"Day Use",J74&lt;=3,"Short Stay",J74&lt;=7,"Extended Stay",J74&gt;=8,"Long Stay")</f>
        <v>Long Stay</v>
      </c>
      <c r="L74" t="s">
        <v>49</v>
      </c>
      <c r="M74" s="10" t="str">
        <f t="shared" si="6"/>
        <v>Suite</v>
      </c>
      <c r="N74" t="s">
        <v>26</v>
      </c>
      <c r="O74" t="s">
        <v>35</v>
      </c>
      <c r="P74">
        <f>IFERROR(VLOOKUP(TRIM(M74),Room!D:H,5,FALSE),5000)</f>
        <v>12500</v>
      </c>
      <c r="Q74">
        <f t="shared" si="7"/>
        <v>162500</v>
      </c>
      <c r="R74" s="11" t="str">
        <f t="shared" si="8"/>
        <v>Business</v>
      </c>
      <c r="S74" s="11">
        <f t="shared" si="9"/>
        <v>5</v>
      </c>
    </row>
    <row r="75" spans="1:19">
      <c r="A75" t="s">
        <v>464</v>
      </c>
      <c r="B75" t="s">
        <v>465</v>
      </c>
      <c r="C75" t="s">
        <v>466</v>
      </c>
      <c r="D75" t="s">
        <v>467</v>
      </c>
      <c r="E75" t="s">
        <v>468</v>
      </c>
      <c r="F75" t="s">
        <v>469</v>
      </c>
      <c r="G75" s="4">
        <v>45477</v>
      </c>
      <c r="H75" s="4">
        <v>45727</v>
      </c>
      <c r="I75" s="4">
        <v>45736</v>
      </c>
      <c r="J75">
        <f t="shared" si="5"/>
        <v>9</v>
      </c>
      <c r="K75" t="str">
        <f t="array" ref="K75">_xlfn.IFS(J75=1,"Day Use",J75&lt;=3,"Short Stay",J75&lt;=7,"Extended Stay",J75&gt;=8,"Long Stay")</f>
        <v>Long Stay</v>
      </c>
      <c r="L75" t="s">
        <v>91</v>
      </c>
      <c r="M75" s="10" t="str">
        <f t="shared" si="6"/>
        <v>Premium</v>
      </c>
      <c r="N75" t="s">
        <v>148</v>
      </c>
      <c r="O75" t="s">
        <v>27</v>
      </c>
      <c r="P75">
        <f>IFERROR(VLOOKUP(TRIM(M75),Room!D:H,5,FALSE),5000)</f>
        <v>9500</v>
      </c>
      <c r="Q75">
        <f t="shared" si="7"/>
        <v>85500</v>
      </c>
      <c r="R75" s="11" t="str">
        <f t="shared" si="8"/>
        <v>Conference</v>
      </c>
      <c r="S75" s="11">
        <f t="shared" si="9"/>
        <v>4</v>
      </c>
    </row>
    <row r="76" spans="1:19">
      <c r="A76" t="s">
        <v>470</v>
      </c>
      <c r="B76" t="s">
        <v>471</v>
      </c>
      <c r="C76" t="s">
        <v>472</v>
      </c>
      <c r="D76" t="s">
        <v>473</v>
      </c>
      <c r="E76" t="s">
        <v>474</v>
      </c>
      <c r="F76" t="s">
        <v>475</v>
      </c>
      <c r="G76" s="4">
        <v>45632</v>
      </c>
      <c r="H76" s="4">
        <v>45721</v>
      </c>
      <c r="I76" s="4">
        <v>45724</v>
      </c>
      <c r="J76">
        <f t="shared" si="5"/>
        <v>3</v>
      </c>
      <c r="K76" t="str">
        <f t="array" ref="K76">_xlfn.IFS(J76=1,"Day Use",J76&lt;=3,"Short Stay",J76&lt;=7,"Extended Stay",J76&gt;=8,"Long Stay")</f>
        <v>Short Stay</v>
      </c>
      <c r="L76" t="s">
        <v>34</v>
      </c>
      <c r="M76" s="10" t="str">
        <f t="shared" si="6"/>
        <v>Standard</v>
      </c>
      <c r="N76" t="s">
        <v>134</v>
      </c>
      <c r="O76" t="s">
        <v>35</v>
      </c>
      <c r="P76">
        <f>IFERROR(VLOOKUP(TRIM(M76),Room!D:H,5,FALSE),5000)</f>
        <v>3200</v>
      </c>
      <c r="Q76">
        <f t="shared" si="7"/>
        <v>9600</v>
      </c>
      <c r="R76" s="11" t="str">
        <f t="shared" si="8"/>
        <v>Other</v>
      </c>
      <c r="S76" s="11">
        <f t="shared" si="9"/>
        <v>2</v>
      </c>
    </row>
    <row r="77" spans="1:19">
      <c r="A77" t="s">
        <v>476</v>
      </c>
      <c r="B77" t="s">
        <v>477</v>
      </c>
      <c r="C77" t="s">
        <v>478</v>
      </c>
      <c r="D77" t="s">
        <v>479</v>
      </c>
      <c r="E77" t="s">
        <v>480</v>
      </c>
      <c r="F77" t="s">
        <v>481</v>
      </c>
      <c r="G77" s="4">
        <v>45304</v>
      </c>
      <c r="H77" s="4">
        <v>45305</v>
      </c>
      <c r="I77" s="4">
        <v>45306</v>
      </c>
      <c r="J77">
        <f t="shared" si="5"/>
        <v>1</v>
      </c>
      <c r="K77" t="str">
        <f t="array" ref="K77">_xlfn.IFS(J77=1,"Day Use",J77&lt;=3,"Short Stay",J77&lt;=7,"Extended Stay",J77&gt;=8,"Long Stay")</f>
        <v>Day Use</v>
      </c>
      <c r="L77" t="s">
        <v>141</v>
      </c>
      <c r="M77" s="10" t="str">
        <f t="shared" si="6"/>
        <v>Standard</v>
      </c>
      <c r="N77" t="s">
        <v>26</v>
      </c>
      <c r="O77" t="s">
        <v>35</v>
      </c>
      <c r="P77">
        <f>IFERROR(VLOOKUP(TRIM(M77),Room!D:H,5,FALSE),5000)</f>
        <v>3200</v>
      </c>
      <c r="Q77">
        <f t="shared" si="7"/>
        <v>3200</v>
      </c>
      <c r="R77" s="11" t="str">
        <f t="shared" si="8"/>
        <v>Other</v>
      </c>
      <c r="S77" s="11">
        <f t="shared" si="9"/>
        <v>1</v>
      </c>
    </row>
    <row r="78" spans="1:19">
      <c r="A78" t="s">
        <v>482</v>
      </c>
      <c r="B78" t="s">
        <v>483</v>
      </c>
      <c r="C78" t="s">
        <v>484</v>
      </c>
      <c r="D78" t="s">
        <v>485</v>
      </c>
      <c r="E78" t="s">
        <v>486</v>
      </c>
      <c r="F78" t="s">
        <v>487</v>
      </c>
      <c r="G78" s="4">
        <v>45449</v>
      </c>
      <c r="H78" s="4">
        <v>45703</v>
      </c>
      <c r="I78" s="4">
        <v>45716</v>
      </c>
      <c r="J78">
        <f t="shared" si="5"/>
        <v>13</v>
      </c>
      <c r="K78" t="str">
        <f t="array" ref="K78">_xlfn.IFS(J78=1,"Day Use",J78&lt;=3,"Short Stay",J78&lt;=7,"Extended Stay",J78&gt;=8,"Long Stay")</f>
        <v>Long Stay</v>
      </c>
      <c r="L78" t="s">
        <v>196</v>
      </c>
      <c r="M78" s="10" t="str">
        <f t="shared" si="6"/>
        <v>Suite</v>
      </c>
      <c r="N78" t="s">
        <v>26</v>
      </c>
      <c r="O78" t="s">
        <v>71</v>
      </c>
      <c r="P78">
        <f>IFERROR(VLOOKUP(TRIM(M78),Room!D:H,5,FALSE),5000)</f>
        <v>12500</v>
      </c>
      <c r="Q78">
        <f t="shared" si="7"/>
        <v>162500</v>
      </c>
      <c r="R78" s="11" t="str">
        <f t="shared" si="8"/>
        <v>Business</v>
      </c>
      <c r="S78" s="11">
        <f t="shared" si="9"/>
        <v>5</v>
      </c>
    </row>
    <row r="79" spans="1:19">
      <c r="A79" t="s">
        <v>488</v>
      </c>
      <c r="B79" t="s">
        <v>489</v>
      </c>
      <c r="C79" t="s">
        <v>223</v>
      </c>
      <c r="D79" t="s">
        <v>490</v>
      </c>
      <c r="E79" t="s">
        <v>491</v>
      </c>
      <c r="F79" t="s">
        <v>492</v>
      </c>
      <c r="G79" s="4">
        <v>45213</v>
      </c>
      <c r="H79" s="4">
        <v>45650</v>
      </c>
      <c r="I79" s="4">
        <v>45655</v>
      </c>
      <c r="J79">
        <f t="shared" si="5"/>
        <v>5</v>
      </c>
      <c r="K79" t="str">
        <f t="array" ref="K79">_xlfn.IFS(J79=1,"Day Use",J79&lt;=3,"Short Stay",J79&lt;=7,"Extended Stay",J79&gt;=8,"Long Stay")</f>
        <v>Extended Stay</v>
      </c>
      <c r="L79" t="s">
        <v>25</v>
      </c>
      <c r="M79" s="10" t="str">
        <f t="shared" si="6"/>
        <v>Deluxe</v>
      </c>
      <c r="N79" t="s">
        <v>26</v>
      </c>
      <c r="O79" t="s">
        <v>58</v>
      </c>
      <c r="P79">
        <f>IFERROR(VLOOKUP(TRIM(M79),Room!D:H,5,FALSE),5000)</f>
        <v>5400</v>
      </c>
      <c r="Q79">
        <f t="shared" si="7"/>
        <v>27000</v>
      </c>
      <c r="R79" s="11" t="str">
        <f t="shared" si="8"/>
        <v>Conference</v>
      </c>
      <c r="S79" s="11">
        <f t="shared" si="9"/>
        <v>3</v>
      </c>
    </row>
    <row r="80" spans="1:19">
      <c r="A80" t="s">
        <v>493</v>
      </c>
      <c r="B80" t="s">
        <v>494</v>
      </c>
      <c r="C80" t="s">
        <v>288</v>
      </c>
      <c r="D80" t="s">
        <v>495</v>
      </c>
      <c r="E80" t="s">
        <v>496</v>
      </c>
      <c r="F80" t="s">
        <v>497</v>
      </c>
      <c r="G80" s="4">
        <v>45587</v>
      </c>
      <c r="H80" s="4">
        <v>45592</v>
      </c>
      <c r="I80" s="4">
        <v>45603</v>
      </c>
      <c r="J80">
        <f t="shared" si="5"/>
        <v>11</v>
      </c>
      <c r="K80" t="str">
        <f t="array" ref="K80">_xlfn.IFS(J80=1,"Day Use",J80&lt;=3,"Short Stay",J80&lt;=7,"Extended Stay",J80&gt;=8,"Long Stay")</f>
        <v>Long Stay</v>
      </c>
      <c r="L80" t="s">
        <v>49</v>
      </c>
      <c r="M80" s="10" t="str">
        <f t="shared" si="6"/>
        <v>Suite</v>
      </c>
      <c r="N80" t="s">
        <v>372</v>
      </c>
      <c r="O80" t="s">
        <v>42</v>
      </c>
      <c r="P80">
        <f>IFERROR(VLOOKUP(TRIM(M80),Room!D:H,5,FALSE),5000)</f>
        <v>12500</v>
      </c>
      <c r="Q80">
        <f t="shared" si="7"/>
        <v>137500</v>
      </c>
      <c r="R80" s="11" t="str">
        <f t="shared" si="8"/>
        <v>Business</v>
      </c>
      <c r="S80" s="11">
        <f t="shared" si="9"/>
        <v>5</v>
      </c>
    </row>
    <row r="81" spans="1:19">
      <c r="A81" t="s">
        <v>498</v>
      </c>
      <c r="B81" t="s">
        <v>499</v>
      </c>
      <c r="C81" t="s">
        <v>500</v>
      </c>
      <c r="D81" t="s">
        <v>501</v>
      </c>
      <c r="E81" t="s">
        <v>502</v>
      </c>
      <c r="F81" t="s">
        <v>503</v>
      </c>
      <c r="G81" s="4">
        <v>45628</v>
      </c>
      <c r="H81" s="4">
        <v>45771</v>
      </c>
      <c r="I81" s="4">
        <v>45778</v>
      </c>
      <c r="J81">
        <f t="shared" si="5"/>
        <v>7</v>
      </c>
      <c r="K81" t="str">
        <f t="array" ref="K81">_xlfn.IFS(J81=1,"Day Use",J81&lt;=3,"Short Stay",J81&lt;=7,"Extended Stay",J81&gt;=8,"Long Stay")</f>
        <v>Extended Stay</v>
      </c>
      <c r="L81" t="s">
        <v>84</v>
      </c>
      <c r="M81" s="10" t="str">
        <f t="shared" si="6"/>
        <v>Premium</v>
      </c>
      <c r="N81" t="s">
        <v>134</v>
      </c>
      <c r="O81" t="s">
        <v>58</v>
      </c>
      <c r="P81">
        <f>IFERROR(VLOOKUP(TRIM(M81),Room!D:H,5,FALSE),5000)</f>
        <v>9500</v>
      </c>
      <c r="Q81">
        <f t="shared" si="7"/>
        <v>66500</v>
      </c>
      <c r="R81" s="11" t="str">
        <f t="shared" si="8"/>
        <v>Conference</v>
      </c>
      <c r="S81" s="11">
        <f t="shared" si="9"/>
        <v>4</v>
      </c>
    </row>
    <row r="82" spans="1:19">
      <c r="A82" t="s">
        <v>504</v>
      </c>
      <c r="B82" t="s">
        <v>505</v>
      </c>
      <c r="C82" t="s">
        <v>506</v>
      </c>
      <c r="D82" t="s">
        <v>507</v>
      </c>
      <c r="E82" t="s">
        <v>508</v>
      </c>
      <c r="F82" t="s">
        <v>509</v>
      </c>
      <c r="G82" s="4">
        <v>45417</v>
      </c>
      <c r="H82" s="4">
        <v>45869</v>
      </c>
      <c r="I82" s="4">
        <v>45879</v>
      </c>
      <c r="J82">
        <f t="shared" si="5"/>
        <v>10</v>
      </c>
      <c r="K82" t="str">
        <f t="array" ref="K82">_xlfn.IFS(J82=1,"Day Use",J82&lt;=3,"Short Stay",J82&lt;=7,"Extended Stay",J82&gt;=8,"Long Stay")</f>
        <v>Long Stay</v>
      </c>
      <c r="L82" t="s">
        <v>91</v>
      </c>
      <c r="M82" s="10" t="str">
        <f t="shared" si="6"/>
        <v>Premium</v>
      </c>
      <c r="N82" t="s">
        <v>26</v>
      </c>
      <c r="O82" t="s">
        <v>27</v>
      </c>
      <c r="P82">
        <f>IFERROR(VLOOKUP(TRIM(M82),Room!D:H,5,FALSE),5000)</f>
        <v>9500</v>
      </c>
      <c r="Q82">
        <f t="shared" si="7"/>
        <v>95000</v>
      </c>
      <c r="R82" s="11" t="str">
        <f t="shared" si="8"/>
        <v>Conference</v>
      </c>
      <c r="S82" s="11">
        <f t="shared" si="9"/>
        <v>4</v>
      </c>
    </row>
    <row r="83" spans="1:19">
      <c r="A83" t="s">
        <v>510</v>
      </c>
      <c r="B83" t="s">
        <v>511</v>
      </c>
      <c r="C83" t="s">
        <v>512</v>
      </c>
      <c r="D83" t="s">
        <v>513</v>
      </c>
      <c r="E83" t="s">
        <v>514</v>
      </c>
      <c r="F83" t="s">
        <v>515</v>
      </c>
      <c r="G83" s="4">
        <v>45838</v>
      </c>
      <c r="H83" s="4">
        <v>45992</v>
      </c>
      <c r="I83" s="4">
        <v>46006</v>
      </c>
      <c r="J83">
        <f t="shared" si="5"/>
        <v>14</v>
      </c>
      <c r="K83" t="str">
        <f t="array" ref="K83">_xlfn.IFS(J83=1,"Day Use",J83&lt;=3,"Short Stay",J83&lt;=7,"Extended Stay",J83&gt;=8,"Long Stay")</f>
        <v>Long Stay</v>
      </c>
      <c r="L83" t="s">
        <v>91</v>
      </c>
      <c r="M83" s="10" t="str">
        <f t="shared" si="6"/>
        <v>Suite</v>
      </c>
      <c r="N83" t="s">
        <v>26</v>
      </c>
      <c r="O83" t="s">
        <v>58</v>
      </c>
      <c r="P83">
        <f>IFERROR(VLOOKUP(TRIM(M83),Room!D:H,5,FALSE),5000)</f>
        <v>12500</v>
      </c>
      <c r="Q83">
        <f t="shared" si="7"/>
        <v>175000</v>
      </c>
      <c r="R83" s="11" t="str">
        <f t="shared" si="8"/>
        <v>Business</v>
      </c>
      <c r="S83" s="11">
        <f t="shared" si="9"/>
        <v>5</v>
      </c>
    </row>
    <row r="84" spans="1:19">
      <c r="A84" t="s">
        <v>516</v>
      </c>
      <c r="B84" t="s">
        <v>517</v>
      </c>
      <c r="C84" t="s">
        <v>518</v>
      </c>
      <c r="D84" t="s">
        <v>519</v>
      </c>
      <c r="E84" t="s">
        <v>520</v>
      </c>
      <c r="F84" t="s">
        <v>521</v>
      </c>
      <c r="G84" s="4">
        <v>45307</v>
      </c>
      <c r="H84" s="4">
        <v>45371</v>
      </c>
      <c r="I84" s="4">
        <v>45385</v>
      </c>
      <c r="J84">
        <f t="shared" si="5"/>
        <v>14</v>
      </c>
      <c r="K84" t="str">
        <f t="array" ref="K84">_xlfn.IFS(J84=1,"Day Use",J84&lt;=3,"Short Stay",J84&lt;=7,"Extended Stay",J84&gt;=8,"Long Stay")</f>
        <v>Long Stay</v>
      </c>
      <c r="L84" t="s">
        <v>91</v>
      </c>
      <c r="M84" s="10" t="str">
        <f t="shared" si="6"/>
        <v>Suite</v>
      </c>
      <c r="N84" t="s">
        <v>26</v>
      </c>
      <c r="O84" t="s">
        <v>42</v>
      </c>
      <c r="P84">
        <f>IFERROR(VLOOKUP(TRIM(M84),Room!D:H,5,FALSE),5000)</f>
        <v>12500</v>
      </c>
      <c r="Q84">
        <f t="shared" si="7"/>
        <v>175000</v>
      </c>
      <c r="R84" s="11" t="str">
        <f t="shared" si="8"/>
        <v>Business</v>
      </c>
      <c r="S84" s="11">
        <f t="shared" si="9"/>
        <v>5</v>
      </c>
    </row>
    <row r="85" spans="1:19">
      <c r="A85" t="s">
        <v>522</v>
      </c>
      <c r="B85" t="s">
        <v>523</v>
      </c>
      <c r="C85" t="s">
        <v>524</v>
      </c>
      <c r="D85" t="s">
        <v>525</v>
      </c>
      <c r="E85" t="s">
        <v>526</v>
      </c>
      <c r="F85" t="s">
        <v>527</v>
      </c>
      <c r="G85" s="4">
        <v>45234</v>
      </c>
      <c r="H85" s="4">
        <v>45525</v>
      </c>
      <c r="I85" s="4">
        <v>45526</v>
      </c>
      <c r="J85">
        <f t="shared" si="5"/>
        <v>1</v>
      </c>
      <c r="K85" t="str">
        <f t="array" ref="K85">_xlfn.IFS(J85=1,"Day Use",J85&lt;=3,"Short Stay",J85&lt;=7,"Extended Stay",J85&gt;=8,"Long Stay")</f>
        <v>Day Use</v>
      </c>
      <c r="L85" t="s">
        <v>25</v>
      </c>
      <c r="M85" s="10" t="str">
        <f t="shared" si="6"/>
        <v>Standard</v>
      </c>
      <c r="N85" t="s">
        <v>134</v>
      </c>
      <c r="O85" t="s">
        <v>27</v>
      </c>
      <c r="P85">
        <f>IFERROR(VLOOKUP(TRIM(M85),Room!D:H,5,FALSE),5000)</f>
        <v>3200</v>
      </c>
      <c r="Q85">
        <f t="shared" si="7"/>
        <v>3200</v>
      </c>
      <c r="R85" s="11" t="str">
        <f t="shared" si="8"/>
        <v>Other</v>
      </c>
      <c r="S85" s="11">
        <f t="shared" si="9"/>
        <v>1</v>
      </c>
    </row>
    <row r="86" spans="1:19">
      <c r="A86" t="s">
        <v>528</v>
      </c>
      <c r="B86" t="s">
        <v>529</v>
      </c>
      <c r="C86" t="s">
        <v>530</v>
      </c>
      <c r="D86" t="s">
        <v>531</v>
      </c>
      <c r="E86" t="s">
        <v>532</v>
      </c>
      <c r="F86" t="s">
        <v>533</v>
      </c>
      <c r="G86" s="4">
        <v>45648</v>
      </c>
      <c r="H86" s="4">
        <v>45792</v>
      </c>
      <c r="I86" s="4">
        <v>45801</v>
      </c>
      <c r="J86">
        <f t="shared" si="5"/>
        <v>9</v>
      </c>
      <c r="K86" t="str">
        <f t="array" ref="K86">_xlfn.IFS(J86=1,"Day Use",J86&lt;=3,"Short Stay",J86&lt;=7,"Extended Stay",J86&gt;=8,"Long Stay")</f>
        <v>Long Stay</v>
      </c>
      <c r="L86" t="s">
        <v>91</v>
      </c>
      <c r="M86" s="10" t="str">
        <f t="shared" si="6"/>
        <v>Premium</v>
      </c>
      <c r="N86" t="s">
        <v>26</v>
      </c>
      <c r="O86" t="s">
        <v>27</v>
      </c>
      <c r="P86">
        <f>IFERROR(VLOOKUP(TRIM(M86),Room!D:H,5,FALSE),5000)</f>
        <v>9500</v>
      </c>
      <c r="Q86">
        <f t="shared" si="7"/>
        <v>85500</v>
      </c>
      <c r="R86" s="11" t="str">
        <f t="shared" si="8"/>
        <v>Conference</v>
      </c>
      <c r="S86" s="11">
        <f t="shared" si="9"/>
        <v>4</v>
      </c>
    </row>
    <row r="87" spans="1:19">
      <c r="A87" t="s">
        <v>534</v>
      </c>
      <c r="B87" t="s">
        <v>535</v>
      </c>
      <c r="C87" t="s">
        <v>536</v>
      </c>
      <c r="D87" t="s">
        <v>537</v>
      </c>
      <c r="E87" t="s">
        <v>538</v>
      </c>
      <c r="F87" t="s">
        <v>539</v>
      </c>
      <c r="G87" s="4">
        <v>45624</v>
      </c>
      <c r="H87" s="4">
        <v>45780</v>
      </c>
      <c r="I87" s="4">
        <v>45785</v>
      </c>
      <c r="J87">
        <f t="shared" si="5"/>
        <v>5</v>
      </c>
      <c r="K87" t="str">
        <f t="array" ref="K87">_xlfn.IFS(J87=1,"Day Use",J87&lt;=3,"Short Stay",J87&lt;=7,"Extended Stay",J87&gt;=8,"Long Stay")</f>
        <v>Extended Stay</v>
      </c>
      <c r="L87" t="s">
        <v>34</v>
      </c>
      <c r="M87" s="10" t="str">
        <f t="shared" si="6"/>
        <v>Deluxe</v>
      </c>
      <c r="N87" t="s">
        <v>26</v>
      </c>
      <c r="O87" t="s">
        <v>58</v>
      </c>
      <c r="P87">
        <f>IFERROR(VLOOKUP(TRIM(M87),Room!D:H,5,FALSE),5000)</f>
        <v>5400</v>
      </c>
      <c r="Q87">
        <f t="shared" si="7"/>
        <v>27000</v>
      </c>
      <c r="R87" s="11" t="str">
        <f t="shared" si="8"/>
        <v>Conference</v>
      </c>
      <c r="S87" s="11">
        <f t="shared" si="9"/>
        <v>3</v>
      </c>
    </row>
    <row r="88" spans="1:19">
      <c r="A88" t="s">
        <v>540</v>
      </c>
      <c r="B88" t="s">
        <v>541</v>
      </c>
      <c r="C88" t="s">
        <v>157</v>
      </c>
      <c r="D88" t="s">
        <v>542</v>
      </c>
      <c r="E88" t="s">
        <v>543</v>
      </c>
      <c r="F88" t="s">
        <v>544</v>
      </c>
      <c r="G88" s="4">
        <v>45411</v>
      </c>
      <c r="H88" s="4">
        <v>45434</v>
      </c>
      <c r="I88" s="4">
        <v>45441</v>
      </c>
      <c r="J88">
        <f t="shared" si="5"/>
        <v>7</v>
      </c>
      <c r="K88" t="str">
        <f t="array" ref="K88">_xlfn.IFS(J88=1,"Day Use",J88&lt;=3,"Short Stay",J88&lt;=7,"Extended Stay",J88&gt;=8,"Long Stay")</f>
        <v>Extended Stay</v>
      </c>
      <c r="L88" t="s">
        <v>56</v>
      </c>
      <c r="M88" s="10" t="str">
        <f t="shared" si="6"/>
        <v>Premium</v>
      </c>
      <c r="N88" t="s">
        <v>372</v>
      </c>
      <c r="O88" t="s">
        <v>35</v>
      </c>
      <c r="P88">
        <f>IFERROR(VLOOKUP(TRIM(M88),Room!D:H,5,FALSE),5000)</f>
        <v>9500</v>
      </c>
      <c r="Q88">
        <f t="shared" si="7"/>
        <v>66500</v>
      </c>
      <c r="R88" s="11" t="str">
        <f t="shared" si="8"/>
        <v>Conference</v>
      </c>
      <c r="S88" s="11">
        <f t="shared" si="9"/>
        <v>4</v>
      </c>
    </row>
    <row r="89" spans="1:19">
      <c r="A89" t="s">
        <v>545</v>
      </c>
      <c r="B89" t="s">
        <v>546</v>
      </c>
      <c r="C89" t="s">
        <v>547</v>
      </c>
      <c r="D89" t="s">
        <v>548</v>
      </c>
      <c r="E89" t="s">
        <v>549</v>
      </c>
      <c r="F89" t="s">
        <v>550</v>
      </c>
      <c r="G89" s="4">
        <v>45670</v>
      </c>
      <c r="H89" s="4">
        <v>45730</v>
      </c>
      <c r="I89" s="4">
        <v>45735</v>
      </c>
      <c r="J89">
        <f t="shared" si="5"/>
        <v>5</v>
      </c>
      <c r="K89" t="str">
        <f t="array" ref="K89">_xlfn.IFS(J89=1,"Day Use",J89&lt;=3,"Short Stay",J89&lt;=7,"Extended Stay",J89&gt;=8,"Long Stay")</f>
        <v>Extended Stay</v>
      </c>
      <c r="L89" t="s">
        <v>84</v>
      </c>
      <c r="M89" s="10" t="str">
        <f t="shared" si="6"/>
        <v>Deluxe</v>
      </c>
      <c r="N89" t="s">
        <v>134</v>
      </c>
      <c r="O89" t="s">
        <v>35</v>
      </c>
      <c r="P89">
        <f>IFERROR(VLOOKUP(TRIM(M89),Room!D:H,5,FALSE),5000)</f>
        <v>5400</v>
      </c>
      <c r="Q89">
        <f t="shared" si="7"/>
        <v>27000</v>
      </c>
      <c r="R89" s="11" t="str">
        <f t="shared" si="8"/>
        <v>Conference</v>
      </c>
      <c r="S89" s="11">
        <f t="shared" si="9"/>
        <v>3</v>
      </c>
    </row>
    <row r="90" spans="1:19">
      <c r="A90" t="s">
        <v>551</v>
      </c>
      <c r="B90" t="s">
        <v>552</v>
      </c>
      <c r="C90" t="s">
        <v>74</v>
      </c>
      <c r="D90" t="s">
        <v>553</v>
      </c>
      <c r="E90" t="s">
        <v>554</v>
      </c>
      <c r="F90" t="s">
        <v>555</v>
      </c>
      <c r="G90" s="4">
        <v>45512</v>
      </c>
      <c r="H90" s="4">
        <v>45520</v>
      </c>
      <c r="I90" s="4">
        <v>45527</v>
      </c>
      <c r="J90">
        <f t="shared" si="5"/>
        <v>7</v>
      </c>
      <c r="K90" t="str">
        <f t="array" ref="K90">_xlfn.IFS(J90=1,"Day Use",J90&lt;=3,"Short Stay",J90&lt;=7,"Extended Stay",J90&gt;=8,"Long Stay")</f>
        <v>Extended Stay</v>
      </c>
      <c r="L90" t="s">
        <v>34</v>
      </c>
      <c r="M90" s="10" t="str">
        <f t="shared" si="6"/>
        <v>Premium</v>
      </c>
      <c r="N90" t="s">
        <v>26</v>
      </c>
      <c r="O90" t="s">
        <v>71</v>
      </c>
      <c r="P90">
        <f>IFERROR(VLOOKUP(TRIM(M90),Room!D:H,5,FALSE),5000)</f>
        <v>9500</v>
      </c>
      <c r="Q90">
        <f t="shared" si="7"/>
        <v>66500</v>
      </c>
      <c r="R90" s="11" t="str">
        <f t="shared" si="8"/>
        <v>Conference</v>
      </c>
      <c r="S90" s="11">
        <f t="shared" si="9"/>
        <v>4</v>
      </c>
    </row>
    <row r="91" spans="1:19">
      <c r="A91" t="s">
        <v>556</v>
      </c>
      <c r="B91" t="s">
        <v>557</v>
      </c>
      <c r="C91" t="s">
        <v>558</v>
      </c>
      <c r="D91" t="s">
        <v>559</v>
      </c>
      <c r="E91" t="s">
        <v>560</v>
      </c>
      <c r="F91" t="s">
        <v>561</v>
      </c>
      <c r="G91" s="4">
        <v>45753</v>
      </c>
      <c r="H91" s="4">
        <v>45883</v>
      </c>
      <c r="I91" s="4">
        <v>45886</v>
      </c>
      <c r="J91">
        <f t="shared" si="5"/>
        <v>3</v>
      </c>
      <c r="K91" t="str">
        <f t="array" ref="K91">_xlfn.IFS(J91=1,"Day Use",J91&lt;=3,"Short Stay",J91&lt;=7,"Extended Stay",J91&gt;=8,"Long Stay")</f>
        <v>Short Stay</v>
      </c>
      <c r="L91" t="s">
        <v>196</v>
      </c>
      <c r="M91" s="10" t="str">
        <f t="shared" si="6"/>
        <v>Standard</v>
      </c>
      <c r="N91" t="s">
        <v>26</v>
      </c>
      <c r="O91" t="s">
        <v>58</v>
      </c>
      <c r="P91">
        <f>IFERROR(VLOOKUP(TRIM(M91),Room!D:H,5,FALSE),5000)</f>
        <v>3200</v>
      </c>
      <c r="Q91">
        <f t="shared" si="7"/>
        <v>9600</v>
      </c>
      <c r="R91" s="11" t="str">
        <f t="shared" si="8"/>
        <v>Other</v>
      </c>
      <c r="S91" s="11">
        <f t="shared" si="9"/>
        <v>2</v>
      </c>
    </row>
    <row r="92" spans="1:19">
      <c r="A92" t="s">
        <v>562</v>
      </c>
      <c r="B92" t="s">
        <v>563</v>
      </c>
      <c r="C92" t="s">
        <v>564</v>
      </c>
      <c r="D92" t="s">
        <v>565</v>
      </c>
      <c r="E92" t="s">
        <v>566</v>
      </c>
      <c r="F92" t="s">
        <v>567</v>
      </c>
      <c r="G92" s="4">
        <v>45416</v>
      </c>
      <c r="H92" s="4">
        <v>45428</v>
      </c>
      <c r="I92" s="4">
        <v>45432</v>
      </c>
      <c r="J92">
        <f t="shared" si="5"/>
        <v>4</v>
      </c>
      <c r="K92" t="str">
        <f t="array" ref="K92">_xlfn.IFS(J92=1,"Day Use",J92&lt;=3,"Short Stay",J92&lt;=7,"Extended Stay",J92&gt;=8,"Long Stay")</f>
        <v>Extended Stay</v>
      </c>
      <c r="L92" t="s">
        <v>56</v>
      </c>
      <c r="M92" s="10" t="str">
        <f t="shared" si="6"/>
        <v>Deluxe</v>
      </c>
      <c r="N92" t="s">
        <v>372</v>
      </c>
      <c r="O92" t="s">
        <v>58</v>
      </c>
      <c r="P92">
        <f>IFERROR(VLOOKUP(TRIM(M92),Room!D:H,5,FALSE),5000)</f>
        <v>5400</v>
      </c>
      <c r="Q92">
        <f t="shared" si="7"/>
        <v>21600</v>
      </c>
      <c r="R92" s="11" t="str">
        <f t="shared" si="8"/>
        <v>Conference</v>
      </c>
      <c r="S92" s="11">
        <f t="shared" si="9"/>
        <v>3</v>
      </c>
    </row>
    <row r="93" spans="1:19">
      <c r="A93" t="s">
        <v>568</v>
      </c>
      <c r="B93" t="s">
        <v>569</v>
      </c>
      <c r="C93" t="s">
        <v>518</v>
      </c>
      <c r="D93" t="s">
        <v>570</v>
      </c>
      <c r="E93" t="s">
        <v>571</v>
      </c>
      <c r="F93" t="s">
        <v>572</v>
      </c>
      <c r="G93" s="4">
        <v>45735</v>
      </c>
      <c r="H93" s="4">
        <v>45765</v>
      </c>
      <c r="I93" s="4">
        <v>45777</v>
      </c>
      <c r="J93">
        <f t="shared" si="5"/>
        <v>12</v>
      </c>
      <c r="K93" t="str">
        <f t="array" ref="K93">_xlfn.IFS(J93=1,"Day Use",J93&lt;=3,"Short Stay",J93&lt;=7,"Extended Stay",J93&gt;=8,"Long Stay")</f>
        <v>Long Stay</v>
      </c>
      <c r="L93" t="s">
        <v>49</v>
      </c>
      <c r="M93" s="10" t="str">
        <f t="shared" si="6"/>
        <v>Suite</v>
      </c>
      <c r="N93" t="s">
        <v>26</v>
      </c>
      <c r="O93" t="s">
        <v>58</v>
      </c>
      <c r="P93">
        <f>IFERROR(VLOOKUP(TRIM(M93),Room!D:H,5,FALSE),5000)</f>
        <v>12500</v>
      </c>
      <c r="Q93">
        <f t="shared" si="7"/>
        <v>150000</v>
      </c>
      <c r="R93" s="11" t="str">
        <f t="shared" si="8"/>
        <v>Business</v>
      </c>
      <c r="S93" s="11">
        <f t="shared" si="9"/>
        <v>5</v>
      </c>
    </row>
    <row r="94" spans="1:19">
      <c r="A94" t="s">
        <v>573</v>
      </c>
      <c r="B94" t="s">
        <v>574</v>
      </c>
      <c r="C94" t="s">
        <v>575</v>
      </c>
      <c r="D94" t="s">
        <v>576</v>
      </c>
      <c r="E94" t="s">
        <v>577</v>
      </c>
      <c r="F94" t="s">
        <v>578</v>
      </c>
      <c r="G94" s="4">
        <v>45623</v>
      </c>
      <c r="H94" s="4">
        <v>45831</v>
      </c>
      <c r="I94" s="4">
        <v>45833</v>
      </c>
      <c r="J94">
        <f t="shared" si="5"/>
        <v>2</v>
      </c>
      <c r="K94" t="str">
        <f t="array" ref="K94">_xlfn.IFS(J94=1,"Day Use",J94&lt;=3,"Short Stay",J94&lt;=7,"Extended Stay",J94&gt;=8,"Long Stay")</f>
        <v>Short Stay</v>
      </c>
      <c r="L94" t="s">
        <v>196</v>
      </c>
      <c r="M94" s="10" t="str">
        <f t="shared" si="6"/>
        <v>Standard</v>
      </c>
      <c r="N94" t="s">
        <v>148</v>
      </c>
      <c r="O94" t="s">
        <v>71</v>
      </c>
      <c r="P94">
        <f>IFERROR(VLOOKUP(TRIM(M94),Room!D:H,5,FALSE),5000)</f>
        <v>3200</v>
      </c>
      <c r="Q94">
        <f t="shared" si="7"/>
        <v>6400</v>
      </c>
      <c r="R94" s="11" t="str">
        <f t="shared" si="8"/>
        <v>Other</v>
      </c>
      <c r="S94" s="11">
        <f t="shared" si="9"/>
        <v>2</v>
      </c>
    </row>
    <row r="95" spans="1:19">
      <c r="A95" t="s">
        <v>579</v>
      </c>
      <c r="B95" t="s">
        <v>580</v>
      </c>
      <c r="C95" t="s">
        <v>581</v>
      </c>
      <c r="D95" t="s">
        <v>582</v>
      </c>
      <c r="E95" t="s">
        <v>583</v>
      </c>
      <c r="F95" t="s">
        <v>584</v>
      </c>
      <c r="G95" s="4">
        <v>45688</v>
      </c>
      <c r="H95" s="4">
        <v>45693</v>
      </c>
      <c r="I95" s="4">
        <v>45699</v>
      </c>
      <c r="J95">
        <f t="shared" si="5"/>
        <v>6</v>
      </c>
      <c r="K95" t="str">
        <f t="array" ref="K95">_xlfn.IFS(J95=1,"Day Use",J95&lt;=3,"Short Stay",J95&lt;=7,"Extended Stay",J95&gt;=8,"Long Stay")</f>
        <v>Extended Stay</v>
      </c>
      <c r="L95" t="s">
        <v>196</v>
      </c>
      <c r="M95" s="10" t="str">
        <f t="shared" si="6"/>
        <v>Deluxe</v>
      </c>
      <c r="N95" t="s">
        <v>26</v>
      </c>
      <c r="O95" t="s">
        <v>71</v>
      </c>
      <c r="P95">
        <f>IFERROR(VLOOKUP(TRIM(M95),Room!D:H,5,FALSE),5000)</f>
        <v>5400</v>
      </c>
      <c r="Q95">
        <f t="shared" si="7"/>
        <v>32400</v>
      </c>
      <c r="R95" s="11" t="str">
        <f t="shared" si="8"/>
        <v>Conference</v>
      </c>
      <c r="S95" s="11">
        <f t="shared" si="9"/>
        <v>3</v>
      </c>
    </row>
    <row r="96" spans="1:19">
      <c r="A96" t="s">
        <v>585</v>
      </c>
      <c r="B96" t="s">
        <v>586</v>
      </c>
      <c r="C96" t="s">
        <v>587</v>
      </c>
      <c r="D96" t="s">
        <v>588</v>
      </c>
      <c r="E96" t="s">
        <v>589</v>
      </c>
      <c r="F96" t="s">
        <v>590</v>
      </c>
      <c r="G96" s="4">
        <v>45287</v>
      </c>
      <c r="H96" s="4">
        <v>45559</v>
      </c>
      <c r="I96" s="4">
        <v>45572</v>
      </c>
      <c r="J96">
        <f t="shared" si="5"/>
        <v>13</v>
      </c>
      <c r="K96" t="str">
        <f t="array" ref="K96">_xlfn.IFS(J96=1,"Day Use",J96&lt;=3,"Short Stay",J96&lt;=7,"Extended Stay",J96&gt;=8,"Long Stay")</f>
        <v>Long Stay</v>
      </c>
      <c r="L96" t="s">
        <v>56</v>
      </c>
      <c r="M96" s="10" t="str">
        <f t="shared" si="6"/>
        <v>Suite</v>
      </c>
      <c r="N96" t="s">
        <v>57</v>
      </c>
      <c r="O96" t="s">
        <v>58</v>
      </c>
      <c r="P96">
        <f>IFERROR(VLOOKUP(TRIM(M96),Room!D:H,5,FALSE),5000)</f>
        <v>12500</v>
      </c>
      <c r="Q96">
        <f t="shared" si="7"/>
        <v>162500</v>
      </c>
      <c r="R96" s="11" t="str">
        <f t="shared" si="8"/>
        <v>Business</v>
      </c>
      <c r="S96" s="11">
        <f t="shared" si="9"/>
        <v>5</v>
      </c>
    </row>
    <row r="97" spans="1:19">
      <c r="A97" t="s">
        <v>591</v>
      </c>
      <c r="B97" t="s">
        <v>592</v>
      </c>
      <c r="C97" t="s">
        <v>593</v>
      </c>
      <c r="D97" t="s">
        <v>594</v>
      </c>
      <c r="E97" t="s">
        <v>595</v>
      </c>
      <c r="F97" t="s">
        <v>596</v>
      </c>
      <c r="G97" s="4">
        <v>45793</v>
      </c>
      <c r="H97" s="4">
        <v>45851</v>
      </c>
      <c r="I97" s="4">
        <v>45858</v>
      </c>
      <c r="J97">
        <f t="shared" si="5"/>
        <v>7</v>
      </c>
      <c r="K97" t="str">
        <f t="array" ref="K97">_xlfn.IFS(J97=1,"Day Use",J97&lt;=3,"Short Stay",J97&lt;=7,"Extended Stay",J97&gt;=8,"Long Stay")</f>
        <v>Extended Stay</v>
      </c>
      <c r="L97" t="s">
        <v>34</v>
      </c>
      <c r="M97" s="10" t="str">
        <f t="shared" si="6"/>
        <v>Premium</v>
      </c>
      <c r="N97" t="s">
        <v>26</v>
      </c>
      <c r="O97" t="s">
        <v>71</v>
      </c>
      <c r="P97">
        <f>IFERROR(VLOOKUP(TRIM(M97),Room!D:H,5,FALSE),5000)</f>
        <v>9500</v>
      </c>
      <c r="Q97">
        <f t="shared" si="7"/>
        <v>66500</v>
      </c>
      <c r="R97" s="11" t="str">
        <f t="shared" si="8"/>
        <v>Conference</v>
      </c>
      <c r="S97" s="11">
        <f t="shared" si="9"/>
        <v>4</v>
      </c>
    </row>
    <row r="98" spans="1:19">
      <c r="A98" t="s">
        <v>597</v>
      </c>
      <c r="B98" t="s">
        <v>598</v>
      </c>
      <c r="C98" t="s">
        <v>180</v>
      </c>
      <c r="D98" t="s">
        <v>599</v>
      </c>
      <c r="E98" t="s">
        <v>600</v>
      </c>
      <c r="F98" t="s">
        <v>601</v>
      </c>
      <c r="G98" s="4">
        <v>45617</v>
      </c>
      <c r="H98" s="4">
        <v>45841</v>
      </c>
      <c r="I98" s="4">
        <v>45847</v>
      </c>
      <c r="J98">
        <f t="shared" si="5"/>
        <v>6</v>
      </c>
      <c r="K98" t="str">
        <f t="array" ref="K98">_xlfn.IFS(J98=1,"Day Use",J98&lt;=3,"Short Stay",J98&lt;=7,"Extended Stay",J98&gt;=8,"Long Stay")</f>
        <v>Extended Stay</v>
      </c>
      <c r="L98" t="s">
        <v>84</v>
      </c>
      <c r="M98" s="10" t="str">
        <f t="shared" si="6"/>
        <v>Deluxe</v>
      </c>
      <c r="N98" t="s">
        <v>134</v>
      </c>
      <c r="O98" t="s">
        <v>42</v>
      </c>
      <c r="P98">
        <f>IFERROR(VLOOKUP(TRIM(M98),Room!D:H,5,FALSE),5000)</f>
        <v>5400</v>
      </c>
      <c r="Q98">
        <f t="shared" si="7"/>
        <v>32400</v>
      </c>
      <c r="R98" s="11" t="str">
        <f t="shared" si="8"/>
        <v>Conference</v>
      </c>
      <c r="S98" s="11">
        <f t="shared" si="9"/>
        <v>3</v>
      </c>
    </row>
    <row r="99" spans="1:19">
      <c r="A99" t="s">
        <v>602</v>
      </c>
      <c r="B99" t="s">
        <v>603</v>
      </c>
      <c r="C99" t="s">
        <v>604</v>
      </c>
      <c r="D99" t="s">
        <v>605</v>
      </c>
      <c r="E99" t="s">
        <v>606</v>
      </c>
      <c r="F99" t="s">
        <v>607</v>
      </c>
      <c r="G99" s="4">
        <v>45381</v>
      </c>
      <c r="H99" s="4">
        <v>45825</v>
      </c>
      <c r="I99" s="4">
        <v>45835</v>
      </c>
      <c r="J99">
        <f t="shared" si="5"/>
        <v>10</v>
      </c>
      <c r="K99" t="str">
        <f t="array" ref="K99">_xlfn.IFS(J99=1,"Day Use",J99&lt;=3,"Short Stay",J99&lt;=7,"Extended Stay",J99&gt;=8,"Long Stay")</f>
        <v>Long Stay</v>
      </c>
      <c r="L99" t="s">
        <v>49</v>
      </c>
      <c r="M99" s="10" t="str">
        <f t="shared" si="6"/>
        <v>Premium</v>
      </c>
      <c r="N99" t="s">
        <v>26</v>
      </c>
      <c r="O99" t="s">
        <v>58</v>
      </c>
      <c r="P99">
        <f>IFERROR(VLOOKUP(TRIM(M99),Room!D:H,5,FALSE),5000)</f>
        <v>9500</v>
      </c>
      <c r="Q99">
        <f t="shared" si="7"/>
        <v>95000</v>
      </c>
      <c r="R99" s="11" t="str">
        <f t="shared" si="8"/>
        <v>Conference</v>
      </c>
      <c r="S99" s="11">
        <f t="shared" si="9"/>
        <v>4</v>
      </c>
    </row>
    <row r="100" spans="1:19">
      <c r="A100" t="s">
        <v>608</v>
      </c>
      <c r="B100" t="s">
        <v>609</v>
      </c>
      <c r="C100" t="s">
        <v>610</v>
      </c>
      <c r="D100" t="s">
        <v>611</v>
      </c>
      <c r="E100" t="s">
        <v>612</v>
      </c>
      <c r="F100" t="s">
        <v>613</v>
      </c>
      <c r="G100" s="4">
        <v>45355</v>
      </c>
      <c r="H100" s="4">
        <v>45818</v>
      </c>
      <c r="I100" s="4">
        <v>45831</v>
      </c>
      <c r="J100">
        <f t="shared" si="5"/>
        <v>13</v>
      </c>
      <c r="K100" t="str">
        <f t="array" ref="K100">_xlfn.IFS(J100=1,"Day Use",J100&lt;=3,"Short Stay",J100&lt;=7,"Extended Stay",J100&gt;=8,"Long Stay")</f>
        <v>Long Stay</v>
      </c>
      <c r="L100" t="s">
        <v>56</v>
      </c>
      <c r="M100" s="10" t="str">
        <f t="shared" si="6"/>
        <v>Suite</v>
      </c>
      <c r="N100" t="s">
        <v>57</v>
      </c>
      <c r="O100" t="s">
        <v>42</v>
      </c>
      <c r="P100">
        <f>IFERROR(VLOOKUP(TRIM(M100),Room!D:H,5,FALSE),5000)</f>
        <v>12500</v>
      </c>
      <c r="Q100">
        <f t="shared" si="7"/>
        <v>162500</v>
      </c>
      <c r="R100" s="11" t="str">
        <f t="shared" si="8"/>
        <v>Business</v>
      </c>
      <c r="S100" s="11">
        <f t="shared" si="9"/>
        <v>5</v>
      </c>
    </row>
    <row r="101" spans="1:19">
      <c r="A101" t="s">
        <v>614</v>
      </c>
      <c r="B101" t="s">
        <v>615</v>
      </c>
      <c r="C101" t="s">
        <v>124</v>
      </c>
      <c r="D101" t="s">
        <v>616</v>
      </c>
      <c r="E101" t="s">
        <v>617</v>
      </c>
      <c r="F101" t="s">
        <v>618</v>
      </c>
      <c r="G101" s="4">
        <v>45445</v>
      </c>
      <c r="H101" s="4">
        <v>45552</v>
      </c>
      <c r="I101" s="4">
        <v>45566</v>
      </c>
      <c r="J101">
        <f t="shared" si="5"/>
        <v>14</v>
      </c>
      <c r="K101" t="str">
        <f t="array" ref="K101">_xlfn.IFS(J101=1,"Day Use",J101&lt;=3,"Short Stay",J101&lt;=7,"Extended Stay",J101&gt;=8,"Long Stay")</f>
        <v>Long Stay</v>
      </c>
      <c r="L101" t="s">
        <v>196</v>
      </c>
      <c r="M101" s="10" t="str">
        <f t="shared" si="6"/>
        <v>Suite</v>
      </c>
      <c r="N101" t="s">
        <v>26</v>
      </c>
      <c r="O101" t="s">
        <v>35</v>
      </c>
      <c r="P101">
        <f>IFERROR(VLOOKUP(TRIM(M101),Room!D:H,5,FALSE),5000)</f>
        <v>12500</v>
      </c>
      <c r="Q101">
        <f t="shared" si="7"/>
        <v>175000</v>
      </c>
      <c r="R101" s="11" t="str">
        <f t="shared" si="8"/>
        <v>Business</v>
      </c>
      <c r="S101" s="11">
        <f t="shared" si="9"/>
        <v>5</v>
      </c>
    </row>
    <row r="102" spans="1:19">
      <c r="A102" t="s">
        <v>619</v>
      </c>
      <c r="B102" t="s">
        <v>620</v>
      </c>
      <c r="C102" t="s">
        <v>621</v>
      </c>
      <c r="D102" t="s">
        <v>622</v>
      </c>
      <c r="E102" t="s">
        <v>623</v>
      </c>
      <c r="F102" t="s">
        <v>624</v>
      </c>
      <c r="G102" s="4">
        <v>45277</v>
      </c>
      <c r="H102" s="4">
        <v>45294</v>
      </c>
      <c r="I102" s="4">
        <v>45305</v>
      </c>
      <c r="J102">
        <f t="shared" si="5"/>
        <v>11</v>
      </c>
      <c r="K102" t="str">
        <f t="array" ref="K102">_xlfn.IFS(J102=1,"Day Use",J102&lt;=3,"Short Stay",J102&lt;=7,"Extended Stay",J102&gt;=8,"Long Stay")</f>
        <v>Long Stay</v>
      </c>
      <c r="L102" t="s">
        <v>34</v>
      </c>
      <c r="M102" s="10" t="str">
        <f t="shared" si="6"/>
        <v>Suite</v>
      </c>
      <c r="N102" t="s">
        <v>26</v>
      </c>
      <c r="O102" t="s">
        <v>42</v>
      </c>
      <c r="P102">
        <f>IFERROR(VLOOKUP(TRIM(M102),Room!D:H,5,FALSE),5000)</f>
        <v>12500</v>
      </c>
      <c r="Q102">
        <f t="shared" si="7"/>
        <v>137500</v>
      </c>
      <c r="R102" s="11" t="str">
        <f t="shared" si="8"/>
        <v>Business</v>
      </c>
      <c r="S102" s="11">
        <f t="shared" si="9"/>
        <v>5</v>
      </c>
    </row>
    <row r="103" spans="1:19">
      <c r="A103" t="s">
        <v>625</v>
      </c>
      <c r="B103" t="s">
        <v>626</v>
      </c>
      <c r="C103" t="s">
        <v>627</v>
      </c>
      <c r="D103" t="s">
        <v>628</v>
      </c>
      <c r="E103" t="s">
        <v>629</v>
      </c>
      <c r="F103" t="s">
        <v>630</v>
      </c>
      <c r="G103" s="4">
        <v>45693</v>
      </c>
      <c r="H103" s="4">
        <v>45716</v>
      </c>
      <c r="I103" s="4">
        <v>45717</v>
      </c>
      <c r="J103">
        <f t="shared" si="5"/>
        <v>1</v>
      </c>
      <c r="K103" t="str">
        <f t="array" ref="K103">_xlfn.IFS(J103=1,"Day Use",J103&lt;=3,"Short Stay",J103&lt;=7,"Extended Stay",J103&gt;=8,"Long Stay")</f>
        <v>Day Use</v>
      </c>
      <c r="L103" t="s">
        <v>56</v>
      </c>
      <c r="M103" s="10" t="str">
        <f t="shared" si="6"/>
        <v>Standard</v>
      </c>
      <c r="N103" t="s">
        <v>57</v>
      </c>
      <c r="O103" t="s">
        <v>27</v>
      </c>
      <c r="P103">
        <f>IFERROR(VLOOKUP(TRIM(M103),Room!D:H,5,FALSE),5000)</f>
        <v>3200</v>
      </c>
      <c r="Q103">
        <f t="shared" si="7"/>
        <v>3200</v>
      </c>
      <c r="R103" s="11" t="str">
        <f t="shared" si="8"/>
        <v>Other</v>
      </c>
      <c r="S103" s="11">
        <f t="shared" si="9"/>
        <v>1</v>
      </c>
    </row>
    <row r="104" spans="1:19">
      <c r="A104" t="s">
        <v>631</v>
      </c>
      <c r="B104" t="s">
        <v>632</v>
      </c>
      <c r="C104" t="s">
        <v>633</v>
      </c>
      <c r="D104" t="s">
        <v>634</v>
      </c>
      <c r="E104" t="s">
        <v>635</v>
      </c>
      <c r="F104" t="s">
        <v>636</v>
      </c>
      <c r="G104" s="4">
        <v>45652</v>
      </c>
      <c r="H104" s="4">
        <v>45680</v>
      </c>
      <c r="I104" s="4">
        <v>45694</v>
      </c>
      <c r="J104">
        <f t="shared" si="5"/>
        <v>14</v>
      </c>
      <c r="K104" t="str">
        <f t="array" ref="K104">_xlfn.IFS(J104=1,"Day Use",J104&lt;=3,"Short Stay",J104&lt;=7,"Extended Stay",J104&gt;=8,"Long Stay")</f>
        <v>Long Stay</v>
      </c>
      <c r="L104" t="s">
        <v>25</v>
      </c>
      <c r="M104" s="10" t="str">
        <f t="shared" si="6"/>
        <v>Suite</v>
      </c>
      <c r="N104" t="s">
        <v>26</v>
      </c>
      <c r="O104" t="s">
        <v>42</v>
      </c>
      <c r="P104">
        <f>IFERROR(VLOOKUP(TRIM(M104),Room!D:H,5,FALSE),5000)</f>
        <v>12500</v>
      </c>
      <c r="Q104">
        <f t="shared" si="7"/>
        <v>175000</v>
      </c>
      <c r="R104" s="11" t="str">
        <f t="shared" si="8"/>
        <v>Business</v>
      </c>
      <c r="S104" s="11">
        <f t="shared" si="9"/>
        <v>5</v>
      </c>
    </row>
    <row r="105" spans="1:19">
      <c r="A105" t="s">
        <v>637</v>
      </c>
      <c r="B105" t="s">
        <v>638</v>
      </c>
      <c r="C105" t="s">
        <v>639</v>
      </c>
      <c r="D105" t="s">
        <v>640</v>
      </c>
      <c r="E105" t="s">
        <v>641</v>
      </c>
      <c r="F105" t="s">
        <v>642</v>
      </c>
      <c r="G105" s="4">
        <v>45322</v>
      </c>
      <c r="H105" s="4">
        <v>45349</v>
      </c>
      <c r="I105" s="4">
        <v>45352</v>
      </c>
      <c r="J105">
        <f t="shared" si="5"/>
        <v>3</v>
      </c>
      <c r="K105" t="str">
        <f t="array" ref="K105">_xlfn.IFS(J105=1,"Day Use",J105&lt;=3,"Short Stay",J105&lt;=7,"Extended Stay",J105&gt;=8,"Long Stay")</f>
        <v>Short Stay</v>
      </c>
      <c r="L105" t="s">
        <v>49</v>
      </c>
      <c r="M105" s="10" t="str">
        <f t="shared" si="6"/>
        <v>Standard</v>
      </c>
      <c r="N105" t="s">
        <v>57</v>
      </c>
      <c r="O105" t="s">
        <v>71</v>
      </c>
      <c r="P105">
        <f>IFERROR(VLOOKUP(TRIM(M105),Room!D:H,5,FALSE),5000)</f>
        <v>3200</v>
      </c>
      <c r="Q105">
        <f t="shared" si="7"/>
        <v>9600</v>
      </c>
      <c r="R105" s="11" t="str">
        <f t="shared" si="8"/>
        <v>Other</v>
      </c>
      <c r="S105" s="11">
        <f t="shared" si="9"/>
        <v>2</v>
      </c>
    </row>
    <row r="106" spans="1:19">
      <c r="A106" t="s">
        <v>643</v>
      </c>
      <c r="B106" t="s">
        <v>644</v>
      </c>
      <c r="C106" t="s">
        <v>157</v>
      </c>
      <c r="D106" t="s">
        <v>645</v>
      </c>
      <c r="E106" t="s">
        <v>646</v>
      </c>
      <c r="F106" t="s">
        <v>647</v>
      </c>
      <c r="G106" s="4">
        <v>45375</v>
      </c>
      <c r="H106" s="4">
        <v>45923</v>
      </c>
      <c r="I106" s="4">
        <v>45932</v>
      </c>
      <c r="J106">
        <f t="shared" si="5"/>
        <v>9</v>
      </c>
      <c r="K106" t="str">
        <f t="array" ref="K106">_xlfn.IFS(J106=1,"Day Use",J106&lt;=3,"Short Stay",J106&lt;=7,"Extended Stay",J106&gt;=8,"Long Stay")</f>
        <v>Long Stay</v>
      </c>
      <c r="L106" t="s">
        <v>34</v>
      </c>
      <c r="M106" s="10" t="str">
        <f t="shared" si="6"/>
        <v>Premium</v>
      </c>
      <c r="N106" t="s">
        <v>26</v>
      </c>
      <c r="O106" t="s">
        <v>35</v>
      </c>
      <c r="P106">
        <f>IFERROR(VLOOKUP(TRIM(M106),Room!D:H,5,FALSE),5000)</f>
        <v>9500</v>
      </c>
      <c r="Q106">
        <f t="shared" si="7"/>
        <v>85500</v>
      </c>
      <c r="R106" s="11" t="str">
        <f t="shared" si="8"/>
        <v>Conference</v>
      </c>
      <c r="S106" s="11">
        <f t="shared" si="9"/>
        <v>4</v>
      </c>
    </row>
    <row r="107" spans="1:19">
      <c r="A107" t="s">
        <v>648</v>
      </c>
      <c r="B107" t="s">
        <v>649</v>
      </c>
      <c r="C107" t="s">
        <v>163</v>
      </c>
      <c r="D107" t="s">
        <v>650</v>
      </c>
      <c r="E107" t="s">
        <v>651</v>
      </c>
      <c r="F107" t="s">
        <v>652</v>
      </c>
      <c r="G107" s="4">
        <v>45403</v>
      </c>
      <c r="H107" s="4">
        <v>45416</v>
      </c>
      <c r="I107" s="4">
        <v>45424</v>
      </c>
      <c r="J107">
        <f t="shared" si="5"/>
        <v>8</v>
      </c>
      <c r="K107" t="str">
        <f t="array" ref="K107">_xlfn.IFS(J107=1,"Day Use",J107&lt;=3,"Short Stay",J107&lt;=7,"Extended Stay",J107&gt;=8,"Long Stay")</f>
        <v>Long Stay</v>
      </c>
      <c r="L107" t="s">
        <v>141</v>
      </c>
      <c r="M107" s="10" t="str">
        <f t="shared" si="6"/>
        <v>Premium</v>
      </c>
      <c r="N107" t="s">
        <v>26</v>
      </c>
      <c r="O107" t="s">
        <v>27</v>
      </c>
      <c r="P107">
        <f>IFERROR(VLOOKUP(TRIM(M107),Room!D:H,5,FALSE),5000)</f>
        <v>9500</v>
      </c>
      <c r="Q107">
        <f t="shared" si="7"/>
        <v>76000</v>
      </c>
      <c r="R107" s="11" t="str">
        <f t="shared" si="8"/>
        <v>Conference</v>
      </c>
      <c r="S107" s="11">
        <f t="shared" si="9"/>
        <v>4</v>
      </c>
    </row>
    <row r="108" spans="1:19">
      <c r="A108" t="s">
        <v>653</v>
      </c>
      <c r="B108" t="s">
        <v>654</v>
      </c>
      <c r="C108" t="s">
        <v>655</v>
      </c>
      <c r="D108" t="s">
        <v>656</v>
      </c>
      <c r="E108" t="s">
        <v>657</v>
      </c>
      <c r="F108" t="s">
        <v>658</v>
      </c>
      <c r="G108" s="4">
        <v>45205</v>
      </c>
      <c r="H108" s="4">
        <v>45476</v>
      </c>
      <c r="I108" s="4">
        <v>45485</v>
      </c>
      <c r="J108">
        <f t="shared" si="5"/>
        <v>9</v>
      </c>
      <c r="K108" t="str">
        <f t="array" ref="K108">_xlfn.IFS(J108=1,"Day Use",J108&lt;=3,"Short Stay",J108&lt;=7,"Extended Stay",J108&gt;=8,"Long Stay")</f>
        <v>Long Stay</v>
      </c>
      <c r="L108" t="s">
        <v>141</v>
      </c>
      <c r="M108" s="10" t="str">
        <f t="shared" si="6"/>
        <v>Premium</v>
      </c>
      <c r="N108" t="s">
        <v>148</v>
      </c>
      <c r="O108" t="s">
        <v>71</v>
      </c>
      <c r="P108">
        <f>IFERROR(VLOOKUP(TRIM(M108),Room!D:H,5,FALSE),5000)</f>
        <v>9500</v>
      </c>
      <c r="Q108">
        <f t="shared" si="7"/>
        <v>85500</v>
      </c>
      <c r="R108" s="11" t="str">
        <f t="shared" si="8"/>
        <v>Conference</v>
      </c>
      <c r="S108" s="11">
        <f t="shared" si="9"/>
        <v>4</v>
      </c>
    </row>
    <row r="109" spans="1:19">
      <c r="A109" t="s">
        <v>659</v>
      </c>
      <c r="B109" t="s">
        <v>660</v>
      </c>
      <c r="C109" t="s">
        <v>661</v>
      </c>
      <c r="D109" t="s">
        <v>662</v>
      </c>
      <c r="E109" t="s">
        <v>663</v>
      </c>
      <c r="F109" t="s">
        <v>664</v>
      </c>
      <c r="G109" s="4">
        <v>45727</v>
      </c>
      <c r="H109" s="4">
        <v>45732</v>
      </c>
      <c r="I109" s="4">
        <v>45738</v>
      </c>
      <c r="J109">
        <f t="shared" si="5"/>
        <v>6</v>
      </c>
      <c r="K109" t="str">
        <f t="array" ref="K109">_xlfn.IFS(J109=1,"Day Use",J109&lt;=3,"Short Stay",J109&lt;=7,"Extended Stay",J109&gt;=8,"Long Stay")</f>
        <v>Extended Stay</v>
      </c>
      <c r="L109" t="s">
        <v>56</v>
      </c>
      <c r="M109" s="10" t="str">
        <f t="shared" si="6"/>
        <v>Deluxe</v>
      </c>
      <c r="N109" t="s">
        <v>148</v>
      </c>
      <c r="O109" t="s">
        <v>58</v>
      </c>
      <c r="P109">
        <f>IFERROR(VLOOKUP(TRIM(M109),Room!D:H,5,FALSE),5000)</f>
        <v>5400</v>
      </c>
      <c r="Q109">
        <f t="shared" si="7"/>
        <v>32400</v>
      </c>
      <c r="R109" s="11" t="str">
        <f t="shared" si="8"/>
        <v>Conference</v>
      </c>
      <c r="S109" s="11">
        <f t="shared" si="9"/>
        <v>3</v>
      </c>
    </row>
    <row r="110" spans="1:19">
      <c r="A110" t="s">
        <v>665</v>
      </c>
      <c r="B110" t="s">
        <v>666</v>
      </c>
      <c r="C110" t="s">
        <v>667</v>
      </c>
      <c r="D110" t="s">
        <v>668</v>
      </c>
      <c r="E110" t="s">
        <v>669</v>
      </c>
      <c r="F110" t="s">
        <v>670</v>
      </c>
      <c r="G110" s="4">
        <v>45453</v>
      </c>
      <c r="H110" s="4">
        <v>45464</v>
      </c>
      <c r="I110" s="4">
        <v>45465</v>
      </c>
      <c r="J110">
        <f t="shared" si="5"/>
        <v>1</v>
      </c>
      <c r="K110" t="str">
        <f t="array" ref="K110">_xlfn.IFS(J110=1,"Day Use",J110&lt;=3,"Short Stay",J110&lt;=7,"Extended Stay",J110&gt;=8,"Long Stay")</f>
        <v>Day Use</v>
      </c>
      <c r="L110" t="s">
        <v>25</v>
      </c>
      <c r="M110" s="10" t="str">
        <f t="shared" si="6"/>
        <v>Standard</v>
      </c>
      <c r="N110" t="s">
        <v>26</v>
      </c>
      <c r="O110" t="s">
        <v>58</v>
      </c>
      <c r="P110">
        <f>IFERROR(VLOOKUP(TRIM(M110),Room!D:H,5,FALSE),5000)</f>
        <v>3200</v>
      </c>
      <c r="Q110">
        <f t="shared" si="7"/>
        <v>3200</v>
      </c>
      <c r="R110" s="11" t="str">
        <f t="shared" si="8"/>
        <v>Other</v>
      </c>
      <c r="S110" s="11">
        <f t="shared" si="9"/>
        <v>1</v>
      </c>
    </row>
    <row r="111" spans="1:19">
      <c r="A111" t="s">
        <v>671</v>
      </c>
      <c r="B111" t="s">
        <v>672</v>
      </c>
      <c r="C111" t="s">
        <v>673</v>
      </c>
      <c r="D111" t="s">
        <v>674</v>
      </c>
      <c r="E111" t="s">
        <v>675</v>
      </c>
      <c r="F111" t="s">
        <v>676</v>
      </c>
      <c r="G111" s="4">
        <v>45437</v>
      </c>
      <c r="H111" s="4">
        <v>45785</v>
      </c>
      <c r="I111" s="4">
        <v>45796</v>
      </c>
      <c r="J111">
        <f t="shared" si="5"/>
        <v>11</v>
      </c>
      <c r="K111" t="str">
        <f t="array" ref="K111">_xlfn.IFS(J111=1,"Day Use",J111&lt;=3,"Short Stay",J111&lt;=7,"Extended Stay",J111&gt;=8,"Long Stay")</f>
        <v>Long Stay</v>
      </c>
      <c r="L111" t="s">
        <v>84</v>
      </c>
      <c r="M111" s="10" t="str">
        <f t="shared" si="6"/>
        <v>Suite</v>
      </c>
      <c r="N111" t="s">
        <v>26</v>
      </c>
      <c r="O111" t="s">
        <v>71</v>
      </c>
      <c r="P111">
        <f>IFERROR(VLOOKUP(TRIM(M111),Room!D:H,5,FALSE),5000)</f>
        <v>12500</v>
      </c>
      <c r="Q111">
        <f t="shared" si="7"/>
        <v>137500</v>
      </c>
      <c r="R111" s="11" t="str">
        <f t="shared" si="8"/>
        <v>Business</v>
      </c>
      <c r="S111" s="11">
        <f t="shared" si="9"/>
        <v>5</v>
      </c>
    </row>
    <row r="112" spans="1:19">
      <c r="A112" t="s">
        <v>677</v>
      </c>
      <c r="B112" t="s">
        <v>678</v>
      </c>
      <c r="C112" t="s">
        <v>679</v>
      </c>
      <c r="D112" t="s">
        <v>680</v>
      </c>
      <c r="E112" t="s">
        <v>681</v>
      </c>
      <c r="F112" t="s">
        <v>682</v>
      </c>
      <c r="G112" s="4">
        <v>45298</v>
      </c>
      <c r="H112" s="4">
        <v>45586</v>
      </c>
      <c r="I112" s="4">
        <v>45595</v>
      </c>
      <c r="J112">
        <f t="shared" si="5"/>
        <v>9</v>
      </c>
      <c r="K112" t="str">
        <f t="array" ref="K112">_xlfn.IFS(J112=1,"Day Use",J112&lt;=3,"Short Stay",J112&lt;=7,"Extended Stay",J112&gt;=8,"Long Stay")</f>
        <v>Long Stay</v>
      </c>
      <c r="L112" t="s">
        <v>84</v>
      </c>
      <c r="M112" s="10" t="str">
        <f t="shared" si="6"/>
        <v>Premium</v>
      </c>
      <c r="N112" t="s">
        <v>372</v>
      </c>
      <c r="O112" t="s">
        <v>35</v>
      </c>
      <c r="P112">
        <f>IFERROR(VLOOKUP(TRIM(M112),Room!D:H,5,FALSE),5000)</f>
        <v>9500</v>
      </c>
      <c r="Q112">
        <f t="shared" si="7"/>
        <v>85500</v>
      </c>
      <c r="R112" s="11" t="str">
        <f t="shared" si="8"/>
        <v>Conference</v>
      </c>
      <c r="S112" s="11">
        <f t="shared" si="9"/>
        <v>4</v>
      </c>
    </row>
    <row r="113" spans="1:19">
      <c r="A113" t="s">
        <v>683</v>
      </c>
      <c r="B113" t="s">
        <v>684</v>
      </c>
      <c r="C113" t="s">
        <v>685</v>
      </c>
      <c r="D113" t="s">
        <v>686</v>
      </c>
      <c r="E113" t="s">
        <v>687</v>
      </c>
      <c r="F113" t="s">
        <v>688</v>
      </c>
      <c r="G113" s="4">
        <v>45294</v>
      </c>
      <c r="H113" s="4">
        <v>45320</v>
      </c>
      <c r="I113" s="4">
        <v>45326</v>
      </c>
      <c r="J113">
        <f t="shared" si="5"/>
        <v>6</v>
      </c>
      <c r="K113" t="str">
        <f t="array" ref="K113">_xlfn.IFS(J113=1,"Day Use",J113&lt;=3,"Short Stay",J113&lt;=7,"Extended Stay",J113&gt;=8,"Long Stay")</f>
        <v>Extended Stay</v>
      </c>
      <c r="L113" t="s">
        <v>141</v>
      </c>
      <c r="M113" s="10" t="str">
        <f t="shared" si="6"/>
        <v>Deluxe</v>
      </c>
      <c r="N113" t="s">
        <v>26</v>
      </c>
      <c r="O113" t="s">
        <v>42</v>
      </c>
      <c r="P113">
        <f>IFERROR(VLOOKUP(TRIM(M113),Room!D:H,5,FALSE),5000)</f>
        <v>5400</v>
      </c>
      <c r="Q113">
        <f t="shared" si="7"/>
        <v>32400</v>
      </c>
      <c r="R113" s="11" t="str">
        <f t="shared" si="8"/>
        <v>Conference</v>
      </c>
      <c r="S113" s="11">
        <f t="shared" si="9"/>
        <v>3</v>
      </c>
    </row>
    <row r="114" spans="1:19">
      <c r="A114" t="s">
        <v>689</v>
      </c>
      <c r="B114" t="s">
        <v>690</v>
      </c>
      <c r="C114" t="s">
        <v>691</v>
      </c>
      <c r="D114" t="s">
        <v>692</v>
      </c>
      <c r="E114" t="s">
        <v>693</v>
      </c>
      <c r="F114" t="s">
        <v>694</v>
      </c>
      <c r="G114" s="4">
        <v>45327</v>
      </c>
      <c r="H114" s="4">
        <v>45788</v>
      </c>
      <c r="I114" s="4">
        <v>45793</v>
      </c>
      <c r="J114">
        <f t="shared" si="5"/>
        <v>5</v>
      </c>
      <c r="K114" t="str">
        <f t="array" ref="K114">_xlfn.IFS(J114=1,"Day Use",J114&lt;=3,"Short Stay",J114&lt;=7,"Extended Stay",J114&gt;=8,"Long Stay")</f>
        <v>Extended Stay</v>
      </c>
      <c r="L114" t="s">
        <v>56</v>
      </c>
      <c r="M114" s="10" t="str">
        <f t="shared" si="6"/>
        <v>Deluxe</v>
      </c>
      <c r="N114" t="s">
        <v>26</v>
      </c>
      <c r="O114" t="s">
        <v>42</v>
      </c>
      <c r="P114">
        <f>IFERROR(VLOOKUP(TRIM(M114),Room!D:H,5,FALSE),5000)</f>
        <v>5400</v>
      </c>
      <c r="Q114">
        <f t="shared" si="7"/>
        <v>27000</v>
      </c>
      <c r="R114" s="11" t="str">
        <f t="shared" si="8"/>
        <v>Conference</v>
      </c>
      <c r="S114" s="11">
        <f t="shared" si="9"/>
        <v>3</v>
      </c>
    </row>
    <row r="115" spans="1:19">
      <c r="A115" t="s">
        <v>695</v>
      </c>
      <c r="B115" t="s">
        <v>696</v>
      </c>
      <c r="C115" t="s">
        <v>697</v>
      </c>
      <c r="D115" t="s">
        <v>698</v>
      </c>
      <c r="E115" t="s">
        <v>699</v>
      </c>
      <c r="F115" t="s">
        <v>700</v>
      </c>
      <c r="G115" s="4">
        <v>45557</v>
      </c>
      <c r="H115" s="4">
        <v>45576</v>
      </c>
      <c r="I115" s="4">
        <v>45583</v>
      </c>
      <c r="J115">
        <f t="shared" si="5"/>
        <v>7</v>
      </c>
      <c r="K115" t="str">
        <f t="array" ref="K115">_xlfn.IFS(J115=1,"Day Use",J115&lt;=3,"Short Stay",J115&lt;=7,"Extended Stay",J115&gt;=8,"Long Stay")</f>
        <v>Extended Stay</v>
      </c>
      <c r="L115" t="s">
        <v>84</v>
      </c>
      <c r="M115" s="10" t="str">
        <f t="shared" si="6"/>
        <v>Premium</v>
      </c>
      <c r="N115" t="s">
        <v>57</v>
      </c>
      <c r="O115" t="s">
        <v>58</v>
      </c>
      <c r="P115">
        <f>IFERROR(VLOOKUP(TRIM(M115),Room!D:H,5,FALSE),5000)</f>
        <v>9500</v>
      </c>
      <c r="Q115">
        <f t="shared" si="7"/>
        <v>66500</v>
      </c>
      <c r="R115" s="11" t="str">
        <f t="shared" si="8"/>
        <v>Conference</v>
      </c>
      <c r="S115" s="11">
        <f t="shared" si="9"/>
        <v>4</v>
      </c>
    </row>
    <row r="116" spans="1:19">
      <c r="A116" t="s">
        <v>701</v>
      </c>
      <c r="B116" t="s">
        <v>702</v>
      </c>
      <c r="C116" t="s">
        <v>247</v>
      </c>
      <c r="D116" t="s">
        <v>703</v>
      </c>
      <c r="E116" t="s">
        <v>704</v>
      </c>
      <c r="F116" t="s">
        <v>705</v>
      </c>
      <c r="G116" s="4">
        <v>45397</v>
      </c>
      <c r="H116" s="4">
        <v>45738</v>
      </c>
      <c r="I116" s="4">
        <v>45747</v>
      </c>
      <c r="J116">
        <f t="shared" si="5"/>
        <v>9</v>
      </c>
      <c r="K116" t="str">
        <f t="array" ref="K116">_xlfn.IFS(J116=1,"Day Use",J116&lt;=3,"Short Stay",J116&lt;=7,"Extended Stay",J116&gt;=8,"Long Stay")</f>
        <v>Long Stay</v>
      </c>
      <c r="L116" t="s">
        <v>196</v>
      </c>
      <c r="M116" s="10" t="str">
        <f t="shared" si="6"/>
        <v>Premium</v>
      </c>
      <c r="N116" t="s">
        <v>26</v>
      </c>
      <c r="O116" t="s">
        <v>58</v>
      </c>
      <c r="P116">
        <f>IFERROR(VLOOKUP(TRIM(M116),Room!D:H,5,FALSE),5000)</f>
        <v>9500</v>
      </c>
      <c r="Q116">
        <f t="shared" si="7"/>
        <v>85500</v>
      </c>
      <c r="R116" s="11" t="str">
        <f t="shared" si="8"/>
        <v>Conference</v>
      </c>
      <c r="S116" s="11">
        <f t="shared" si="9"/>
        <v>4</v>
      </c>
    </row>
    <row r="117" spans="1:19">
      <c r="A117" t="s">
        <v>706</v>
      </c>
      <c r="B117" t="s">
        <v>707</v>
      </c>
      <c r="C117" t="s">
        <v>708</v>
      </c>
      <c r="D117" t="s">
        <v>709</v>
      </c>
      <c r="E117" t="s">
        <v>710</v>
      </c>
      <c r="F117" t="s">
        <v>711</v>
      </c>
      <c r="G117" s="4">
        <v>45605</v>
      </c>
      <c r="H117" s="4">
        <v>45914</v>
      </c>
      <c r="I117" s="4">
        <v>45927</v>
      </c>
      <c r="J117">
        <f t="shared" si="5"/>
        <v>13</v>
      </c>
      <c r="K117" t="str">
        <f t="array" ref="K117">_xlfn.IFS(J117=1,"Day Use",J117&lt;=3,"Short Stay",J117&lt;=7,"Extended Stay",J117&gt;=8,"Long Stay")</f>
        <v>Long Stay</v>
      </c>
      <c r="L117" t="s">
        <v>34</v>
      </c>
      <c r="M117" s="10" t="str">
        <f t="shared" si="6"/>
        <v>Suite</v>
      </c>
      <c r="N117" t="s">
        <v>134</v>
      </c>
      <c r="O117" t="s">
        <v>42</v>
      </c>
      <c r="P117">
        <f>IFERROR(VLOOKUP(TRIM(M117),Room!D:H,5,FALSE),5000)</f>
        <v>12500</v>
      </c>
      <c r="Q117">
        <f t="shared" si="7"/>
        <v>162500</v>
      </c>
      <c r="R117" s="11" t="str">
        <f t="shared" si="8"/>
        <v>Business</v>
      </c>
      <c r="S117" s="11">
        <f t="shared" si="9"/>
        <v>5</v>
      </c>
    </row>
    <row r="118" spans="1:19">
      <c r="A118" t="s">
        <v>712</v>
      </c>
      <c r="B118" t="s">
        <v>713</v>
      </c>
      <c r="C118" t="s">
        <v>100</v>
      </c>
      <c r="D118" t="s">
        <v>714</v>
      </c>
      <c r="E118" t="s">
        <v>715</v>
      </c>
      <c r="F118" t="s">
        <v>716</v>
      </c>
      <c r="G118" s="4">
        <v>45437</v>
      </c>
      <c r="H118" s="4">
        <v>45445</v>
      </c>
      <c r="I118" s="4">
        <v>45459</v>
      </c>
      <c r="J118">
        <f t="shared" si="5"/>
        <v>14</v>
      </c>
      <c r="K118" t="str">
        <f t="array" ref="K118">_xlfn.IFS(J118=1,"Day Use",J118&lt;=3,"Short Stay",J118&lt;=7,"Extended Stay",J118&gt;=8,"Long Stay")</f>
        <v>Long Stay</v>
      </c>
      <c r="L118" t="s">
        <v>141</v>
      </c>
      <c r="M118" s="10" t="str">
        <f t="shared" si="6"/>
        <v>Suite</v>
      </c>
      <c r="N118" t="s">
        <v>26</v>
      </c>
      <c r="O118" t="s">
        <v>27</v>
      </c>
      <c r="P118">
        <f>IFERROR(VLOOKUP(TRIM(M118),Room!D:H,5,FALSE),5000)</f>
        <v>12500</v>
      </c>
      <c r="Q118">
        <f t="shared" si="7"/>
        <v>175000</v>
      </c>
      <c r="R118" s="11" t="str">
        <f t="shared" si="8"/>
        <v>Business</v>
      </c>
      <c r="S118" s="11">
        <f t="shared" si="9"/>
        <v>5</v>
      </c>
    </row>
    <row r="119" spans="1:19">
      <c r="A119" t="s">
        <v>717</v>
      </c>
      <c r="B119" t="s">
        <v>718</v>
      </c>
      <c r="C119" t="s">
        <v>547</v>
      </c>
      <c r="D119" t="s">
        <v>719</v>
      </c>
      <c r="E119" t="s">
        <v>720</v>
      </c>
      <c r="F119" t="s">
        <v>721</v>
      </c>
      <c r="G119" s="4">
        <v>45663</v>
      </c>
      <c r="H119" s="4">
        <v>45667</v>
      </c>
      <c r="I119" s="4">
        <v>45679</v>
      </c>
      <c r="J119">
        <f t="shared" si="5"/>
        <v>12</v>
      </c>
      <c r="K119" t="str">
        <f t="array" ref="K119">_xlfn.IFS(J119=1,"Day Use",J119&lt;=3,"Short Stay",J119&lt;=7,"Extended Stay",J119&gt;=8,"Long Stay")</f>
        <v>Long Stay</v>
      </c>
      <c r="L119" t="s">
        <v>84</v>
      </c>
      <c r="M119" s="10" t="str">
        <f t="shared" si="6"/>
        <v>Suite</v>
      </c>
      <c r="N119" t="s">
        <v>26</v>
      </c>
      <c r="O119" t="s">
        <v>27</v>
      </c>
      <c r="P119">
        <f>IFERROR(VLOOKUP(TRIM(M119),Room!D:H,5,FALSE),5000)</f>
        <v>12500</v>
      </c>
      <c r="Q119">
        <f t="shared" si="7"/>
        <v>150000</v>
      </c>
      <c r="R119" s="11" t="str">
        <f t="shared" si="8"/>
        <v>Business</v>
      </c>
      <c r="S119" s="11">
        <f t="shared" si="9"/>
        <v>5</v>
      </c>
    </row>
    <row r="120" spans="1:19">
      <c r="A120" t="s">
        <v>722</v>
      </c>
      <c r="B120" t="s">
        <v>723</v>
      </c>
      <c r="C120" t="s">
        <v>432</v>
      </c>
      <c r="D120" t="s">
        <v>724</v>
      </c>
      <c r="E120" t="s">
        <v>725</v>
      </c>
      <c r="F120" t="s">
        <v>726</v>
      </c>
      <c r="G120" s="4">
        <v>45766</v>
      </c>
      <c r="H120" s="4">
        <v>45792</v>
      </c>
      <c r="I120" s="4">
        <v>45804</v>
      </c>
      <c r="J120">
        <f t="shared" si="5"/>
        <v>12</v>
      </c>
      <c r="K120" t="str">
        <f t="array" ref="K120">_xlfn.IFS(J120=1,"Day Use",J120&lt;=3,"Short Stay",J120&lt;=7,"Extended Stay",J120&gt;=8,"Long Stay")</f>
        <v>Long Stay</v>
      </c>
      <c r="L120" t="s">
        <v>49</v>
      </c>
      <c r="M120" s="10" t="str">
        <f t="shared" si="6"/>
        <v>Suite</v>
      </c>
      <c r="N120" t="s">
        <v>134</v>
      </c>
      <c r="O120" t="s">
        <v>42</v>
      </c>
      <c r="P120">
        <f>IFERROR(VLOOKUP(TRIM(M120),Room!D:H,5,FALSE),5000)</f>
        <v>12500</v>
      </c>
      <c r="Q120">
        <f t="shared" si="7"/>
        <v>150000</v>
      </c>
      <c r="R120" s="11" t="str">
        <f t="shared" si="8"/>
        <v>Business</v>
      </c>
      <c r="S120" s="11">
        <f t="shared" si="9"/>
        <v>5</v>
      </c>
    </row>
    <row r="121" spans="1:19">
      <c r="A121" t="s">
        <v>727</v>
      </c>
      <c r="B121" t="s">
        <v>728</v>
      </c>
      <c r="C121" t="s">
        <v>729</v>
      </c>
      <c r="D121" t="s">
        <v>730</v>
      </c>
      <c r="E121" t="s">
        <v>731</v>
      </c>
      <c r="F121" t="s">
        <v>732</v>
      </c>
      <c r="G121" s="4">
        <v>45342</v>
      </c>
      <c r="H121" s="4">
        <v>45361</v>
      </c>
      <c r="I121" s="4">
        <v>45366</v>
      </c>
      <c r="J121">
        <f t="shared" si="5"/>
        <v>5</v>
      </c>
      <c r="K121" t="str">
        <f t="array" ref="K121">_xlfn.IFS(J121=1,"Day Use",J121&lt;=3,"Short Stay",J121&lt;=7,"Extended Stay",J121&gt;=8,"Long Stay")</f>
        <v>Extended Stay</v>
      </c>
      <c r="L121" t="s">
        <v>34</v>
      </c>
      <c r="M121" s="10" t="str">
        <f t="shared" si="6"/>
        <v>Deluxe</v>
      </c>
      <c r="N121" t="s">
        <v>134</v>
      </c>
      <c r="O121" t="s">
        <v>42</v>
      </c>
      <c r="P121">
        <f>IFERROR(VLOOKUP(TRIM(M121),Room!D:H,5,FALSE),5000)</f>
        <v>5400</v>
      </c>
      <c r="Q121">
        <f t="shared" si="7"/>
        <v>27000</v>
      </c>
      <c r="R121" s="11" t="str">
        <f t="shared" si="8"/>
        <v>Conference</v>
      </c>
      <c r="S121" s="11">
        <f t="shared" si="9"/>
        <v>3</v>
      </c>
    </row>
    <row r="122" spans="1:19">
      <c r="A122" t="s">
        <v>733</v>
      </c>
      <c r="B122" t="s">
        <v>734</v>
      </c>
      <c r="C122" t="s">
        <v>74</v>
      </c>
      <c r="D122" t="s">
        <v>735</v>
      </c>
      <c r="E122" t="s">
        <v>736</v>
      </c>
      <c r="F122" t="s">
        <v>737</v>
      </c>
      <c r="G122" s="4">
        <v>45611</v>
      </c>
      <c r="H122" s="4">
        <v>45846</v>
      </c>
      <c r="I122" s="4">
        <v>45860</v>
      </c>
      <c r="J122">
        <f t="shared" si="5"/>
        <v>14</v>
      </c>
      <c r="K122" t="str">
        <f t="array" ref="K122">_xlfn.IFS(J122=1,"Day Use",J122&lt;=3,"Short Stay",J122&lt;=7,"Extended Stay",J122&gt;=8,"Long Stay")</f>
        <v>Long Stay</v>
      </c>
      <c r="L122" t="s">
        <v>141</v>
      </c>
      <c r="M122" s="10" t="str">
        <f t="shared" si="6"/>
        <v>Suite</v>
      </c>
      <c r="N122" t="s">
        <v>26</v>
      </c>
      <c r="O122" t="s">
        <v>27</v>
      </c>
      <c r="P122">
        <f>IFERROR(VLOOKUP(TRIM(M122),Room!D:H,5,FALSE),5000)</f>
        <v>12500</v>
      </c>
      <c r="Q122">
        <f t="shared" si="7"/>
        <v>175000</v>
      </c>
      <c r="R122" s="11" t="str">
        <f t="shared" si="8"/>
        <v>Business</v>
      </c>
      <c r="S122" s="11">
        <f t="shared" si="9"/>
        <v>5</v>
      </c>
    </row>
    <row r="123" spans="1:19">
      <c r="A123" t="s">
        <v>738</v>
      </c>
      <c r="B123" t="s">
        <v>739</v>
      </c>
      <c r="C123" t="s">
        <v>740</v>
      </c>
      <c r="D123" t="s">
        <v>741</v>
      </c>
      <c r="E123" t="s">
        <v>742</v>
      </c>
      <c r="F123" t="s">
        <v>743</v>
      </c>
      <c r="G123" s="4">
        <v>45365</v>
      </c>
      <c r="H123" s="4">
        <v>45398</v>
      </c>
      <c r="I123" s="4">
        <v>45409</v>
      </c>
      <c r="J123">
        <f t="shared" si="5"/>
        <v>11</v>
      </c>
      <c r="K123" t="str">
        <f t="array" ref="K123">_xlfn.IFS(J123=1,"Day Use",J123&lt;=3,"Short Stay",J123&lt;=7,"Extended Stay",J123&gt;=8,"Long Stay")</f>
        <v>Long Stay</v>
      </c>
      <c r="L123" t="s">
        <v>91</v>
      </c>
      <c r="M123" s="10" t="str">
        <f t="shared" si="6"/>
        <v>Suite</v>
      </c>
      <c r="N123" t="s">
        <v>372</v>
      </c>
      <c r="O123" t="s">
        <v>42</v>
      </c>
      <c r="P123">
        <f>IFERROR(VLOOKUP(TRIM(M123),Room!D:H,5,FALSE),5000)</f>
        <v>12500</v>
      </c>
      <c r="Q123">
        <f t="shared" si="7"/>
        <v>137500</v>
      </c>
      <c r="R123" s="11" t="str">
        <f t="shared" si="8"/>
        <v>Business</v>
      </c>
      <c r="S123" s="11">
        <f t="shared" si="9"/>
        <v>5</v>
      </c>
    </row>
    <row r="124" spans="1:19">
      <c r="A124" t="s">
        <v>744</v>
      </c>
      <c r="B124" t="s">
        <v>745</v>
      </c>
      <c r="C124" t="s">
        <v>472</v>
      </c>
      <c r="D124" t="s">
        <v>746</v>
      </c>
      <c r="E124" t="s">
        <v>747</v>
      </c>
      <c r="F124" t="s">
        <v>748</v>
      </c>
      <c r="G124" s="4">
        <v>45470</v>
      </c>
      <c r="H124" s="4">
        <v>45842</v>
      </c>
      <c r="I124" s="4">
        <v>45856</v>
      </c>
      <c r="J124">
        <f t="shared" si="5"/>
        <v>14</v>
      </c>
      <c r="K124" t="str">
        <f t="array" ref="K124">_xlfn.IFS(J124=1,"Day Use",J124&lt;=3,"Short Stay",J124&lt;=7,"Extended Stay",J124&gt;=8,"Long Stay")</f>
        <v>Long Stay</v>
      </c>
      <c r="L124" t="s">
        <v>34</v>
      </c>
      <c r="M124" s="10" t="str">
        <f t="shared" si="6"/>
        <v>Suite</v>
      </c>
      <c r="N124" t="s">
        <v>134</v>
      </c>
      <c r="O124" t="s">
        <v>42</v>
      </c>
      <c r="P124">
        <f>IFERROR(VLOOKUP(TRIM(M124),Room!D:H,5,FALSE),5000)</f>
        <v>12500</v>
      </c>
      <c r="Q124">
        <f t="shared" si="7"/>
        <v>175000</v>
      </c>
      <c r="R124" s="11" t="str">
        <f t="shared" si="8"/>
        <v>Business</v>
      </c>
      <c r="S124" s="11">
        <f t="shared" si="9"/>
        <v>5</v>
      </c>
    </row>
    <row r="125" spans="1:19">
      <c r="A125" t="s">
        <v>749</v>
      </c>
      <c r="B125" t="s">
        <v>750</v>
      </c>
      <c r="C125" t="s">
        <v>751</v>
      </c>
      <c r="D125" t="s">
        <v>752</v>
      </c>
      <c r="E125" t="s">
        <v>753</v>
      </c>
      <c r="F125" t="s">
        <v>754</v>
      </c>
      <c r="G125" s="4">
        <v>45866</v>
      </c>
      <c r="H125" s="4">
        <v>45892</v>
      </c>
      <c r="I125" s="4">
        <v>45894</v>
      </c>
      <c r="J125">
        <f t="shared" si="5"/>
        <v>2</v>
      </c>
      <c r="K125" t="str">
        <f t="array" ref="K125">_xlfn.IFS(J125=1,"Day Use",J125&lt;=3,"Short Stay",J125&lt;=7,"Extended Stay",J125&gt;=8,"Long Stay")</f>
        <v>Short Stay</v>
      </c>
      <c r="L125" t="s">
        <v>25</v>
      </c>
      <c r="M125" s="10" t="str">
        <f t="shared" si="6"/>
        <v>Standard</v>
      </c>
      <c r="N125" t="s">
        <v>148</v>
      </c>
      <c r="O125" t="s">
        <v>71</v>
      </c>
      <c r="P125">
        <f>IFERROR(VLOOKUP(TRIM(M125),Room!D:H,5,FALSE),5000)</f>
        <v>3200</v>
      </c>
      <c r="Q125">
        <f t="shared" si="7"/>
        <v>6400</v>
      </c>
      <c r="R125" s="11" t="str">
        <f t="shared" si="8"/>
        <v>Other</v>
      </c>
      <c r="S125" s="11">
        <f t="shared" si="9"/>
        <v>2</v>
      </c>
    </row>
    <row r="126" spans="1:19">
      <c r="A126" t="s">
        <v>755</v>
      </c>
      <c r="B126" t="s">
        <v>756</v>
      </c>
      <c r="C126" t="s">
        <v>259</v>
      </c>
      <c r="D126" t="s">
        <v>757</v>
      </c>
      <c r="E126" t="s">
        <v>758</v>
      </c>
      <c r="F126" t="s">
        <v>759</v>
      </c>
      <c r="G126" s="4">
        <v>45302</v>
      </c>
      <c r="H126" s="4">
        <v>46004</v>
      </c>
      <c r="I126" s="4">
        <v>46010</v>
      </c>
      <c r="J126">
        <f t="shared" si="5"/>
        <v>6</v>
      </c>
      <c r="K126" t="str">
        <f t="array" ref="K126">_xlfn.IFS(J126=1,"Day Use",J126&lt;=3,"Short Stay",J126&lt;=7,"Extended Stay",J126&gt;=8,"Long Stay")</f>
        <v>Extended Stay</v>
      </c>
      <c r="L126" t="s">
        <v>34</v>
      </c>
      <c r="M126" s="10" t="str">
        <f t="shared" si="6"/>
        <v>Deluxe</v>
      </c>
      <c r="N126" t="s">
        <v>26</v>
      </c>
      <c r="O126" t="s">
        <v>35</v>
      </c>
      <c r="P126">
        <f>IFERROR(VLOOKUP(TRIM(M126),Room!D:H,5,FALSE),5000)</f>
        <v>5400</v>
      </c>
      <c r="Q126">
        <f t="shared" si="7"/>
        <v>32400</v>
      </c>
      <c r="R126" s="11" t="str">
        <f t="shared" si="8"/>
        <v>Conference</v>
      </c>
      <c r="S126" s="11">
        <f t="shared" si="9"/>
        <v>3</v>
      </c>
    </row>
    <row r="127" spans="1:19">
      <c r="A127" t="s">
        <v>760</v>
      </c>
      <c r="B127" t="s">
        <v>761</v>
      </c>
      <c r="C127" t="s">
        <v>762</v>
      </c>
      <c r="D127" t="s">
        <v>763</v>
      </c>
      <c r="E127" t="s">
        <v>764</v>
      </c>
      <c r="F127" t="s">
        <v>765</v>
      </c>
      <c r="G127" s="4">
        <v>45326</v>
      </c>
      <c r="H127" s="4">
        <v>45737</v>
      </c>
      <c r="I127" s="4">
        <v>45750</v>
      </c>
      <c r="J127">
        <f t="shared" si="5"/>
        <v>13</v>
      </c>
      <c r="K127" t="str">
        <f t="array" ref="K127">_xlfn.IFS(J127=1,"Day Use",J127&lt;=3,"Short Stay",J127&lt;=7,"Extended Stay",J127&gt;=8,"Long Stay")</f>
        <v>Long Stay</v>
      </c>
      <c r="L127" t="s">
        <v>49</v>
      </c>
      <c r="M127" s="10" t="str">
        <f t="shared" si="6"/>
        <v>Suite</v>
      </c>
      <c r="N127" t="s">
        <v>26</v>
      </c>
      <c r="O127" t="s">
        <v>35</v>
      </c>
      <c r="P127">
        <f>IFERROR(VLOOKUP(TRIM(M127),Room!D:H,5,FALSE),5000)</f>
        <v>12500</v>
      </c>
      <c r="Q127">
        <f t="shared" si="7"/>
        <v>162500</v>
      </c>
      <c r="R127" s="11" t="str">
        <f t="shared" si="8"/>
        <v>Business</v>
      </c>
      <c r="S127" s="11">
        <f t="shared" si="9"/>
        <v>5</v>
      </c>
    </row>
    <row r="128" spans="1:19">
      <c r="A128" t="s">
        <v>766</v>
      </c>
      <c r="B128" t="s">
        <v>767</v>
      </c>
      <c r="C128" t="s">
        <v>768</v>
      </c>
      <c r="D128" t="s">
        <v>769</v>
      </c>
      <c r="E128" t="s">
        <v>770</v>
      </c>
      <c r="F128" t="s">
        <v>771</v>
      </c>
      <c r="G128" s="4">
        <v>45325</v>
      </c>
      <c r="H128" s="4">
        <v>45344</v>
      </c>
      <c r="I128" s="4">
        <v>45356</v>
      </c>
      <c r="J128">
        <f t="shared" si="5"/>
        <v>12</v>
      </c>
      <c r="K128" t="str">
        <f t="array" ref="K128">_xlfn.IFS(J128=1,"Day Use",J128&lt;=3,"Short Stay",J128&lt;=7,"Extended Stay",J128&gt;=8,"Long Stay")</f>
        <v>Long Stay</v>
      </c>
      <c r="L128" t="s">
        <v>84</v>
      </c>
      <c r="M128" s="10" t="str">
        <f t="shared" si="6"/>
        <v>Suite</v>
      </c>
      <c r="N128" t="s">
        <v>134</v>
      </c>
      <c r="O128" t="s">
        <v>71</v>
      </c>
      <c r="P128">
        <f>IFERROR(VLOOKUP(TRIM(M128),Room!D:H,5,FALSE),5000)</f>
        <v>12500</v>
      </c>
      <c r="Q128">
        <f t="shared" si="7"/>
        <v>150000</v>
      </c>
      <c r="R128" s="11" t="str">
        <f t="shared" si="8"/>
        <v>Business</v>
      </c>
      <c r="S128" s="11">
        <f t="shared" si="9"/>
        <v>5</v>
      </c>
    </row>
    <row r="129" spans="1:19">
      <c r="A129" t="s">
        <v>772</v>
      </c>
      <c r="B129" t="s">
        <v>773</v>
      </c>
      <c r="C129" t="s">
        <v>774</v>
      </c>
      <c r="D129" t="s">
        <v>775</v>
      </c>
      <c r="E129" t="s">
        <v>776</v>
      </c>
      <c r="F129" t="s">
        <v>777</v>
      </c>
      <c r="G129" s="4">
        <v>45480</v>
      </c>
      <c r="H129" s="4">
        <v>45503</v>
      </c>
      <c r="I129" s="4">
        <v>45508</v>
      </c>
      <c r="J129">
        <f t="shared" si="5"/>
        <v>5</v>
      </c>
      <c r="K129" t="str">
        <f t="array" ref="K129">_xlfn.IFS(J129=1,"Day Use",J129&lt;=3,"Short Stay",J129&lt;=7,"Extended Stay",J129&gt;=8,"Long Stay")</f>
        <v>Extended Stay</v>
      </c>
      <c r="L129" t="s">
        <v>49</v>
      </c>
      <c r="M129" s="10" t="str">
        <f t="shared" si="6"/>
        <v>Deluxe</v>
      </c>
      <c r="N129" t="s">
        <v>148</v>
      </c>
      <c r="O129" t="s">
        <v>71</v>
      </c>
      <c r="P129">
        <f>IFERROR(VLOOKUP(TRIM(M129),Room!D:H,5,FALSE),5000)</f>
        <v>5400</v>
      </c>
      <c r="Q129">
        <f t="shared" si="7"/>
        <v>27000</v>
      </c>
      <c r="R129" s="11" t="str">
        <f t="shared" si="8"/>
        <v>Conference</v>
      </c>
      <c r="S129" s="11">
        <f t="shared" si="9"/>
        <v>3</v>
      </c>
    </row>
    <row r="130" spans="1:19">
      <c r="A130" t="s">
        <v>778</v>
      </c>
      <c r="B130" t="s">
        <v>779</v>
      </c>
      <c r="C130" t="s">
        <v>780</v>
      </c>
      <c r="D130" t="s">
        <v>781</v>
      </c>
      <c r="E130" t="s">
        <v>782</v>
      </c>
      <c r="F130" t="s">
        <v>783</v>
      </c>
      <c r="G130" s="4">
        <v>45529</v>
      </c>
      <c r="H130" s="4">
        <v>45574</v>
      </c>
      <c r="I130" s="4">
        <v>45582</v>
      </c>
      <c r="J130">
        <f t="shared" ref="J130:J193" si="10">I130-H130</f>
        <v>8</v>
      </c>
      <c r="K130" t="str">
        <f t="array" ref="K130">_xlfn.IFS(J130=1,"Day Use",J130&lt;=3,"Short Stay",J130&lt;=7,"Extended Stay",J130&gt;=8,"Long Stay")</f>
        <v>Long Stay</v>
      </c>
      <c r="L130" t="s">
        <v>34</v>
      </c>
      <c r="M130" s="10" t="str">
        <f t="shared" ref="M130:M193" si="11">IF($J130&lt;=3,"Standard",IF($J130&lt;=6,"Deluxe",IF($J130&lt;=10,"Premium","Suite")))</f>
        <v>Premium</v>
      </c>
      <c r="N130" t="s">
        <v>57</v>
      </c>
      <c r="O130" t="s">
        <v>71</v>
      </c>
      <c r="P130">
        <f>IFERROR(VLOOKUP(TRIM(M130),Room!D:H,5,FALSE),5000)</f>
        <v>9500</v>
      </c>
      <c r="Q130">
        <f t="shared" si="7"/>
        <v>76000</v>
      </c>
      <c r="R130" s="11" t="str">
        <f t="shared" si="8"/>
        <v>Conference</v>
      </c>
      <c r="S130" s="11">
        <f t="shared" si="9"/>
        <v>4</v>
      </c>
    </row>
    <row r="131" spans="1:19">
      <c r="A131" t="s">
        <v>784</v>
      </c>
      <c r="B131" t="s">
        <v>785</v>
      </c>
      <c r="C131" t="s">
        <v>786</v>
      </c>
      <c r="D131" t="s">
        <v>787</v>
      </c>
      <c r="E131" t="s">
        <v>788</v>
      </c>
      <c r="F131" t="s">
        <v>789</v>
      </c>
      <c r="G131" s="4">
        <v>45801</v>
      </c>
      <c r="H131" s="4">
        <v>46004</v>
      </c>
      <c r="I131" s="4">
        <v>46007</v>
      </c>
      <c r="J131">
        <f t="shared" si="10"/>
        <v>3</v>
      </c>
      <c r="K131" t="str">
        <f t="array" ref="K131">_xlfn.IFS(J131=1,"Day Use",J131&lt;=3,"Short Stay",J131&lt;=7,"Extended Stay",J131&gt;=8,"Long Stay")</f>
        <v>Short Stay</v>
      </c>
      <c r="L131" t="s">
        <v>34</v>
      </c>
      <c r="M131" s="10" t="str">
        <f t="shared" si="11"/>
        <v>Standard</v>
      </c>
      <c r="N131" t="s">
        <v>26</v>
      </c>
      <c r="O131" t="s">
        <v>42</v>
      </c>
      <c r="P131">
        <f>IFERROR(VLOOKUP(TRIM(M131),Room!D:H,5,FALSE),5000)</f>
        <v>3200</v>
      </c>
      <c r="Q131">
        <f t="shared" ref="Q131:Q194" si="12">P131*J131</f>
        <v>9600</v>
      </c>
      <c r="R131" s="11" t="str">
        <f t="shared" ref="R131:R194" si="13">IF(ISNUMBER(SEARCH("Suite",D131)),"Honeymoon",IF(P131&gt;10000,"Business",IF(P131&gt;5000,"Conference",IF(J131&gt;=8,"Family Vacation","Other"))))</f>
        <v>Other</v>
      </c>
      <c r="S131" s="11">
        <f t="shared" ref="S131:S194" si="14">IF(M131="Suite",5,IF(M131="Premium",IF(Q131&gt;20000,4,3),IF(M131="Deluxe",IF(Q131&gt;=10000,3,2),IF(M131="Standard",IF(Q131&gt;=5000,2,1),1))))</f>
        <v>2</v>
      </c>
    </row>
    <row r="132" spans="1:19">
      <c r="A132" t="s">
        <v>790</v>
      </c>
      <c r="B132" t="s">
        <v>791</v>
      </c>
      <c r="C132" t="s">
        <v>449</v>
      </c>
      <c r="D132" t="s">
        <v>792</v>
      </c>
      <c r="E132" t="s">
        <v>793</v>
      </c>
      <c r="F132" t="s">
        <v>794</v>
      </c>
      <c r="G132" s="4">
        <v>45262</v>
      </c>
      <c r="H132" s="4">
        <v>45453</v>
      </c>
      <c r="I132" s="4">
        <v>45459</v>
      </c>
      <c r="J132">
        <f t="shared" si="10"/>
        <v>6</v>
      </c>
      <c r="K132" t="str">
        <f t="array" ref="K132">_xlfn.IFS(J132=1,"Day Use",J132&lt;=3,"Short Stay",J132&lt;=7,"Extended Stay",J132&gt;=8,"Long Stay")</f>
        <v>Extended Stay</v>
      </c>
      <c r="L132" t="s">
        <v>84</v>
      </c>
      <c r="M132" s="10" t="str">
        <f t="shared" si="11"/>
        <v>Deluxe</v>
      </c>
      <c r="N132" t="s">
        <v>26</v>
      </c>
      <c r="O132" t="s">
        <v>35</v>
      </c>
      <c r="P132">
        <f>IFERROR(VLOOKUP(TRIM(M132),Room!D:H,5,FALSE),5000)</f>
        <v>5400</v>
      </c>
      <c r="Q132">
        <f t="shared" si="12"/>
        <v>32400</v>
      </c>
      <c r="R132" s="11" t="str">
        <f t="shared" si="13"/>
        <v>Conference</v>
      </c>
      <c r="S132" s="11">
        <f t="shared" si="14"/>
        <v>3</v>
      </c>
    </row>
    <row r="133" spans="1:19">
      <c r="A133" t="s">
        <v>795</v>
      </c>
      <c r="B133" t="s">
        <v>796</v>
      </c>
      <c r="C133" t="s">
        <v>500</v>
      </c>
      <c r="D133" t="s">
        <v>797</v>
      </c>
      <c r="E133" t="s">
        <v>798</v>
      </c>
      <c r="F133" t="s">
        <v>799</v>
      </c>
      <c r="G133" s="4">
        <v>45789</v>
      </c>
      <c r="H133" s="4">
        <v>46015</v>
      </c>
      <c r="I133" s="4">
        <v>46022</v>
      </c>
      <c r="J133">
        <f t="shared" si="10"/>
        <v>7</v>
      </c>
      <c r="K133" t="str">
        <f t="array" ref="K133">_xlfn.IFS(J133=1,"Day Use",J133&lt;=3,"Short Stay",J133&lt;=7,"Extended Stay",J133&gt;=8,"Long Stay")</f>
        <v>Extended Stay</v>
      </c>
      <c r="L133" t="s">
        <v>91</v>
      </c>
      <c r="M133" s="10" t="str">
        <f t="shared" si="11"/>
        <v>Premium</v>
      </c>
      <c r="N133" t="s">
        <v>26</v>
      </c>
      <c r="O133" t="s">
        <v>27</v>
      </c>
      <c r="P133">
        <f>IFERROR(VLOOKUP(TRIM(M133),Room!D:H,5,FALSE),5000)</f>
        <v>9500</v>
      </c>
      <c r="Q133">
        <f t="shared" si="12"/>
        <v>66500</v>
      </c>
      <c r="R133" s="11" t="str">
        <f t="shared" si="13"/>
        <v>Conference</v>
      </c>
      <c r="S133" s="11">
        <f t="shared" si="14"/>
        <v>4</v>
      </c>
    </row>
    <row r="134" spans="1:19">
      <c r="A134" t="s">
        <v>800</v>
      </c>
      <c r="B134" t="s">
        <v>801</v>
      </c>
      <c r="C134" t="s">
        <v>802</v>
      </c>
      <c r="D134" t="s">
        <v>803</v>
      </c>
      <c r="E134" t="s">
        <v>804</v>
      </c>
      <c r="F134" t="s">
        <v>805</v>
      </c>
      <c r="G134" s="4">
        <v>45415</v>
      </c>
      <c r="H134" s="4">
        <v>45816</v>
      </c>
      <c r="I134" s="4">
        <v>45825</v>
      </c>
      <c r="J134">
        <f t="shared" si="10"/>
        <v>9</v>
      </c>
      <c r="K134" t="str">
        <f t="array" ref="K134">_xlfn.IFS(J134=1,"Day Use",J134&lt;=3,"Short Stay",J134&lt;=7,"Extended Stay",J134&gt;=8,"Long Stay")</f>
        <v>Long Stay</v>
      </c>
      <c r="L134" t="s">
        <v>141</v>
      </c>
      <c r="M134" s="10" t="str">
        <f t="shared" si="11"/>
        <v>Premium</v>
      </c>
      <c r="N134" t="s">
        <v>57</v>
      </c>
      <c r="O134" t="s">
        <v>42</v>
      </c>
      <c r="P134">
        <f>IFERROR(VLOOKUP(TRIM(M134),Room!D:H,5,FALSE),5000)</f>
        <v>9500</v>
      </c>
      <c r="Q134">
        <f t="shared" si="12"/>
        <v>85500</v>
      </c>
      <c r="R134" s="11" t="str">
        <f t="shared" si="13"/>
        <v>Conference</v>
      </c>
      <c r="S134" s="11">
        <f t="shared" si="14"/>
        <v>4</v>
      </c>
    </row>
    <row r="135" spans="1:19">
      <c r="A135" t="s">
        <v>806</v>
      </c>
      <c r="B135" t="s">
        <v>807</v>
      </c>
      <c r="C135" t="s">
        <v>679</v>
      </c>
      <c r="D135" t="s">
        <v>808</v>
      </c>
      <c r="E135" t="s">
        <v>809</v>
      </c>
      <c r="F135" t="s">
        <v>810</v>
      </c>
      <c r="G135" s="4">
        <v>45350</v>
      </c>
      <c r="H135" s="4">
        <v>45360</v>
      </c>
      <c r="I135" s="4">
        <v>45369</v>
      </c>
      <c r="J135">
        <f t="shared" si="10"/>
        <v>9</v>
      </c>
      <c r="K135" t="str">
        <f t="array" ref="K135">_xlfn.IFS(J135=1,"Day Use",J135&lt;=3,"Short Stay",J135&lt;=7,"Extended Stay",J135&gt;=8,"Long Stay")</f>
        <v>Long Stay</v>
      </c>
      <c r="L135" t="s">
        <v>49</v>
      </c>
      <c r="M135" s="10" t="str">
        <f t="shared" si="11"/>
        <v>Premium</v>
      </c>
      <c r="N135" t="s">
        <v>26</v>
      </c>
      <c r="O135" t="s">
        <v>27</v>
      </c>
      <c r="P135">
        <f>IFERROR(VLOOKUP(TRIM(M135),Room!D:H,5,FALSE),5000)</f>
        <v>9500</v>
      </c>
      <c r="Q135">
        <f t="shared" si="12"/>
        <v>85500</v>
      </c>
      <c r="R135" s="11" t="str">
        <f t="shared" si="13"/>
        <v>Conference</v>
      </c>
      <c r="S135" s="11">
        <f t="shared" si="14"/>
        <v>4</v>
      </c>
    </row>
    <row r="136" spans="1:19">
      <c r="A136" t="s">
        <v>811</v>
      </c>
      <c r="B136" t="s">
        <v>812</v>
      </c>
      <c r="C136" t="s">
        <v>392</v>
      </c>
      <c r="D136" t="s">
        <v>813</v>
      </c>
      <c r="E136" t="s">
        <v>814</v>
      </c>
      <c r="F136" t="s">
        <v>815</v>
      </c>
      <c r="G136" s="4">
        <v>45221</v>
      </c>
      <c r="H136" s="4">
        <v>45692</v>
      </c>
      <c r="I136" s="4">
        <v>45704</v>
      </c>
      <c r="J136">
        <f t="shared" si="10"/>
        <v>12</v>
      </c>
      <c r="K136" t="str">
        <f t="array" ref="K136">_xlfn.IFS(J136=1,"Day Use",J136&lt;=3,"Short Stay",J136&lt;=7,"Extended Stay",J136&gt;=8,"Long Stay")</f>
        <v>Long Stay</v>
      </c>
      <c r="L136" t="s">
        <v>141</v>
      </c>
      <c r="M136" s="10" t="str">
        <f t="shared" si="11"/>
        <v>Suite</v>
      </c>
      <c r="N136" t="s">
        <v>148</v>
      </c>
      <c r="O136" t="s">
        <v>35</v>
      </c>
      <c r="P136">
        <f>IFERROR(VLOOKUP(TRIM(M136),Room!D:H,5,FALSE),5000)</f>
        <v>12500</v>
      </c>
      <c r="Q136">
        <f t="shared" si="12"/>
        <v>150000</v>
      </c>
      <c r="R136" s="11" t="str">
        <f t="shared" si="13"/>
        <v>Business</v>
      </c>
      <c r="S136" s="11">
        <f t="shared" si="14"/>
        <v>5</v>
      </c>
    </row>
    <row r="137" spans="1:19">
      <c r="A137" t="s">
        <v>816</v>
      </c>
      <c r="B137" t="s">
        <v>817</v>
      </c>
      <c r="C137" t="s">
        <v>163</v>
      </c>
      <c r="D137" t="s">
        <v>818</v>
      </c>
      <c r="E137" t="s">
        <v>819</v>
      </c>
      <c r="F137" t="s">
        <v>820</v>
      </c>
      <c r="G137" s="4">
        <v>45358</v>
      </c>
      <c r="H137" s="4">
        <v>45980</v>
      </c>
      <c r="I137" s="4">
        <v>45981</v>
      </c>
      <c r="J137">
        <f t="shared" si="10"/>
        <v>1</v>
      </c>
      <c r="K137" t="str">
        <f t="array" ref="K137">_xlfn.IFS(J137=1,"Day Use",J137&lt;=3,"Short Stay",J137&lt;=7,"Extended Stay",J137&gt;=8,"Long Stay")</f>
        <v>Day Use</v>
      </c>
      <c r="L137" t="s">
        <v>84</v>
      </c>
      <c r="M137" s="10" t="str">
        <f t="shared" si="11"/>
        <v>Standard</v>
      </c>
      <c r="N137" t="s">
        <v>26</v>
      </c>
      <c r="O137" t="s">
        <v>27</v>
      </c>
      <c r="P137">
        <f>IFERROR(VLOOKUP(TRIM(M137),Room!D:H,5,FALSE),5000)</f>
        <v>3200</v>
      </c>
      <c r="Q137">
        <f t="shared" si="12"/>
        <v>3200</v>
      </c>
      <c r="R137" s="11" t="str">
        <f t="shared" si="13"/>
        <v>Other</v>
      </c>
      <c r="S137" s="11">
        <f t="shared" si="14"/>
        <v>1</v>
      </c>
    </row>
    <row r="138" spans="1:19">
      <c r="A138" t="s">
        <v>821</v>
      </c>
      <c r="B138" t="s">
        <v>822</v>
      </c>
      <c r="C138" t="s">
        <v>823</v>
      </c>
      <c r="D138" t="s">
        <v>824</v>
      </c>
      <c r="E138" t="s">
        <v>825</v>
      </c>
      <c r="F138" t="s">
        <v>826</v>
      </c>
      <c r="G138" s="4">
        <v>45484</v>
      </c>
      <c r="H138" s="4">
        <v>45518</v>
      </c>
      <c r="I138" s="4">
        <v>45524</v>
      </c>
      <c r="J138">
        <f t="shared" si="10"/>
        <v>6</v>
      </c>
      <c r="K138" t="str">
        <f t="array" ref="K138">_xlfn.IFS(J138=1,"Day Use",J138&lt;=3,"Short Stay",J138&lt;=7,"Extended Stay",J138&gt;=8,"Long Stay")</f>
        <v>Extended Stay</v>
      </c>
      <c r="L138" t="s">
        <v>196</v>
      </c>
      <c r="M138" s="10" t="str">
        <f t="shared" si="11"/>
        <v>Deluxe</v>
      </c>
      <c r="N138" t="s">
        <v>57</v>
      </c>
      <c r="O138" t="s">
        <v>42</v>
      </c>
      <c r="P138">
        <f>IFERROR(VLOOKUP(TRIM(M138),Room!D:H,5,FALSE),5000)</f>
        <v>5400</v>
      </c>
      <c r="Q138">
        <f t="shared" si="12"/>
        <v>32400</v>
      </c>
      <c r="R138" s="11" t="str">
        <f t="shared" si="13"/>
        <v>Conference</v>
      </c>
      <c r="S138" s="11">
        <f t="shared" si="14"/>
        <v>3</v>
      </c>
    </row>
    <row r="139" spans="1:19">
      <c r="A139" t="s">
        <v>827</v>
      </c>
      <c r="B139" t="s">
        <v>828</v>
      </c>
      <c r="C139" t="s">
        <v>829</v>
      </c>
      <c r="D139" t="s">
        <v>830</v>
      </c>
      <c r="E139" t="s">
        <v>831</v>
      </c>
      <c r="F139" t="s">
        <v>832</v>
      </c>
      <c r="G139" s="4">
        <v>45429</v>
      </c>
      <c r="H139" s="4">
        <v>45483</v>
      </c>
      <c r="I139" s="4">
        <v>45485</v>
      </c>
      <c r="J139">
        <f t="shared" si="10"/>
        <v>2</v>
      </c>
      <c r="K139" t="str">
        <f t="array" ref="K139">_xlfn.IFS(J139=1,"Day Use",J139&lt;=3,"Short Stay",J139&lt;=7,"Extended Stay",J139&gt;=8,"Long Stay")</f>
        <v>Short Stay</v>
      </c>
      <c r="L139" t="s">
        <v>196</v>
      </c>
      <c r="M139" s="10" t="str">
        <f t="shared" si="11"/>
        <v>Standard</v>
      </c>
      <c r="N139" t="s">
        <v>148</v>
      </c>
      <c r="O139" t="s">
        <v>71</v>
      </c>
      <c r="P139">
        <f>IFERROR(VLOOKUP(TRIM(M139),Room!D:H,5,FALSE),5000)</f>
        <v>3200</v>
      </c>
      <c r="Q139">
        <f t="shared" si="12"/>
        <v>6400</v>
      </c>
      <c r="R139" s="11" t="str">
        <f t="shared" si="13"/>
        <v>Other</v>
      </c>
      <c r="S139" s="11">
        <f t="shared" si="14"/>
        <v>2</v>
      </c>
    </row>
    <row r="140" spans="1:19">
      <c r="A140" t="s">
        <v>833</v>
      </c>
      <c r="B140" t="s">
        <v>834</v>
      </c>
      <c r="C140" t="s">
        <v>835</v>
      </c>
      <c r="D140" t="s">
        <v>836</v>
      </c>
      <c r="E140" t="s">
        <v>837</v>
      </c>
      <c r="F140" t="s">
        <v>838</v>
      </c>
      <c r="G140" s="4">
        <v>45211</v>
      </c>
      <c r="H140" s="4">
        <v>45648</v>
      </c>
      <c r="I140" s="4">
        <v>45659</v>
      </c>
      <c r="J140">
        <f t="shared" si="10"/>
        <v>11</v>
      </c>
      <c r="K140" t="str">
        <f t="array" ref="K140">_xlfn.IFS(J140=1,"Day Use",J140&lt;=3,"Short Stay",J140&lt;=7,"Extended Stay",J140&gt;=8,"Long Stay")</f>
        <v>Long Stay</v>
      </c>
      <c r="L140" t="s">
        <v>34</v>
      </c>
      <c r="M140" s="10" t="str">
        <f t="shared" si="11"/>
        <v>Suite</v>
      </c>
      <c r="N140" t="s">
        <v>26</v>
      </c>
      <c r="O140" t="s">
        <v>58</v>
      </c>
      <c r="P140">
        <f>IFERROR(VLOOKUP(TRIM(M140),Room!D:H,5,FALSE),5000)</f>
        <v>12500</v>
      </c>
      <c r="Q140">
        <f t="shared" si="12"/>
        <v>137500</v>
      </c>
      <c r="R140" s="11" t="str">
        <f t="shared" si="13"/>
        <v>Business</v>
      </c>
      <c r="S140" s="11">
        <f t="shared" si="14"/>
        <v>5</v>
      </c>
    </row>
    <row r="141" spans="1:19">
      <c r="A141" t="s">
        <v>839</v>
      </c>
      <c r="B141" t="s">
        <v>840</v>
      </c>
      <c r="C141" t="s">
        <v>841</v>
      </c>
      <c r="D141" t="s">
        <v>842</v>
      </c>
      <c r="E141" t="s">
        <v>843</v>
      </c>
      <c r="F141" t="s">
        <v>844</v>
      </c>
      <c r="G141" s="4">
        <v>45889</v>
      </c>
      <c r="H141" s="4">
        <v>45892</v>
      </c>
      <c r="I141" s="4">
        <v>45902</v>
      </c>
      <c r="J141">
        <f t="shared" si="10"/>
        <v>10</v>
      </c>
      <c r="K141" t="str">
        <f t="array" ref="K141">_xlfn.IFS(J141=1,"Day Use",J141&lt;=3,"Short Stay",J141&lt;=7,"Extended Stay",J141&gt;=8,"Long Stay")</f>
        <v>Long Stay</v>
      </c>
      <c r="L141" t="s">
        <v>84</v>
      </c>
      <c r="M141" s="10" t="str">
        <f t="shared" si="11"/>
        <v>Premium</v>
      </c>
      <c r="N141" t="s">
        <v>57</v>
      </c>
      <c r="O141" t="s">
        <v>42</v>
      </c>
      <c r="P141">
        <f>IFERROR(VLOOKUP(TRIM(M141),Room!D:H,5,FALSE),5000)</f>
        <v>9500</v>
      </c>
      <c r="Q141">
        <f t="shared" si="12"/>
        <v>95000</v>
      </c>
      <c r="R141" s="11" t="str">
        <f t="shared" si="13"/>
        <v>Conference</v>
      </c>
      <c r="S141" s="11">
        <f t="shared" si="14"/>
        <v>4</v>
      </c>
    </row>
    <row r="142" spans="1:19">
      <c r="A142" t="s">
        <v>845</v>
      </c>
      <c r="B142" t="s">
        <v>846</v>
      </c>
      <c r="C142" t="s">
        <v>847</v>
      </c>
      <c r="D142" t="s">
        <v>848</v>
      </c>
      <c r="E142" t="s">
        <v>849</v>
      </c>
      <c r="F142" t="s">
        <v>850</v>
      </c>
      <c r="G142" s="4">
        <v>45694</v>
      </c>
      <c r="H142" s="4">
        <v>45893</v>
      </c>
      <c r="I142" s="4">
        <v>45907</v>
      </c>
      <c r="J142">
        <f t="shared" si="10"/>
        <v>14</v>
      </c>
      <c r="K142" t="str">
        <f t="array" ref="K142">_xlfn.IFS(J142=1,"Day Use",J142&lt;=3,"Short Stay",J142&lt;=7,"Extended Stay",J142&gt;=8,"Long Stay")</f>
        <v>Long Stay</v>
      </c>
      <c r="L142" t="s">
        <v>91</v>
      </c>
      <c r="M142" s="10" t="str">
        <f t="shared" si="11"/>
        <v>Suite</v>
      </c>
      <c r="N142" t="s">
        <v>26</v>
      </c>
      <c r="O142" t="s">
        <v>42</v>
      </c>
      <c r="P142">
        <f>IFERROR(VLOOKUP(TRIM(M142),Room!D:H,5,FALSE),5000)</f>
        <v>12500</v>
      </c>
      <c r="Q142">
        <f t="shared" si="12"/>
        <v>175000</v>
      </c>
      <c r="R142" s="11" t="str">
        <f t="shared" si="13"/>
        <v>Business</v>
      </c>
      <c r="S142" s="11">
        <f t="shared" si="14"/>
        <v>5</v>
      </c>
    </row>
    <row r="143" spans="1:19">
      <c r="A143" t="s">
        <v>851</v>
      </c>
      <c r="B143" t="s">
        <v>852</v>
      </c>
      <c r="C143" t="s">
        <v>853</v>
      </c>
      <c r="D143" t="s">
        <v>854</v>
      </c>
      <c r="E143" t="s">
        <v>855</v>
      </c>
      <c r="F143" t="s">
        <v>856</v>
      </c>
      <c r="G143" s="4">
        <v>45542</v>
      </c>
      <c r="H143" s="4">
        <v>45834</v>
      </c>
      <c r="I143" s="4">
        <v>45845</v>
      </c>
      <c r="J143">
        <f t="shared" si="10"/>
        <v>11</v>
      </c>
      <c r="K143" t="str">
        <f t="array" ref="K143">_xlfn.IFS(J143=1,"Day Use",J143&lt;=3,"Short Stay",J143&lt;=7,"Extended Stay",J143&gt;=8,"Long Stay")</f>
        <v>Long Stay</v>
      </c>
      <c r="L143" t="s">
        <v>56</v>
      </c>
      <c r="M143" s="10" t="str">
        <f t="shared" si="11"/>
        <v>Suite</v>
      </c>
      <c r="N143" t="s">
        <v>26</v>
      </c>
      <c r="O143" t="s">
        <v>58</v>
      </c>
      <c r="P143">
        <f>IFERROR(VLOOKUP(TRIM(M143),Room!D:H,5,FALSE),5000)</f>
        <v>12500</v>
      </c>
      <c r="Q143">
        <f t="shared" si="12"/>
        <v>137500</v>
      </c>
      <c r="R143" s="11" t="str">
        <f t="shared" si="13"/>
        <v>Business</v>
      </c>
      <c r="S143" s="11">
        <f t="shared" si="14"/>
        <v>5</v>
      </c>
    </row>
    <row r="144" spans="1:19">
      <c r="A144" t="s">
        <v>857</v>
      </c>
      <c r="B144" t="s">
        <v>858</v>
      </c>
      <c r="C144" t="s">
        <v>859</v>
      </c>
      <c r="D144" t="s">
        <v>860</v>
      </c>
      <c r="E144" t="s">
        <v>861</v>
      </c>
      <c r="F144" t="s">
        <v>862</v>
      </c>
      <c r="G144" s="4">
        <v>45628</v>
      </c>
      <c r="H144" s="4">
        <v>45635</v>
      </c>
      <c r="I144" s="4">
        <v>45638</v>
      </c>
      <c r="J144">
        <f t="shared" si="10"/>
        <v>3</v>
      </c>
      <c r="K144" t="str">
        <f t="array" ref="K144">_xlfn.IFS(J144=1,"Day Use",J144&lt;=3,"Short Stay",J144&lt;=7,"Extended Stay",J144&gt;=8,"Long Stay")</f>
        <v>Short Stay</v>
      </c>
      <c r="L144" t="s">
        <v>25</v>
      </c>
      <c r="M144" s="10" t="str">
        <f t="shared" si="11"/>
        <v>Standard</v>
      </c>
      <c r="N144" t="s">
        <v>57</v>
      </c>
      <c r="O144" t="s">
        <v>42</v>
      </c>
      <c r="P144">
        <f>IFERROR(VLOOKUP(TRIM(M144),Room!D:H,5,FALSE),5000)</f>
        <v>3200</v>
      </c>
      <c r="Q144">
        <f t="shared" si="12"/>
        <v>9600</v>
      </c>
      <c r="R144" s="11" t="str">
        <f t="shared" si="13"/>
        <v>Other</v>
      </c>
      <c r="S144" s="11">
        <f t="shared" si="14"/>
        <v>2</v>
      </c>
    </row>
    <row r="145" spans="1:19">
      <c r="A145" t="s">
        <v>863</v>
      </c>
      <c r="B145" t="s">
        <v>864</v>
      </c>
      <c r="C145" t="s">
        <v>865</v>
      </c>
      <c r="D145" t="s">
        <v>866</v>
      </c>
      <c r="E145" t="s">
        <v>867</v>
      </c>
      <c r="F145" t="s">
        <v>868</v>
      </c>
      <c r="G145" s="4">
        <v>45830</v>
      </c>
      <c r="H145" s="4">
        <v>45863</v>
      </c>
      <c r="I145" s="4">
        <v>45872</v>
      </c>
      <c r="J145">
        <f t="shared" si="10"/>
        <v>9</v>
      </c>
      <c r="K145" t="str">
        <f t="array" ref="K145">_xlfn.IFS(J145=1,"Day Use",J145&lt;=3,"Short Stay",J145&lt;=7,"Extended Stay",J145&gt;=8,"Long Stay")</f>
        <v>Long Stay</v>
      </c>
      <c r="L145" t="s">
        <v>49</v>
      </c>
      <c r="M145" s="10" t="str">
        <f t="shared" si="11"/>
        <v>Premium</v>
      </c>
      <c r="N145" t="s">
        <v>148</v>
      </c>
      <c r="O145" t="s">
        <v>27</v>
      </c>
      <c r="P145">
        <f>IFERROR(VLOOKUP(TRIM(M145),Room!D:H,5,FALSE),5000)</f>
        <v>9500</v>
      </c>
      <c r="Q145">
        <f t="shared" si="12"/>
        <v>85500</v>
      </c>
      <c r="R145" s="11" t="str">
        <f t="shared" si="13"/>
        <v>Conference</v>
      </c>
      <c r="S145" s="11">
        <f t="shared" si="14"/>
        <v>4</v>
      </c>
    </row>
    <row r="146" spans="1:19">
      <c r="A146" t="s">
        <v>869</v>
      </c>
      <c r="B146" t="s">
        <v>870</v>
      </c>
      <c r="C146" t="s">
        <v>871</v>
      </c>
      <c r="D146" t="s">
        <v>872</v>
      </c>
      <c r="E146" t="s">
        <v>873</v>
      </c>
      <c r="F146" t="s">
        <v>874</v>
      </c>
      <c r="G146" s="4">
        <v>45339</v>
      </c>
      <c r="H146" s="4">
        <v>45703</v>
      </c>
      <c r="I146" s="4">
        <v>45712</v>
      </c>
      <c r="J146">
        <f t="shared" si="10"/>
        <v>9</v>
      </c>
      <c r="K146" t="str">
        <f t="array" ref="K146">_xlfn.IFS(J146=1,"Day Use",J146&lt;=3,"Short Stay",J146&lt;=7,"Extended Stay",J146&gt;=8,"Long Stay")</f>
        <v>Long Stay</v>
      </c>
      <c r="L146" t="s">
        <v>141</v>
      </c>
      <c r="M146" s="10" t="str">
        <f t="shared" si="11"/>
        <v>Premium</v>
      </c>
      <c r="N146" t="s">
        <v>148</v>
      </c>
      <c r="O146" t="s">
        <v>35</v>
      </c>
      <c r="P146">
        <f>IFERROR(VLOOKUP(TRIM(M146),Room!D:H,5,FALSE),5000)</f>
        <v>9500</v>
      </c>
      <c r="Q146">
        <f t="shared" si="12"/>
        <v>85500</v>
      </c>
      <c r="R146" s="11" t="str">
        <f t="shared" si="13"/>
        <v>Conference</v>
      </c>
      <c r="S146" s="11">
        <f t="shared" si="14"/>
        <v>4</v>
      </c>
    </row>
    <row r="147" spans="1:19">
      <c r="A147" t="s">
        <v>875</v>
      </c>
      <c r="B147" t="s">
        <v>876</v>
      </c>
      <c r="C147" t="s">
        <v>633</v>
      </c>
      <c r="D147" t="s">
        <v>877</v>
      </c>
      <c r="E147" t="s">
        <v>878</v>
      </c>
      <c r="F147" t="s">
        <v>879</v>
      </c>
      <c r="G147" s="4">
        <v>45242</v>
      </c>
      <c r="H147" s="4">
        <v>45851</v>
      </c>
      <c r="I147" s="4">
        <v>45853</v>
      </c>
      <c r="J147">
        <f t="shared" si="10"/>
        <v>2</v>
      </c>
      <c r="K147" t="str">
        <f t="array" ref="K147">_xlfn.IFS(J147=1,"Day Use",J147&lt;=3,"Short Stay",J147&lt;=7,"Extended Stay",J147&gt;=8,"Long Stay")</f>
        <v>Short Stay</v>
      </c>
      <c r="L147" t="s">
        <v>49</v>
      </c>
      <c r="M147" s="10" t="str">
        <f t="shared" si="11"/>
        <v>Standard</v>
      </c>
      <c r="N147" t="s">
        <v>26</v>
      </c>
      <c r="O147" t="s">
        <v>35</v>
      </c>
      <c r="P147">
        <f>IFERROR(VLOOKUP(TRIM(M147),Room!D:H,5,FALSE),5000)</f>
        <v>3200</v>
      </c>
      <c r="Q147">
        <f t="shared" si="12"/>
        <v>6400</v>
      </c>
      <c r="R147" s="11" t="str">
        <f t="shared" si="13"/>
        <v>Other</v>
      </c>
      <c r="S147" s="11">
        <f t="shared" si="14"/>
        <v>2</v>
      </c>
    </row>
    <row r="148" spans="1:19">
      <c r="A148" t="s">
        <v>880</v>
      </c>
      <c r="B148" t="s">
        <v>881</v>
      </c>
      <c r="C148" t="s">
        <v>882</v>
      </c>
      <c r="D148" t="s">
        <v>883</v>
      </c>
      <c r="E148" t="s">
        <v>884</v>
      </c>
      <c r="F148" t="s">
        <v>885</v>
      </c>
      <c r="G148" s="4">
        <v>45799</v>
      </c>
      <c r="H148" s="4">
        <v>45822</v>
      </c>
      <c r="I148" s="4">
        <v>45836</v>
      </c>
      <c r="J148">
        <f t="shared" si="10"/>
        <v>14</v>
      </c>
      <c r="K148" t="str">
        <f t="array" ref="K148">_xlfn.IFS(J148=1,"Day Use",J148&lt;=3,"Short Stay",J148&lt;=7,"Extended Stay",J148&gt;=8,"Long Stay")</f>
        <v>Long Stay</v>
      </c>
      <c r="L148" t="s">
        <v>84</v>
      </c>
      <c r="M148" s="10" t="str">
        <f t="shared" si="11"/>
        <v>Suite</v>
      </c>
      <c r="N148" t="s">
        <v>26</v>
      </c>
      <c r="O148" t="s">
        <v>35</v>
      </c>
      <c r="P148">
        <f>IFERROR(VLOOKUP(TRIM(M148),Room!D:H,5,FALSE),5000)</f>
        <v>12500</v>
      </c>
      <c r="Q148">
        <f t="shared" si="12"/>
        <v>175000</v>
      </c>
      <c r="R148" s="11" t="str">
        <f t="shared" si="13"/>
        <v>Business</v>
      </c>
      <c r="S148" s="11">
        <f t="shared" si="14"/>
        <v>5</v>
      </c>
    </row>
    <row r="149" spans="1:19">
      <c r="A149" t="s">
        <v>886</v>
      </c>
      <c r="B149" t="s">
        <v>887</v>
      </c>
      <c r="C149" t="s">
        <v>217</v>
      </c>
      <c r="D149" t="s">
        <v>888</v>
      </c>
      <c r="E149" t="s">
        <v>889</v>
      </c>
      <c r="F149" t="s">
        <v>890</v>
      </c>
      <c r="G149" s="4">
        <v>45497</v>
      </c>
      <c r="H149" s="4">
        <v>45732</v>
      </c>
      <c r="I149" s="4">
        <v>45740</v>
      </c>
      <c r="J149">
        <f t="shared" si="10"/>
        <v>8</v>
      </c>
      <c r="K149" t="str">
        <f t="array" ref="K149">_xlfn.IFS(J149=1,"Day Use",J149&lt;=3,"Short Stay",J149&lt;=7,"Extended Stay",J149&gt;=8,"Long Stay")</f>
        <v>Long Stay</v>
      </c>
      <c r="L149" t="s">
        <v>84</v>
      </c>
      <c r="M149" s="10" t="str">
        <f t="shared" si="11"/>
        <v>Premium</v>
      </c>
      <c r="N149" t="s">
        <v>26</v>
      </c>
      <c r="O149" t="s">
        <v>27</v>
      </c>
      <c r="P149">
        <f>IFERROR(VLOOKUP(TRIM(M149),Room!D:H,5,FALSE),5000)</f>
        <v>9500</v>
      </c>
      <c r="Q149">
        <f t="shared" si="12"/>
        <v>76000</v>
      </c>
      <c r="R149" s="11" t="str">
        <f t="shared" si="13"/>
        <v>Conference</v>
      </c>
      <c r="S149" s="11">
        <f t="shared" si="14"/>
        <v>4</v>
      </c>
    </row>
    <row r="150" spans="1:19">
      <c r="A150" t="s">
        <v>891</v>
      </c>
      <c r="B150" t="s">
        <v>892</v>
      </c>
      <c r="C150" t="s">
        <v>893</v>
      </c>
      <c r="D150" t="s">
        <v>894</v>
      </c>
      <c r="E150" t="s">
        <v>895</v>
      </c>
      <c r="F150" t="s">
        <v>896</v>
      </c>
      <c r="G150" s="4">
        <v>45469</v>
      </c>
      <c r="H150" s="4">
        <v>45890</v>
      </c>
      <c r="I150" s="4">
        <v>45902</v>
      </c>
      <c r="J150">
        <f t="shared" si="10"/>
        <v>12</v>
      </c>
      <c r="K150" t="str">
        <f t="array" ref="K150">_xlfn.IFS(J150=1,"Day Use",J150&lt;=3,"Short Stay",J150&lt;=7,"Extended Stay",J150&gt;=8,"Long Stay")</f>
        <v>Long Stay</v>
      </c>
      <c r="L150" t="s">
        <v>34</v>
      </c>
      <c r="M150" s="10" t="str">
        <f t="shared" si="11"/>
        <v>Suite</v>
      </c>
      <c r="N150" t="s">
        <v>26</v>
      </c>
      <c r="O150" t="s">
        <v>35</v>
      </c>
      <c r="P150">
        <f>IFERROR(VLOOKUP(TRIM(M150),Room!D:H,5,FALSE),5000)</f>
        <v>12500</v>
      </c>
      <c r="Q150">
        <f t="shared" si="12"/>
        <v>150000</v>
      </c>
      <c r="R150" s="11" t="str">
        <f t="shared" si="13"/>
        <v>Business</v>
      </c>
      <c r="S150" s="11">
        <f t="shared" si="14"/>
        <v>5</v>
      </c>
    </row>
    <row r="151" spans="1:19">
      <c r="A151" t="s">
        <v>897</v>
      </c>
      <c r="B151" t="s">
        <v>898</v>
      </c>
      <c r="C151" t="s">
        <v>899</v>
      </c>
      <c r="D151" t="s">
        <v>900</v>
      </c>
      <c r="E151" t="s">
        <v>901</v>
      </c>
      <c r="F151" t="s">
        <v>902</v>
      </c>
      <c r="G151" s="4">
        <v>45390</v>
      </c>
      <c r="H151" s="4">
        <v>45414</v>
      </c>
      <c r="I151" s="4">
        <v>45421</v>
      </c>
      <c r="J151">
        <f t="shared" si="10"/>
        <v>7</v>
      </c>
      <c r="K151" t="str">
        <f t="array" ref="K151">_xlfn.IFS(J151=1,"Day Use",J151&lt;=3,"Short Stay",J151&lt;=7,"Extended Stay",J151&gt;=8,"Long Stay")</f>
        <v>Extended Stay</v>
      </c>
      <c r="L151" t="s">
        <v>84</v>
      </c>
      <c r="M151" s="10" t="str">
        <f t="shared" si="11"/>
        <v>Premium</v>
      </c>
      <c r="N151" t="s">
        <v>26</v>
      </c>
      <c r="O151" t="s">
        <v>71</v>
      </c>
      <c r="P151">
        <f>IFERROR(VLOOKUP(TRIM(M151),Room!D:H,5,FALSE),5000)</f>
        <v>9500</v>
      </c>
      <c r="Q151">
        <f t="shared" si="12"/>
        <v>66500</v>
      </c>
      <c r="R151" s="11" t="str">
        <f t="shared" si="13"/>
        <v>Conference</v>
      </c>
      <c r="S151" s="11">
        <f t="shared" si="14"/>
        <v>4</v>
      </c>
    </row>
    <row r="152" spans="1:19">
      <c r="A152" t="s">
        <v>903</v>
      </c>
      <c r="B152" t="s">
        <v>904</v>
      </c>
      <c r="C152" t="s">
        <v>604</v>
      </c>
      <c r="D152" t="s">
        <v>905</v>
      </c>
      <c r="E152" t="s">
        <v>906</v>
      </c>
      <c r="F152" t="s">
        <v>907</v>
      </c>
      <c r="G152" s="4">
        <v>45569</v>
      </c>
      <c r="H152" s="4">
        <v>45589</v>
      </c>
      <c r="I152" s="4">
        <v>45591</v>
      </c>
      <c r="J152">
        <f t="shared" si="10"/>
        <v>2</v>
      </c>
      <c r="K152" t="str">
        <f t="array" ref="K152">_xlfn.IFS(J152=1,"Day Use",J152&lt;=3,"Short Stay",J152&lt;=7,"Extended Stay",J152&gt;=8,"Long Stay")</f>
        <v>Short Stay</v>
      </c>
      <c r="L152" t="s">
        <v>84</v>
      </c>
      <c r="M152" s="10" t="str">
        <f t="shared" si="11"/>
        <v>Standard</v>
      </c>
      <c r="N152" t="s">
        <v>26</v>
      </c>
      <c r="O152" t="s">
        <v>58</v>
      </c>
      <c r="P152">
        <f>IFERROR(VLOOKUP(TRIM(M152),Room!D:H,5,FALSE),5000)</f>
        <v>3200</v>
      </c>
      <c r="Q152">
        <f t="shared" si="12"/>
        <v>6400</v>
      </c>
      <c r="R152" s="11" t="str">
        <f t="shared" si="13"/>
        <v>Other</v>
      </c>
      <c r="S152" s="11">
        <f t="shared" si="14"/>
        <v>2</v>
      </c>
    </row>
    <row r="153" spans="1:19">
      <c r="A153" t="s">
        <v>908</v>
      </c>
      <c r="B153" t="s">
        <v>909</v>
      </c>
      <c r="C153" t="s">
        <v>910</v>
      </c>
      <c r="D153" t="s">
        <v>911</v>
      </c>
      <c r="E153" t="s">
        <v>912</v>
      </c>
      <c r="F153" t="s">
        <v>913</v>
      </c>
      <c r="G153" s="4">
        <v>45477</v>
      </c>
      <c r="H153" s="4">
        <v>45857</v>
      </c>
      <c r="I153" s="4">
        <v>45865</v>
      </c>
      <c r="J153">
        <f t="shared" si="10"/>
        <v>8</v>
      </c>
      <c r="K153" t="str">
        <f t="array" ref="K153">_xlfn.IFS(J153=1,"Day Use",J153&lt;=3,"Short Stay",J153&lt;=7,"Extended Stay",J153&gt;=8,"Long Stay")</f>
        <v>Long Stay</v>
      </c>
      <c r="L153" t="s">
        <v>84</v>
      </c>
      <c r="M153" s="10" t="str">
        <f t="shared" si="11"/>
        <v>Premium</v>
      </c>
      <c r="N153" t="s">
        <v>26</v>
      </c>
      <c r="O153" t="s">
        <v>35</v>
      </c>
      <c r="P153">
        <f>IFERROR(VLOOKUP(TRIM(M153),Room!D:H,5,FALSE),5000)</f>
        <v>9500</v>
      </c>
      <c r="Q153">
        <f t="shared" si="12"/>
        <v>76000</v>
      </c>
      <c r="R153" s="11" t="str">
        <f t="shared" si="13"/>
        <v>Conference</v>
      </c>
      <c r="S153" s="11">
        <f t="shared" si="14"/>
        <v>4</v>
      </c>
    </row>
    <row r="154" spans="1:19">
      <c r="A154" t="s">
        <v>914</v>
      </c>
      <c r="B154" t="s">
        <v>915</v>
      </c>
      <c r="C154" t="s">
        <v>916</v>
      </c>
      <c r="D154" t="s">
        <v>917</v>
      </c>
      <c r="E154" t="s">
        <v>918</v>
      </c>
      <c r="F154" t="s">
        <v>919</v>
      </c>
      <c r="G154" s="4">
        <v>45283</v>
      </c>
      <c r="H154" s="4">
        <v>45305</v>
      </c>
      <c r="I154" s="4">
        <v>45311</v>
      </c>
      <c r="J154">
        <f t="shared" si="10"/>
        <v>6</v>
      </c>
      <c r="K154" t="str">
        <f t="array" ref="K154">_xlfn.IFS(J154=1,"Day Use",J154&lt;=3,"Short Stay",J154&lt;=7,"Extended Stay",J154&gt;=8,"Long Stay")</f>
        <v>Extended Stay</v>
      </c>
      <c r="L154" t="s">
        <v>196</v>
      </c>
      <c r="M154" s="10" t="str">
        <f t="shared" si="11"/>
        <v>Deluxe</v>
      </c>
      <c r="N154" t="s">
        <v>26</v>
      </c>
      <c r="O154" t="s">
        <v>35</v>
      </c>
      <c r="P154">
        <f>IFERROR(VLOOKUP(TRIM(M154),Room!D:H,5,FALSE),5000)</f>
        <v>5400</v>
      </c>
      <c r="Q154">
        <f t="shared" si="12"/>
        <v>32400</v>
      </c>
      <c r="R154" s="11" t="str">
        <f t="shared" si="13"/>
        <v>Conference</v>
      </c>
      <c r="S154" s="11">
        <f t="shared" si="14"/>
        <v>3</v>
      </c>
    </row>
    <row r="155" spans="1:19">
      <c r="A155" t="s">
        <v>920</v>
      </c>
      <c r="B155" t="s">
        <v>921</v>
      </c>
      <c r="C155" t="s">
        <v>87</v>
      </c>
      <c r="D155" t="s">
        <v>922</v>
      </c>
      <c r="E155" t="s">
        <v>923</v>
      </c>
      <c r="F155" t="s">
        <v>924</v>
      </c>
      <c r="G155" s="4">
        <v>45401</v>
      </c>
      <c r="H155" s="4">
        <v>45419</v>
      </c>
      <c r="I155" s="4">
        <v>45422</v>
      </c>
      <c r="J155">
        <f t="shared" si="10"/>
        <v>3</v>
      </c>
      <c r="K155" t="str">
        <f t="array" ref="K155">_xlfn.IFS(J155=1,"Day Use",J155&lt;=3,"Short Stay",J155&lt;=7,"Extended Stay",J155&gt;=8,"Long Stay")</f>
        <v>Short Stay</v>
      </c>
      <c r="L155" t="s">
        <v>56</v>
      </c>
      <c r="M155" s="10" t="str">
        <f t="shared" si="11"/>
        <v>Standard</v>
      </c>
      <c r="N155" t="s">
        <v>26</v>
      </c>
      <c r="O155" t="s">
        <v>71</v>
      </c>
      <c r="P155">
        <f>IFERROR(VLOOKUP(TRIM(M155),Room!D:H,5,FALSE),5000)</f>
        <v>3200</v>
      </c>
      <c r="Q155">
        <f t="shared" si="12"/>
        <v>9600</v>
      </c>
      <c r="R155" s="11" t="str">
        <f t="shared" si="13"/>
        <v>Other</v>
      </c>
      <c r="S155" s="11">
        <f t="shared" si="14"/>
        <v>2</v>
      </c>
    </row>
    <row r="156" spans="1:19">
      <c r="A156" t="s">
        <v>925</v>
      </c>
      <c r="B156" t="s">
        <v>926</v>
      </c>
      <c r="C156" t="s">
        <v>927</v>
      </c>
      <c r="D156" t="s">
        <v>928</v>
      </c>
      <c r="E156" t="s">
        <v>929</v>
      </c>
      <c r="F156" t="s">
        <v>930</v>
      </c>
      <c r="G156" s="4">
        <v>45351</v>
      </c>
      <c r="H156" s="4">
        <v>45376</v>
      </c>
      <c r="I156" s="4">
        <v>45379</v>
      </c>
      <c r="J156">
        <f t="shared" si="10"/>
        <v>3</v>
      </c>
      <c r="K156" t="str">
        <f t="array" ref="K156">_xlfn.IFS(J156=1,"Day Use",J156&lt;=3,"Short Stay",J156&lt;=7,"Extended Stay",J156&gt;=8,"Long Stay")</f>
        <v>Short Stay</v>
      </c>
      <c r="L156" t="s">
        <v>91</v>
      </c>
      <c r="M156" s="10" t="str">
        <f t="shared" si="11"/>
        <v>Standard</v>
      </c>
      <c r="N156" t="s">
        <v>26</v>
      </c>
      <c r="O156" t="s">
        <v>71</v>
      </c>
      <c r="P156">
        <f>IFERROR(VLOOKUP(TRIM(M156),Room!D:H,5,FALSE),5000)</f>
        <v>3200</v>
      </c>
      <c r="Q156">
        <f t="shared" si="12"/>
        <v>9600</v>
      </c>
      <c r="R156" s="11" t="str">
        <f t="shared" si="13"/>
        <v>Other</v>
      </c>
      <c r="S156" s="11">
        <f t="shared" si="14"/>
        <v>2</v>
      </c>
    </row>
    <row r="157" spans="1:19">
      <c r="A157" t="s">
        <v>931</v>
      </c>
      <c r="B157" t="s">
        <v>932</v>
      </c>
      <c r="C157" t="s">
        <v>933</v>
      </c>
      <c r="D157" t="s">
        <v>934</v>
      </c>
      <c r="E157" t="s">
        <v>935</v>
      </c>
      <c r="F157" t="s">
        <v>936</v>
      </c>
      <c r="G157" s="4">
        <v>45233</v>
      </c>
      <c r="H157" s="4">
        <v>45456</v>
      </c>
      <c r="I157" s="4">
        <v>45469</v>
      </c>
      <c r="J157">
        <f t="shared" si="10"/>
        <v>13</v>
      </c>
      <c r="K157" t="str">
        <f t="array" ref="K157">_xlfn.IFS(J157=1,"Day Use",J157&lt;=3,"Short Stay",J157&lt;=7,"Extended Stay",J157&gt;=8,"Long Stay")</f>
        <v>Long Stay</v>
      </c>
      <c r="L157" t="s">
        <v>25</v>
      </c>
      <c r="M157" s="10" t="str">
        <f t="shared" si="11"/>
        <v>Suite</v>
      </c>
      <c r="N157" t="s">
        <v>26</v>
      </c>
      <c r="O157" t="s">
        <v>42</v>
      </c>
      <c r="P157">
        <f>IFERROR(VLOOKUP(TRIM(M157),Room!D:H,5,FALSE),5000)</f>
        <v>12500</v>
      </c>
      <c r="Q157">
        <f t="shared" si="12"/>
        <v>162500</v>
      </c>
      <c r="R157" s="11" t="str">
        <f t="shared" si="13"/>
        <v>Business</v>
      </c>
      <c r="S157" s="11">
        <f t="shared" si="14"/>
        <v>5</v>
      </c>
    </row>
    <row r="158" spans="1:19">
      <c r="A158" t="s">
        <v>937</v>
      </c>
      <c r="B158" t="s">
        <v>938</v>
      </c>
      <c r="C158" t="s">
        <v>939</v>
      </c>
      <c r="D158" t="s">
        <v>940</v>
      </c>
      <c r="E158" t="s">
        <v>941</v>
      </c>
      <c r="F158" t="s">
        <v>942</v>
      </c>
      <c r="G158" s="4">
        <v>45493</v>
      </c>
      <c r="H158" s="4">
        <v>45565</v>
      </c>
      <c r="I158" s="4">
        <v>45573</v>
      </c>
      <c r="J158">
        <f t="shared" si="10"/>
        <v>8</v>
      </c>
      <c r="K158" t="str">
        <f t="array" ref="K158">_xlfn.IFS(J158=1,"Day Use",J158&lt;=3,"Short Stay",J158&lt;=7,"Extended Stay",J158&gt;=8,"Long Stay")</f>
        <v>Long Stay</v>
      </c>
      <c r="L158" t="s">
        <v>196</v>
      </c>
      <c r="M158" s="10" t="str">
        <f t="shared" si="11"/>
        <v>Premium</v>
      </c>
      <c r="N158" t="s">
        <v>26</v>
      </c>
      <c r="O158" t="s">
        <v>27</v>
      </c>
      <c r="P158">
        <f>IFERROR(VLOOKUP(TRIM(M158),Room!D:H,5,FALSE),5000)</f>
        <v>9500</v>
      </c>
      <c r="Q158">
        <f t="shared" si="12"/>
        <v>76000</v>
      </c>
      <c r="R158" s="11" t="str">
        <f t="shared" si="13"/>
        <v>Conference</v>
      </c>
      <c r="S158" s="11">
        <f t="shared" si="14"/>
        <v>4</v>
      </c>
    </row>
    <row r="159" spans="1:19">
      <c r="A159" t="s">
        <v>943</v>
      </c>
      <c r="B159" t="s">
        <v>944</v>
      </c>
      <c r="C159" t="s">
        <v>80</v>
      </c>
      <c r="D159" t="s">
        <v>945</v>
      </c>
      <c r="E159" t="s">
        <v>946</v>
      </c>
      <c r="F159" t="s">
        <v>947</v>
      </c>
      <c r="G159" s="4">
        <v>45699</v>
      </c>
      <c r="H159" s="4">
        <v>45729</v>
      </c>
      <c r="I159" s="4">
        <v>45737</v>
      </c>
      <c r="J159">
        <f t="shared" si="10"/>
        <v>8</v>
      </c>
      <c r="K159" t="str">
        <f t="array" ref="K159">_xlfn.IFS(J159=1,"Day Use",J159&lt;=3,"Short Stay",J159&lt;=7,"Extended Stay",J159&gt;=8,"Long Stay")</f>
        <v>Long Stay</v>
      </c>
      <c r="L159" t="s">
        <v>56</v>
      </c>
      <c r="M159" s="10" t="str">
        <f t="shared" si="11"/>
        <v>Premium</v>
      </c>
      <c r="N159" t="s">
        <v>26</v>
      </c>
      <c r="O159" t="s">
        <v>27</v>
      </c>
      <c r="P159">
        <f>IFERROR(VLOOKUP(TRIM(M159),Room!D:H,5,FALSE),5000)</f>
        <v>9500</v>
      </c>
      <c r="Q159">
        <f t="shared" si="12"/>
        <v>76000</v>
      </c>
      <c r="R159" s="11" t="str">
        <f t="shared" si="13"/>
        <v>Conference</v>
      </c>
      <c r="S159" s="11">
        <f t="shared" si="14"/>
        <v>4</v>
      </c>
    </row>
    <row r="160" spans="1:19">
      <c r="A160" t="s">
        <v>948</v>
      </c>
      <c r="B160" t="s">
        <v>949</v>
      </c>
      <c r="C160" t="s">
        <v>575</v>
      </c>
      <c r="D160" t="s">
        <v>950</v>
      </c>
      <c r="E160" t="s">
        <v>951</v>
      </c>
      <c r="F160" t="s">
        <v>952</v>
      </c>
      <c r="G160" s="4">
        <v>45541</v>
      </c>
      <c r="H160" s="4">
        <v>45548</v>
      </c>
      <c r="I160" s="4">
        <v>45560</v>
      </c>
      <c r="J160">
        <f t="shared" si="10"/>
        <v>12</v>
      </c>
      <c r="K160" t="str">
        <f t="array" ref="K160">_xlfn.IFS(J160=1,"Day Use",J160&lt;=3,"Short Stay",J160&lt;=7,"Extended Stay",J160&gt;=8,"Long Stay")</f>
        <v>Long Stay</v>
      </c>
      <c r="L160" t="s">
        <v>91</v>
      </c>
      <c r="M160" s="10" t="str">
        <f t="shared" si="11"/>
        <v>Suite</v>
      </c>
      <c r="N160" t="s">
        <v>26</v>
      </c>
      <c r="O160" t="s">
        <v>35</v>
      </c>
      <c r="P160">
        <f>IFERROR(VLOOKUP(TRIM(M160),Room!D:H,5,FALSE),5000)</f>
        <v>12500</v>
      </c>
      <c r="Q160">
        <f t="shared" si="12"/>
        <v>150000</v>
      </c>
      <c r="R160" s="11" t="str">
        <f t="shared" si="13"/>
        <v>Business</v>
      </c>
      <c r="S160" s="11">
        <f t="shared" si="14"/>
        <v>5</v>
      </c>
    </row>
    <row r="161" spans="1:19">
      <c r="A161" t="s">
        <v>953</v>
      </c>
      <c r="B161" t="s">
        <v>954</v>
      </c>
      <c r="C161" t="s">
        <v>955</v>
      </c>
      <c r="D161" t="s">
        <v>956</v>
      </c>
      <c r="E161" t="s">
        <v>957</v>
      </c>
      <c r="F161" t="s">
        <v>958</v>
      </c>
      <c r="G161" s="4">
        <v>45345</v>
      </c>
      <c r="H161" s="4">
        <v>45428</v>
      </c>
      <c r="I161" s="4">
        <v>45434</v>
      </c>
      <c r="J161">
        <f t="shared" si="10"/>
        <v>6</v>
      </c>
      <c r="K161" t="str">
        <f t="array" ref="K161">_xlfn.IFS(J161=1,"Day Use",J161&lt;=3,"Short Stay",J161&lt;=7,"Extended Stay",J161&gt;=8,"Long Stay")</f>
        <v>Extended Stay</v>
      </c>
      <c r="L161" t="s">
        <v>196</v>
      </c>
      <c r="M161" s="10" t="str">
        <f t="shared" si="11"/>
        <v>Deluxe</v>
      </c>
      <c r="N161" t="s">
        <v>26</v>
      </c>
      <c r="O161" t="s">
        <v>58</v>
      </c>
      <c r="P161">
        <f>IFERROR(VLOOKUP(TRIM(M161),Room!D:H,5,FALSE),5000)</f>
        <v>5400</v>
      </c>
      <c r="Q161">
        <f t="shared" si="12"/>
        <v>32400</v>
      </c>
      <c r="R161" s="11" t="str">
        <f t="shared" si="13"/>
        <v>Conference</v>
      </c>
      <c r="S161" s="11">
        <f t="shared" si="14"/>
        <v>3</v>
      </c>
    </row>
    <row r="162" spans="1:19">
      <c r="A162" t="s">
        <v>959</v>
      </c>
      <c r="B162" t="s">
        <v>960</v>
      </c>
      <c r="C162" t="s">
        <v>961</v>
      </c>
      <c r="D162" t="s">
        <v>962</v>
      </c>
      <c r="E162" t="s">
        <v>963</v>
      </c>
      <c r="F162" t="s">
        <v>964</v>
      </c>
      <c r="G162" s="4">
        <v>45368</v>
      </c>
      <c r="H162" s="4">
        <v>45401</v>
      </c>
      <c r="I162" s="4">
        <v>45412</v>
      </c>
      <c r="J162">
        <f t="shared" si="10"/>
        <v>11</v>
      </c>
      <c r="K162" t="str">
        <f t="array" ref="K162">_xlfn.IFS(J162=1,"Day Use",J162&lt;=3,"Short Stay",J162&lt;=7,"Extended Stay",J162&gt;=8,"Long Stay")</f>
        <v>Long Stay</v>
      </c>
      <c r="L162" t="s">
        <v>34</v>
      </c>
      <c r="M162" s="10" t="str">
        <f t="shared" si="11"/>
        <v>Suite</v>
      </c>
      <c r="N162" t="s">
        <v>26</v>
      </c>
      <c r="O162" t="s">
        <v>27</v>
      </c>
      <c r="P162">
        <f>IFERROR(VLOOKUP(TRIM(M162),Room!D:H,5,FALSE),5000)</f>
        <v>12500</v>
      </c>
      <c r="Q162">
        <f t="shared" si="12"/>
        <v>137500</v>
      </c>
      <c r="R162" s="11" t="str">
        <f t="shared" si="13"/>
        <v>Business</v>
      </c>
      <c r="S162" s="11">
        <f t="shared" si="14"/>
        <v>5</v>
      </c>
    </row>
    <row r="163" spans="1:19">
      <c r="A163" t="s">
        <v>965</v>
      </c>
      <c r="B163" t="s">
        <v>966</v>
      </c>
      <c r="C163" t="s">
        <v>174</v>
      </c>
      <c r="D163" t="s">
        <v>967</v>
      </c>
      <c r="E163" t="s">
        <v>968</v>
      </c>
      <c r="F163" t="s">
        <v>969</v>
      </c>
      <c r="G163" s="4">
        <v>45755</v>
      </c>
      <c r="H163" s="4">
        <v>45809</v>
      </c>
      <c r="I163" s="4">
        <v>45823</v>
      </c>
      <c r="J163">
        <f t="shared" si="10"/>
        <v>14</v>
      </c>
      <c r="K163" t="str">
        <f t="array" ref="K163">_xlfn.IFS(J163=1,"Day Use",J163&lt;=3,"Short Stay",J163&lt;=7,"Extended Stay",J163&gt;=8,"Long Stay")</f>
        <v>Long Stay</v>
      </c>
      <c r="L163" t="s">
        <v>49</v>
      </c>
      <c r="M163" s="10" t="str">
        <f t="shared" si="11"/>
        <v>Suite</v>
      </c>
      <c r="N163" t="s">
        <v>372</v>
      </c>
      <c r="O163" t="s">
        <v>27</v>
      </c>
      <c r="P163">
        <f>IFERROR(VLOOKUP(TRIM(M163),Room!D:H,5,FALSE),5000)</f>
        <v>12500</v>
      </c>
      <c r="Q163">
        <f t="shared" si="12"/>
        <v>175000</v>
      </c>
      <c r="R163" s="11" t="str">
        <f t="shared" si="13"/>
        <v>Business</v>
      </c>
      <c r="S163" s="11">
        <f t="shared" si="14"/>
        <v>5</v>
      </c>
    </row>
    <row r="164" spans="1:19">
      <c r="A164" t="s">
        <v>970</v>
      </c>
      <c r="B164" t="s">
        <v>971</v>
      </c>
      <c r="C164" t="s">
        <v>38</v>
      </c>
      <c r="D164" t="s">
        <v>972</v>
      </c>
      <c r="E164" t="s">
        <v>973</v>
      </c>
      <c r="F164" t="s">
        <v>974</v>
      </c>
      <c r="G164" s="4">
        <v>45777</v>
      </c>
      <c r="H164" s="4">
        <v>45778</v>
      </c>
      <c r="I164" s="4">
        <v>45785</v>
      </c>
      <c r="J164">
        <f t="shared" si="10"/>
        <v>7</v>
      </c>
      <c r="K164" t="str">
        <f t="array" ref="K164">_xlfn.IFS(J164=1,"Day Use",J164&lt;=3,"Short Stay",J164&lt;=7,"Extended Stay",J164&gt;=8,"Long Stay")</f>
        <v>Extended Stay</v>
      </c>
      <c r="L164" t="s">
        <v>196</v>
      </c>
      <c r="M164" s="10" t="str">
        <f t="shared" si="11"/>
        <v>Premium</v>
      </c>
      <c r="N164" t="s">
        <v>26</v>
      </c>
      <c r="O164" t="s">
        <v>58</v>
      </c>
      <c r="P164">
        <f>IFERROR(VLOOKUP(TRIM(M164),Room!D:H,5,FALSE),5000)</f>
        <v>9500</v>
      </c>
      <c r="Q164">
        <f t="shared" si="12"/>
        <v>66500</v>
      </c>
      <c r="R164" s="11" t="str">
        <f t="shared" si="13"/>
        <v>Conference</v>
      </c>
      <c r="S164" s="11">
        <f t="shared" si="14"/>
        <v>4</v>
      </c>
    </row>
    <row r="165" spans="1:19">
      <c r="A165" t="s">
        <v>975</v>
      </c>
      <c r="B165" t="s">
        <v>976</v>
      </c>
      <c r="C165" t="s">
        <v>639</v>
      </c>
      <c r="D165" t="s">
        <v>977</v>
      </c>
      <c r="E165" t="s">
        <v>978</v>
      </c>
      <c r="F165" t="s">
        <v>979</v>
      </c>
      <c r="G165" s="4">
        <v>45575</v>
      </c>
      <c r="H165" s="4">
        <v>45588</v>
      </c>
      <c r="I165" s="4">
        <v>45600</v>
      </c>
      <c r="J165">
        <f t="shared" si="10"/>
        <v>12</v>
      </c>
      <c r="K165" t="str">
        <f t="array" ref="K165">_xlfn.IFS(J165=1,"Day Use",J165&lt;=3,"Short Stay",J165&lt;=7,"Extended Stay",J165&gt;=8,"Long Stay")</f>
        <v>Long Stay</v>
      </c>
      <c r="L165" t="s">
        <v>91</v>
      </c>
      <c r="M165" s="10" t="str">
        <f t="shared" si="11"/>
        <v>Suite</v>
      </c>
      <c r="N165" t="s">
        <v>26</v>
      </c>
      <c r="O165" t="s">
        <v>71</v>
      </c>
      <c r="P165">
        <f>IFERROR(VLOOKUP(TRIM(M165),Room!D:H,5,FALSE),5000)</f>
        <v>12500</v>
      </c>
      <c r="Q165">
        <f t="shared" si="12"/>
        <v>150000</v>
      </c>
      <c r="R165" s="11" t="str">
        <f t="shared" si="13"/>
        <v>Business</v>
      </c>
      <c r="S165" s="11">
        <f t="shared" si="14"/>
        <v>5</v>
      </c>
    </row>
    <row r="166" spans="1:19">
      <c r="A166" t="s">
        <v>980</v>
      </c>
      <c r="B166" t="s">
        <v>981</v>
      </c>
      <c r="C166" t="s">
        <v>982</v>
      </c>
      <c r="D166" t="s">
        <v>983</v>
      </c>
      <c r="E166" t="s">
        <v>984</v>
      </c>
      <c r="F166" t="s">
        <v>985</v>
      </c>
      <c r="G166" s="4">
        <v>45565</v>
      </c>
      <c r="H166" s="4">
        <v>45589</v>
      </c>
      <c r="I166" s="4">
        <v>45600</v>
      </c>
      <c r="J166">
        <f t="shared" si="10"/>
        <v>11</v>
      </c>
      <c r="K166" t="str">
        <f t="array" ref="K166">_xlfn.IFS(J166=1,"Day Use",J166&lt;=3,"Short Stay",J166&lt;=7,"Extended Stay",J166&gt;=8,"Long Stay")</f>
        <v>Long Stay</v>
      </c>
      <c r="L166" t="s">
        <v>34</v>
      </c>
      <c r="M166" s="10" t="str">
        <f t="shared" si="11"/>
        <v>Suite</v>
      </c>
      <c r="N166" t="s">
        <v>26</v>
      </c>
      <c r="O166" t="s">
        <v>35</v>
      </c>
      <c r="P166">
        <f>IFERROR(VLOOKUP(TRIM(M166),Room!D:H,5,FALSE),5000)</f>
        <v>12500</v>
      </c>
      <c r="Q166">
        <f t="shared" si="12"/>
        <v>137500</v>
      </c>
      <c r="R166" s="11" t="str">
        <f t="shared" si="13"/>
        <v>Business</v>
      </c>
      <c r="S166" s="11">
        <f t="shared" si="14"/>
        <v>5</v>
      </c>
    </row>
    <row r="167" spans="1:19">
      <c r="A167" t="s">
        <v>986</v>
      </c>
      <c r="B167" t="s">
        <v>987</v>
      </c>
      <c r="C167" t="s">
        <v>67</v>
      </c>
      <c r="D167" t="s">
        <v>988</v>
      </c>
      <c r="E167" t="s">
        <v>989</v>
      </c>
      <c r="F167" t="s">
        <v>990</v>
      </c>
      <c r="G167" s="4">
        <v>45706</v>
      </c>
      <c r="H167" s="4">
        <v>45791</v>
      </c>
      <c r="I167" s="4">
        <v>45801</v>
      </c>
      <c r="J167">
        <f t="shared" si="10"/>
        <v>10</v>
      </c>
      <c r="K167" t="str">
        <f t="array" ref="K167">_xlfn.IFS(J167=1,"Day Use",J167&lt;=3,"Short Stay",J167&lt;=7,"Extended Stay",J167&gt;=8,"Long Stay")</f>
        <v>Long Stay</v>
      </c>
      <c r="L167" t="s">
        <v>84</v>
      </c>
      <c r="M167" s="10" t="str">
        <f t="shared" si="11"/>
        <v>Premium</v>
      </c>
      <c r="N167" t="s">
        <v>26</v>
      </c>
      <c r="O167" t="s">
        <v>71</v>
      </c>
      <c r="P167">
        <f>IFERROR(VLOOKUP(TRIM(M167),Room!D:H,5,FALSE),5000)</f>
        <v>9500</v>
      </c>
      <c r="Q167">
        <f t="shared" si="12"/>
        <v>95000</v>
      </c>
      <c r="R167" s="11" t="str">
        <f t="shared" si="13"/>
        <v>Conference</v>
      </c>
      <c r="S167" s="11">
        <f t="shared" si="14"/>
        <v>4</v>
      </c>
    </row>
    <row r="168" spans="1:19">
      <c r="A168" t="s">
        <v>991</v>
      </c>
      <c r="B168" t="s">
        <v>992</v>
      </c>
      <c r="C168" t="s">
        <v>21</v>
      </c>
      <c r="D168" t="s">
        <v>993</v>
      </c>
      <c r="E168" t="s">
        <v>994</v>
      </c>
      <c r="F168" t="s">
        <v>995</v>
      </c>
      <c r="G168" s="4">
        <v>45767</v>
      </c>
      <c r="H168" s="4">
        <v>45934</v>
      </c>
      <c r="I168" s="4">
        <v>45945</v>
      </c>
      <c r="J168">
        <f t="shared" si="10"/>
        <v>11</v>
      </c>
      <c r="K168" t="str">
        <f t="array" ref="K168">_xlfn.IFS(J168=1,"Day Use",J168&lt;=3,"Short Stay",J168&lt;=7,"Extended Stay",J168&gt;=8,"Long Stay")</f>
        <v>Long Stay</v>
      </c>
      <c r="L168" t="s">
        <v>25</v>
      </c>
      <c r="M168" s="10" t="str">
        <f t="shared" si="11"/>
        <v>Suite</v>
      </c>
      <c r="N168" t="s">
        <v>26</v>
      </c>
      <c r="O168" t="s">
        <v>35</v>
      </c>
      <c r="P168">
        <f>IFERROR(VLOOKUP(TRIM(M168),Room!D:H,5,FALSE),5000)</f>
        <v>12500</v>
      </c>
      <c r="Q168">
        <f t="shared" si="12"/>
        <v>137500</v>
      </c>
      <c r="R168" s="11" t="str">
        <f t="shared" si="13"/>
        <v>Business</v>
      </c>
      <c r="S168" s="11">
        <f t="shared" si="14"/>
        <v>5</v>
      </c>
    </row>
    <row r="169" spans="1:19">
      <c r="A169" t="s">
        <v>996</v>
      </c>
      <c r="B169" t="s">
        <v>997</v>
      </c>
      <c r="C169" t="s">
        <v>38</v>
      </c>
      <c r="D169" t="s">
        <v>998</v>
      </c>
      <c r="E169" t="s">
        <v>999</v>
      </c>
      <c r="F169" t="s">
        <v>1000</v>
      </c>
      <c r="G169" s="4">
        <v>45529</v>
      </c>
      <c r="H169" s="4">
        <v>45792</v>
      </c>
      <c r="I169" s="4">
        <v>45798</v>
      </c>
      <c r="J169">
        <f t="shared" si="10"/>
        <v>6</v>
      </c>
      <c r="K169" t="str">
        <f t="array" ref="K169">_xlfn.IFS(J169=1,"Day Use",J169&lt;=3,"Short Stay",J169&lt;=7,"Extended Stay",J169&gt;=8,"Long Stay")</f>
        <v>Extended Stay</v>
      </c>
      <c r="L169" t="s">
        <v>34</v>
      </c>
      <c r="M169" s="10" t="str">
        <f t="shared" si="11"/>
        <v>Deluxe</v>
      </c>
      <c r="N169" t="s">
        <v>26</v>
      </c>
      <c r="O169" t="s">
        <v>35</v>
      </c>
      <c r="P169">
        <f>IFERROR(VLOOKUP(TRIM(M169),Room!D:H,5,FALSE),5000)</f>
        <v>5400</v>
      </c>
      <c r="Q169">
        <f t="shared" si="12"/>
        <v>32400</v>
      </c>
      <c r="R169" s="11" t="str">
        <f t="shared" si="13"/>
        <v>Conference</v>
      </c>
      <c r="S169" s="11">
        <f t="shared" si="14"/>
        <v>3</v>
      </c>
    </row>
    <row r="170" spans="1:19">
      <c r="A170" t="s">
        <v>1001</v>
      </c>
      <c r="B170" t="s">
        <v>1002</v>
      </c>
      <c r="C170" t="s">
        <v>351</v>
      </c>
      <c r="D170" t="s">
        <v>1003</v>
      </c>
      <c r="E170" t="s">
        <v>1004</v>
      </c>
      <c r="F170" t="s">
        <v>1005</v>
      </c>
      <c r="G170" s="4">
        <v>45637</v>
      </c>
      <c r="H170" s="4">
        <v>45653</v>
      </c>
      <c r="I170" s="4">
        <v>45665</v>
      </c>
      <c r="J170">
        <f t="shared" si="10"/>
        <v>12</v>
      </c>
      <c r="K170" t="str">
        <f t="array" ref="K170">_xlfn.IFS(J170=1,"Day Use",J170&lt;=3,"Short Stay",J170&lt;=7,"Extended Stay",J170&gt;=8,"Long Stay")</f>
        <v>Long Stay</v>
      </c>
      <c r="L170" t="s">
        <v>91</v>
      </c>
      <c r="M170" s="10" t="str">
        <f t="shared" si="11"/>
        <v>Suite</v>
      </c>
      <c r="N170" t="s">
        <v>26</v>
      </c>
      <c r="O170" t="s">
        <v>42</v>
      </c>
      <c r="P170">
        <f>IFERROR(VLOOKUP(TRIM(M170),Room!D:H,5,FALSE),5000)</f>
        <v>12500</v>
      </c>
      <c r="Q170">
        <f t="shared" si="12"/>
        <v>150000</v>
      </c>
      <c r="R170" s="11" t="str">
        <f t="shared" si="13"/>
        <v>Business</v>
      </c>
      <c r="S170" s="11">
        <f t="shared" si="14"/>
        <v>5</v>
      </c>
    </row>
    <row r="171" spans="1:19">
      <c r="A171" t="s">
        <v>1006</v>
      </c>
      <c r="B171" t="s">
        <v>1007</v>
      </c>
      <c r="C171" t="s">
        <v>1008</v>
      </c>
      <c r="D171" t="s">
        <v>1009</v>
      </c>
      <c r="E171" t="s">
        <v>1010</v>
      </c>
      <c r="F171" t="s">
        <v>1011</v>
      </c>
      <c r="G171" s="4">
        <v>45504</v>
      </c>
      <c r="H171" s="4">
        <v>45820</v>
      </c>
      <c r="I171" s="4">
        <v>45824</v>
      </c>
      <c r="J171">
        <f t="shared" si="10"/>
        <v>4</v>
      </c>
      <c r="K171" t="str">
        <f t="array" ref="K171">_xlfn.IFS(J171=1,"Day Use",J171&lt;=3,"Short Stay",J171&lt;=7,"Extended Stay",J171&gt;=8,"Long Stay")</f>
        <v>Extended Stay</v>
      </c>
      <c r="L171" t="s">
        <v>56</v>
      </c>
      <c r="M171" s="10" t="str">
        <f t="shared" si="11"/>
        <v>Deluxe</v>
      </c>
      <c r="N171" t="s">
        <v>26</v>
      </c>
      <c r="O171" t="s">
        <v>42</v>
      </c>
      <c r="P171">
        <f>IFERROR(VLOOKUP(TRIM(M171),Room!D:H,5,FALSE),5000)</f>
        <v>5400</v>
      </c>
      <c r="Q171">
        <f t="shared" si="12"/>
        <v>21600</v>
      </c>
      <c r="R171" s="11" t="str">
        <f t="shared" si="13"/>
        <v>Conference</v>
      </c>
      <c r="S171" s="11">
        <f t="shared" si="14"/>
        <v>3</v>
      </c>
    </row>
    <row r="172" spans="1:19">
      <c r="A172" t="s">
        <v>1012</v>
      </c>
      <c r="B172" t="s">
        <v>1013</v>
      </c>
      <c r="C172" t="s">
        <v>1014</v>
      </c>
      <c r="D172" t="s">
        <v>1015</v>
      </c>
      <c r="E172" t="s">
        <v>1016</v>
      </c>
      <c r="F172" t="s">
        <v>1017</v>
      </c>
      <c r="G172" s="4">
        <v>45674</v>
      </c>
      <c r="H172" s="4">
        <v>45674</v>
      </c>
      <c r="I172" s="4">
        <v>45685</v>
      </c>
      <c r="J172">
        <f t="shared" si="10"/>
        <v>11</v>
      </c>
      <c r="K172" t="str">
        <f t="array" ref="K172">_xlfn.IFS(J172=1,"Day Use",J172&lt;=3,"Short Stay",J172&lt;=7,"Extended Stay",J172&gt;=8,"Long Stay")</f>
        <v>Long Stay</v>
      </c>
      <c r="L172" t="s">
        <v>91</v>
      </c>
      <c r="M172" s="10" t="str">
        <f t="shared" si="11"/>
        <v>Suite</v>
      </c>
      <c r="N172" t="s">
        <v>26</v>
      </c>
      <c r="O172" t="s">
        <v>58</v>
      </c>
      <c r="P172">
        <f>IFERROR(VLOOKUP(TRIM(M172),Room!D:H,5,FALSE),5000)</f>
        <v>12500</v>
      </c>
      <c r="Q172">
        <f t="shared" si="12"/>
        <v>137500</v>
      </c>
      <c r="R172" s="11" t="str">
        <f t="shared" si="13"/>
        <v>Business</v>
      </c>
      <c r="S172" s="11">
        <f t="shared" si="14"/>
        <v>5</v>
      </c>
    </row>
    <row r="173" spans="1:19">
      <c r="A173" t="s">
        <v>1018</v>
      </c>
      <c r="B173" t="s">
        <v>1019</v>
      </c>
      <c r="C173" t="s">
        <v>661</v>
      </c>
      <c r="D173" t="s">
        <v>1020</v>
      </c>
      <c r="E173" t="s">
        <v>1021</v>
      </c>
      <c r="F173" t="s">
        <v>1022</v>
      </c>
      <c r="G173" s="4">
        <v>45648</v>
      </c>
      <c r="H173" s="4">
        <v>45905</v>
      </c>
      <c r="I173" s="4">
        <v>45907</v>
      </c>
      <c r="J173">
        <f t="shared" si="10"/>
        <v>2</v>
      </c>
      <c r="K173" t="str">
        <f t="array" ref="K173">_xlfn.IFS(J173=1,"Day Use",J173&lt;=3,"Short Stay",J173&lt;=7,"Extended Stay",J173&gt;=8,"Long Stay")</f>
        <v>Short Stay</v>
      </c>
      <c r="L173" t="s">
        <v>49</v>
      </c>
      <c r="M173" s="10" t="str">
        <f t="shared" si="11"/>
        <v>Standard</v>
      </c>
      <c r="N173" t="s">
        <v>26</v>
      </c>
      <c r="O173" t="s">
        <v>58</v>
      </c>
      <c r="P173">
        <f>IFERROR(VLOOKUP(TRIM(M173),Room!D:H,5,FALSE),5000)</f>
        <v>3200</v>
      </c>
      <c r="Q173">
        <f t="shared" si="12"/>
        <v>6400</v>
      </c>
      <c r="R173" s="11" t="str">
        <f t="shared" si="13"/>
        <v>Other</v>
      </c>
      <c r="S173" s="11">
        <f t="shared" si="14"/>
        <v>2</v>
      </c>
    </row>
    <row r="174" spans="1:19">
      <c r="A174" t="s">
        <v>1023</v>
      </c>
      <c r="B174" t="s">
        <v>1024</v>
      </c>
      <c r="C174" t="s">
        <v>610</v>
      </c>
      <c r="D174" t="s">
        <v>1025</v>
      </c>
      <c r="E174" t="s">
        <v>1026</v>
      </c>
      <c r="F174" t="s">
        <v>1027</v>
      </c>
      <c r="G174" s="4">
        <v>45695</v>
      </c>
      <c r="H174" s="4">
        <v>45714</v>
      </c>
      <c r="I174" s="4">
        <v>45727</v>
      </c>
      <c r="J174">
        <f t="shared" si="10"/>
        <v>13</v>
      </c>
      <c r="K174" t="str">
        <f t="array" ref="K174">_xlfn.IFS(J174=1,"Day Use",J174&lt;=3,"Short Stay",J174&lt;=7,"Extended Stay",J174&gt;=8,"Long Stay")</f>
        <v>Long Stay</v>
      </c>
      <c r="L174" t="s">
        <v>91</v>
      </c>
      <c r="M174" s="10" t="str">
        <f t="shared" si="11"/>
        <v>Suite</v>
      </c>
      <c r="N174" t="s">
        <v>26</v>
      </c>
      <c r="O174" t="s">
        <v>35</v>
      </c>
      <c r="P174">
        <f>IFERROR(VLOOKUP(TRIM(M174),Room!D:H,5,FALSE),5000)</f>
        <v>12500</v>
      </c>
      <c r="Q174">
        <f t="shared" si="12"/>
        <v>162500</v>
      </c>
      <c r="R174" s="11" t="str">
        <f t="shared" si="13"/>
        <v>Business</v>
      </c>
      <c r="S174" s="11">
        <f t="shared" si="14"/>
        <v>5</v>
      </c>
    </row>
    <row r="175" spans="1:19">
      <c r="A175" t="s">
        <v>1028</v>
      </c>
      <c r="B175" t="s">
        <v>1029</v>
      </c>
      <c r="C175" t="s">
        <v>1030</v>
      </c>
      <c r="D175" t="s">
        <v>1031</v>
      </c>
      <c r="E175" t="s">
        <v>1032</v>
      </c>
      <c r="F175" t="s">
        <v>1033</v>
      </c>
      <c r="G175" s="4">
        <v>45423</v>
      </c>
      <c r="H175" s="4">
        <v>45449</v>
      </c>
      <c r="I175" s="4">
        <v>45455</v>
      </c>
      <c r="J175">
        <f t="shared" si="10"/>
        <v>6</v>
      </c>
      <c r="K175" t="str">
        <f t="array" ref="K175">_xlfn.IFS(J175=1,"Day Use",J175&lt;=3,"Short Stay",J175&lt;=7,"Extended Stay",J175&gt;=8,"Long Stay")</f>
        <v>Extended Stay</v>
      </c>
      <c r="L175" t="s">
        <v>196</v>
      </c>
      <c r="M175" s="10" t="str">
        <f t="shared" si="11"/>
        <v>Deluxe</v>
      </c>
      <c r="N175" t="s">
        <v>57</v>
      </c>
      <c r="O175" t="s">
        <v>71</v>
      </c>
      <c r="P175">
        <f>IFERROR(VLOOKUP(TRIM(M175),Room!D:H,5,FALSE),5000)</f>
        <v>5400</v>
      </c>
      <c r="Q175">
        <f t="shared" si="12"/>
        <v>32400</v>
      </c>
      <c r="R175" s="11" t="str">
        <f t="shared" si="13"/>
        <v>Conference</v>
      </c>
      <c r="S175" s="11">
        <f t="shared" si="14"/>
        <v>3</v>
      </c>
    </row>
    <row r="176" spans="1:19">
      <c r="A176" t="s">
        <v>1034</v>
      </c>
      <c r="B176" t="s">
        <v>1035</v>
      </c>
      <c r="C176" t="s">
        <v>1036</v>
      </c>
      <c r="D176" t="s">
        <v>1037</v>
      </c>
      <c r="E176" t="s">
        <v>1038</v>
      </c>
      <c r="F176" t="s">
        <v>1039</v>
      </c>
      <c r="G176" s="4">
        <v>45364</v>
      </c>
      <c r="H176" s="4">
        <v>45387</v>
      </c>
      <c r="I176" s="4">
        <v>45388</v>
      </c>
      <c r="J176">
        <f t="shared" si="10"/>
        <v>1</v>
      </c>
      <c r="K176" t="str">
        <f t="array" ref="K176">_xlfn.IFS(J176=1,"Day Use",J176&lt;=3,"Short Stay",J176&lt;=7,"Extended Stay",J176&gt;=8,"Long Stay")</f>
        <v>Day Use</v>
      </c>
      <c r="L176" t="s">
        <v>91</v>
      </c>
      <c r="M176" s="10" t="str">
        <f t="shared" si="11"/>
        <v>Standard</v>
      </c>
      <c r="N176" t="s">
        <v>26</v>
      </c>
      <c r="O176" t="s">
        <v>71</v>
      </c>
      <c r="P176">
        <f>IFERROR(VLOOKUP(TRIM(M176),Room!D:H,5,FALSE),5000)</f>
        <v>3200</v>
      </c>
      <c r="Q176">
        <f t="shared" si="12"/>
        <v>3200</v>
      </c>
      <c r="R176" s="11" t="str">
        <f t="shared" si="13"/>
        <v>Other</v>
      </c>
      <c r="S176" s="11">
        <f t="shared" si="14"/>
        <v>1</v>
      </c>
    </row>
    <row r="177" spans="1:19">
      <c r="A177" t="s">
        <v>1040</v>
      </c>
      <c r="B177" t="s">
        <v>1041</v>
      </c>
      <c r="C177" t="s">
        <v>1030</v>
      </c>
      <c r="D177" t="s">
        <v>1042</v>
      </c>
      <c r="E177" t="s">
        <v>1043</v>
      </c>
      <c r="F177" t="s">
        <v>1044</v>
      </c>
      <c r="G177" s="4">
        <v>45466</v>
      </c>
      <c r="H177" s="4">
        <v>45916</v>
      </c>
      <c r="I177" s="4">
        <v>45928</v>
      </c>
      <c r="J177">
        <f t="shared" si="10"/>
        <v>12</v>
      </c>
      <c r="K177" t="str">
        <f t="array" ref="K177">_xlfn.IFS(J177=1,"Day Use",J177&lt;=3,"Short Stay",J177&lt;=7,"Extended Stay",J177&gt;=8,"Long Stay")</f>
        <v>Long Stay</v>
      </c>
      <c r="L177" t="s">
        <v>196</v>
      </c>
      <c r="M177" s="10" t="str">
        <f t="shared" si="11"/>
        <v>Suite</v>
      </c>
      <c r="N177" t="s">
        <v>26</v>
      </c>
      <c r="O177" t="s">
        <v>71</v>
      </c>
      <c r="P177">
        <f>IFERROR(VLOOKUP(TRIM(M177),Room!D:H,5,FALSE),5000)</f>
        <v>12500</v>
      </c>
      <c r="Q177">
        <f t="shared" si="12"/>
        <v>150000</v>
      </c>
      <c r="R177" s="11" t="str">
        <f t="shared" si="13"/>
        <v>Business</v>
      </c>
      <c r="S177" s="11">
        <f t="shared" si="14"/>
        <v>5</v>
      </c>
    </row>
    <row r="178" spans="1:19">
      <c r="A178" t="s">
        <v>1045</v>
      </c>
      <c r="B178" t="s">
        <v>1046</v>
      </c>
      <c r="C178" t="s">
        <v>404</v>
      </c>
      <c r="D178" t="s">
        <v>1047</v>
      </c>
      <c r="E178" t="s">
        <v>1048</v>
      </c>
      <c r="F178" t="s">
        <v>1049</v>
      </c>
      <c r="G178" s="4">
        <v>45265</v>
      </c>
      <c r="H178" s="4">
        <v>45936</v>
      </c>
      <c r="I178" s="4">
        <v>45946</v>
      </c>
      <c r="J178">
        <f t="shared" si="10"/>
        <v>10</v>
      </c>
      <c r="K178" t="str">
        <f t="array" ref="K178">_xlfn.IFS(J178=1,"Day Use",J178&lt;=3,"Short Stay",J178&lt;=7,"Extended Stay",J178&gt;=8,"Long Stay")</f>
        <v>Long Stay</v>
      </c>
      <c r="L178" t="s">
        <v>34</v>
      </c>
      <c r="M178" s="10" t="str">
        <f t="shared" si="11"/>
        <v>Premium</v>
      </c>
      <c r="N178" t="s">
        <v>57</v>
      </c>
      <c r="O178" t="s">
        <v>35</v>
      </c>
      <c r="P178">
        <f>IFERROR(VLOOKUP(TRIM(M178),Room!D:H,5,FALSE),5000)</f>
        <v>9500</v>
      </c>
      <c r="Q178">
        <f t="shared" si="12"/>
        <v>95000</v>
      </c>
      <c r="R178" s="11" t="str">
        <f t="shared" si="13"/>
        <v>Conference</v>
      </c>
      <c r="S178" s="11">
        <f t="shared" si="14"/>
        <v>4</v>
      </c>
    </row>
    <row r="179" spans="1:19">
      <c r="A179" t="s">
        <v>1050</v>
      </c>
      <c r="B179" t="s">
        <v>1051</v>
      </c>
      <c r="C179" t="s">
        <v>1052</v>
      </c>
      <c r="D179" t="s">
        <v>1053</v>
      </c>
      <c r="E179" t="s">
        <v>1054</v>
      </c>
      <c r="F179" t="s">
        <v>1055</v>
      </c>
      <c r="G179" s="4">
        <v>45656</v>
      </c>
      <c r="H179" s="4">
        <v>45814</v>
      </c>
      <c r="I179" s="4">
        <v>45822</v>
      </c>
      <c r="J179">
        <f t="shared" si="10"/>
        <v>8</v>
      </c>
      <c r="K179" t="str">
        <f t="array" ref="K179">_xlfn.IFS(J179=1,"Day Use",J179&lt;=3,"Short Stay",J179&lt;=7,"Extended Stay",J179&gt;=8,"Long Stay")</f>
        <v>Long Stay</v>
      </c>
      <c r="L179" t="s">
        <v>56</v>
      </c>
      <c r="M179" s="10" t="str">
        <f t="shared" si="11"/>
        <v>Premium</v>
      </c>
      <c r="N179" t="s">
        <v>57</v>
      </c>
      <c r="O179" t="s">
        <v>35</v>
      </c>
      <c r="P179">
        <f>IFERROR(VLOOKUP(TRIM(M179),Room!D:H,5,FALSE),5000)</f>
        <v>9500</v>
      </c>
      <c r="Q179">
        <f t="shared" si="12"/>
        <v>76000</v>
      </c>
      <c r="R179" s="11" t="str">
        <f t="shared" si="13"/>
        <v>Conference</v>
      </c>
      <c r="S179" s="11">
        <f t="shared" si="14"/>
        <v>4</v>
      </c>
    </row>
    <row r="180" spans="1:19">
      <c r="A180" t="s">
        <v>1056</v>
      </c>
      <c r="B180" t="s">
        <v>1057</v>
      </c>
      <c r="C180" t="s">
        <v>137</v>
      </c>
      <c r="D180" t="s">
        <v>1058</v>
      </c>
      <c r="E180" t="s">
        <v>1059</v>
      </c>
      <c r="F180" t="s">
        <v>1060</v>
      </c>
      <c r="G180" s="4">
        <v>45452</v>
      </c>
      <c r="H180" s="4">
        <v>45910</v>
      </c>
      <c r="I180" s="4">
        <v>45917</v>
      </c>
      <c r="J180">
        <f t="shared" si="10"/>
        <v>7</v>
      </c>
      <c r="K180" t="str">
        <f t="array" ref="K180">_xlfn.IFS(J180=1,"Day Use",J180&lt;=3,"Short Stay",J180&lt;=7,"Extended Stay",J180&gt;=8,"Long Stay")</f>
        <v>Extended Stay</v>
      </c>
      <c r="L180" t="s">
        <v>34</v>
      </c>
      <c r="M180" s="10" t="str">
        <f t="shared" si="11"/>
        <v>Premium</v>
      </c>
      <c r="N180" t="s">
        <v>26</v>
      </c>
      <c r="O180" t="s">
        <v>58</v>
      </c>
      <c r="P180">
        <f>IFERROR(VLOOKUP(TRIM(M180),Room!D:H,5,FALSE),5000)</f>
        <v>9500</v>
      </c>
      <c r="Q180">
        <f t="shared" si="12"/>
        <v>66500</v>
      </c>
      <c r="R180" s="11" t="str">
        <f t="shared" si="13"/>
        <v>Conference</v>
      </c>
      <c r="S180" s="11">
        <f t="shared" si="14"/>
        <v>4</v>
      </c>
    </row>
    <row r="181" spans="1:19">
      <c r="A181" t="s">
        <v>1061</v>
      </c>
      <c r="B181" t="s">
        <v>1062</v>
      </c>
      <c r="C181" t="s">
        <v>241</v>
      </c>
      <c r="D181" t="s">
        <v>1063</v>
      </c>
      <c r="E181" t="s">
        <v>1064</v>
      </c>
      <c r="F181" t="s">
        <v>1065</v>
      </c>
      <c r="G181" s="4">
        <v>45314</v>
      </c>
      <c r="H181" s="4">
        <v>45329</v>
      </c>
      <c r="I181" s="4">
        <v>45331</v>
      </c>
      <c r="J181">
        <f t="shared" si="10"/>
        <v>2</v>
      </c>
      <c r="K181" t="str">
        <f t="array" ref="K181">_xlfn.IFS(J181=1,"Day Use",J181&lt;=3,"Short Stay",J181&lt;=7,"Extended Stay",J181&gt;=8,"Long Stay")</f>
        <v>Short Stay</v>
      </c>
      <c r="L181" t="s">
        <v>25</v>
      </c>
      <c r="M181" s="10" t="str">
        <f t="shared" si="11"/>
        <v>Standard</v>
      </c>
      <c r="N181" t="s">
        <v>57</v>
      </c>
      <c r="O181" t="s">
        <v>71</v>
      </c>
      <c r="P181">
        <f>IFERROR(VLOOKUP(TRIM(M181),Room!D:H,5,FALSE),5000)</f>
        <v>3200</v>
      </c>
      <c r="Q181">
        <f t="shared" si="12"/>
        <v>6400</v>
      </c>
      <c r="R181" s="11" t="str">
        <f t="shared" si="13"/>
        <v>Other</v>
      </c>
      <c r="S181" s="11">
        <f t="shared" si="14"/>
        <v>2</v>
      </c>
    </row>
    <row r="182" spans="1:19">
      <c r="A182" t="s">
        <v>1066</v>
      </c>
      <c r="B182" t="s">
        <v>1067</v>
      </c>
      <c r="C182" t="s">
        <v>1068</v>
      </c>
      <c r="D182" t="s">
        <v>1069</v>
      </c>
      <c r="E182" t="s">
        <v>1070</v>
      </c>
      <c r="F182" t="s">
        <v>1071</v>
      </c>
      <c r="G182" s="4">
        <v>45994</v>
      </c>
      <c r="H182" s="4">
        <v>46004</v>
      </c>
      <c r="I182" s="4">
        <v>46018</v>
      </c>
      <c r="J182">
        <f t="shared" si="10"/>
        <v>14</v>
      </c>
      <c r="K182" t="str">
        <f t="array" ref="K182">_xlfn.IFS(J182=1,"Day Use",J182&lt;=3,"Short Stay",J182&lt;=7,"Extended Stay",J182&gt;=8,"Long Stay")</f>
        <v>Long Stay</v>
      </c>
      <c r="L182" t="s">
        <v>141</v>
      </c>
      <c r="M182" s="10" t="str">
        <f t="shared" si="11"/>
        <v>Suite</v>
      </c>
      <c r="N182" t="s">
        <v>134</v>
      </c>
      <c r="O182" t="s">
        <v>71</v>
      </c>
      <c r="P182">
        <f>IFERROR(VLOOKUP(TRIM(M182),Room!D:H,5,FALSE),5000)</f>
        <v>12500</v>
      </c>
      <c r="Q182">
        <f t="shared" si="12"/>
        <v>175000</v>
      </c>
      <c r="R182" s="11" t="str">
        <f t="shared" si="13"/>
        <v>Business</v>
      </c>
      <c r="S182" s="11">
        <f t="shared" si="14"/>
        <v>5</v>
      </c>
    </row>
    <row r="183" spans="1:19">
      <c r="A183" t="s">
        <v>1072</v>
      </c>
      <c r="B183" t="s">
        <v>1073</v>
      </c>
      <c r="C183" t="s">
        <v>1074</v>
      </c>
      <c r="D183" t="s">
        <v>1075</v>
      </c>
      <c r="E183" t="s">
        <v>1076</v>
      </c>
      <c r="F183" t="s">
        <v>1077</v>
      </c>
      <c r="G183" s="4">
        <v>45355</v>
      </c>
      <c r="H183" s="4">
        <v>45377</v>
      </c>
      <c r="I183" s="4">
        <v>45380</v>
      </c>
      <c r="J183">
        <f t="shared" si="10"/>
        <v>3</v>
      </c>
      <c r="K183" t="str">
        <f t="array" ref="K183">_xlfn.IFS(J183=1,"Day Use",J183&lt;=3,"Short Stay",J183&lt;=7,"Extended Stay",J183&gt;=8,"Long Stay")</f>
        <v>Short Stay</v>
      </c>
      <c r="L183" t="s">
        <v>141</v>
      </c>
      <c r="M183" s="10" t="str">
        <f t="shared" si="11"/>
        <v>Standard</v>
      </c>
      <c r="N183" t="s">
        <v>26</v>
      </c>
      <c r="O183" t="s">
        <v>27</v>
      </c>
      <c r="P183">
        <f>IFERROR(VLOOKUP(TRIM(M183),Room!D:H,5,FALSE),5000)</f>
        <v>3200</v>
      </c>
      <c r="Q183">
        <f t="shared" si="12"/>
        <v>9600</v>
      </c>
      <c r="R183" s="11" t="str">
        <f t="shared" si="13"/>
        <v>Other</v>
      </c>
      <c r="S183" s="11">
        <f t="shared" si="14"/>
        <v>2</v>
      </c>
    </row>
    <row r="184" spans="1:19">
      <c r="A184" t="s">
        <v>1078</v>
      </c>
      <c r="B184" t="s">
        <v>1079</v>
      </c>
      <c r="C184" t="s">
        <v>288</v>
      </c>
      <c r="D184" t="s">
        <v>1080</v>
      </c>
      <c r="E184" t="s">
        <v>1081</v>
      </c>
      <c r="F184" t="s">
        <v>1082</v>
      </c>
      <c r="G184" s="4">
        <v>45358</v>
      </c>
      <c r="H184" s="4">
        <v>45517</v>
      </c>
      <c r="I184" s="4">
        <v>45529</v>
      </c>
      <c r="J184">
        <f t="shared" si="10"/>
        <v>12</v>
      </c>
      <c r="K184" t="str">
        <f t="array" ref="K184">_xlfn.IFS(J184=1,"Day Use",J184&lt;=3,"Short Stay",J184&lt;=7,"Extended Stay",J184&gt;=8,"Long Stay")</f>
        <v>Long Stay</v>
      </c>
      <c r="L184" t="s">
        <v>34</v>
      </c>
      <c r="M184" s="10" t="str">
        <f t="shared" si="11"/>
        <v>Suite</v>
      </c>
      <c r="N184" t="s">
        <v>57</v>
      </c>
      <c r="O184" t="s">
        <v>27</v>
      </c>
      <c r="P184">
        <f>IFERROR(VLOOKUP(TRIM(M184),Room!D:H,5,FALSE),5000)</f>
        <v>12500</v>
      </c>
      <c r="Q184">
        <f t="shared" si="12"/>
        <v>150000</v>
      </c>
      <c r="R184" s="11" t="str">
        <f t="shared" si="13"/>
        <v>Business</v>
      </c>
      <c r="S184" s="11">
        <f t="shared" si="14"/>
        <v>5</v>
      </c>
    </row>
    <row r="185" spans="1:19">
      <c r="A185" t="s">
        <v>1083</v>
      </c>
      <c r="B185" t="s">
        <v>1084</v>
      </c>
      <c r="C185" t="s">
        <v>192</v>
      </c>
      <c r="D185" t="s">
        <v>1085</v>
      </c>
      <c r="E185" t="s">
        <v>1086</v>
      </c>
      <c r="F185" t="s">
        <v>1087</v>
      </c>
      <c r="G185" s="4">
        <v>45454</v>
      </c>
      <c r="H185" s="4">
        <v>45473</v>
      </c>
      <c r="I185" s="4">
        <v>45477</v>
      </c>
      <c r="J185">
        <f t="shared" si="10"/>
        <v>4</v>
      </c>
      <c r="K185" t="str">
        <f t="array" ref="K185">_xlfn.IFS(J185=1,"Day Use",J185&lt;=3,"Short Stay",J185&lt;=7,"Extended Stay",J185&gt;=8,"Long Stay")</f>
        <v>Extended Stay</v>
      </c>
      <c r="L185" t="s">
        <v>196</v>
      </c>
      <c r="M185" s="10" t="str">
        <f t="shared" si="11"/>
        <v>Deluxe</v>
      </c>
      <c r="N185" t="s">
        <v>57</v>
      </c>
      <c r="O185" t="s">
        <v>42</v>
      </c>
      <c r="P185">
        <f>IFERROR(VLOOKUP(TRIM(M185),Room!D:H,5,FALSE),5000)</f>
        <v>5400</v>
      </c>
      <c r="Q185">
        <f t="shared" si="12"/>
        <v>21600</v>
      </c>
      <c r="R185" s="11" t="str">
        <f t="shared" si="13"/>
        <v>Conference</v>
      </c>
      <c r="S185" s="11">
        <f t="shared" si="14"/>
        <v>3</v>
      </c>
    </row>
    <row r="186" spans="1:19">
      <c r="A186" t="s">
        <v>1088</v>
      </c>
      <c r="B186" t="s">
        <v>1089</v>
      </c>
      <c r="C186" t="s">
        <v>1090</v>
      </c>
      <c r="D186" t="s">
        <v>1091</v>
      </c>
      <c r="E186" t="s">
        <v>1092</v>
      </c>
      <c r="F186" t="s">
        <v>1093</v>
      </c>
      <c r="G186" s="4">
        <v>45620</v>
      </c>
      <c r="H186" s="4">
        <v>45830</v>
      </c>
      <c r="I186" s="4">
        <v>45841</v>
      </c>
      <c r="J186">
        <f t="shared" si="10"/>
        <v>11</v>
      </c>
      <c r="K186" t="str">
        <f t="array" ref="K186">_xlfn.IFS(J186=1,"Day Use",J186&lt;=3,"Short Stay",J186&lt;=7,"Extended Stay",J186&gt;=8,"Long Stay")</f>
        <v>Long Stay</v>
      </c>
      <c r="L186" t="s">
        <v>49</v>
      </c>
      <c r="M186" s="10" t="str">
        <f t="shared" si="11"/>
        <v>Suite</v>
      </c>
      <c r="N186" t="s">
        <v>26</v>
      </c>
      <c r="O186" t="s">
        <v>27</v>
      </c>
      <c r="P186">
        <f>IFERROR(VLOOKUP(TRIM(M186),Room!D:H,5,FALSE),5000)</f>
        <v>12500</v>
      </c>
      <c r="Q186">
        <f t="shared" si="12"/>
        <v>137500</v>
      </c>
      <c r="R186" s="11" t="str">
        <f t="shared" si="13"/>
        <v>Business</v>
      </c>
      <c r="S186" s="11">
        <f t="shared" si="14"/>
        <v>5</v>
      </c>
    </row>
    <row r="187" spans="1:19">
      <c r="A187" t="s">
        <v>1094</v>
      </c>
      <c r="B187" t="s">
        <v>1095</v>
      </c>
      <c r="C187" t="s">
        <v>1096</v>
      </c>
      <c r="D187" t="s">
        <v>1097</v>
      </c>
      <c r="E187" t="s">
        <v>1098</v>
      </c>
      <c r="F187" t="s">
        <v>1099</v>
      </c>
      <c r="G187" s="4">
        <v>45943</v>
      </c>
      <c r="H187" s="4">
        <v>45992</v>
      </c>
      <c r="I187" s="4">
        <v>45993</v>
      </c>
      <c r="J187">
        <f t="shared" si="10"/>
        <v>1</v>
      </c>
      <c r="K187" t="str">
        <f t="array" ref="K187">_xlfn.IFS(J187=1,"Day Use",J187&lt;=3,"Short Stay",J187&lt;=7,"Extended Stay",J187&gt;=8,"Long Stay")</f>
        <v>Day Use</v>
      </c>
      <c r="L187" t="s">
        <v>56</v>
      </c>
      <c r="M187" s="10" t="str">
        <f t="shared" si="11"/>
        <v>Standard</v>
      </c>
      <c r="N187" t="s">
        <v>26</v>
      </c>
      <c r="O187" t="s">
        <v>27</v>
      </c>
      <c r="P187">
        <f>IFERROR(VLOOKUP(TRIM(M187),Room!D:H,5,FALSE),5000)</f>
        <v>3200</v>
      </c>
      <c r="Q187">
        <f t="shared" si="12"/>
        <v>3200</v>
      </c>
      <c r="R187" s="11" t="str">
        <f t="shared" si="13"/>
        <v>Other</v>
      </c>
      <c r="S187" s="11">
        <f t="shared" si="14"/>
        <v>1</v>
      </c>
    </row>
    <row r="188" spans="1:19">
      <c r="A188" t="s">
        <v>1100</v>
      </c>
      <c r="B188" t="s">
        <v>1101</v>
      </c>
      <c r="C188" t="s">
        <v>1102</v>
      </c>
      <c r="D188" t="s">
        <v>1103</v>
      </c>
      <c r="E188" t="s">
        <v>1104</v>
      </c>
      <c r="F188" t="s">
        <v>1105</v>
      </c>
      <c r="G188" s="4">
        <v>45775</v>
      </c>
      <c r="H188" s="4">
        <v>45949</v>
      </c>
      <c r="I188" s="4">
        <v>45958</v>
      </c>
      <c r="J188">
        <f t="shared" si="10"/>
        <v>9</v>
      </c>
      <c r="K188" t="str">
        <f t="array" ref="K188">_xlfn.IFS(J188=1,"Day Use",J188&lt;=3,"Short Stay",J188&lt;=7,"Extended Stay",J188&gt;=8,"Long Stay")</f>
        <v>Long Stay</v>
      </c>
      <c r="L188" t="s">
        <v>84</v>
      </c>
      <c r="M188" s="10" t="str">
        <f t="shared" si="11"/>
        <v>Premium</v>
      </c>
      <c r="N188" t="s">
        <v>26</v>
      </c>
      <c r="O188" t="s">
        <v>27</v>
      </c>
      <c r="P188">
        <f>IFERROR(VLOOKUP(TRIM(M188),Room!D:H,5,FALSE),5000)</f>
        <v>9500</v>
      </c>
      <c r="Q188">
        <f t="shared" si="12"/>
        <v>85500</v>
      </c>
      <c r="R188" s="11" t="str">
        <f t="shared" si="13"/>
        <v>Conference</v>
      </c>
      <c r="S188" s="11">
        <f t="shared" si="14"/>
        <v>4</v>
      </c>
    </row>
    <row r="189" spans="1:19">
      <c r="A189" t="s">
        <v>1106</v>
      </c>
      <c r="B189" t="s">
        <v>1107</v>
      </c>
      <c r="C189" t="s">
        <v>1108</v>
      </c>
      <c r="D189" t="s">
        <v>1109</v>
      </c>
      <c r="E189" t="s">
        <v>1110</v>
      </c>
      <c r="F189" t="s">
        <v>1111</v>
      </c>
      <c r="G189" s="4">
        <v>45932</v>
      </c>
      <c r="H189" s="4">
        <v>45941</v>
      </c>
      <c r="I189" s="4">
        <v>45948</v>
      </c>
      <c r="J189">
        <f t="shared" si="10"/>
        <v>7</v>
      </c>
      <c r="K189" t="str">
        <f t="array" ref="K189">_xlfn.IFS(J189=1,"Day Use",J189&lt;=3,"Short Stay",J189&lt;=7,"Extended Stay",J189&gt;=8,"Long Stay")</f>
        <v>Extended Stay</v>
      </c>
      <c r="L189" t="s">
        <v>34</v>
      </c>
      <c r="M189" s="10" t="str">
        <f t="shared" si="11"/>
        <v>Premium</v>
      </c>
      <c r="N189" t="s">
        <v>57</v>
      </c>
      <c r="O189" t="s">
        <v>42</v>
      </c>
      <c r="P189">
        <f>IFERROR(VLOOKUP(TRIM(M189),Room!D:H,5,FALSE),5000)</f>
        <v>9500</v>
      </c>
      <c r="Q189">
        <f t="shared" si="12"/>
        <v>66500</v>
      </c>
      <c r="R189" s="11" t="str">
        <f t="shared" si="13"/>
        <v>Conference</v>
      </c>
      <c r="S189" s="11">
        <f t="shared" si="14"/>
        <v>4</v>
      </c>
    </row>
    <row r="190" spans="1:19">
      <c r="A190" t="s">
        <v>1112</v>
      </c>
      <c r="B190" t="s">
        <v>1113</v>
      </c>
      <c r="C190" t="s">
        <v>1114</v>
      </c>
      <c r="D190" t="s">
        <v>1115</v>
      </c>
      <c r="E190" t="s">
        <v>1116</v>
      </c>
      <c r="F190" t="s">
        <v>1117</v>
      </c>
      <c r="G190" s="4">
        <v>45703</v>
      </c>
      <c r="H190" s="4">
        <v>45732</v>
      </c>
      <c r="I190" s="4">
        <v>45735</v>
      </c>
      <c r="J190">
        <f t="shared" si="10"/>
        <v>3</v>
      </c>
      <c r="K190" t="str">
        <f t="array" ref="K190">_xlfn.IFS(J190=1,"Day Use",J190&lt;=3,"Short Stay",J190&lt;=7,"Extended Stay",J190&gt;=8,"Long Stay")</f>
        <v>Short Stay</v>
      </c>
      <c r="L190" t="s">
        <v>141</v>
      </c>
      <c r="M190" s="10" t="str">
        <f t="shared" si="11"/>
        <v>Standard</v>
      </c>
      <c r="N190" t="s">
        <v>57</v>
      </c>
      <c r="O190" t="s">
        <v>58</v>
      </c>
      <c r="P190">
        <f>IFERROR(VLOOKUP(TRIM(M190),Room!D:H,5,FALSE),5000)</f>
        <v>3200</v>
      </c>
      <c r="Q190">
        <f t="shared" si="12"/>
        <v>9600</v>
      </c>
      <c r="R190" s="11" t="str">
        <f t="shared" si="13"/>
        <v>Other</v>
      </c>
      <c r="S190" s="11">
        <f t="shared" si="14"/>
        <v>2</v>
      </c>
    </row>
    <row r="191" spans="1:19">
      <c r="A191" t="s">
        <v>1118</v>
      </c>
      <c r="B191" t="s">
        <v>1119</v>
      </c>
      <c r="C191" t="s">
        <v>500</v>
      </c>
      <c r="D191" t="s">
        <v>1120</v>
      </c>
      <c r="E191" t="s">
        <v>1121</v>
      </c>
      <c r="F191" t="s">
        <v>1122</v>
      </c>
      <c r="G191" s="4">
        <v>45290</v>
      </c>
      <c r="H191" s="4">
        <v>45300</v>
      </c>
      <c r="I191" s="4">
        <v>45311</v>
      </c>
      <c r="J191">
        <f t="shared" si="10"/>
        <v>11</v>
      </c>
      <c r="K191" t="str">
        <f t="array" ref="K191">_xlfn.IFS(J191=1,"Day Use",J191&lt;=3,"Short Stay",J191&lt;=7,"Extended Stay",J191&gt;=8,"Long Stay")</f>
        <v>Long Stay</v>
      </c>
      <c r="L191" t="s">
        <v>56</v>
      </c>
      <c r="M191" s="10" t="str">
        <f t="shared" si="11"/>
        <v>Suite</v>
      </c>
      <c r="N191" t="s">
        <v>26</v>
      </c>
      <c r="O191" t="s">
        <v>35</v>
      </c>
      <c r="P191">
        <f>IFERROR(VLOOKUP(TRIM(M191),Room!D:H,5,FALSE),5000)</f>
        <v>12500</v>
      </c>
      <c r="Q191">
        <f t="shared" si="12"/>
        <v>137500</v>
      </c>
      <c r="R191" s="11" t="str">
        <f t="shared" si="13"/>
        <v>Business</v>
      </c>
      <c r="S191" s="11">
        <f t="shared" si="14"/>
        <v>5</v>
      </c>
    </row>
    <row r="192" spans="1:19">
      <c r="A192" t="s">
        <v>1123</v>
      </c>
      <c r="B192" t="s">
        <v>1124</v>
      </c>
      <c r="C192" t="s">
        <v>633</v>
      </c>
      <c r="D192" t="s">
        <v>1125</v>
      </c>
      <c r="E192" t="s">
        <v>1126</v>
      </c>
      <c r="F192" t="s">
        <v>1127</v>
      </c>
      <c r="G192" s="4">
        <v>45619</v>
      </c>
      <c r="H192" s="4">
        <v>45678</v>
      </c>
      <c r="I192" s="4">
        <v>45679</v>
      </c>
      <c r="J192">
        <f t="shared" si="10"/>
        <v>1</v>
      </c>
      <c r="K192" t="str">
        <f t="array" ref="K192">_xlfn.IFS(J192=1,"Day Use",J192&lt;=3,"Short Stay",J192&lt;=7,"Extended Stay",J192&gt;=8,"Long Stay")</f>
        <v>Day Use</v>
      </c>
      <c r="L192" t="s">
        <v>34</v>
      </c>
      <c r="M192" s="10" t="str">
        <f t="shared" si="11"/>
        <v>Standard</v>
      </c>
      <c r="N192" t="s">
        <v>26</v>
      </c>
      <c r="O192" t="s">
        <v>42</v>
      </c>
      <c r="P192">
        <f>IFERROR(VLOOKUP(TRIM(M192),Room!D:H,5,FALSE),5000)</f>
        <v>3200</v>
      </c>
      <c r="Q192">
        <f t="shared" si="12"/>
        <v>3200</v>
      </c>
      <c r="R192" s="11" t="str">
        <f t="shared" si="13"/>
        <v>Other</v>
      </c>
      <c r="S192" s="11">
        <f t="shared" si="14"/>
        <v>1</v>
      </c>
    </row>
    <row r="193" spans="1:19">
      <c r="A193" t="s">
        <v>1128</v>
      </c>
      <c r="B193" t="s">
        <v>1129</v>
      </c>
      <c r="C193" t="s">
        <v>982</v>
      </c>
      <c r="D193" t="s">
        <v>1130</v>
      </c>
      <c r="E193" t="s">
        <v>1131</v>
      </c>
      <c r="F193" t="s">
        <v>1132</v>
      </c>
      <c r="G193" s="4">
        <v>45506</v>
      </c>
      <c r="H193" s="4">
        <v>45810</v>
      </c>
      <c r="I193" s="4">
        <v>45822</v>
      </c>
      <c r="J193">
        <f t="shared" si="10"/>
        <v>12</v>
      </c>
      <c r="K193" t="str">
        <f t="array" ref="K193">_xlfn.IFS(J193=1,"Day Use",J193&lt;=3,"Short Stay",J193&lt;=7,"Extended Stay",J193&gt;=8,"Long Stay")</f>
        <v>Long Stay</v>
      </c>
      <c r="L193" t="s">
        <v>34</v>
      </c>
      <c r="M193" s="10" t="str">
        <f t="shared" si="11"/>
        <v>Suite</v>
      </c>
      <c r="N193" t="s">
        <v>26</v>
      </c>
      <c r="O193" t="s">
        <v>71</v>
      </c>
      <c r="P193">
        <f>IFERROR(VLOOKUP(TRIM(M193),Room!D:H,5,FALSE),5000)</f>
        <v>12500</v>
      </c>
      <c r="Q193">
        <f t="shared" si="12"/>
        <v>150000</v>
      </c>
      <c r="R193" s="11" t="str">
        <f t="shared" si="13"/>
        <v>Business</v>
      </c>
      <c r="S193" s="11">
        <f t="shared" si="14"/>
        <v>5</v>
      </c>
    </row>
    <row r="194" spans="1:19">
      <c r="A194" t="s">
        <v>1133</v>
      </c>
      <c r="B194" t="s">
        <v>1134</v>
      </c>
      <c r="C194" t="s">
        <v>87</v>
      </c>
      <c r="D194" t="s">
        <v>1135</v>
      </c>
      <c r="E194" t="s">
        <v>1136</v>
      </c>
      <c r="F194" t="s">
        <v>1137</v>
      </c>
      <c r="G194" s="4">
        <v>45385</v>
      </c>
      <c r="H194" s="4">
        <v>45639</v>
      </c>
      <c r="I194" s="4">
        <v>45647</v>
      </c>
      <c r="J194">
        <f t="shared" ref="J194:J257" si="15">I194-H194</f>
        <v>8</v>
      </c>
      <c r="K194" t="str">
        <f t="array" ref="K194">_xlfn.IFS(J194=1,"Day Use",J194&lt;=3,"Short Stay",J194&lt;=7,"Extended Stay",J194&gt;=8,"Long Stay")</f>
        <v>Long Stay</v>
      </c>
      <c r="L194" t="s">
        <v>49</v>
      </c>
      <c r="M194" s="10" t="str">
        <f t="shared" ref="M194:M257" si="16">IF($J194&lt;=3,"Standard",IF($J194&lt;=6,"Deluxe",IF($J194&lt;=10,"Premium","Suite")))</f>
        <v>Premium</v>
      </c>
      <c r="N194" t="s">
        <v>26</v>
      </c>
      <c r="O194" t="s">
        <v>42</v>
      </c>
      <c r="P194">
        <f>IFERROR(VLOOKUP(TRIM(M194),Room!D:H,5,FALSE),5000)</f>
        <v>9500</v>
      </c>
      <c r="Q194">
        <f t="shared" si="12"/>
        <v>76000</v>
      </c>
      <c r="R194" s="11" t="str">
        <f t="shared" si="13"/>
        <v>Conference</v>
      </c>
      <c r="S194" s="11">
        <f t="shared" si="14"/>
        <v>4</v>
      </c>
    </row>
    <row r="195" spans="1:19">
      <c r="A195" t="s">
        <v>1138</v>
      </c>
      <c r="B195" t="s">
        <v>1139</v>
      </c>
      <c r="C195" t="s">
        <v>1140</v>
      </c>
      <c r="D195" t="s">
        <v>1141</v>
      </c>
      <c r="E195" t="s">
        <v>1142</v>
      </c>
      <c r="F195" t="s">
        <v>1143</v>
      </c>
      <c r="G195" s="4">
        <v>45346</v>
      </c>
      <c r="H195" s="4">
        <v>45375</v>
      </c>
      <c r="I195" s="4">
        <v>45384</v>
      </c>
      <c r="J195">
        <f t="shared" si="15"/>
        <v>9</v>
      </c>
      <c r="K195" t="str">
        <f t="array" ref="K195">_xlfn.IFS(J195=1,"Day Use",J195&lt;=3,"Short Stay",J195&lt;=7,"Extended Stay",J195&gt;=8,"Long Stay")</f>
        <v>Long Stay</v>
      </c>
      <c r="L195" t="s">
        <v>91</v>
      </c>
      <c r="M195" s="10" t="str">
        <f t="shared" si="16"/>
        <v>Premium</v>
      </c>
      <c r="N195" t="s">
        <v>26</v>
      </c>
      <c r="O195" t="s">
        <v>71</v>
      </c>
      <c r="P195">
        <f>IFERROR(VLOOKUP(TRIM(M195),Room!D:H,5,FALSE),5000)</f>
        <v>9500</v>
      </c>
      <c r="Q195">
        <f t="shared" ref="Q195:Q258" si="17">P195*J195</f>
        <v>85500</v>
      </c>
      <c r="R195" s="11" t="str">
        <f t="shared" ref="R195:R258" si="18">IF(ISNUMBER(SEARCH("Suite",D195)),"Honeymoon",IF(P195&gt;10000,"Business",IF(P195&gt;5000,"Conference",IF(J195&gt;=8,"Family Vacation","Other"))))</f>
        <v>Conference</v>
      </c>
      <c r="S195" s="11">
        <f t="shared" ref="S195:S258" si="19">IF(M195="Suite",5,IF(M195="Premium",IF(Q195&gt;20000,4,3),IF(M195="Deluxe",IF(Q195&gt;=10000,3,2),IF(M195="Standard",IF(Q195&gt;=5000,2,1),1))))</f>
        <v>4</v>
      </c>
    </row>
    <row r="196" spans="1:19">
      <c r="A196" t="s">
        <v>1144</v>
      </c>
      <c r="B196" t="s">
        <v>1145</v>
      </c>
      <c r="C196" t="s">
        <v>1146</v>
      </c>
      <c r="D196" t="s">
        <v>1147</v>
      </c>
      <c r="E196" t="s">
        <v>1148</v>
      </c>
      <c r="F196" t="s">
        <v>1149</v>
      </c>
      <c r="G196" s="4">
        <v>45493</v>
      </c>
      <c r="H196" s="4">
        <v>45651</v>
      </c>
      <c r="I196" s="4">
        <v>45663</v>
      </c>
      <c r="J196">
        <f t="shared" si="15"/>
        <v>12</v>
      </c>
      <c r="K196" t="str">
        <f t="array" ref="K196">_xlfn.IFS(J196=1,"Day Use",J196&lt;=3,"Short Stay",J196&lt;=7,"Extended Stay",J196&gt;=8,"Long Stay")</f>
        <v>Long Stay</v>
      </c>
      <c r="L196" t="s">
        <v>141</v>
      </c>
      <c r="M196" s="10" t="str">
        <f t="shared" si="16"/>
        <v>Suite</v>
      </c>
      <c r="N196" t="s">
        <v>26</v>
      </c>
      <c r="O196" t="s">
        <v>27</v>
      </c>
      <c r="P196">
        <f>IFERROR(VLOOKUP(TRIM(M196),Room!D:H,5,FALSE),5000)</f>
        <v>12500</v>
      </c>
      <c r="Q196">
        <f t="shared" si="17"/>
        <v>150000</v>
      </c>
      <c r="R196" s="11" t="str">
        <f t="shared" si="18"/>
        <v>Business</v>
      </c>
      <c r="S196" s="11">
        <f t="shared" si="19"/>
        <v>5</v>
      </c>
    </row>
    <row r="197" spans="1:19">
      <c r="A197" t="s">
        <v>1150</v>
      </c>
      <c r="B197" t="s">
        <v>1151</v>
      </c>
      <c r="C197" t="s">
        <v>1152</v>
      </c>
      <c r="D197" t="s">
        <v>1153</v>
      </c>
      <c r="E197" t="s">
        <v>1154</v>
      </c>
      <c r="F197" t="s">
        <v>1155</v>
      </c>
      <c r="G197" s="4">
        <v>45393</v>
      </c>
      <c r="H197" s="4">
        <v>45397</v>
      </c>
      <c r="I197" s="4">
        <v>45401</v>
      </c>
      <c r="J197">
        <f t="shared" si="15"/>
        <v>4</v>
      </c>
      <c r="K197" t="str">
        <f t="array" ref="K197">_xlfn.IFS(J197=1,"Day Use",J197&lt;=3,"Short Stay",J197&lt;=7,"Extended Stay",J197&gt;=8,"Long Stay")</f>
        <v>Extended Stay</v>
      </c>
      <c r="L197" t="s">
        <v>196</v>
      </c>
      <c r="M197" s="10" t="str">
        <f t="shared" si="16"/>
        <v>Deluxe</v>
      </c>
      <c r="N197" t="s">
        <v>57</v>
      </c>
      <c r="O197" t="s">
        <v>42</v>
      </c>
      <c r="P197">
        <f>IFERROR(VLOOKUP(TRIM(M197),Room!D:H,5,FALSE),5000)</f>
        <v>5400</v>
      </c>
      <c r="Q197">
        <f t="shared" si="17"/>
        <v>21600</v>
      </c>
      <c r="R197" s="11" t="str">
        <f t="shared" si="18"/>
        <v>Conference</v>
      </c>
      <c r="S197" s="11">
        <f t="shared" si="19"/>
        <v>3</v>
      </c>
    </row>
    <row r="198" spans="1:19">
      <c r="A198" t="s">
        <v>1156</v>
      </c>
      <c r="B198" t="s">
        <v>1157</v>
      </c>
      <c r="C198" t="s">
        <v>1158</v>
      </c>
      <c r="D198" t="s">
        <v>1159</v>
      </c>
      <c r="E198" t="s">
        <v>1160</v>
      </c>
      <c r="F198" t="s">
        <v>1161</v>
      </c>
      <c r="G198" s="4">
        <v>45846</v>
      </c>
      <c r="H198" s="4">
        <v>45846</v>
      </c>
      <c r="I198" s="4">
        <v>45856</v>
      </c>
      <c r="J198">
        <f t="shared" si="15"/>
        <v>10</v>
      </c>
      <c r="K198" t="str">
        <f t="array" ref="K198">_xlfn.IFS(J198=1,"Day Use",J198&lt;=3,"Short Stay",J198&lt;=7,"Extended Stay",J198&gt;=8,"Long Stay")</f>
        <v>Long Stay</v>
      </c>
      <c r="L198" t="s">
        <v>84</v>
      </c>
      <c r="M198" s="10" t="str">
        <f t="shared" si="16"/>
        <v>Premium</v>
      </c>
      <c r="N198" t="s">
        <v>26</v>
      </c>
      <c r="O198" t="s">
        <v>35</v>
      </c>
      <c r="P198">
        <f>IFERROR(VLOOKUP(TRIM(M198),Room!D:H,5,FALSE),5000)</f>
        <v>9500</v>
      </c>
      <c r="Q198">
        <f t="shared" si="17"/>
        <v>95000</v>
      </c>
      <c r="R198" s="11" t="str">
        <f t="shared" si="18"/>
        <v>Conference</v>
      </c>
      <c r="S198" s="11">
        <f t="shared" si="19"/>
        <v>4</v>
      </c>
    </row>
    <row r="199" spans="1:19">
      <c r="A199" t="s">
        <v>1162</v>
      </c>
      <c r="B199" t="s">
        <v>1163</v>
      </c>
      <c r="C199" t="s">
        <v>1164</v>
      </c>
      <c r="D199" t="s">
        <v>1165</v>
      </c>
      <c r="E199" t="s">
        <v>1166</v>
      </c>
      <c r="F199" t="s">
        <v>1167</v>
      </c>
      <c r="G199" s="4">
        <v>45996</v>
      </c>
      <c r="H199" s="4">
        <v>46010</v>
      </c>
      <c r="I199" s="4">
        <v>46022</v>
      </c>
      <c r="J199">
        <f t="shared" si="15"/>
        <v>12</v>
      </c>
      <c r="K199" t="str">
        <f t="array" ref="K199">_xlfn.IFS(J199=1,"Day Use",J199&lt;=3,"Short Stay",J199&lt;=7,"Extended Stay",J199&gt;=8,"Long Stay")</f>
        <v>Long Stay</v>
      </c>
      <c r="L199" t="s">
        <v>91</v>
      </c>
      <c r="M199" s="10" t="str">
        <f t="shared" si="16"/>
        <v>Suite</v>
      </c>
      <c r="N199" t="s">
        <v>26</v>
      </c>
      <c r="O199" t="s">
        <v>58</v>
      </c>
      <c r="P199">
        <f>IFERROR(VLOOKUP(TRIM(M199),Room!D:H,5,FALSE),5000)</f>
        <v>12500</v>
      </c>
      <c r="Q199">
        <f t="shared" si="17"/>
        <v>150000</v>
      </c>
      <c r="R199" s="11" t="str">
        <f t="shared" si="18"/>
        <v>Business</v>
      </c>
      <c r="S199" s="11">
        <f t="shared" si="19"/>
        <v>5</v>
      </c>
    </row>
    <row r="200" spans="1:19">
      <c r="A200" t="s">
        <v>1168</v>
      </c>
      <c r="B200" t="s">
        <v>1169</v>
      </c>
      <c r="C200" t="s">
        <v>823</v>
      </c>
      <c r="D200" t="s">
        <v>1170</v>
      </c>
      <c r="E200" t="s">
        <v>1171</v>
      </c>
      <c r="F200" t="s">
        <v>1172</v>
      </c>
      <c r="G200" s="4">
        <v>45782</v>
      </c>
      <c r="H200" s="4">
        <v>45803</v>
      </c>
      <c r="I200" s="4">
        <v>45814</v>
      </c>
      <c r="J200">
        <f t="shared" si="15"/>
        <v>11</v>
      </c>
      <c r="K200" t="str">
        <f t="array" ref="K200">_xlfn.IFS(J200=1,"Day Use",J200&lt;=3,"Short Stay",J200&lt;=7,"Extended Stay",J200&gt;=8,"Long Stay")</f>
        <v>Long Stay</v>
      </c>
      <c r="L200" t="s">
        <v>91</v>
      </c>
      <c r="M200" s="10" t="str">
        <f t="shared" si="16"/>
        <v>Suite</v>
      </c>
      <c r="N200" t="s">
        <v>372</v>
      </c>
      <c r="O200" t="s">
        <v>35</v>
      </c>
      <c r="P200">
        <f>IFERROR(VLOOKUP(TRIM(M200),Room!D:H,5,FALSE),5000)</f>
        <v>12500</v>
      </c>
      <c r="Q200">
        <f t="shared" si="17"/>
        <v>137500</v>
      </c>
      <c r="R200" s="11" t="str">
        <f t="shared" si="18"/>
        <v>Business</v>
      </c>
      <c r="S200" s="11">
        <f t="shared" si="19"/>
        <v>5</v>
      </c>
    </row>
    <row r="201" spans="1:19">
      <c r="A201" t="s">
        <v>1173</v>
      </c>
      <c r="B201" t="s">
        <v>1174</v>
      </c>
      <c r="C201" t="s">
        <v>1175</v>
      </c>
      <c r="D201" t="s">
        <v>1176</v>
      </c>
      <c r="E201" t="s">
        <v>1177</v>
      </c>
      <c r="F201" t="s">
        <v>1178</v>
      </c>
      <c r="G201" s="4">
        <v>45298</v>
      </c>
      <c r="H201" s="4">
        <v>45319</v>
      </c>
      <c r="I201" s="4">
        <v>45321</v>
      </c>
      <c r="J201">
        <f t="shared" si="15"/>
        <v>2</v>
      </c>
      <c r="K201" t="str">
        <f t="array" ref="K201">_xlfn.IFS(J201=1,"Day Use",J201&lt;=3,"Short Stay",J201&lt;=7,"Extended Stay",J201&gt;=8,"Long Stay")</f>
        <v>Short Stay</v>
      </c>
      <c r="L201" t="s">
        <v>56</v>
      </c>
      <c r="M201" s="10" t="str">
        <f t="shared" si="16"/>
        <v>Standard</v>
      </c>
      <c r="N201" t="s">
        <v>26</v>
      </c>
      <c r="O201" t="s">
        <v>58</v>
      </c>
      <c r="P201">
        <f>IFERROR(VLOOKUP(TRIM(M201),Room!D:H,5,FALSE),5000)</f>
        <v>3200</v>
      </c>
      <c r="Q201">
        <f t="shared" si="17"/>
        <v>6400</v>
      </c>
      <c r="R201" s="11" t="str">
        <f t="shared" si="18"/>
        <v>Other</v>
      </c>
      <c r="S201" s="11">
        <f t="shared" si="19"/>
        <v>2</v>
      </c>
    </row>
    <row r="202" spans="1:19">
      <c r="A202" t="s">
        <v>1179</v>
      </c>
      <c r="B202" t="s">
        <v>1180</v>
      </c>
      <c r="C202" t="s">
        <v>363</v>
      </c>
      <c r="D202" t="s">
        <v>1181</v>
      </c>
      <c r="E202" t="s">
        <v>1182</v>
      </c>
      <c r="F202" t="s">
        <v>1183</v>
      </c>
      <c r="G202" s="4">
        <v>45635</v>
      </c>
      <c r="H202" s="4">
        <v>45803</v>
      </c>
      <c r="I202" s="4">
        <v>45805</v>
      </c>
      <c r="J202">
        <f t="shared" si="15"/>
        <v>2</v>
      </c>
      <c r="K202" t="str">
        <f t="array" ref="K202">_xlfn.IFS(J202=1,"Day Use",J202&lt;=3,"Short Stay",J202&lt;=7,"Extended Stay",J202&gt;=8,"Long Stay")</f>
        <v>Short Stay</v>
      </c>
      <c r="L202" t="s">
        <v>141</v>
      </c>
      <c r="M202" s="10" t="str">
        <f t="shared" si="16"/>
        <v>Standard</v>
      </c>
      <c r="N202" t="s">
        <v>26</v>
      </c>
      <c r="O202" t="s">
        <v>71</v>
      </c>
      <c r="P202">
        <f>IFERROR(VLOOKUP(TRIM(M202),Room!D:H,5,FALSE),5000)</f>
        <v>3200</v>
      </c>
      <c r="Q202">
        <f t="shared" si="17"/>
        <v>6400</v>
      </c>
      <c r="R202" s="11" t="str">
        <f t="shared" si="18"/>
        <v>Other</v>
      </c>
      <c r="S202" s="11">
        <f t="shared" si="19"/>
        <v>2</v>
      </c>
    </row>
    <row r="203" spans="1:19">
      <c r="A203" t="s">
        <v>1184</v>
      </c>
      <c r="B203" t="s">
        <v>1185</v>
      </c>
      <c r="C203" t="s">
        <v>1186</v>
      </c>
      <c r="D203" t="s">
        <v>1187</v>
      </c>
      <c r="E203" t="s">
        <v>1188</v>
      </c>
      <c r="F203" t="s">
        <v>1189</v>
      </c>
      <c r="G203" s="4">
        <v>45742</v>
      </c>
      <c r="H203" s="4">
        <v>45763</v>
      </c>
      <c r="I203" s="4">
        <v>45764</v>
      </c>
      <c r="J203">
        <f t="shared" si="15"/>
        <v>1</v>
      </c>
      <c r="K203" t="str">
        <f t="array" ref="K203">_xlfn.IFS(J203=1,"Day Use",J203&lt;=3,"Short Stay",J203&lt;=7,"Extended Stay",J203&gt;=8,"Long Stay")</f>
        <v>Day Use</v>
      </c>
      <c r="L203" t="s">
        <v>49</v>
      </c>
      <c r="M203" s="10" t="str">
        <f t="shared" si="16"/>
        <v>Standard</v>
      </c>
      <c r="N203" t="s">
        <v>26</v>
      </c>
      <c r="O203" t="s">
        <v>58</v>
      </c>
      <c r="P203">
        <f>IFERROR(VLOOKUP(TRIM(M203),Room!D:H,5,FALSE),5000)</f>
        <v>3200</v>
      </c>
      <c r="Q203">
        <f t="shared" si="17"/>
        <v>3200</v>
      </c>
      <c r="R203" s="11" t="str">
        <f t="shared" si="18"/>
        <v>Other</v>
      </c>
      <c r="S203" s="11">
        <f t="shared" si="19"/>
        <v>1</v>
      </c>
    </row>
    <row r="204" spans="1:19">
      <c r="A204" t="s">
        <v>1190</v>
      </c>
      <c r="B204" t="s">
        <v>1191</v>
      </c>
      <c r="C204" t="s">
        <v>1146</v>
      </c>
      <c r="D204" t="s">
        <v>1192</v>
      </c>
      <c r="E204" t="s">
        <v>1193</v>
      </c>
      <c r="F204" t="s">
        <v>1194</v>
      </c>
      <c r="G204" s="4">
        <v>45302</v>
      </c>
      <c r="H204" s="4">
        <v>45326</v>
      </c>
      <c r="I204" s="4">
        <v>45334</v>
      </c>
      <c r="J204">
        <f t="shared" si="15"/>
        <v>8</v>
      </c>
      <c r="K204" t="str">
        <f t="array" ref="K204">_xlfn.IFS(J204=1,"Day Use",J204&lt;=3,"Short Stay",J204&lt;=7,"Extended Stay",J204&gt;=8,"Long Stay")</f>
        <v>Long Stay</v>
      </c>
      <c r="L204" t="s">
        <v>56</v>
      </c>
      <c r="M204" s="10" t="str">
        <f t="shared" si="16"/>
        <v>Premium</v>
      </c>
      <c r="N204" t="s">
        <v>26</v>
      </c>
      <c r="O204" t="s">
        <v>35</v>
      </c>
      <c r="P204">
        <f>IFERROR(VLOOKUP(TRIM(M204),Room!D:H,5,FALSE),5000)</f>
        <v>9500</v>
      </c>
      <c r="Q204">
        <f t="shared" si="17"/>
        <v>76000</v>
      </c>
      <c r="R204" s="11" t="str">
        <f t="shared" si="18"/>
        <v>Conference</v>
      </c>
      <c r="S204" s="11">
        <f t="shared" si="19"/>
        <v>4</v>
      </c>
    </row>
    <row r="205" spans="1:19">
      <c r="A205" t="s">
        <v>1195</v>
      </c>
      <c r="B205" t="s">
        <v>1196</v>
      </c>
      <c r="C205" t="s">
        <v>847</v>
      </c>
      <c r="D205" t="s">
        <v>1197</v>
      </c>
      <c r="E205" t="s">
        <v>1198</v>
      </c>
      <c r="F205" t="s">
        <v>1199</v>
      </c>
      <c r="G205" s="4">
        <v>45387</v>
      </c>
      <c r="H205" s="4">
        <v>45787</v>
      </c>
      <c r="I205" s="4">
        <v>45801</v>
      </c>
      <c r="J205">
        <f t="shared" si="15"/>
        <v>14</v>
      </c>
      <c r="K205" t="str">
        <f t="array" ref="K205">_xlfn.IFS(J205=1,"Day Use",J205&lt;=3,"Short Stay",J205&lt;=7,"Extended Stay",J205&gt;=8,"Long Stay")</f>
        <v>Long Stay</v>
      </c>
      <c r="L205" t="s">
        <v>34</v>
      </c>
      <c r="M205" s="10" t="str">
        <f t="shared" si="16"/>
        <v>Suite</v>
      </c>
      <c r="N205" t="s">
        <v>26</v>
      </c>
      <c r="O205" t="s">
        <v>71</v>
      </c>
      <c r="P205">
        <f>IFERROR(VLOOKUP(TRIM(M205),Room!D:H,5,FALSE),5000)</f>
        <v>12500</v>
      </c>
      <c r="Q205">
        <f t="shared" si="17"/>
        <v>175000</v>
      </c>
      <c r="R205" s="11" t="str">
        <f t="shared" si="18"/>
        <v>Business</v>
      </c>
      <c r="S205" s="11">
        <f t="shared" si="19"/>
        <v>5</v>
      </c>
    </row>
    <row r="206" spans="1:19">
      <c r="A206" t="s">
        <v>1200</v>
      </c>
      <c r="B206" t="s">
        <v>1201</v>
      </c>
      <c r="C206" t="s">
        <v>386</v>
      </c>
      <c r="D206" t="s">
        <v>1202</v>
      </c>
      <c r="E206" t="s">
        <v>1203</v>
      </c>
      <c r="F206" t="s">
        <v>1204</v>
      </c>
      <c r="G206" s="4">
        <v>45636</v>
      </c>
      <c r="H206" s="4">
        <v>45997</v>
      </c>
      <c r="I206" s="4">
        <v>46001</v>
      </c>
      <c r="J206">
        <f t="shared" si="15"/>
        <v>4</v>
      </c>
      <c r="K206" t="str">
        <f t="array" ref="K206">_xlfn.IFS(J206=1,"Day Use",J206&lt;=3,"Short Stay",J206&lt;=7,"Extended Stay",J206&gt;=8,"Long Stay")</f>
        <v>Extended Stay</v>
      </c>
      <c r="L206" t="s">
        <v>56</v>
      </c>
      <c r="M206" s="10" t="str">
        <f t="shared" si="16"/>
        <v>Deluxe</v>
      </c>
      <c r="N206" t="s">
        <v>26</v>
      </c>
      <c r="O206" t="s">
        <v>42</v>
      </c>
      <c r="P206">
        <f>IFERROR(VLOOKUP(TRIM(M206),Room!D:H,5,FALSE),5000)</f>
        <v>5400</v>
      </c>
      <c r="Q206">
        <f t="shared" si="17"/>
        <v>21600</v>
      </c>
      <c r="R206" s="11" t="str">
        <f t="shared" si="18"/>
        <v>Conference</v>
      </c>
      <c r="S206" s="11">
        <f t="shared" si="19"/>
        <v>3</v>
      </c>
    </row>
    <row r="207" spans="1:19">
      <c r="A207" t="s">
        <v>1205</v>
      </c>
      <c r="B207" t="s">
        <v>1206</v>
      </c>
      <c r="C207" t="s">
        <v>1207</v>
      </c>
      <c r="D207" t="s">
        <v>1208</v>
      </c>
      <c r="E207" t="s">
        <v>1209</v>
      </c>
      <c r="F207" t="s">
        <v>1210</v>
      </c>
      <c r="G207" s="4">
        <v>45403</v>
      </c>
      <c r="H207" s="4">
        <v>45840</v>
      </c>
      <c r="I207" s="4">
        <v>45847</v>
      </c>
      <c r="J207">
        <f t="shared" si="15"/>
        <v>7</v>
      </c>
      <c r="K207" t="str">
        <f t="array" ref="K207">_xlfn.IFS(J207=1,"Day Use",J207&lt;=3,"Short Stay",J207&lt;=7,"Extended Stay",J207&gt;=8,"Long Stay")</f>
        <v>Extended Stay</v>
      </c>
      <c r="L207" t="s">
        <v>84</v>
      </c>
      <c r="M207" s="10" t="str">
        <f t="shared" si="16"/>
        <v>Premium</v>
      </c>
      <c r="N207" t="s">
        <v>26</v>
      </c>
      <c r="O207" t="s">
        <v>42</v>
      </c>
      <c r="P207">
        <f>IFERROR(VLOOKUP(TRIM(M207),Room!D:H,5,FALSE),5000)</f>
        <v>9500</v>
      </c>
      <c r="Q207">
        <f t="shared" si="17"/>
        <v>66500</v>
      </c>
      <c r="R207" s="11" t="str">
        <f t="shared" si="18"/>
        <v>Conference</v>
      </c>
      <c r="S207" s="11">
        <f t="shared" si="19"/>
        <v>4</v>
      </c>
    </row>
    <row r="208" spans="1:19">
      <c r="A208" t="s">
        <v>1211</v>
      </c>
      <c r="B208" t="s">
        <v>1212</v>
      </c>
      <c r="C208" t="s">
        <v>1213</v>
      </c>
      <c r="D208" t="s">
        <v>1214</v>
      </c>
      <c r="E208" t="s">
        <v>1215</v>
      </c>
      <c r="F208" t="s">
        <v>1216</v>
      </c>
      <c r="G208" s="4">
        <v>45203</v>
      </c>
      <c r="H208" s="4">
        <v>45618</v>
      </c>
      <c r="I208" s="4">
        <v>45630</v>
      </c>
      <c r="J208">
        <f t="shared" si="15"/>
        <v>12</v>
      </c>
      <c r="K208" t="str">
        <f t="array" ref="K208">_xlfn.IFS(J208=1,"Day Use",J208&lt;=3,"Short Stay",J208&lt;=7,"Extended Stay",J208&gt;=8,"Long Stay")</f>
        <v>Long Stay</v>
      </c>
      <c r="L208" t="s">
        <v>91</v>
      </c>
      <c r="M208" s="10" t="str">
        <f t="shared" si="16"/>
        <v>Suite</v>
      </c>
      <c r="N208" t="s">
        <v>57</v>
      </c>
      <c r="O208" t="s">
        <v>35</v>
      </c>
      <c r="P208">
        <f>IFERROR(VLOOKUP(TRIM(M208),Room!D:H,5,FALSE),5000)</f>
        <v>12500</v>
      </c>
      <c r="Q208">
        <f t="shared" si="17"/>
        <v>150000</v>
      </c>
      <c r="R208" s="11" t="str">
        <f t="shared" si="18"/>
        <v>Business</v>
      </c>
      <c r="S208" s="11">
        <f t="shared" si="19"/>
        <v>5</v>
      </c>
    </row>
    <row r="209" spans="1:19">
      <c r="A209" t="s">
        <v>1217</v>
      </c>
      <c r="B209" t="s">
        <v>1218</v>
      </c>
      <c r="C209" t="s">
        <v>186</v>
      </c>
      <c r="D209" t="s">
        <v>1219</v>
      </c>
      <c r="E209" t="s">
        <v>1220</v>
      </c>
      <c r="F209" t="s">
        <v>1221</v>
      </c>
      <c r="G209" s="4">
        <v>45527</v>
      </c>
      <c r="H209" s="4">
        <v>45625</v>
      </c>
      <c r="I209" s="4">
        <v>45634</v>
      </c>
      <c r="J209">
        <f t="shared" si="15"/>
        <v>9</v>
      </c>
      <c r="K209" t="str">
        <f t="array" ref="K209">_xlfn.IFS(J209=1,"Day Use",J209&lt;=3,"Short Stay",J209&lt;=7,"Extended Stay",J209&gt;=8,"Long Stay")</f>
        <v>Long Stay</v>
      </c>
      <c r="L209" t="s">
        <v>91</v>
      </c>
      <c r="M209" s="10" t="str">
        <f t="shared" si="16"/>
        <v>Premium</v>
      </c>
      <c r="N209" t="s">
        <v>26</v>
      </c>
      <c r="O209" t="s">
        <v>27</v>
      </c>
      <c r="P209">
        <f>IFERROR(VLOOKUP(TRIM(M209),Room!D:H,5,FALSE),5000)</f>
        <v>9500</v>
      </c>
      <c r="Q209">
        <f t="shared" si="17"/>
        <v>85500</v>
      </c>
      <c r="R209" s="11" t="str">
        <f t="shared" si="18"/>
        <v>Conference</v>
      </c>
      <c r="S209" s="11">
        <f t="shared" si="19"/>
        <v>4</v>
      </c>
    </row>
    <row r="210" spans="1:19">
      <c r="A210" t="s">
        <v>1222</v>
      </c>
      <c r="B210" t="s">
        <v>1223</v>
      </c>
      <c r="C210" t="s">
        <v>186</v>
      </c>
      <c r="D210" t="s">
        <v>1224</v>
      </c>
      <c r="E210" t="s">
        <v>1225</v>
      </c>
      <c r="F210" t="s">
        <v>1226</v>
      </c>
      <c r="G210" s="4">
        <v>45260</v>
      </c>
      <c r="H210" s="4">
        <v>45770</v>
      </c>
      <c r="I210" s="4">
        <v>45782</v>
      </c>
      <c r="J210">
        <f t="shared" si="15"/>
        <v>12</v>
      </c>
      <c r="K210" t="str">
        <f t="array" ref="K210">_xlfn.IFS(J210=1,"Day Use",J210&lt;=3,"Short Stay",J210&lt;=7,"Extended Stay",J210&gt;=8,"Long Stay")</f>
        <v>Long Stay</v>
      </c>
      <c r="L210" t="s">
        <v>49</v>
      </c>
      <c r="M210" s="10" t="str">
        <f t="shared" si="16"/>
        <v>Suite</v>
      </c>
      <c r="N210" t="s">
        <v>26</v>
      </c>
      <c r="O210" t="s">
        <v>35</v>
      </c>
      <c r="P210">
        <f>IFERROR(VLOOKUP(TRIM(M210),Room!D:H,5,FALSE),5000)</f>
        <v>12500</v>
      </c>
      <c r="Q210">
        <f t="shared" si="17"/>
        <v>150000</v>
      </c>
      <c r="R210" s="11" t="str">
        <f t="shared" si="18"/>
        <v>Business</v>
      </c>
      <c r="S210" s="11">
        <f t="shared" si="19"/>
        <v>5</v>
      </c>
    </row>
    <row r="211" spans="1:19">
      <c r="A211" t="s">
        <v>1227</v>
      </c>
      <c r="B211" t="s">
        <v>1228</v>
      </c>
      <c r="C211" t="s">
        <v>1229</v>
      </c>
      <c r="D211" t="s">
        <v>1230</v>
      </c>
      <c r="E211" t="s">
        <v>1231</v>
      </c>
      <c r="F211" t="s">
        <v>1232</v>
      </c>
      <c r="G211" s="4">
        <v>45583</v>
      </c>
      <c r="H211" s="4">
        <v>45583</v>
      </c>
      <c r="I211" s="4">
        <v>45595</v>
      </c>
      <c r="J211">
        <f t="shared" si="15"/>
        <v>12</v>
      </c>
      <c r="K211" t="str">
        <f t="array" ref="K211">_xlfn.IFS(J211=1,"Day Use",J211&lt;=3,"Short Stay",J211&lt;=7,"Extended Stay",J211&gt;=8,"Long Stay")</f>
        <v>Long Stay</v>
      </c>
      <c r="L211" t="s">
        <v>49</v>
      </c>
      <c r="M211" s="10" t="str">
        <f t="shared" si="16"/>
        <v>Suite</v>
      </c>
      <c r="N211" t="s">
        <v>26</v>
      </c>
      <c r="O211" t="s">
        <v>35</v>
      </c>
      <c r="P211">
        <f>IFERROR(VLOOKUP(TRIM(M211),Room!D:H,5,FALSE),5000)</f>
        <v>12500</v>
      </c>
      <c r="Q211">
        <f t="shared" si="17"/>
        <v>150000</v>
      </c>
      <c r="R211" s="11" t="str">
        <f t="shared" si="18"/>
        <v>Business</v>
      </c>
      <c r="S211" s="11">
        <f t="shared" si="19"/>
        <v>5</v>
      </c>
    </row>
    <row r="212" spans="1:19">
      <c r="A212" t="s">
        <v>1233</v>
      </c>
      <c r="B212" t="s">
        <v>1234</v>
      </c>
      <c r="C212" t="s">
        <v>294</v>
      </c>
      <c r="D212" t="s">
        <v>1235</v>
      </c>
      <c r="E212" t="s">
        <v>1236</v>
      </c>
      <c r="F212" t="s">
        <v>1237</v>
      </c>
      <c r="G212" s="4">
        <v>45784</v>
      </c>
      <c r="H212" s="4">
        <v>45929</v>
      </c>
      <c r="I212" s="4">
        <v>45940</v>
      </c>
      <c r="J212">
        <f t="shared" si="15"/>
        <v>11</v>
      </c>
      <c r="K212" t="str">
        <f t="array" ref="K212">_xlfn.IFS(J212=1,"Day Use",J212&lt;=3,"Short Stay",J212&lt;=7,"Extended Stay",J212&gt;=8,"Long Stay")</f>
        <v>Long Stay</v>
      </c>
      <c r="L212" t="s">
        <v>56</v>
      </c>
      <c r="M212" s="10" t="str">
        <f t="shared" si="16"/>
        <v>Suite</v>
      </c>
      <c r="N212" t="s">
        <v>26</v>
      </c>
      <c r="O212" t="s">
        <v>71</v>
      </c>
      <c r="P212">
        <f>IFERROR(VLOOKUP(TRIM(M212),Room!D:H,5,FALSE),5000)</f>
        <v>12500</v>
      </c>
      <c r="Q212">
        <f t="shared" si="17"/>
        <v>137500</v>
      </c>
      <c r="R212" s="11" t="str">
        <f t="shared" si="18"/>
        <v>Business</v>
      </c>
      <c r="S212" s="11">
        <f t="shared" si="19"/>
        <v>5</v>
      </c>
    </row>
    <row r="213" spans="1:19">
      <c r="A213" t="s">
        <v>1238</v>
      </c>
      <c r="B213" t="s">
        <v>1239</v>
      </c>
      <c r="C213" t="s">
        <v>1164</v>
      </c>
      <c r="D213" t="s">
        <v>1240</v>
      </c>
      <c r="E213" t="s">
        <v>1241</v>
      </c>
      <c r="F213" t="s">
        <v>1242</v>
      </c>
      <c r="G213" s="4">
        <v>45689</v>
      </c>
      <c r="H213" s="4">
        <v>45695</v>
      </c>
      <c r="I213" s="4">
        <v>45704</v>
      </c>
      <c r="J213">
        <f t="shared" si="15"/>
        <v>9</v>
      </c>
      <c r="K213" t="str">
        <f t="array" ref="K213">_xlfn.IFS(J213=1,"Day Use",J213&lt;=3,"Short Stay",J213&lt;=7,"Extended Stay",J213&gt;=8,"Long Stay")</f>
        <v>Long Stay</v>
      </c>
      <c r="L213" t="s">
        <v>196</v>
      </c>
      <c r="M213" s="10" t="str">
        <f t="shared" si="16"/>
        <v>Premium</v>
      </c>
      <c r="N213" t="s">
        <v>26</v>
      </c>
      <c r="O213" t="s">
        <v>58</v>
      </c>
      <c r="P213">
        <f>IFERROR(VLOOKUP(TRIM(M213),Room!D:H,5,FALSE),5000)</f>
        <v>9500</v>
      </c>
      <c r="Q213">
        <f t="shared" si="17"/>
        <v>85500</v>
      </c>
      <c r="R213" s="11" t="str">
        <f t="shared" si="18"/>
        <v>Conference</v>
      </c>
      <c r="S213" s="11">
        <f t="shared" si="19"/>
        <v>4</v>
      </c>
    </row>
    <row r="214" spans="1:19">
      <c r="A214" t="s">
        <v>1243</v>
      </c>
      <c r="B214" t="s">
        <v>1244</v>
      </c>
      <c r="C214" t="s">
        <v>137</v>
      </c>
      <c r="D214" t="s">
        <v>1245</v>
      </c>
      <c r="E214" t="s">
        <v>1246</v>
      </c>
      <c r="F214" t="s">
        <v>1247</v>
      </c>
      <c r="G214" s="4">
        <v>45568</v>
      </c>
      <c r="H214" s="4">
        <v>45595</v>
      </c>
      <c r="I214" s="4">
        <v>45606</v>
      </c>
      <c r="J214">
        <f t="shared" si="15"/>
        <v>11</v>
      </c>
      <c r="K214" t="str">
        <f t="array" ref="K214">_xlfn.IFS(J214=1,"Day Use",J214&lt;=3,"Short Stay",J214&lt;=7,"Extended Stay",J214&gt;=8,"Long Stay")</f>
        <v>Long Stay</v>
      </c>
      <c r="L214" t="s">
        <v>25</v>
      </c>
      <c r="M214" s="10" t="str">
        <f t="shared" si="16"/>
        <v>Suite</v>
      </c>
      <c r="N214" t="s">
        <v>26</v>
      </c>
      <c r="O214" t="s">
        <v>71</v>
      </c>
      <c r="P214">
        <f>IFERROR(VLOOKUP(TRIM(M214),Room!D:H,5,FALSE),5000)</f>
        <v>12500</v>
      </c>
      <c r="Q214">
        <f t="shared" si="17"/>
        <v>137500</v>
      </c>
      <c r="R214" s="11" t="str">
        <f t="shared" si="18"/>
        <v>Business</v>
      </c>
      <c r="S214" s="11">
        <f t="shared" si="19"/>
        <v>5</v>
      </c>
    </row>
    <row r="215" spans="1:19">
      <c r="A215" t="s">
        <v>1248</v>
      </c>
      <c r="B215" t="s">
        <v>1249</v>
      </c>
      <c r="C215" t="s">
        <v>1250</v>
      </c>
      <c r="D215" t="s">
        <v>1251</v>
      </c>
      <c r="E215" t="s">
        <v>1252</v>
      </c>
      <c r="F215" t="s">
        <v>1253</v>
      </c>
      <c r="G215" s="4">
        <v>45853</v>
      </c>
      <c r="H215" s="4">
        <v>45853</v>
      </c>
      <c r="I215" s="4">
        <v>45858</v>
      </c>
      <c r="J215">
        <f t="shared" si="15"/>
        <v>5</v>
      </c>
      <c r="K215" t="str">
        <f t="array" ref="K215">_xlfn.IFS(J215=1,"Day Use",J215&lt;=3,"Short Stay",J215&lt;=7,"Extended Stay",J215&gt;=8,"Long Stay")</f>
        <v>Extended Stay</v>
      </c>
      <c r="L215" t="s">
        <v>84</v>
      </c>
      <c r="M215" s="10" t="str">
        <f t="shared" si="16"/>
        <v>Deluxe</v>
      </c>
      <c r="N215" t="s">
        <v>26</v>
      </c>
      <c r="O215" t="s">
        <v>35</v>
      </c>
      <c r="P215">
        <f>IFERROR(VLOOKUP(TRIM(M215),Room!D:H,5,FALSE),5000)</f>
        <v>5400</v>
      </c>
      <c r="Q215">
        <f t="shared" si="17"/>
        <v>27000</v>
      </c>
      <c r="R215" s="11" t="str">
        <f t="shared" si="18"/>
        <v>Conference</v>
      </c>
      <c r="S215" s="11">
        <f t="shared" si="19"/>
        <v>3</v>
      </c>
    </row>
    <row r="216" spans="1:19">
      <c r="A216" t="s">
        <v>1254</v>
      </c>
      <c r="B216" t="s">
        <v>1255</v>
      </c>
      <c r="C216" t="s">
        <v>45</v>
      </c>
      <c r="D216" t="s">
        <v>1256</v>
      </c>
      <c r="E216" t="s">
        <v>1257</v>
      </c>
      <c r="F216" t="s">
        <v>1258</v>
      </c>
      <c r="G216" s="4">
        <v>45214</v>
      </c>
      <c r="H216" s="4">
        <v>45896</v>
      </c>
      <c r="I216" s="4">
        <v>45905</v>
      </c>
      <c r="J216">
        <f t="shared" si="15"/>
        <v>9</v>
      </c>
      <c r="K216" t="str">
        <f t="array" ref="K216">_xlfn.IFS(J216=1,"Day Use",J216&lt;=3,"Short Stay",J216&lt;=7,"Extended Stay",J216&gt;=8,"Long Stay")</f>
        <v>Long Stay</v>
      </c>
      <c r="L216" t="s">
        <v>141</v>
      </c>
      <c r="M216" s="10" t="str">
        <f t="shared" si="16"/>
        <v>Premium</v>
      </c>
      <c r="N216" t="s">
        <v>134</v>
      </c>
      <c r="O216" t="s">
        <v>71</v>
      </c>
      <c r="P216">
        <f>IFERROR(VLOOKUP(TRIM(M216),Room!D:H,5,FALSE),5000)</f>
        <v>9500</v>
      </c>
      <c r="Q216">
        <f t="shared" si="17"/>
        <v>85500</v>
      </c>
      <c r="R216" s="11" t="str">
        <f t="shared" si="18"/>
        <v>Conference</v>
      </c>
      <c r="S216" s="11">
        <f t="shared" si="19"/>
        <v>4</v>
      </c>
    </row>
    <row r="217" spans="1:19">
      <c r="A217" t="s">
        <v>1259</v>
      </c>
      <c r="B217" t="s">
        <v>1260</v>
      </c>
      <c r="C217" t="s">
        <v>180</v>
      </c>
      <c r="D217" t="s">
        <v>1261</v>
      </c>
      <c r="E217" t="s">
        <v>1262</v>
      </c>
      <c r="F217" t="s">
        <v>1263</v>
      </c>
      <c r="G217" s="4">
        <v>45303</v>
      </c>
      <c r="H217" s="4">
        <v>45682</v>
      </c>
      <c r="I217" s="4">
        <v>45687</v>
      </c>
      <c r="J217">
        <f t="shared" si="15"/>
        <v>5</v>
      </c>
      <c r="K217" t="str">
        <f t="array" ref="K217">_xlfn.IFS(J217=1,"Day Use",J217&lt;=3,"Short Stay",J217&lt;=7,"Extended Stay",J217&gt;=8,"Long Stay")</f>
        <v>Extended Stay</v>
      </c>
      <c r="L217" t="s">
        <v>34</v>
      </c>
      <c r="M217" s="10" t="str">
        <f t="shared" si="16"/>
        <v>Deluxe</v>
      </c>
      <c r="N217" t="s">
        <v>57</v>
      </c>
      <c r="O217" t="s">
        <v>58</v>
      </c>
      <c r="P217">
        <f>IFERROR(VLOOKUP(TRIM(M217),Room!D:H,5,FALSE),5000)</f>
        <v>5400</v>
      </c>
      <c r="Q217">
        <f t="shared" si="17"/>
        <v>27000</v>
      </c>
      <c r="R217" s="11" t="str">
        <f t="shared" si="18"/>
        <v>Conference</v>
      </c>
      <c r="S217" s="11">
        <f t="shared" si="19"/>
        <v>3</v>
      </c>
    </row>
    <row r="218" spans="1:19">
      <c r="A218" t="s">
        <v>1264</v>
      </c>
      <c r="B218" t="s">
        <v>1265</v>
      </c>
      <c r="C218" t="s">
        <v>112</v>
      </c>
      <c r="D218" t="s">
        <v>1266</v>
      </c>
      <c r="E218" t="s">
        <v>1267</v>
      </c>
      <c r="F218" t="s">
        <v>1268</v>
      </c>
      <c r="G218" s="4">
        <v>45432</v>
      </c>
      <c r="H218" s="4">
        <v>45457</v>
      </c>
      <c r="I218" s="4">
        <v>45470</v>
      </c>
      <c r="J218">
        <f t="shared" si="15"/>
        <v>13</v>
      </c>
      <c r="K218" t="str">
        <f t="array" ref="K218">_xlfn.IFS(J218=1,"Day Use",J218&lt;=3,"Short Stay",J218&lt;=7,"Extended Stay",J218&gt;=8,"Long Stay")</f>
        <v>Long Stay</v>
      </c>
      <c r="L218" t="s">
        <v>34</v>
      </c>
      <c r="M218" s="10" t="str">
        <f t="shared" si="16"/>
        <v>Suite</v>
      </c>
      <c r="N218" t="s">
        <v>148</v>
      </c>
      <c r="O218" t="s">
        <v>27</v>
      </c>
      <c r="P218">
        <f>IFERROR(VLOOKUP(TRIM(M218),Room!D:H,5,FALSE),5000)</f>
        <v>12500</v>
      </c>
      <c r="Q218">
        <f t="shared" si="17"/>
        <v>162500</v>
      </c>
      <c r="R218" s="11" t="str">
        <f t="shared" si="18"/>
        <v>Business</v>
      </c>
      <c r="S218" s="11">
        <f t="shared" si="19"/>
        <v>5</v>
      </c>
    </row>
    <row r="219" spans="1:19">
      <c r="A219" t="s">
        <v>1269</v>
      </c>
      <c r="B219" t="s">
        <v>1270</v>
      </c>
      <c r="C219" t="s">
        <v>1271</v>
      </c>
      <c r="D219" t="s">
        <v>1272</v>
      </c>
      <c r="E219" t="s">
        <v>1273</v>
      </c>
      <c r="F219" t="s">
        <v>1274</v>
      </c>
      <c r="G219" s="4">
        <v>45359</v>
      </c>
      <c r="H219" s="4">
        <v>45383</v>
      </c>
      <c r="I219" s="4">
        <v>45389</v>
      </c>
      <c r="J219">
        <f t="shared" si="15"/>
        <v>6</v>
      </c>
      <c r="K219" t="str">
        <f t="array" ref="K219">_xlfn.IFS(J219=1,"Day Use",J219&lt;=3,"Short Stay",J219&lt;=7,"Extended Stay",J219&gt;=8,"Long Stay")</f>
        <v>Extended Stay</v>
      </c>
      <c r="L219" t="s">
        <v>91</v>
      </c>
      <c r="M219" s="10" t="str">
        <f t="shared" si="16"/>
        <v>Deluxe</v>
      </c>
      <c r="N219" t="s">
        <v>57</v>
      </c>
      <c r="O219" t="s">
        <v>27</v>
      </c>
      <c r="P219">
        <f>IFERROR(VLOOKUP(TRIM(M219),Room!D:H,5,FALSE),5000)</f>
        <v>5400</v>
      </c>
      <c r="Q219">
        <f t="shared" si="17"/>
        <v>32400</v>
      </c>
      <c r="R219" s="11" t="str">
        <f t="shared" si="18"/>
        <v>Conference</v>
      </c>
      <c r="S219" s="11">
        <f t="shared" si="19"/>
        <v>3</v>
      </c>
    </row>
    <row r="220" spans="1:19">
      <c r="A220" t="s">
        <v>1275</v>
      </c>
      <c r="B220" t="s">
        <v>1276</v>
      </c>
      <c r="C220" t="s">
        <v>1036</v>
      </c>
      <c r="D220" t="s">
        <v>1277</v>
      </c>
      <c r="E220" t="s">
        <v>1278</v>
      </c>
      <c r="F220" t="s">
        <v>1279</v>
      </c>
      <c r="G220" s="4">
        <v>45471</v>
      </c>
      <c r="H220" s="4">
        <v>45560</v>
      </c>
      <c r="I220" s="4">
        <v>45573</v>
      </c>
      <c r="J220">
        <f t="shared" si="15"/>
        <v>13</v>
      </c>
      <c r="K220" t="str">
        <f t="array" ref="K220">_xlfn.IFS(J220=1,"Day Use",J220&lt;=3,"Short Stay",J220&lt;=7,"Extended Stay",J220&gt;=8,"Long Stay")</f>
        <v>Long Stay</v>
      </c>
      <c r="L220" t="s">
        <v>141</v>
      </c>
      <c r="M220" s="10" t="str">
        <f t="shared" si="16"/>
        <v>Suite</v>
      </c>
      <c r="N220" t="s">
        <v>26</v>
      </c>
      <c r="O220" t="s">
        <v>27</v>
      </c>
      <c r="P220">
        <f>IFERROR(VLOOKUP(TRIM(M220),Room!D:H,5,FALSE),5000)</f>
        <v>12500</v>
      </c>
      <c r="Q220">
        <f t="shared" si="17"/>
        <v>162500</v>
      </c>
      <c r="R220" s="11" t="str">
        <f t="shared" si="18"/>
        <v>Business</v>
      </c>
      <c r="S220" s="11">
        <f t="shared" si="19"/>
        <v>5</v>
      </c>
    </row>
    <row r="221" spans="1:19">
      <c r="A221" t="s">
        <v>1280</v>
      </c>
      <c r="B221" t="s">
        <v>1281</v>
      </c>
      <c r="C221" t="s">
        <v>1282</v>
      </c>
      <c r="D221" t="s">
        <v>1283</v>
      </c>
      <c r="E221" t="s">
        <v>1284</v>
      </c>
      <c r="F221" t="s">
        <v>1285</v>
      </c>
      <c r="G221" s="4">
        <v>45875</v>
      </c>
      <c r="H221" s="4">
        <v>45981</v>
      </c>
      <c r="I221" s="4">
        <v>45995</v>
      </c>
      <c r="J221">
        <f t="shared" si="15"/>
        <v>14</v>
      </c>
      <c r="K221" t="str">
        <f t="array" ref="K221">_xlfn.IFS(J221=1,"Day Use",J221&lt;=3,"Short Stay",J221&lt;=7,"Extended Stay",J221&gt;=8,"Long Stay")</f>
        <v>Long Stay</v>
      </c>
      <c r="L221" t="s">
        <v>141</v>
      </c>
      <c r="M221" s="10" t="str">
        <f t="shared" si="16"/>
        <v>Suite</v>
      </c>
      <c r="N221" t="s">
        <v>57</v>
      </c>
      <c r="O221" t="s">
        <v>71</v>
      </c>
      <c r="P221">
        <f>IFERROR(VLOOKUP(TRIM(M221),Room!D:H,5,FALSE),5000)</f>
        <v>12500</v>
      </c>
      <c r="Q221">
        <f t="shared" si="17"/>
        <v>175000</v>
      </c>
      <c r="R221" s="11" t="str">
        <f t="shared" si="18"/>
        <v>Business</v>
      </c>
      <c r="S221" s="11">
        <f t="shared" si="19"/>
        <v>5</v>
      </c>
    </row>
    <row r="222" spans="1:19">
      <c r="A222" t="s">
        <v>1286</v>
      </c>
      <c r="B222" t="s">
        <v>1287</v>
      </c>
      <c r="C222" t="s">
        <v>1288</v>
      </c>
      <c r="D222" t="s">
        <v>1289</v>
      </c>
      <c r="E222" t="s">
        <v>1290</v>
      </c>
      <c r="F222" t="s">
        <v>1291</v>
      </c>
      <c r="G222" s="4">
        <v>45601</v>
      </c>
      <c r="H222" s="4">
        <v>45625</v>
      </c>
      <c r="I222" s="4">
        <v>45637</v>
      </c>
      <c r="J222">
        <f t="shared" si="15"/>
        <v>12</v>
      </c>
      <c r="K222" t="str">
        <f t="array" ref="K222">_xlfn.IFS(J222=1,"Day Use",J222&lt;=3,"Short Stay",J222&lt;=7,"Extended Stay",J222&gt;=8,"Long Stay")</f>
        <v>Long Stay</v>
      </c>
      <c r="L222" t="s">
        <v>25</v>
      </c>
      <c r="M222" s="10" t="str">
        <f t="shared" si="16"/>
        <v>Suite</v>
      </c>
      <c r="N222" t="s">
        <v>57</v>
      </c>
      <c r="O222" t="s">
        <v>42</v>
      </c>
      <c r="P222">
        <f>IFERROR(VLOOKUP(TRIM(M222),Room!D:H,5,FALSE),5000)</f>
        <v>12500</v>
      </c>
      <c r="Q222">
        <f t="shared" si="17"/>
        <v>150000</v>
      </c>
      <c r="R222" s="11" t="str">
        <f t="shared" si="18"/>
        <v>Business</v>
      </c>
      <c r="S222" s="11">
        <f t="shared" si="19"/>
        <v>5</v>
      </c>
    </row>
    <row r="223" spans="1:19">
      <c r="A223" t="s">
        <v>1292</v>
      </c>
      <c r="B223" t="s">
        <v>1293</v>
      </c>
      <c r="C223" t="s">
        <v>639</v>
      </c>
      <c r="D223" t="s">
        <v>1294</v>
      </c>
      <c r="E223" t="s">
        <v>1295</v>
      </c>
      <c r="F223" t="s">
        <v>1296</v>
      </c>
      <c r="G223" s="4">
        <v>45645</v>
      </c>
      <c r="H223" s="4">
        <v>46002</v>
      </c>
      <c r="I223" s="4">
        <v>46004</v>
      </c>
      <c r="J223">
        <f t="shared" si="15"/>
        <v>2</v>
      </c>
      <c r="K223" t="str">
        <f t="array" ref="K223">_xlfn.IFS(J223=1,"Day Use",J223&lt;=3,"Short Stay",J223&lt;=7,"Extended Stay",J223&gt;=8,"Long Stay")</f>
        <v>Short Stay</v>
      </c>
      <c r="L223" t="s">
        <v>196</v>
      </c>
      <c r="M223" s="10" t="str">
        <f t="shared" si="16"/>
        <v>Standard</v>
      </c>
      <c r="N223" t="s">
        <v>26</v>
      </c>
      <c r="O223" t="s">
        <v>27</v>
      </c>
      <c r="P223">
        <f>IFERROR(VLOOKUP(TRIM(M223),Room!D:H,5,FALSE),5000)</f>
        <v>3200</v>
      </c>
      <c r="Q223">
        <f t="shared" si="17"/>
        <v>6400</v>
      </c>
      <c r="R223" s="11" t="str">
        <f t="shared" si="18"/>
        <v>Other</v>
      </c>
      <c r="S223" s="11">
        <f t="shared" si="19"/>
        <v>2</v>
      </c>
    </row>
    <row r="224" spans="1:19">
      <c r="A224" t="s">
        <v>1297</v>
      </c>
      <c r="B224" t="s">
        <v>1298</v>
      </c>
      <c r="C224" t="s">
        <v>564</v>
      </c>
      <c r="D224" t="s">
        <v>1299</v>
      </c>
      <c r="E224" t="s">
        <v>1300</v>
      </c>
      <c r="F224" t="s">
        <v>1301</v>
      </c>
      <c r="G224" s="4">
        <v>45649</v>
      </c>
      <c r="H224" s="4">
        <v>45660</v>
      </c>
      <c r="I224" s="4">
        <v>45662</v>
      </c>
      <c r="J224">
        <f t="shared" si="15"/>
        <v>2</v>
      </c>
      <c r="K224" t="str">
        <f t="array" ref="K224">_xlfn.IFS(J224=1,"Day Use",J224&lt;=3,"Short Stay",J224&lt;=7,"Extended Stay",J224&gt;=8,"Long Stay")</f>
        <v>Short Stay</v>
      </c>
      <c r="L224" t="s">
        <v>56</v>
      </c>
      <c r="M224" s="10" t="str">
        <f t="shared" si="16"/>
        <v>Standard</v>
      </c>
      <c r="N224" t="s">
        <v>26</v>
      </c>
      <c r="O224" t="s">
        <v>58</v>
      </c>
      <c r="P224">
        <f>IFERROR(VLOOKUP(TRIM(M224),Room!D:H,5,FALSE),5000)</f>
        <v>3200</v>
      </c>
      <c r="Q224">
        <f t="shared" si="17"/>
        <v>6400</v>
      </c>
      <c r="R224" s="11" t="str">
        <f t="shared" si="18"/>
        <v>Other</v>
      </c>
      <c r="S224" s="11">
        <f t="shared" si="19"/>
        <v>2</v>
      </c>
    </row>
    <row r="225" spans="1:19">
      <c r="A225" t="s">
        <v>1302</v>
      </c>
      <c r="B225" t="s">
        <v>1303</v>
      </c>
      <c r="C225" t="s">
        <v>1014</v>
      </c>
      <c r="D225" t="s">
        <v>1304</v>
      </c>
      <c r="E225" t="s">
        <v>1305</v>
      </c>
      <c r="F225" t="s">
        <v>1306</v>
      </c>
      <c r="G225" s="4">
        <v>45480</v>
      </c>
      <c r="H225" s="4">
        <v>45954</v>
      </c>
      <c r="I225" s="4">
        <v>45963</v>
      </c>
      <c r="J225">
        <f t="shared" si="15"/>
        <v>9</v>
      </c>
      <c r="K225" t="str">
        <f t="array" ref="K225">_xlfn.IFS(J225=1,"Day Use",J225&lt;=3,"Short Stay",J225&lt;=7,"Extended Stay",J225&gt;=8,"Long Stay")</f>
        <v>Long Stay</v>
      </c>
      <c r="L225" t="s">
        <v>25</v>
      </c>
      <c r="M225" s="10" t="str">
        <f t="shared" si="16"/>
        <v>Premium</v>
      </c>
      <c r="N225" t="s">
        <v>26</v>
      </c>
      <c r="O225" t="s">
        <v>58</v>
      </c>
      <c r="P225">
        <f>IFERROR(VLOOKUP(TRIM(M225),Room!D:H,5,FALSE),5000)</f>
        <v>9500</v>
      </c>
      <c r="Q225">
        <f t="shared" si="17"/>
        <v>85500</v>
      </c>
      <c r="R225" s="11" t="str">
        <f t="shared" si="18"/>
        <v>Conference</v>
      </c>
      <c r="S225" s="11">
        <f t="shared" si="19"/>
        <v>4</v>
      </c>
    </row>
    <row r="226" spans="1:19">
      <c r="A226" t="s">
        <v>1307</v>
      </c>
      <c r="B226" t="s">
        <v>1308</v>
      </c>
      <c r="C226" t="s">
        <v>823</v>
      </c>
      <c r="D226" t="s">
        <v>1309</v>
      </c>
      <c r="E226" t="s">
        <v>1310</v>
      </c>
      <c r="F226" t="s">
        <v>1311</v>
      </c>
      <c r="G226" s="4">
        <v>45355</v>
      </c>
      <c r="H226" s="4">
        <v>45708</v>
      </c>
      <c r="I226" s="4">
        <v>45716</v>
      </c>
      <c r="J226">
        <f t="shared" si="15"/>
        <v>8</v>
      </c>
      <c r="K226" t="str">
        <f t="array" ref="K226">_xlfn.IFS(J226=1,"Day Use",J226&lt;=3,"Short Stay",J226&lt;=7,"Extended Stay",J226&gt;=8,"Long Stay")</f>
        <v>Long Stay</v>
      </c>
      <c r="L226" t="s">
        <v>25</v>
      </c>
      <c r="M226" s="10" t="str">
        <f t="shared" si="16"/>
        <v>Premium</v>
      </c>
      <c r="N226" t="s">
        <v>26</v>
      </c>
      <c r="O226" t="s">
        <v>42</v>
      </c>
      <c r="P226">
        <f>IFERROR(VLOOKUP(TRIM(M226),Room!D:H,5,FALSE),5000)</f>
        <v>9500</v>
      </c>
      <c r="Q226">
        <f t="shared" si="17"/>
        <v>76000</v>
      </c>
      <c r="R226" s="11" t="str">
        <f t="shared" si="18"/>
        <v>Conference</v>
      </c>
      <c r="S226" s="11">
        <f t="shared" si="19"/>
        <v>4</v>
      </c>
    </row>
    <row r="227" spans="1:19">
      <c r="A227" t="s">
        <v>1312</v>
      </c>
      <c r="B227" t="s">
        <v>1313</v>
      </c>
      <c r="C227" t="s">
        <v>472</v>
      </c>
      <c r="D227" t="s">
        <v>1314</v>
      </c>
      <c r="E227" t="s">
        <v>1315</v>
      </c>
      <c r="F227" t="s">
        <v>1316</v>
      </c>
      <c r="G227" s="4">
        <v>45794</v>
      </c>
      <c r="H227" s="4">
        <v>45941</v>
      </c>
      <c r="I227" s="4">
        <v>45955</v>
      </c>
      <c r="J227">
        <f t="shared" si="15"/>
        <v>14</v>
      </c>
      <c r="K227" t="str">
        <f t="array" ref="K227">_xlfn.IFS(J227=1,"Day Use",J227&lt;=3,"Short Stay",J227&lt;=7,"Extended Stay",J227&gt;=8,"Long Stay")</f>
        <v>Long Stay</v>
      </c>
      <c r="L227" t="s">
        <v>49</v>
      </c>
      <c r="M227" s="10" t="str">
        <f t="shared" si="16"/>
        <v>Suite</v>
      </c>
      <c r="N227" t="s">
        <v>26</v>
      </c>
      <c r="O227" t="s">
        <v>42</v>
      </c>
      <c r="P227">
        <f>IFERROR(VLOOKUP(TRIM(M227),Room!D:H,5,FALSE),5000)</f>
        <v>12500</v>
      </c>
      <c r="Q227">
        <f t="shared" si="17"/>
        <v>175000</v>
      </c>
      <c r="R227" s="11" t="str">
        <f t="shared" si="18"/>
        <v>Business</v>
      </c>
      <c r="S227" s="11">
        <f t="shared" si="19"/>
        <v>5</v>
      </c>
    </row>
    <row r="228" spans="1:19">
      <c r="A228" t="s">
        <v>1317</v>
      </c>
      <c r="B228" t="s">
        <v>1318</v>
      </c>
      <c r="C228" t="s">
        <v>1207</v>
      </c>
      <c r="D228" t="s">
        <v>1319</v>
      </c>
      <c r="E228" t="s">
        <v>1320</v>
      </c>
      <c r="F228" t="s">
        <v>1321</v>
      </c>
      <c r="G228" s="4">
        <v>45793</v>
      </c>
      <c r="H228" s="4">
        <v>45798</v>
      </c>
      <c r="I228" s="4">
        <v>45812</v>
      </c>
      <c r="J228">
        <f t="shared" si="15"/>
        <v>14</v>
      </c>
      <c r="K228" t="str">
        <f t="array" ref="K228">_xlfn.IFS(J228=1,"Day Use",J228&lt;=3,"Short Stay",J228&lt;=7,"Extended Stay",J228&gt;=8,"Long Stay")</f>
        <v>Long Stay</v>
      </c>
      <c r="L228" t="s">
        <v>84</v>
      </c>
      <c r="M228" s="10" t="str">
        <f t="shared" si="16"/>
        <v>Suite</v>
      </c>
      <c r="N228" t="s">
        <v>26</v>
      </c>
      <c r="O228" t="s">
        <v>71</v>
      </c>
      <c r="P228">
        <f>IFERROR(VLOOKUP(TRIM(M228),Room!D:H,5,FALSE),5000)</f>
        <v>12500</v>
      </c>
      <c r="Q228">
        <f t="shared" si="17"/>
        <v>175000</v>
      </c>
      <c r="R228" s="11" t="str">
        <f t="shared" si="18"/>
        <v>Business</v>
      </c>
      <c r="S228" s="11">
        <f t="shared" si="19"/>
        <v>5</v>
      </c>
    </row>
    <row r="229" spans="1:19">
      <c r="A229" t="s">
        <v>1322</v>
      </c>
      <c r="B229" t="s">
        <v>1323</v>
      </c>
      <c r="C229" t="s">
        <v>1324</v>
      </c>
      <c r="D229" t="s">
        <v>1325</v>
      </c>
      <c r="E229" t="s">
        <v>1326</v>
      </c>
      <c r="F229" t="s">
        <v>1327</v>
      </c>
      <c r="G229" s="4">
        <v>45357</v>
      </c>
      <c r="H229" s="4">
        <v>45369</v>
      </c>
      <c r="I229" s="4">
        <v>45371</v>
      </c>
      <c r="J229">
        <f t="shared" si="15"/>
        <v>2</v>
      </c>
      <c r="K229" t="str">
        <f t="array" ref="K229">_xlfn.IFS(J229=1,"Day Use",J229&lt;=3,"Short Stay",J229&lt;=7,"Extended Stay",J229&gt;=8,"Long Stay")</f>
        <v>Short Stay</v>
      </c>
      <c r="L229" t="s">
        <v>196</v>
      </c>
      <c r="M229" s="10" t="str">
        <f t="shared" si="16"/>
        <v>Standard</v>
      </c>
      <c r="N229" t="s">
        <v>26</v>
      </c>
      <c r="O229" t="s">
        <v>27</v>
      </c>
      <c r="P229">
        <f>IFERROR(VLOOKUP(TRIM(M229),Room!D:H,5,FALSE),5000)</f>
        <v>3200</v>
      </c>
      <c r="Q229">
        <f t="shared" si="17"/>
        <v>6400</v>
      </c>
      <c r="R229" s="11" t="str">
        <f t="shared" si="18"/>
        <v>Other</v>
      </c>
      <c r="S229" s="11">
        <f t="shared" si="19"/>
        <v>2</v>
      </c>
    </row>
    <row r="230" spans="1:19">
      <c r="A230" t="s">
        <v>1328</v>
      </c>
      <c r="B230" t="s">
        <v>1329</v>
      </c>
      <c r="C230" t="s">
        <v>1330</v>
      </c>
      <c r="D230" t="s">
        <v>1331</v>
      </c>
      <c r="E230" t="s">
        <v>1332</v>
      </c>
      <c r="F230" t="s">
        <v>1333</v>
      </c>
      <c r="G230" s="4">
        <v>45374</v>
      </c>
      <c r="H230" s="4">
        <v>45390</v>
      </c>
      <c r="I230" s="4">
        <v>45391</v>
      </c>
      <c r="J230">
        <f t="shared" si="15"/>
        <v>1</v>
      </c>
      <c r="K230" t="str">
        <f t="array" ref="K230">_xlfn.IFS(J230=1,"Day Use",J230&lt;=3,"Short Stay",J230&lt;=7,"Extended Stay",J230&gt;=8,"Long Stay")</f>
        <v>Day Use</v>
      </c>
      <c r="L230" t="s">
        <v>141</v>
      </c>
      <c r="M230" s="10" t="str">
        <f t="shared" si="16"/>
        <v>Standard</v>
      </c>
      <c r="N230" t="s">
        <v>26</v>
      </c>
      <c r="O230" t="s">
        <v>35</v>
      </c>
      <c r="P230">
        <f>IFERROR(VLOOKUP(TRIM(M230),Room!D:H,5,FALSE),5000)</f>
        <v>3200</v>
      </c>
      <c r="Q230">
        <f t="shared" si="17"/>
        <v>3200</v>
      </c>
      <c r="R230" s="11" t="str">
        <f t="shared" si="18"/>
        <v>Other</v>
      </c>
      <c r="S230" s="11">
        <f t="shared" si="19"/>
        <v>1</v>
      </c>
    </row>
    <row r="231" spans="1:19">
      <c r="A231" t="s">
        <v>1334</v>
      </c>
      <c r="B231" t="s">
        <v>1335</v>
      </c>
      <c r="C231" t="s">
        <v>253</v>
      </c>
      <c r="D231" t="s">
        <v>1336</v>
      </c>
      <c r="E231" t="s">
        <v>1337</v>
      </c>
      <c r="F231" t="s">
        <v>1338</v>
      </c>
      <c r="G231" s="4">
        <v>45636</v>
      </c>
      <c r="H231" s="4">
        <v>45666</v>
      </c>
      <c r="I231" s="4">
        <v>45670</v>
      </c>
      <c r="J231">
        <f t="shared" si="15"/>
        <v>4</v>
      </c>
      <c r="K231" t="str">
        <f t="array" ref="K231">_xlfn.IFS(J231=1,"Day Use",J231&lt;=3,"Short Stay",J231&lt;=7,"Extended Stay",J231&gt;=8,"Long Stay")</f>
        <v>Extended Stay</v>
      </c>
      <c r="L231" t="s">
        <v>141</v>
      </c>
      <c r="M231" s="10" t="str">
        <f t="shared" si="16"/>
        <v>Deluxe</v>
      </c>
      <c r="N231" t="s">
        <v>26</v>
      </c>
      <c r="O231" t="s">
        <v>58</v>
      </c>
      <c r="P231">
        <f>IFERROR(VLOOKUP(TRIM(M231),Room!D:H,5,FALSE),5000)</f>
        <v>5400</v>
      </c>
      <c r="Q231">
        <f t="shared" si="17"/>
        <v>21600</v>
      </c>
      <c r="R231" s="11" t="str">
        <f t="shared" si="18"/>
        <v>Conference</v>
      </c>
      <c r="S231" s="11">
        <f t="shared" si="19"/>
        <v>3</v>
      </c>
    </row>
    <row r="232" spans="1:19">
      <c r="A232" t="s">
        <v>1339</v>
      </c>
      <c r="B232" t="s">
        <v>1340</v>
      </c>
      <c r="C232" t="s">
        <v>762</v>
      </c>
      <c r="D232" t="s">
        <v>1341</v>
      </c>
      <c r="E232" t="s">
        <v>1342</v>
      </c>
      <c r="F232" t="s">
        <v>1343</v>
      </c>
      <c r="G232" s="4">
        <v>45586</v>
      </c>
      <c r="H232" s="4">
        <v>45728</v>
      </c>
      <c r="I232" s="4">
        <v>45729</v>
      </c>
      <c r="J232">
        <f t="shared" si="15"/>
        <v>1</v>
      </c>
      <c r="K232" t="str">
        <f t="array" ref="K232">_xlfn.IFS(J232=1,"Day Use",J232&lt;=3,"Short Stay",J232&lt;=7,"Extended Stay",J232&gt;=8,"Long Stay")</f>
        <v>Day Use</v>
      </c>
      <c r="L232" t="s">
        <v>84</v>
      </c>
      <c r="M232" s="10" t="str">
        <f t="shared" si="16"/>
        <v>Standard</v>
      </c>
      <c r="N232" t="s">
        <v>26</v>
      </c>
      <c r="O232" t="s">
        <v>35</v>
      </c>
      <c r="P232">
        <f>IFERROR(VLOOKUP(TRIM(M232),Room!D:H,5,FALSE),5000)</f>
        <v>3200</v>
      </c>
      <c r="Q232">
        <f t="shared" si="17"/>
        <v>3200</v>
      </c>
      <c r="R232" s="11" t="str">
        <f t="shared" si="18"/>
        <v>Other</v>
      </c>
      <c r="S232" s="11">
        <f t="shared" si="19"/>
        <v>1</v>
      </c>
    </row>
    <row r="233" spans="1:19">
      <c r="A233" t="s">
        <v>1344</v>
      </c>
      <c r="B233" t="s">
        <v>1345</v>
      </c>
      <c r="C233" t="s">
        <v>1164</v>
      </c>
      <c r="D233" t="s">
        <v>1346</v>
      </c>
      <c r="E233" t="s">
        <v>1347</v>
      </c>
      <c r="F233" t="s">
        <v>1348</v>
      </c>
      <c r="G233" s="4">
        <v>45422</v>
      </c>
      <c r="H233" s="4">
        <v>45426</v>
      </c>
      <c r="I233" s="4">
        <v>45432</v>
      </c>
      <c r="J233">
        <f t="shared" si="15"/>
        <v>6</v>
      </c>
      <c r="K233" t="str">
        <f t="array" ref="K233">_xlfn.IFS(J233=1,"Day Use",J233&lt;=3,"Short Stay",J233&lt;=7,"Extended Stay",J233&gt;=8,"Long Stay")</f>
        <v>Extended Stay</v>
      </c>
      <c r="L233" t="s">
        <v>141</v>
      </c>
      <c r="M233" s="10" t="str">
        <f t="shared" si="16"/>
        <v>Deluxe</v>
      </c>
      <c r="N233" t="s">
        <v>134</v>
      </c>
      <c r="O233" t="s">
        <v>42</v>
      </c>
      <c r="P233">
        <f>IFERROR(VLOOKUP(TRIM(M233),Room!D:H,5,FALSE),5000)</f>
        <v>5400</v>
      </c>
      <c r="Q233">
        <f t="shared" si="17"/>
        <v>32400</v>
      </c>
      <c r="R233" s="11" t="str">
        <f t="shared" si="18"/>
        <v>Conference</v>
      </c>
      <c r="S233" s="11">
        <f t="shared" si="19"/>
        <v>3</v>
      </c>
    </row>
    <row r="234" spans="1:19">
      <c r="A234" t="s">
        <v>1349</v>
      </c>
      <c r="B234" t="s">
        <v>1350</v>
      </c>
      <c r="C234" t="s">
        <v>829</v>
      </c>
      <c r="D234" t="s">
        <v>1351</v>
      </c>
      <c r="E234" t="s">
        <v>1352</v>
      </c>
      <c r="F234" t="s">
        <v>1353</v>
      </c>
      <c r="G234" s="4">
        <v>45530</v>
      </c>
      <c r="H234" s="4">
        <v>45783</v>
      </c>
      <c r="I234" s="4">
        <v>45797</v>
      </c>
      <c r="J234">
        <f t="shared" si="15"/>
        <v>14</v>
      </c>
      <c r="K234" t="str">
        <f t="array" ref="K234">_xlfn.IFS(J234=1,"Day Use",J234&lt;=3,"Short Stay",J234&lt;=7,"Extended Stay",J234&gt;=8,"Long Stay")</f>
        <v>Long Stay</v>
      </c>
      <c r="L234" t="s">
        <v>91</v>
      </c>
      <c r="M234" s="10" t="str">
        <f t="shared" si="16"/>
        <v>Suite</v>
      </c>
      <c r="N234" t="s">
        <v>26</v>
      </c>
      <c r="O234" t="s">
        <v>71</v>
      </c>
      <c r="P234">
        <f>IFERROR(VLOOKUP(TRIM(M234),Room!D:H,5,FALSE),5000)</f>
        <v>12500</v>
      </c>
      <c r="Q234">
        <f t="shared" si="17"/>
        <v>175000</v>
      </c>
      <c r="R234" s="11" t="str">
        <f t="shared" si="18"/>
        <v>Business</v>
      </c>
      <c r="S234" s="11">
        <f t="shared" si="19"/>
        <v>5</v>
      </c>
    </row>
    <row r="235" spans="1:19">
      <c r="A235" t="s">
        <v>1354</v>
      </c>
      <c r="B235" t="s">
        <v>1355</v>
      </c>
      <c r="C235" t="s">
        <v>768</v>
      </c>
      <c r="D235" t="s">
        <v>1356</v>
      </c>
      <c r="E235" t="s">
        <v>1357</v>
      </c>
      <c r="F235" t="s">
        <v>1358</v>
      </c>
      <c r="G235" s="4">
        <v>45498</v>
      </c>
      <c r="H235" s="4">
        <v>45511</v>
      </c>
      <c r="I235" s="4">
        <v>45520</v>
      </c>
      <c r="J235">
        <f t="shared" si="15"/>
        <v>9</v>
      </c>
      <c r="K235" t="str">
        <f t="array" ref="K235">_xlfn.IFS(J235=1,"Day Use",J235&lt;=3,"Short Stay",J235&lt;=7,"Extended Stay",J235&gt;=8,"Long Stay")</f>
        <v>Long Stay</v>
      </c>
      <c r="L235" t="s">
        <v>141</v>
      </c>
      <c r="M235" s="10" t="str">
        <f t="shared" si="16"/>
        <v>Premium</v>
      </c>
      <c r="N235" t="s">
        <v>26</v>
      </c>
      <c r="O235" t="s">
        <v>58</v>
      </c>
      <c r="P235">
        <f>IFERROR(VLOOKUP(TRIM(M235),Room!D:H,5,FALSE),5000)</f>
        <v>9500</v>
      </c>
      <c r="Q235">
        <f t="shared" si="17"/>
        <v>85500</v>
      </c>
      <c r="R235" s="11" t="str">
        <f t="shared" si="18"/>
        <v>Conference</v>
      </c>
      <c r="S235" s="11">
        <f t="shared" si="19"/>
        <v>4</v>
      </c>
    </row>
    <row r="236" spans="1:19">
      <c r="A236" t="s">
        <v>1359</v>
      </c>
      <c r="B236" t="s">
        <v>1360</v>
      </c>
      <c r="C236" t="s">
        <v>1361</v>
      </c>
      <c r="D236" t="s">
        <v>1362</v>
      </c>
      <c r="E236" t="s">
        <v>1363</v>
      </c>
      <c r="F236" t="s">
        <v>1364</v>
      </c>
      <c r="G236" s="4">
        <v>45402</v>
      </c>
      <c r="H236" s="4">
        <v>45884</v>
      </c>
      <c r="I236" s="4">
        <v>45885</v>
      </c>
      <c r="J236">
        <f t="shared" si="15"/>
        <v>1</v>
      </c>
      <c r="K236" t="str">
        <f t="array" ref="K236">_xlfn.IFS(J236=1,"Day Use",J236&lt;=3,"Short Stay",J236&lt;=7,"Extended Stay",J236&gt;=8,"Long Stay")</f>
        <v>Day Use</v>
      </c>
      <c r="L236" t="s">
        <v>196</v>
      </c>
      <c r="M236" s="10" t="str">
        <f t="shared" si="16"/>
        <v>Standard</v>
      </c>
      <c r="N236" t="s">
        <v>26</v>
      </c>
      <c r="O236" t="s">
        <v>58</v>
      </c>
      <c r="P236">
        <f>IFERROR(VLOOKUP(TRIM(M236),Room!D:H,5,FALSE),5000)</f>
        <v>3200</v>
      </c>
      <c r="Q236">
        <f t="shared" si="17"/>
        <v>3200</v>
      </c>
      <c r="R236" s="11" t="str">
        <f t="shared" si="18"/>
        <v>Other</v>
      </c>
      <c r="S236" s="11">
        <f t="shared" si="19"/>
        <v>1</v>
      </c>
    </row>
    <row r="237" spans="1:19">
      <c r="A237" t="s">
        <v>1365</v>
      </c>
      <c r="B237" t="s">
        <v>1366</v>
      </c>
      <c r="C237" t="s">
        <v>1367</v>
      </c>
      <c r="D237" t="s">
        <v>1368</v>
      </c>
      <c r="E237" t="s">
        <v>1369</v>
      </c>
      <c r="F237" t="s">
        <v>1370</v>
      </c>
      <c r="G237" s="4">
        <v>45491</v>
      </c>
      <c r="H237" s="4">
        <v>45796</v>
      </c>
      <c r="I237" s="4">
        <v>45801</v>
      </c>
      <c r="J237">
        <f t="shared" si="15"/>
        <v>5</v>
      </c>
      <c r="K237" t="str">
        <f t="array" ref="K237">_xlfn.IFS(J237=1,"Day Use",J237&lt;=3,"Short Stay",J237&lt;=7,"Extended Stay",J237&gt;=8,"Long Stay")</f>
        <v>Extended Stay</v>
      </c>
      <c r="L237" t="s">
        <v>34</v>
      </c>
      <c r="M237" s="10" t="str">
        <f t="shared" si="16"/>
        <v>Deluxe</v>
      </c>
      <c r="N237" t="s">
        <v>26</v>
      </c>
      <c r="O237" t="s">
        <v>71</v>
      </c>
      <c r="P237">
        <f>IFERROR(VLOOKUP(TRIM(M237),Room!D:H,5,FALSE),5000)</f>
        <v>5400</v>
      </c>
      <c r="Q237">
        <f t="shared" si="17"/>
        <v>27000</v>
      </c>
      <c r="R237" s="11" t="str">
        <f t="shared" si="18"/>
        <v>Conference</v>
      </c>
      <c r="S237" s="11">
        <f t="shared" si="19"/>
        <v>3</v>
      </c>
    </row>
    <row r="238" spans="1:19">
      <c r="A238" t="s">
        <v>1371</v>
      </c>
      <c r="B238" t="s">
        <v>1372</v>
      </c>
      <c r="C238" t="s">
        <v>933</v>
      </c>
      <c r="D238" t="s">
        <v>1373</v>
      </c>
      <c r="E238" t="s">
        <v>1374</v>
      </c>
      <c r="F238" t="s">
        <v>1375</v>
      </c>
      <c r="G238" s="4">
        <v>45377</v>
      </c>
      <c r="H238" s="4">
        <v>45430</v>
      </c>
      <c r="I238" s="4">
        <v>45440</v>
      </c>
      <c r="J238">
        <f t="shared" si="15"/>
        <v>10</v>
      </c>
      <c r="K238" t="str">
        <f t="array" ref="K238">_xlfn.IFS(J238=1,"Day Use",J238&lt;=3,"Short Stay",J238&lt;=7,"Extended Stay",J238&gt;=8,"Long Stay")</f>
        <v>Long Stay</v>
      </c>
      <c r="L238" t="s">
        <v>91</v>
      </c>
      <c r="M238" s="10" t="str">
        <f t="shared" si="16"/>
        <v>Premium</v>
      </c>
      <c r="N238" t="s">
        <v>134</v>
      </c>
      <c r="O238" t="s">
        <v>35</v>
      </c>
      <c r="P238">
        <f>IFERROR(VLOOKUP(TRIM(M238),Room!D:H,5,FALSE),5000)</f>
        <v>9500</v>
      </c>
      <c r="Q238">
        <f t="shared" si="17"/>
        <v>95000</v>
      </c>
      <c r="R238" s="11" t="str">
        <f t="shared" si="18"/>
        <v>Conference</v>
      </c>
      <c r="S238" s="11">
        <f t="shared" si="19"/>
        <v>4</v>
      </c>
    </row>
    <row r="239" spans="1:19">
      <c r="A239" t="s">
        <v>1376</v>
      </c>
      <c r="B239" t="s">
        <v>1377</v>
      </c>
      <c r="C239" t="s">
        <v>38</v>
      </c>
      <c r="D239" t="s">
        <v>1378</v>
      </c>
      <c r="E239" t="s">
        <v>1379</v>
      </c>
      <c r="F239" t="s">
        <v>1380</v>
      </c>
      <c r="G239" s="4">
        <v>45440</v>
      </c>
      <c r="H239" s="4">
        <v>45948</v>
      </c>
      <c r="I239" s="4">
        <v>45950</v>
      </c>
      <c r="J239">
        <f t="shared" si="15"/>
        <v>2</v>
      </c>
      <c r="K239" t="str">
        <f t="array" ref="K239">_xlfn.IFS(J239=1,"Day Use",J239&lt;=3,"Short Stay",J239&lt;=7,"Extended Stay",J239&gt;=8,"Long Stay")</f>
        <v>Short Stay</v>
      </c>
      <c r="L239" t="s">
        <v>84</v>
      </c>
      <c r="M239" s="10" t="str">
        <f t="shared" si="16"/>
        <v>Standard</v>
      </c>
      <c r="N239" t="s">
        <v>26</v>
      </c>
      <c r="O239" t="s">
        <v>71</v>
      </c>
      <c r="P239">
        <f>IFERROR(VLOOKUP(TRIM(M239),Room!D:H,5,FALSE),5000)</f>
        <v>3200</v>
      </c>
      <c r="Q239">
        <f t="shared" si="17"/>
        <v>6400</v>
      </c>
      <c r="R239" s="11" t="str">
        <f t="shared" si="18"/>
        <v>Other</v>
      </c>
      <c r="S239" s="11">
        <f t="shared" si="19"/>
        <v>2</v>
      </c>
    </row>
    <row r="240" spans="1:19">
      <c r="A240" t="s">
        <v>1381</v>
      </c>
      <c r="B240" t="s">
        <v>1382</v>
      </c>
      <c r="C240" t="s">
        <v>1383</v>
      </c>
      <c r="D240" t="s">
        <v>1384</v>
      </c>
      <c r="E240" t="s">
        <v>1385</v>
      </c>
      <c r="F240" t="s">
        <v>1386</v>
      </c>
      <c r="G240" s="4">
        <v>45524</v>
      </c>
      <c r="H240" s="4">
        <v>45539</v>
      </c>
      <c r="I240" s="4">
        <v>45553</v>
      </c>
      <c r="J240">
        <f t="shared" si="15"/>
        <v>14</v>
      </c>
      <c r="K240" t="str">
        <f t="array" ref="K240">_xlfn.IFS(J240=1,"Day Use",J240&lt;=3,"Short Stay",J240&lt;=7,"Extended Stay",J240&gt;=8,"Long Stay")</f>
        <v>Long Stay</v>
      </c>
      <c r="L240" t="s">
        <v>34</v>
      </c>
      <c r="M240" s="10" t="str">
        <f t="shared" si="16"/>
        <v>Suite</v>
      </c>
      <c r="N240" t="s">
        <v>134</v>
      </c>
      <c r="O240" t="s">
        <v>35</v>
      </c>
      <c r="P240">
        <f>IFERROR(VLOOKUP(TRIM(M240),Room!D:H,5,FALSE),5000)</f>
        <v>12500</v>
      </c>
      <c r="Q240">
        <f t="shared" si="17"/>
        <v>175000</v>
      </c>
      <c r="R240" s="11" t="str">
        <f t="shared" si="18"/>
        <v>Business</v>
      </c>
      <c r="S240" s="11">
        <f t="shared" si="19"/>
        <v>5</v>
      </c>
    </row>
    <row r="241" spans="1:19">
      <c r="A241" t="s">
        <v>1387</v>
      </c>
      <c r="B241" t="s">
        <v>1388</v>
      </c>
      <c r="C241" t="s">
        <v>265</v>
      </c>
      <c r="D241" t="s">
        <v>1389</v>
      </c>
      <c r="E241" t="s">
        <v>1390</v>
      </c>
      <c r="F241" t="s">
        <v>1391</v>
      </c>
      <c r="G241" s="4">
        <v>45831</v>
      </c>
      <c r="H241" s="4">
        <v>45887</v>
      </c>
      <c r="I241" s="4">
        <v>45888</v>
      </c>
      <c r="J241">
        <f t="shared" si="15"/>
        <v>1</v>
      </c>
      <c r="K241" t="str">
        <f t="array" ref="K241">_xlfn.IFS(J241=1,"Day Use",J241&lt;=3,"Short Stay",J241&lt;=7,"Extended Stay",J241&gt;=8,"Long Stay")</f>
        <v>Day Use</v>
      </c>
      <c r="L241" t="s">
        <v>196</v>
      </c>
      <c r="M241" s="10" t="str">
        <f t="shared" si="16"/>
        <v>Standard</v>
      </c>
      <c r="N241" t="s">
        <v>26</v>
      </c>
      <c r="O241" t="s">
        <v>35</v>
      </c>
      <c r="P241">
        <f>IFERROR(VLOOKUP(TRIM(M241),Room!D:H,5,FALSE),5000)</f>
        <v>3200</v>
      </c>
      <c r="Q241">
        <f t="shared" si="17"/>
        <v>3200</v>
      </c>
      <c r="R241" s="11" t="str">
        <f t="shared" si="18"/>
        <v>Other</v>
      </c>
      <c r="S241" s="11">
        <f t="shared" si="19"/>
        <v>1</v>
      </c>
    </row>
    <row r="242" spans="1:19">
      <c r="A242" t="s">
        <v>1392</v>
      </c>
      <c r="B242" t="s">
        <v>1393</v>
      </c>
      <c r="C242" t="s">
        <v>87</v>
      </c>
      <c r="D242" t="s">
        <v>1394</v>
      </c>
      <c r="E242" t="s">
        <v>1395</v>
      </c>
      <c r="F242" t="s">
        <v>1396</v>
      </c>
      <c r="G242" s="4">
        <v>45630</v>
      </c>
      <c r="H242" s="4">
        <v>45886</v>
      </c>
      <c r="I242" s="4">
        <v>45893</v>
      </c>
      <c r="J242">
        <f t="shared" si="15"/>
        <v>7</v>
      </c>
      <c r="K242" t="str">
        <f t="array" ref="K242">_xlfn.IFS(J242=1,"Day Use",J242&lt;=3,"Short Stay",J242&lt;=7,"Extended Stay",J242&gt;=8,"Long Stay")</f>
        <v>Extended Stay</v>
      </c>
      <c r="L242" t="s">
        <v>49</v>
      </c>
      <c r="M242" s="10" t="str">
        <f t="shared" si="16"/>
        <v>Premium</v>
      </c>
      <c r="N242" t="s">
        <v>26</v>
      </c>
      <c r="O242" t="s">
        <v>42</v>
      </c>
      <c r="P242">
        <f>IFERROR(VLOOKUP(TRIM(M242),Room!D:H,5,FALSE),5000)</f>
        <v>9500</v>
      </c>
      <c r="Q242">
        <f t="shared" si="17"/>
        <v>66500</v>
      </c>
      <c r="R242" s="11" t="str">
        <f t="shared" si="18"/>
        <v>Conference</v>
      </c>
      <c r="S242" s="11">
        <f t="shared" si="19"/>
        <v>4</v>
      </c>
    </row>
    <row r="243" spans="1:19">
      <c r="A243" t="s">
        <v>1397</v>
      </c>
      <c r="B243" t="s">
        <v>1398</v>
      </c>
      <c r="C243" t="s">
        <v>1399</v>
      </c>
      <c r="D243" t="s">
        <v>1400</v>
      </c>
      <c r="E243" t="s">
        <v>1401</v>
      </c>
      <c r="F243" t="s">
        <v>1402</v>
      </c>
      <c r="G243" s="4">
        <v>45326</v>
      </c>
      <c r="H243" s="4">
        <v>45347</v>
      </c>
      <c r="I243" s="4">
        <v>45357</v>
      </c>
      <c r="J243">
        <f t="shared" si="15"/>
        <v>10</v>
      </c>
      <c r="K243" t="str">
        <f t="array" ref="K243">_xlfn.IFS(J243=1,"Day Use",J243&lt;=3,"Short Stay",J243&lt;=7,"Extended Stay",J243&gt;=8,"Long Stay")</f>
        <v>Long Stay</v>
      </c>
      <c r="L243" t="s">
        <v>196</v>
      </c>
      <c r="M243" s="10" t="str">
        <f t="shared" si="16"/>
        <v>Premium</v>
      </c>
      <c r="N243" t="s">
        <v>134</v>
      </c>
      <c r="O243" t="s">
        <v>58</v>
      </c>
      <c r="P243">
        <f>IFERROR(VLOOKUP(TRIM(M243),Room!D:H,5,FALSE),5000)</f>
        <v>9500</v>
      </c>
      <c r="Q243">
        <f t="shared" si="17"/>
        <v>95000</v>
      </c>
      <c r="R243" s="11" t="str">
        <f t="shared" si="18"/>
        <v>Conference</v>
      </c>
      <c r="S243" s="11">
        <f t="shared" si="19"/>
        <v>4</v>
      </c>
    </row>
    <row r="244" spans="1:19">
      <c r="A244" t="s">
        <v>1403</v>
      </c>
      <c r="B244" t="s">
        <v>1404</v>
      </c>
      <c r="C244" t="s">
        <v>52</v>
      </c>
      <c r="D244" t="s">
        <v>1405</v>
      </c>
      <c r="E244" t="s">
        <v>1406</v>
      </c>
      <c r="F244" t="s">
        <v>1407</v>
      </c>
      <c r="G244" s="4">
        <v>45207</v>
      </c>
      <c r="H244" s="4">
        <v>45357</v>
      </c>
      <c r="I244" s="4">
        <v>45365</v>
      </c>
      <c r="J244">
        <f t="shared" si="15"/>
        <v>8</v>
      </c>
      <c r="K244" t="str">
        <f t="array" ref="K244">_xlfn.IFS(J244=1,"Day Use",J244&lt;=3,"Short Stay",J244&lt;=7,"Extended Stay",J244&gt;=8,"Long Stay")</f>
        <v>Long Stay</v>
      </c>
      <c r="L244" t="s">
        <v>141</v>
      </c>
      <c r="M244" s="10" t="str">
        <f t="shared" si="16"/>
        <v>Premium</v>
      </c>
      <c r="N244" t="s">
        <v>26</v>
      </c>
      <c r="O244" t="s">
        <v>27</v>
      </c>
      <c r="P244">
        <f>IFERROR(VLOOKUP(TRIM(M244),Room!D:H,5,FALSE),5000)</f>
        <v>9500</v>
      </c>
      <c r="Q244">
        <f t="shared" si="17"/>
        <v>76000</v>
      </c>
      <c r="R244" s="11" t="str">
        <f t="shared" si="18"/>
        <v>Conference</v>
      </c>
      <c r="S244" s="11">
        <f t="shared" si="19"/>
        <v>4</v>
      </c>
    </row>
    <row r="245" spans="1:19">
      <c r="A245" t="s">
        <v>1408</v>
      </c>
      <c r="B245" t="s">
        <v>1409</v>
      </c>
      <c r="C245" t="s">
        <v>691</v>
      </c>
      <c r="D245" t="s">
        <v>1410</v>
      </c>
      <c r="E245" t="s">
        <v>1411</v>
      </c>
      <c r="F245" t="s">
        <v>1412</v>
      </c>
      <c r="G245" s="4">
        <v>45303</v>
      </c>
      <c r="H245" s="4">
        <v>45303</v>
      </c>
      <c r="I245" s="4">
        <v>45317</v>
      </c>
      <c r="J245">
        <f t="shared" si="15"/>
        <v>14</v>
      </c>
      <c r="K245" t="str">
        <f t="array" ref="K245">_xlfn.IFS(J245=1,"Day Use",J245&lt;=3,"Short Stay",J245&lt;=7,"Extended Stay",J245&gt;=8,"Long Stay")</f>
        <v>Long Stay</v>
      </c>
      <c r="L245" t="s">
        <v>34</v>
      </c>
      <c r="M245" s="10" t="str">
        <f t="shared" si="16"/>
        <v>Suite</v>
      </c>
      <c r="N245" t="s">
        <v>148</v>
      </c>
      <c r="O245" t="s">
        <v>58</v>
      </c>
      <c r="P245">
        <f>IFERROR(VLOOKUP(TRIM(M245),Room!D:H,5,FALSE),5000)</f>
        <v>12500</v>
      </c>
      <c r="Q245">
        <f t="shared" si="17"/>
        <v>175000</v>
      </c>
      <c r="R245" s="11" t="str">
        <f t="shared" si="18"/>
        <v>Business</v>
      </c>
      <c r="S245" s="11">
        <f t="shared" si="19"/>
        <v>5</v>
      </c>
    </row>
    <row r="246" spans="1:19">
      <c r="A246" t="s">
        <v>1413</v>
      </c>
      <c r="B246" t="s">
        <v>1414</v>
      </c>
      <c r="C246" t="s">
        <v>124</v>
      </c>
      <c r="D246" t="s">
        <v>1415</v>
      </c>
      <c r="E246" t="s">
        <v>1416</v>
      </c>
      <c r="F246" t="s">
        <v>1417</v>
      </c>
      <c r="G246" s="4">
        <v>45312</v>
      </c>
      <c r="H246" s="4">
        <v>45537</v>
      </c>
      <c r="I246" s="4">
        <v>45548</v>
      </c>
      <c r="J246">
        <f t="shared" si="15"/>
        <v>11</v>
      </c>
      <c r="K246" t="str">
        <f t="array" ref="K246">_xlfn.IFS(J246=1,"Day Use",J246&lt;=3,"Short Stay",J246&lt;=7,"Extended Stay",J246&gt;=8,"Long Stay")</f>
        <v>Long Stay</v>
      </c>
      <c r="L246" t="s">
        <v>56</v>
      </c>
      <c r="M246" s="10" t="str">
        <f t="shared" si="16"/>
        <v>Suite</v>
      </c>
      <c r="N246" t="s">
        <v>148</v>
      </c>
      <c r="O246" t="s">
        <v>71</v>
      </c>
      <c r="P246">
        <f>IFERROR(VLOOKUP(TRIM(M246),Room!D:H,5,FALSE),5000)</f>
        <v>12500</v>
      </c>
      <c r="Q246">
        <f t="shared" si="17"/>
        <v>137500</v>
      </c>
      <c r="R246" s="11" t="str">
        <f t="shared" si="18"/>
        <v>Business</v>
      </c>
      <c r="S246" s="11">
        <f t="shared" si="19"/>
        <v>5</v>
      </c>
    </row>
    <row r="247" spans="1:19">
      <c r="A247" t="s">
        <v>1418</v>
      </c>
      <c r="B247" t="s">
        <v>1419</v>
      </c>
      <c r="C247" t="s">
        <v>1420</v>
      </c>
      <c r="D247" t="s">
        <v>1421</v>
      </c>
      <c r="E247" t="s">
        <v>1422</v>
      </c>
      <c r="F247" t="s">
        <v>1423</v>
      </c>
      <c r="G247" s="4">
        <v>45397</v>
      </c>
      <c r="H247" s="4">
        <v>45667</v>
      </c>
      <c r="I247" s="4">
        <v>45675</v>
      </c>
      <c r="J247">
        <f t="shared" si="15"/>
        <v>8</v>
      </c>
      <c r="K247" t="str">
        <f t="array" ref="K247">_xlfn.IFS(J247=1,"Day Use",J247&lt;=3,"Short Stay",J247&lt;=7,"Extended Stay",J247&gt;=8,"Long Stay")</f>
        <v>Long Stay</v>
      </c>
      <c r="L247" t="s">
        <v>91</v>
      </c>
      <c r="M247" s="10" t="str">
        <f t="shared" si="16"/>
        <v>Premium</v>
      </c>
      <c r="N247" t="s">
        <v>26</v>
      </c>
      <c r="O247" t="s">
        <v>71</v>
      </c>
      <c r="P247">
        <f>IFERROR(VLOOKUP(TRIM(M247),Room!D:H,5,FALSE),5000)</f>
        <v>9500</v>
      </c>
      <c r="Q247">
        <f t="shared" si="17"/>
        <v>76000</v>
      </c>
      <c r="R247" s="11" t="str">
        <f t="shared" si="18"/>
        <v>Conference</v>
      </c>
      <c r="S247" s="11">
        <f t="shared" si="19"/>
        <v>4</v>
      </c>
    </row>
    <row r="248" spans="1:19">
      <c r="A248" t="s">
        <v>1424</v>
      </c>
      <c r="B248" t="s">
        <v>1425</v>
      </c>
      <c r="C248" t="s">
        <v>253</v>
      </c>
      <c r="D248" t="s">
        <v>1426</v>
      </c>
      <c r="E248" t="s">
        <v>1427</v>
      </c>
      <c r="F248" t="s">
        <v>1428</v>
      </c>
      <c r="G248" s="4">
        <v>45705</v>
      </c>
      <c r="H248" s="4">
        <v>46002</v>
      </c>
      <c r="I248" s="4">
        <v>46015</v>
      </c>
      <c r="J248">
        <f t="shared" si="15"/>
        <v>13</v>
      </c>
      <c r="K248" t="str">
        <f t="array" ref="K248">_xlfn.IFS(J248=1,"Day Use",J248&lt;=3,"Short Stay",J248&lt;=7,"Extended Stay",J248&gt;=8,"Long Stay")</f>
        <v>Long Stay</v>
      </c>
      <c r="L248" t="s">
        <v>34</v>
      </c>
      <c r="M248" s="10" t="str">
        <f t="shared" si="16"/>
        <v>Suite</v>
      </c>
      <c r="N248" t="s">
        <v>26</v>
      </c>
      <c r="O248" t="s">
        <v>71</v>
      </c>
      <c r="P248">
        <f>IFERROR(VLOOKUP(TRIM(M248),Room!D:H,5,FALSE),5000)</f>
        <v>12500</v>
      </c>
      <c r="Q248">
        <f t="shared" si="17"/>
        <v>162500</v>
      </c>
      <c r="R248" s="11" t="str">
        <f t="shared" si="18"/>
        <v>Business</v>
      </c>
      <c r="S248" s="11">
        <f t="shared" si="19"/>
        <v>5</v>
      </c>
    </row>
    <row r="249" spans="1:19">
      <c r="A249" t="s">
        <v>1429</v>
      </c>
      <c r="B249" t="s">
        <v>1430</v>
      </c>
      <c r="C249" t="s">
        <v>1431</v>
      </c>
      <c r="D249" t="s">
        <v>1432</v>
      </c>
      <c r="E249" t="s">
        <v>1433</v>
      </c>
      <c r="F249" t="s">
        <v>1434</v>
      </c>
      <c r="G249" s="4">
        <v>45378</v>
      </c>
      <c r="H249" s="4">
        <v>45393</v>
      </c>
      <c r="I249" s="4">
        <v>45395</v>
      </c>
      <c r="J249">
        <f t="shared" si="15"/>
        <v>2</v>
      </c>
      <c r="K249" t="str">
        <f t="array" ref="K249">_xlfn.IFS(J249=1,"Day Use",J249&lt;=3,"Short Stay",J249&lt;=7,"Extended Stay",J249&gt;=8,"Long Stay")</f>
        <v>Short Stay</v>
      </c>
      <c r="L249" t="s">
        <v>34</v>
      </c>
      <c r="M249" s="10" t="str">
        <f t="shared" si="16"/>
        <v>Standard</v>
      </c>
      <c r="N249" t="s">
        <v>26</v>
      </c>
      <c r="O249" t="s">
        <v>27</v>
      </c>
      <c r="P249">
        <f>IFERROR(VLOOKUP(TRIM(M249),Room!D:H,5,FALSE),5000)</f>
        <v>3200</v>
      </c>
      <c r="Q249">
        <f t="shared" si="17"/>
        <v>6400</v>
      </c>
      <c r="R249" s="11" t="str">
        <f t="shared" si="18"/>
        <v>Other</v>
      </c>
      <c r="S249" s="11">
        <f t="shared" si="19"/>
        <v>2</v>
      </c>
    </row>
    <row r="250" spans="1:19">
      <c r="A250" t="s">
        <v>1435</v>
      </c>
      <c r="B250" t="s">
        <v>1436</v>
      </c>
      <c r="C250" t="s">
        <v>61</v>
      </c>
      <c r="D250" t="s">
        <v>1437</v>
      </c>
      <c r="E250" t="s">
        <v>1438</v>
      </c>
      <c r="F250" t="s">
        <v>1439</v>
      </c>
      <c r="G250" s="4">
        <v>45408</v>
      </c>
      <c r="H250" s="4">
        <v>45746</v>
      </c>
      <c r="I250" s="4">
        <v>45748</v>
      </c>
      <c r="J250">
        <f t="shared" si="15"/>
        <v>2</v>
      </c>
      <c r="K250" t="str">
        <f t="array" ref="K250">_xlfn.IFS(J250=1,"Day Use",J250&lt;=3,"Short Stay",J250&lt;=7,"Extended Stay",J250&gt;=8,"Long Stay")</f>
        <v>Short Stay</v>
      </c>
      <c r="L250" t="s">
        <v>91</v>
      </c>
      <c r="M250" s="10" t="str">
        <f t="shared" si="16"/>
        <v>Standard</v>
      </c>
      <c r="N250" t="s">
        <v>26</v>
      </c>
      <c r="O250" t="s">
        <v>35</v>
      </c>
      <c r="P250">
        <f>IFERROR(VLOOKUP(TRIM(M250),Room!D:H,5,FALSE),5000)</f>
        <v>3200</v>
      </c>
      <c r="Q250">
        <f t="shared" si="17"/>
        <v>6400</v>
      </c>
      <c r="R250" s="11" t="str">
        <f t="shared" si="18"/>
        <v>Other</v>
      </c>
      <c r="S250" s="11">
        <f t="shared" si="19"/>
        <v>2</v>
      </c>
    </row>
    <row r="251" spans="1:19">
      <c r="A251" t="s">
        <v>1440</v>
      </c>
      <c r="B251" t="s">
        <v>1441</v>
      </c>
      <c r="C251" t="s">
        <v>780</v>
      </c>
      <c r="D251" t="s">
        <v>1442</v>
      </c>
      <c r="E251" t="s">
        <v>1443</v>
      </c>
      <c r="F251" t="s">
        <v>1444</v>
      </c>
      <c r="G251" s="4">
        <v>45271</v>
      </c>
      <c r="H251" s="4">
        <v>45299</v>
      </c>
      <c r="I251" s="4">
        <v>45301</v>
      </c>
      <c r="J251">
        <f t="shared" si="15"/>
        <v>2</v>
      </c>
      <c r="K251" t="str">
        <f t="array" ref="K251">_xlfn.IFS(J251=1,"Day Use",J251&lt;=3,"Short Stay",J251&lt;=7,"Extended Stay",J251&gt;=8,"Long Stay")</f>
        <v>Short Stay</v>
      </c>
      <c r="L251" t="s">
        <v>141</v>
      </c>
      <c r="M251" s="10" t="str">
        <f t="shared" si="16"/>
        <v>Standard</v>
      </c>
      <c r="N251" t="s">
        <v>26</v>
      </c>
      <c r="O251" t="s">
        <v>42</v>
      </c>
      <c r="P251">
        <f>IFERROR(VLOOKUP(TRIM(M251),Room!D:H,5,FALSE),5000)</f>
        <v>3200</v>
      </c>
      <c r="Q251">
        <f t="shared" si="17"/>
        <v>6400</v>
      </c>
      <c r="R251" s="11" t="str">
        <f t="shared" si="18"/>
        <v>Other</v>
      </c>
      <c r="S251" s="11">
        <f t="shared" si="19"/>
        <v>2</v>
      </c>
    </row>
    <row r="252" spans="1:19">
      <c r="A252" t="s">
        <v>1445</v>
      </c>
      <c r="B252" t="s">
        <v>1446</v>
      </c>
      <c r="C252" t="s">
        <v>1447</v>
      </c>
      <c r="D252" t="s">
        <v>1448</v>
      </c>
      <c r="E252" t="s">
        <v>1449</v>
      </c>
      <c r="F252" t="s">
        <v>1450</v>
      </c>
      <c r="G252" s="4">
        <v>45734</v>
      </c>
      <c r="H252" s="4">
        <v>45938</v>
      </c>
      <c r="I252" s="4">
        <v>45952</v>
      </c>
      <c r="J252">
        <f t="shared" si="15"/>
        <v>14</v>
      </c>
      <c r="K252" t="str">
        <f t="array" ref="K252">_xlfn.IFS(J252=1,"Day Use",J252&lt;=3,"Short Stay",J252&lt;=7,"Extended Stay",J252&gt;=8,"Long Stay")</f>
        <v>Long Stay</v>
      </c>
      <c r="L252" t="s">
        <v>141</v>
      </c>
      <c r="M252" s="10" t="str">
        <f t="shared" si="16"/>
        <v>Suite</v>
      </c>
      <c r="N252" t="s">
        <v>26</v>
      </c>
      <c r="O252" t="s">
        <v>27</v>
      </c>
      <c r="P252">
        <f>IFERROR(VLOOKUP(TRIM(M252),Room!D:H,5,FALSE),5000)</f>
        <v>12500</v>
      </c>
      <c r="Q252">
        <f t="shared" si="17"/>
        <v>175000</v>
      </c>
      <c r="R252" s="11" t="str">
        <f t="shared" si="18"/>
        <v>Business</v>
      </c>
      <c r="S252" s="11">
        <f t="shared" si="19"/>
        <v>5</v>
      </c>
    </row>
    <row r="253" spans="1:19">
      <c r="A253" t="s">
        <v>1451</v>
      </c>
      <c r="B253" t="s">
        <v>1452</v>
      </c>
      <c r="C253" t="s">
        <v>1453</v>
      </c>
      <c r="D253" t="s">
        <v>1454</v>
      </c>
      <c r="E253" t="s">
        <v>1455</v>
      </c>
      <c r="F253" t="s">
        <v>1456</v>
      </c>
      <c r="G253" s="4">
        <v>45607</v>
      </c>
      <c r="H253" s="4">
        <v>45616</v>
      </c>
      <c r="I253" s="4">
        <v>45630</v>
      </c>
      <c r="J253">
        <f t="shared" si="15"/>
        <v>14</v>
      </c>
      <c r="K253" t="str">
        <f t="array" ref="K253">_xlfn.IFS(J253=1,"Day Use",J253&lt;=3,"Short Stay",J253&lt;=7,"Extended Stay",J253&gt;=8,"Long Stay")</f>
        <v>Long Stay</v>
      </c>
      <c r="L253" t="s">
        <v>25</v>
      </c>
      <c r="M253" s="10" t="str">
        <f t="shared" si="16"/>
        <v>Suite</v>
      </c>
      <c r="N253" t="s">
        <v>148</v>
      </c>
      <c r="O253" t="s">
        <v>42</v>
      </c>
      <c r="P253">
        <f>IFERROR(VLOOKUP(TRIM(M253),Room!D:H,5,FALSE),5000)</f>
        <v>12500</v>
      </c>
      <c r="Q253">
        <f t="shared" si="17"/>
        <v>175000</v>
      </c>
      <c r="R253" s="11" t="str">
        <f t="shared" si="18"/>
        <v>Business</v>
      </c>
      <c r="S253" s="11">
        <f t="shared" si="19"/>
        <v>5</v>
      </c>
    </row>
    <row r="254" spans="1:19">
      <c r="A254" t="s">
        <v>1457</v>
      </c>
      <c r="B254" t="s">
        <v>1458</v>
      </c>
      <c r="C254" t="s">
        <v>1074</v>
      </c>
      <c r="D254" t="s">
        <v>1459</v>
      </c>
      <c r="E254" t="s">
        <v>1460</v>
      </c>
      <c r="F254" t="s">
        <v>1461</v>
      </c>
      <c r="G254" s="4">
        <v>45876</v>
      </c>
      <c r="H254" s="4">
        <v>46016</v>
      </c>
      <c r="I254" s="4">
        <v>46022</v>
      </c>
      <c r="J254">
        <f t="shared" si="15"/>
        <v>6</v>
      </c>
      <c r="K254" t="str">
        <f t="array" ref="K254">_xlfn.IFS(J254=1,"Day Use",J254&lt;=3,"Short Stay",J254&lt;=7,"Extended Stay",J254&gt;=8,"Long Stay")</f>
        <v>Extended Stay</v>
      </c>
      <c r="L254" t="s">
        <v>141</v>
      </c>
      <c r="M254" s="10" t="str">
        <f t="shared" si="16"/>
        <v>Deluxe</v>
      </c>
      <c r="N254" t="s">
        <v>26</v>
      </c>
      <c r="O254" t="s">
        <v>27</v>
      </c>
      <c r="P254">
        <f>IFERROR(VLOOKUP(TRIM(M254),Room!D:H,5,FALSE),5000)</f>
        <v>5400</v>
      </c>
      <c r="Q254">
        <f t="shared" si="17"/>
        <v>32400</v>
      </c>
      <c r="R254" s="11" t="str">
        <f t="shared" si="18"/>
        <v>Conference</v>
      </c>
      <c r="S254" s="11">
        <f t="shared" si="19"/>
        <v>3</v>
      </c>
    </row>
    <row r="255" spans="1:19">
      <c r="A255" t="s">
        <v>1462</v>
      </c>
      <c r="B255" t="s">
        <v>1463</v>
      </c>
      <c r="C255" t="s">
        <v>1464</v>
      </c>
      <c r="D255" t="s">
        <v>1465</v>
      </c>
      <c r="E255" t="s">
        <v>1466</v>
      </c>
      <c r="F255" t="s">
        <v>1467</v>
      </c>
      <c r="G255" s="4">
        <v>45588</v>
      </c>
      <c r="H255" s="4">
        <v>45592</v>
      </c>
      <c r="I255" s="4">
        <v>45604</v>
      </c>
      <c r="J255">
        <f t="shared" si="15"/>
        <v>12</v>
      </c>
      <c r="K255" t="str">
        <f t="array" ref="K255">_xlfn.IFS(J255=1,"Day Use",J255&lt;=3,"Short Stay",J255&lt;=7,"Extended Stay",J255&gt;=8,"Long Stay")</f>
        <v>Long Stay</v>
      </c>
      <c r="L255" t="s">
        <v>141</v>
      </c>
      <c r="M255" s="10" t="str">
        <f t="shared" si="16"/>
        <v>Suite</v>
      </c>
      <c r="N255" t="s">
        <v>26</v>
      </c>
      <c r="O255" t="s">
        <v>42</v>
      </c>
      <c r="P255">
        <f>IFERROR(VLOOKUP(TRIM(M255),Room!D:H,5,FALSE),5000)</f>
        <v>12500</v>
      </c>
      <c r="Q255">
        <f t="shared" si="17"/>
        <v>150000</v>
      </c>
      <c r="R255" s="11" t="str">
        <f t="shared" si="18"/>
        <v>Business</v>
      </c>
      <c r="S255" s="11">
        <f t="shared" si="19"/>
        <v>5</v>
      </c>
    </row>
    <row r="256" spans="1:19">
      <c r="A256" t="s">
        <v>1468</v>
      </c>
      <c r="B256" t="s">
        <v>1469</v>
      </c>
      <c r="C256" t="s">
        <v>1470</v>
      </c>
      <c r="D256" t="s">
        <v>1471</v>
      </c>
      <c r="E256" t="s">
        <v>1472</v>
      </c>
      <c r="F256" t="s">
        <v>1473</v>
      </c>
      <c r="G256" s="4">
        <v>45712</v>
      </c>
      <c r="H256" s="4">
        <v>45724</v>
      </c>
      <c r="I256" s="4">
        <v>45730</v>
      </c>
      <c r="J256">
        <f t="shared" si="15"/>
        <v>6</v>
      </c>
      <c r="K256" t="str">
        <f t="array" ref="K256">_xlfn.IFS(J256=1,"Day Use",J256&lt;=3,"Short Stay",J256&lt;=7,"Extended Stay",J256&gt;=8,"Long Stay")</f>
        <v>Extended Stay</v>
      </c>
      <c r="L256" t="s">
        <v>25</v>
      </c>
      <c r="M256" s="10" t="str">
        <f t="shared" si="16"/>
        <v>Deluxe</v>
      </c>
      <c r="N256" t="s">
        <v>57</v>
      </c>
      <c r="O256" t="s">
        <v>42</v>
      </c>
      <c r="P256">
        <f>IFERROR(VLOOKUP(TRIM(M256),Room!D:H,5,FALSE),5000)</f>
        <v>5400</v>
      </c>
      <c r="Q256">
        <f t="shared" si="17"/>
        <v>32400</v>
      </c>
      <c r="R256" s="11" t="str">
        <f t="shared" si="18"/>
        <v>Conference</v>
      </c>
      <c r="S256" s="11">
        <f t="shared" si="19"/>
        <v>3</v>
      </c>
    </row>
    <row r="257" spans="1:19">
      <c r="A257" t="s">
        <v>1474</v>
      </c>
      <c r="B257" t="s">
        <v>1475</v>
      </c>
      <c r="C257" t="s">
        <v>1476</v>
      </c>
      <c r="D257" t="s">
        <v>1477</v>
      </c>
      <c r="E257" t="s">
        <v>1478</v>
      </c>
      <c r="F257" t="s">
        <v>1479</v>
      </c>
      <c r="G257" s="4">
        <v>45603</v>
      </c>
      <c r="H257" s="4">
        <v>45623</v>
      </c>
      <c r="I257" s="4">
        <v>45637</v>
      </c>
      <c r="J257">
        <f t="shared" si="15"/>
        <v>14</v>
      </c>
      <c r="K257" t="str">
        <f t="array" ref="K257">_xlfn.IFS(J257=1,"Day Use",J257&lt;=3,"Short Stay",J257&lt;=7,"Extended Stay",J257&gt;=8,"Long Stay")</f>
        <v>Long Stay</v>
      </c>
      <c r="L257" t="s">
        <v>49</v>
      </c>
      <c r="M257" s="10" t="str">
        <f t="shared" si="16"/>
        <v>Suite</v>
      </c>
      <c r="N257" t="s">
        <v>26</v>
      </c>
      <c r="O257" t="s">
        <v>42</v>
      </c>
      <c r="P257">
        <f>IFERROR(VLOOKUP(TRIM(M257),Room!D:H,5,FALSE),5000)</f>
        <v>12500</v>
      </c>
      <c r="Q257">
        <f t="shared" si="17"/>
        <v>175000</v>
      </c>
      <c r="R257" s="11" t="str">
        <f t="shared" si="18"/>
        <v>Business</v>
      </c>
      <c r="S257" s="11">
        <f t="shared" si="19"/>
        <v>5</v>
      </c>
    </row>
    <row r="258" spans="1:19">
      <c r="A258" t="s">
        <v>1480</v>
      </c>
      <c r="B258" t="s">
        <v>1481</v>
      </c>
      <c r="C258" t="s">
        <v>1482</v>
      </c>
      <c r="D258" t="s">
        <v>1483</v>
      </c>
      <c r="E258" t="s">
        <v>1484</v>
      </c>
      <c r="F258" t="s">
        <v>1485</v>
      </c>
      <c r="G258" s="4">
        <v>45975</v>
      </c>
      <c r="H258" s="4">
        <v>45992</v>
      </c>
      <c r="I258" s="4">
        <v>45993</v>
      </c>
      <c r="J258">
        <f t="shared" ref="J258:J321" si="20">I258-H258</f>
        <v>1</v>
      </c>
      <c r="K258" t="str">
        <f t="array" ref="K258">_xlfn.IFS(J258=1,"Day Use",J258&lt;=3,"Short Stay",J258&lt;=7,"Extended Stay",J258&gt;=8,"Long Stay")</f>
        <v>Day Use</v>
      </c>
      <c r="L258" t="s">
        <v>91</v>
      </c>
      <c r="M258" s="10" t="str">
        <f t="shared" ref="M258:M321" si="21">IF($J258&lt;=3,"Standard",IF($J258&lt;=6,"Deluxe",IF($J258&lt;=10,"Premium","Suite")))</f>
        <v>Standard</v>
      </c>
      <c r="N258" t="s">
        <v>26</v>
      </c>
      <c r="O258" t="s">
        <v>42</v>
      </c>
      <c r="P258">
        <f>IFERROR(VLOOKUP(TRIM(M258),Room!D:H,5,FALSE),5000)</f>
        <v>3200</v>
      </c>
      <c r="Q258">
        <f t="shared" si="17"/>
        <v>3200</v>
      </c>
      <c r="R258" s="11" t="str">
        <f t="shared" si="18"/>
        <v>Other</v>
      </c>
      <c r="S258" s="11">
        <f t="shared" si="19"/>
        <v>1</v>
      </c>
    </row>
    <row r="259" spans="1:19">
      <c r="A259" t="s">
        <v>1486</v>
      </c>
      <c r="B259" t="s">
        <v>1487</v>
      </c>
      <c r="C259" t="s">
        <v>45</v>
      </c>
      <c r="D259" t="s">
        <v>1488</v>
      </c>
      <c r="E259" t="s">
        <v>1489</v>
      </c>
      <c r="F259" t="s">
        <v>1490</v>
      </c>
      <c r="G259" s="4">
        <v>45379</v>
      </c>
      <c r="H259" s="4">
        <v>45401</v>
      </c>
      <c r="I259" s="4">
        <v>45412</v>
      </c>
      <c r="J259">
        <f t="shared" si="20"/>
        <v>11</v>
      </c>
      <c r="K259" t="str">
        <f t="array" ref="K259">_xlfn.IFS(J259=1,"Day Use",J259&lt;=3,"Short Stay",J259&lt;=7,"Extended Stay",J259&gt;=8,"Long Stay")</f>
        <v>Long Stay</v>
      </c>
      <c r="L259" t="s">
        <v>34</v>
      </c>
      <c r="M259" s="10" t="str">
        <f t="shared" si="21"/>
        <v>Suite</v>
      </c>
      <c r="N259" t="s">
        <v>26</v>
      </c>
      <c r="O259" t="s">
        <v>42</v>
      </c>
      <c r="P259">
        <f>IFERROR(VLOOKUP(TRIM(M259),Room!D:H,5,FALSE),5000)</f>
        <v>12500</v>
      </c>
      <c r="Q259">
        <f t="shared" ref="Q259:Q322" si="22">P259*J259</f>
        <v>137500</v>
      </c>
      <c r="R259" s="11" t="str">
        <f t="shared" ref="R259:R322" si="23">IF(ISNUMBER(SEARCH("Suite",D259)),"Honeymoon",IF(P259&gt;10000,"Business",IF(P259&gt;5000,"Conference",IF(J259&gt;=8,"Family Vacation","Other"))))</f>
        <v>Business</v>
      </c>
      <c r="S259" s="11">
        <f t="shared" ref="S259:S322" si="24">IF(M259="Suite",5,IF(M259="Premium",IF(Q259&gt;20000,4,3),IF(M259="Deluxe",IF(Q259&gt;=10000,3,2),IF(M259="Standard",IF(Q259&gt;=5000,2,1),1))))</f>
        <v>5</v>
      </c>
    </row>
    <row r="260" spans="1:19">
      <c r="A260" t="s">
        <v>1491</v>
      </c>
      <c r="B260" t="s">
        <v>1492</v>
      </c>
      <c r="C260" t="s">
        <v>639</v>
      </c>
      <c r="D260" t="s">
        <v>1493</v>
      </c>
      <c r="E260" t="s">
        <v>1494</v>
      </c>
      <c r="F260" t="s">
        <v>1495</v>
      </c>
      <c r="G260" s="4">
        <v>45235</v>
      </c>
      <c r="H260" s="4">
        <v>45388</v>
      </c>
      <c r="I260" s="4">
        <v>45399</v>
      </c>
      <c r="J260">
        <f t="shared" si="20"/>
        <v>11</v>
      </c>
      <c r="K260" t="str">
        <f t="array" ref="K260">_xlfn.IFS(J260=1,"Day Use",J260&lt;=3,"Short Stay",J260&lt;=7,"Extended Stay",J260&gt;=8,"Long Stay")</f>
        <v>Long Stay</v>
      </c>
      <c r="L260" t="s">
        <v>84</v>
      </c>
      <c r="M260" s="10" t="str">
        <f t="shared" si="21"/>
        <v>Suite</v>
      </c>
      <c r="N260" t="s">
        <v>148</v>
      </c>
      <c r="O260" t="s">
        <v>27</v>
      </c>
      <c r="P260">
        <f>IFERROR(VLOOKUP(TRIM(M260),Room!D:H,5,FALSE),5000)</f>
        <v>12500</v>
      </c>
      <c r="Q260">
        <f t="shared" si="22"/>
        <v>137500</v>
      </c>
      <c r="R260" s="11" t="str">
        <f t="shared" si="23"/>
        <v>Business</v>
      </c>
      <c r="S260" s="11">
        <f t="shared" si="24"/>
        <v>5</v>
      </c>
    </row>
    <row r="261" spans="1:19">
      <c r="A261" t="s">
        <v>1496</v>
      </c>
      <c r="B261" t="s">
        <v>1497</v>
      </c>
      <c r="C261" t="s">
        <v>1498</v>
      </c>
      <c r="D261" t="s">
        <v>1499</v>
      </c>
      <c r="E261" t="s">
        <v>1500</v>
      </c>
      <c r="F261" t="s">
        <v>1501</v>
      </c>
      <c r="G261" s="4">
        <v>45308</v>
      </c>
      <c r="H261" s="4">
        <v>45310</v>
      </c>
      <c r="I261" s="4">
        <v>45322</v>
      </c>
      <c r="J261">
        <f t="shared" si="20"/>
        <v>12</v>
      </c>
      <c r="K261" t="str">
        <f t="array" ref="K261">_xlfn.IFS(J261=1,"Day Use",J261&lt;=3,"Short Stay",J261&lt;=7,"Extended Stay",J261&gt;=8,"Long Stay")</f>
        <v>Long Stay</v>
      </c>
      <c r="L261" t="s">
        <v>141</v>
      </c>
      <c r="M261" s="10" t="str">
        <f t="shared" si="21"/>
        <v>Suite</v>
      </c>
      <c r="N261" t="s">
        <v>26</v>
      </c>
      <c r="O261" t="s">
        <v>71</v>
      </c>
      <c r="P261">
        <f>IFERROR(VLOOKUP(TRIM(M261),Room!D:H,5,FALSE),5000)</f>
        <v>12500</v>
      </c>
      <c r="Q261">
        <f t="shared" si="22"/>
        <v>150000</v>
      </c>
      <c r="R261" s="11" t="str">
        <f t="shared" si="23"/>
        <v>Business</v>
      </c>
      <c r="S261" s="11">
        <f t="shared" si="24"/>
        <v>5</v>
      </c>
    </row>
    <row r="262" spans="1:19">
      <c r="A262" t="s">
        <v>1502</v>
      </c>
      <c r="B262" t="s">
        <v>1503</v>
      </c>
      <c r="C262" t="s">
        <v>163</v>
      </c>
      <c r="D262" t="s">
        <v>1504</v>
      </c>
      <c r="E262" t="s">
        <v>1505</v>
      </c>
      <c r="F262" t="s">
        <v>1506</v>
      </c>
      <c r="G262" s="4">
        <v>45635</v>
      </c>
      <c r="H262" s="4">
        <v>45650</v>
      </c>
      <c r="I262" s="4">
        <v>45660</v>
      </c>
      <c r="J262">
        <f t="shared" si="20"/>
        <v>10</v>
      </c>
      <c r="K262" t="str">
        <f t="array" ref="K262">_xlfn.IFS(J262=1,"Day Use",J262&lt;=3,"Short Stay",J262&lt;=7,"Extended Stay",J262&gt;=8,"Long Stay")</f>
        <v>Long Stay</v>
      </c>
      <c r="L262" t="s">
        <v>25</v>
      </c>
      <c r="M262" s="10" t="str">
        <f t="shared" si="21"/>
        <v>Premium</v>
      </c>
      <c r="N262" t="s">
        <v>26</v>
      </c>
      <c r="O262" t="s">
        <v>58</v>
      </c>
      <c r="P262">
        <f>IFERROR(VLOOKUP(TRIM(M262),Room!D:H,5,FALSE),5000)</f>
        <v>9500</v>
      </c>
      <c r="Q262">
        <f t="shared" si="22"/>
        <v>95000</v>
      </c>
      <c r="R262" s="11" t="str">
        <f t="shared" si="23"/>
        <v>Conference</v>
      </c>
      <c r="S262" s="11">
        <f t="shared" si="24"/>
        <v>4</v>
      </c>
    </row>
    <row r="263" spans="1:19">
      <c r="A263" t="s">
        <v>1507</v>
      </c>
      <c r="B263" t="s">
        <v>1508</v>
      </c>
      <c r="C263" t="s">
        <v>1164</v>
      </c>
      <c r="D263" t="s">
        <v>1509</v>
      </c>
      <c r="E263" t="s">
        <v>1510</v>
      </c>
      <c r="F263" t="s">
        <v>1511</v>
      </c>
      <c r="G263" s="4">
        <v>45387</v>
      </c>
      <c r="H263" s="4">
        <v>45389</v>
      </c>
      <c r="I263" s="4">
        <v>45399</v>
      </c>
      <c r="J263">
        <f t="shared" si="20"/>
        <v>10</v>
      </c>
      <c r="K263" t="str">
        <f t="array" ref="K263">_xlfn.IFS(J263=1,"Day Use",J263&lt;=3,"Short Stay",J263&lt;=7,"Extended Stay",J263&gt;=8,"Long Stay")</f>
        <v>Long Stay</v>
      </c>
      <c r="L263" t="s">
        <v>34</v>
      </c>
      <c r="M263" s="10" t="str">
        <f t="shared" si="21"/>
        <v>Premium</v>
      </c>
      <c r="N263" t="s">
        <v>26</v>
      </c>
      <c r="O263" t="s">
        <v>42</v>
      </c>
      <c r="P263">
        <f>IFERROR(VLOOKUP(TRIM(M263),Room!D:H,5,FALSE),5000)</f>
        <v>9500</v>
      </c>
      <c r="Q263">
        <f t="shared" si="22"/>
        <v>95000</v>
      </c>
      <c r="R263" s="11" t="str">
        <f t="shared" si="23"/>
        <v>Conference</v>
      </c>
      <c r="S263" s="11">
        <f t="shared" si="24"/>
        <v>4</v>
      </c>
    </row>
    <row r="264" spans="1:19">
      <c r="A264" t="s">
        <v>1512</v>
      </c>
      <c r="B264" t="s">
        <v>1513</v>
      </c>
      <c r="C264" t="s">
        <v>265</v>
      </c>
      <c r="D264" t="s">
        <v>1514</v>
      </c>
      <c r="E264" t="s">
        <v>1515</v>
      </c>
      <c r="F264" t="s">
        <v>1516</v>
      </c>
      <c r="G264" s="4">
        <v>45496</v>
      </c>
      <c r="H264" s="4">
        <v>45498</v>
      </c>
      <c r="I264" s="4">
        <v>45511</v>
      </c>
      <c r="J264">
        <f t="shared" si="20"/>
        <v>13</v>
      </c>
      <c r="K264" t="str">
        <f t="array" ref="K264">_xlfn.IFS(J264=1,"Day Use",J264&lt;=3,"Short Stay",J264&lt;=7,"Extended Stay",J264&gt;=8,"Long Stay")</f>
        <v>Long Stay</v>
      </c>
      <c r="L264" t="s">
        <v>141</v>
      </c>
      <c r="M264" s="10" t="str">
        <f t="shared" si="21"/>
        <v>Suite</v>
      </c>
      <c r="N264" t="s">
        <v>134</v>
      </c>
      <c r="O264" t="s">
        <v>42</v>
      </c>
      <c r="P264">
        <f>IFERROR(VLOOKUP(TRIM(M264),Room!D:H,5,FALSE),5000)</f>
        <v>12500</v>
      </c>
      <c r="Q264">
        <f t="shared" si="22"/>
        <v>162500</v>
      </c>
      <c r="R264" s="11" t="str">
        <f t="shared" si="23"/>
        <v>Business</v>
      </c>
      <c r="S264" s="11">
        <f t="shared" si="24"/>
        <v>5</v>
      </c>
    </row>
    <row r="265" spans="1:19">
      <c r="A265" t="s">
        <v>1517</v>
      </c>
      <c r="B265" t="s">
        <v>1518</v>
      </c>
      <c r="C265" t="s">
        <v>708</v>
      </c>
      <c r="D265" t="s">
        <v>1519</v>
      </c>
      <c r="E265" t="s">
        <v>1520</v>
      </c>
      <c r="F265" t="s">
        <v>1521</v>
      </c>
      <c r="G265" s="4">
        <v>45599</v>
      </c>
      <c r="H265" s="4">
        <v>45789</v>
      </c>
      <c r="I265" s="4">
        <v>45797</v>
      </c>
      <c r="J265">
        <f t="shared" si="20"/>
        <v>8</v>
      </c>
      <c r="K265" t="str">
        <f t="array" ref="K265">_xlfn.IFS(J265=1,"Day Use",J265&lt;=3,"Short Stay",J265&lt;=7,"Extended Stay",J265&gt;=8,"Long Stay")</f>
        <v>Long Stay</v>
      </c>
      <c r="L265" t="s">
        <v>25</v>
      </c>
      <c r="M265" s="10" t="str">
        <f t="shared" si="21"/>
        <v>Premium</v>
      </c>
      <c r="N265" t="s">
        <v>26</v>
      </c>
      <c r="O265" t="s">
        <v>58</v>
      </c>
      <c r="P265">
        <f>IFERROR(VLOOKUP(TRIM(M265),Room!D:H,5,FALSE),5000)</f>
        <v>9500</v>
      </c>
      <c r="Q265">
        <f t="shared" si="22"/>
        <v>76000</v>
      </c>
      <c r="R265" s="11" t="str">
        <f t="shared" si="23"/>
        <v>Conference</v>
      </c>
      <c r="S265" s="11">
        <f t="shared" si="24"/>
        <v>4</v>
      </c>
    </row>
    <row r="266" spans="1:19">
      <c r="A266" t="s">
        <v>1522</v>
      </c>
      <c r="B266" t="s">
        <v>1523</v>
      </c>
      <c r="C266" t="s">
        <v>351</v>
      </c>
      <c r="D266" t="s">
        <v>1524</v>
      </c>
      <c r="E266" t="s">
        <v>1525</v>
      </c>
      <c r="F266" t="s">
        <v>1526</v>
      </c>
      <c r="G266" s="4">
        <v>45394</v>
      </c>
      <c r="H266" s="4">
        <v>45577</v>
      </c>
      <c r="I266" s="4">
        <v>45590</v>
      </c>
      <c r="J266">
        <f t="shared" si="20"/>
        <v>13</v>
      </c>
      <c r="K266" t="str">
        <f t="array" ref="K266">_xlfn.IFS(J266=1,"Day Use",J266&lt;=3,"Short Stay",J266&lt;=7,"Extended Stay",J266&gt;=8,"Long Stay")</f>
        <v>Long Stay</v>
      </c>
      <c r="L266" t="s">
        <v>25</v>
      </c>
      <c r="M266" s="10" t="str">
        <f t="shared" si="21"/>
        <v>Suite</v>
      </c>
      <c r="N266" t="s">
        <v>26</v>
      </c>
      <c r="O266" t="s">
        <v>58</v>
      </c>
      <c r="P266">
        <f>IFERROR(VLOOKUP(TRIM(M266),Room!D:H,5,FALSE),5000)</f>
        <v>12500</v>
      </c>
      <c r="Q266">
        <f t="shared" si="22"/>
        <v>162500</v>
      </c>
      <c r="R266" s="11" t="str">
        <f t="shared" si="23"/>
        <v>Business</v>
      </c>
      <c r="S266" s="11">
        <f t="shared" si="24"/>
        <v>5</v>
      </c>
    </row>
    <row r="267" spans="1:19">
      <c r="A267" t="s">
        <v>1527</v>
      </c>
      <c r="B267" t="s">
        <v>1528</v>
      </c>
      <c r="C267" t="s">
        <v>604</v>
      </c>
      <c r="D267" t="s">
        <v>1529</v>
      </c>
      <c r="E267" t="s">
        <v>1530</v>
      </c>
      <c r="F267" t="s">
        <v>1531</v>
      </c>
      <c r="G267" s="4">
        <v>45212</v>
      </c>
      <c r="H267" s="4">
        <v>45915</v>
      </c>
      <c r="I267" s="4">
        <v>45920</v>
      </c>
      <c r="J267">
        <f t="shared" si="20"/>
        <v>5</v>
      </c>
      <c r="K267" t="str">
        <f t="array" ref="K267">_xlfn.IFS(J267=1,"Day Use",J267&lt;=3,"Short Stay",J267&lt;=7,"Extended Stay",J267&gt;=8,"Long Stay")</f>
        <v>Extended Stay</v>
      </c>
      <c r="L267" t="s">
        <v>25</v>
      </c>
      <c r="M267" s="10" t="str">
        <f t="shared" si="21"/>
        <v>Deluxe</v>
      </c>
      <c r="N267" t="s">
        <v>26</v>
      </c>
      <c r="O267" t="s">
        <v>42</v>
      </c>
      <c r="P267">
        <f>IFERROR(VLOOKUP(TRIM(M267),Room!D:H,5,FALSE),5000)</f>
        <v>5400</v>
      </c>
      <c r="Q267">
        <f t="shared" si="22"/>
        <v>27000</v>
      </c>
      <c r="R267" s="11" t="str">
        <f t="shared" si="23"/>
        <v>Conference</v>
      </c>
      <c r="S267" s="11">
        <f t="shared" si="24"/>
        <v>3</v>
      </c>
    </row>
    <row r="268" spans="1:19">
      <c r="A268" t="s">
        <v>1532</v>
      </c>
      <c r="B268" t="s">
        <v>1533</v>
      </c>
      <c r="C268" t="s">
        <v>558</v>
      </c>
      <c r="D268" t="s">
        <v>1534</v>
      </c>
      <c r="E268" t="s">
        <v>1535</v>
      </c>
      <c r="F268" t="s">
        <v>1536</v>
      </c>
      <c r="G268" s="4">
        <v>45410</v>
      </c>
      <c r="H268" s="4">
        <v>45431</v>
      </c>
      <c r="I268" s="4">
        <v>45445</v>
      </c>
      <c r="J268">
        <f t="shared" si="20"/>
        <v>14</v>
      </c>
      <c r="K268" t="str">
        <f t="array" ref="K268">_xlfn.IFS(J268=1,"Day Use",J268&lt;=3,"Short Stay",J268&lt;=7,"Extended Stay",J268&gt;=8,"Long Stay")</f>
        <v>Long Stay</v>
      </c>
      <c r="L268" t="s">
        <v>34</v>
      </c>
      <c r="M268" s="10" t="str">
        <f t="shared" si="21"/>
        <v>Suite</v>
      </c>
      <c r="N268" t="s">
        <v>57</v>
      </c>
      <c r="O268" t="s">
        <v>35</v>
      </c>
      <c r="P268">
        <f>IFERROR(VLOOKUP(TRIM(M268),Room!D:H,5,FALSE),5000)</f>
        <v>12500</v>
      </c>
      <c r="Q268">
        <f t="shared" si="22"/>
        <v>175000</v>
      </c>
      <c r="R268" s="11" t="str">
        <f t="shared" si="23"/>
        <v>Business</v>
      </c>
      <c r="S268" s="11">
        <f t="shared" si="24"/>
        <v>5</v>
      </c>
    </row>
    <row r="269" spans="1:19">
      <c r="A269" t="s">
        <v>1537</v>
      </c>
      <c r="B269" t="s">
        <v>1538</v>
      </c>
      <c r="C269" t="s">
        <v>1539</v>
      </c>
      <c r="D269" t="s">
        <v>1540</v>
      </c>
      <c r="E269" t="s">
        <v>1541</v>
      </c>
      <c r="F269" t="s">
        <v>1542</v>
      </c>
      <c r="G269" s="4">
        <v>45573</v>
      </c>
      <c r="H269" s="4">
        <v>45594</v>
      </c>
      <c r="I269" s="4">
        <v>45607</v>
      </c>
      <c r="J269">
        <f t="shared" si="20"/>
        <v>13</v>
      </c>
      <c r="K269" t="str">
        <f t="array" ref="K269">_xlfn.IFS(J269=1,"Day Use",J269&lt;=3,"Short Stay",J269&lt;=7,"Extended Stay",J269&gt;=8,"Long Stay")</f>
        <v>Long Stay</v>
      </c>
      <c r="L269" t="s">
        <v>25</v>
      </c>
      <c r="M269" s="10" t="str">
        <f t="shared" si="21"/>
        <v>Suite</v>
      </c>
      <c r="N269" t="s">
        <v>26</v>
      </c>
      <c r="O269" t="s">
        <v>42</v>
      </c>
      <c r="P269">
        <f>IFERROR(VLOOKUP(TRIM(M269),Room!D:H,5,FALSE),5000)</f>
        <v>12500</v>
      </c>
      <c r="Q269">
        <f t="shared" si="22"/>
        <v>162500</v>
      </c>
      <c r="R269" s="11" t="str">
        <f t="shared" si="23"/>
        <v>Business</v>
      </c>
      <c r="S269" s="11">
        <f t="shared" si="24"/>
        <v>5</v>
      </c>
    </row>
    <row r="270" spans="1:19">
      <c r="A270" t="s">
        <v>1543</v>
      </c>
      <c r="B270" t="s">
        <v>1544</v>
      </c>
      <c r="C270" t="s">
        <v>1545</v>
      </c>
      <c r="D270" t="s">
        <v>1546</v>
      </c>
      <c r="E270" t="s">
        <v>1547</v>
      </c>
      <c r="F270" t="s">
        <v>1548</v>
      </c>
      <c r="G270" s="4">
        <v>45306</v>
      </c>
      <c r="H270" s="4">
        <v>45396</v>
      </c>
      <c r="I270" s="4">
        <v>45407</v>
      </c>
      <c r="J270">
        <f t="shared" si="20"/>
        <v>11</v>
      </c>
      <c r="K270" t="str">
        <f t="array" ref="K270">_xlfn.IFS(J270=1,"Day Use",J270&lt;=3,"Short Stay",J270&lt;=7,"Extended Stay",J270&gt;=8,"Long Stay")</f>
        <v>Long Stay</v>
      </c>
      <c r="L270" t="s">
        <v>141</v>
      </c>
      <c r="M270" s="10" t="str">
        <f t="shared" si="21"/>
        <v>Suite</v>
      </c>
      <c r="N270" t="s">
        <v>26</v>
      </c>
      <c r="O270" t="s">
        <v>35</v>
      </c>
      <c r="P270">
        <f>IFERROR(VLOOKUP(TRIM(M270),Room!D:H,5,FALSE),5000)</f>
        <v>12500</v>
      </c>
      <c r="Q270">
        <f t="shared" si="22"/>
        <v>137500</v>
      </c>
      <c r="R270" s="11" t="str">
        <f t="shared" si="23"/>
        <v>Business</v>
      </c>
      <c r="S270" s="11">
        <f t="shared" si="24"/>
        <v>5</v>
      </c>
    </row>
    <row r="271" spans="1:19">
      <c r="A271" t="s">
        <v>1549</v>
      </c>
      <c r="B271" t="s">
        <v>1550</v>
      </c>
      <c r="C271" t="s">
        <v>1551</v>
      </c>
      <c r="D271" t="s">
        <v>1552</v>
      </c>
      <c r="E271" t="s">
        <v>1553</v>
      </c>
      <c r="F271" t="s">
        <v>1554</v>
      </c>
      <c r="G271" s="4">
        <v>45565</v>
      </c>
      <c r="H271" s="4">
        <v>45587</v>
      </c>
      <c r="I271" s="4">
        <v>45599</v>
      </c>
      <c r="J271">
        <f t="shared" si="20"/>
        <v>12</v>
      </c>
      <c r="K271" t="str">
        <f t="array" ref="K271">_xlfn.IFS(J271=1,"Day Use",J271&lt;=3,"Short Stay",J271&lt;=7,"Extended Stay",J271&gt;=8,"Long Stay")</f>
        <v>Long Stay</v>
      </c>
      <c r="L271" t="s">
        <v>141</v>
      </c>
      <c r="M271" s="10" t="str">
        <f t="shared" si="21"/>
        <v>Suite</v>
      </c>
      <c r="N271" t="s">
        <v>26</v>
      </c>
      <c r="O271" t="s">
        <v>58</v>
      </c>
      <c r="P271">
        <f>IFERROR(VLOOKUP(TRIM(M271),Room!D:H,5,FALSE),5000)</f>
        <v>12500</v>
      </c>
      <c r="Q271">
        <f t="shared" si="22"/>
        <v>150000</v>
      </c>
      <c r="R271" s="11" t="str">
        <f t="shared" si="23"/>
        <v>Business</v>
      </c>
      <c r="S271" s="11">
        <f t="shared" si="24"/>
        <v>5</v>
      </c>
    </row>
    <row r="272" spans="1:19">
      <c r="A272" t="s">
        <v>1555</v>
      </c>
      <c r="B272" t="s">
        <v>1556</v>
      </c>
      <c r="C272" t="s">
        <v>1557</v>
      </c>
      <c r="D272" t="s">
        <v>1558</v>
      </c>
      <c r="E272" t="s">
        <v>1559</v>
      </c>
      <c r="F272" t="s">
        <v>1560</v>
      </c>
      <c r="G272" s="4">
        <v>45260</v>
      </c>
      <c r="H272" s="4">
        <v>45881</v>
      </c>
      <c r="I272" s="4">
        <v>45886</v>
      </c>
      <c r="J272">
        <f t="shared" si="20"/>
        <v>5</v>
      </c>
      <c r="K272" t="str">
        <f t="array" ref="K272">_xlfn.IFS(J272=1,"Day Use",J272&lt;=3,"Short Stay",J272&lt;=7,"Extended Stay",J272&gt;=8,"Long Stay")</f>
        <v>Extended Stay</v>
      </c>
      <c r="L272" t="s">
        <v>196</v>
      </c>
      <c r="M272" s="10" t="str">
        <f t="shared" si="21"/>
        <v>Deluxe</v>
      </c>
      <c r="N272" t="s">
        <v>57</v>
      </c>
      <c r="O272" t="s">
        <v>42</v>
      </c>
      <c r="P272">
        <f>IFERROR(VLOOKUP(TRIM(M272),Room!D:H,5,FALSE),5000)</f>
        <v>5400</v>
      </c>
      <c r="Q272">
        <f t="shared" si="22"/>
        <v>27000</v>
      </c>
      <c r="R272" s="11" t="str">
        <f t="shared" si="23"/>
        <v>Conference</v>
      </c>
      <c r="S272" s="11">
        <f t="shared" si="24"/>
        <v>3</v>
      </c>
    </row>
    <row r="273" spans="1:19">
      <c r="A273" t="s">
        <v>1561</v>
      </c>
      <c r="B273" t="s">
        <v>1562</v>
      </c>
      <c r="C273" t="s">
        <v>518</v>
      </c>
      <c r="D273" t="s">
        <v>1563</v>
      </c>
      <c r="E273" t="s">
        <v>1564</v>
      </c>
      <c r="F273" t="s">
        <v>1565</v>
      </c>
      <c r="G273" s="4">
        <v>45634</v>
      </c>
      <c r="H273" s="4">
        <v>45859</v>
      </c>
      <c r="I273" s="4">
        <v>45862</v>
      </c>
      <c r="J273">
        <f t="shared" si="20"/>
        <v>3</v>
      </c>
      <c r="K273" t="str">
        <f t="array" ref="K273">_xlfn.IFS(J273=1,"Day Use",J273&lt;=3,"Short Stay",J273&lt;=7,"Extended Stay",J273&gt;=8,"Long Stay")</f>
        <v>Short Stay</v>
      </c>
      <c r="L273" t="s">
        <v>25</v>
      </c>
      <c r="M273" s="10" t="str">
        <f t="shared" si="21"/>
        <v>Standard</v>
      </c>
      <c r="N273" t="s">
        <v>26</v>
      </c>
      <c r="O273" t="s">
        <v>71</v>
      </c>
      <c r="P273">
        <f>IFERROR(VLOOKUP(TRIM(M273),Room!D:H,5,FALSE),5000)</f>
        <v>3200</v>
      </c>
      <c r="Q273">
        <f t="shared" si="22"/>
        <v>9600</v>
      </c>
      <c r="R273" s="11" t="str">
        <f t="shared" si="23"/>
        <v>Other</v>
      </c>
      <c r="S273" s="11">
        <f t="shared" si="24"/>
        <v>2</v>
      </c>
    </row>
    <row r="274" spans="1:19">
      <c r="A274" t="s">
        <v>1566</v>
      </c>
      <c r="B274" t="s">
        <v>1567</v>
      </c>
      <c r="C274" t="s">
        <v>1568</v>
      </c>
      <c r="D274" t="s">
        <v>1569</v>
      </c>
      <c r="E274" t="s">
        <v>1570</v>
      </c>
      <c r="F274" t="s">
        <v>1571</v>
      </c>
      <c r="G274" s="4">
        <v>45812</v>
      </c>
      <c r="H274" s="4">
        <v>45849</v>
      </c>
      <c r="I274" s="4">
        <v>45858</v>
      </c>
      <c r="J274">
        <f t="shared" si="20"/>
        <v>9</v>
      </c>
      <c r="K274" t="str">
        <f t="array" ref="K274">_xlfn.IFS(J274=1,"Day Use",J274&lt;=3,"Short Stay",J274&lt;=7,"Extended Stay",J274&gt;=8,"Long Stay")</f>
        <v>Long Stay</v>
      </c>
      <c r="L274" t="s">
        <v>196</v>
      </c>
      <c r="M274" s="10" t="str">
        <f t="shared" si="21"/>
        <v>Premium</v>
      </c>
      <c r="N274" t="s">
        <v>26</v>
      </c>
      <c r="O274" t="s">
        <v>27</v>
      </c>
      <c r="P274">
        <f>IFERROR(VLOOKUP(TRIM(M274),Room!D:H,5,FALSE),5000)</f>
        <v>9500</v>
      </c>
      <c r="Q274">
        <f t="shared" si="22"/>
        <v>85500</v>
      </c>
      <c r="R274" s="11" t="str">
        <f t="shared" si="23"/>
        <v>Conference</v>
      </c>
      <c r="S274" s="11">
        <f t="shared" si="24"/>
        <v>4</v>
      </c>
    </row>
    <row r="275" spans="1:19">
      <c r="A275" t="s">
        <v>1572</v>
      </c>
      <c r="B275" t="s">
        <v>1573</v>
      </c>
      <c r="C275" t="s">
        <v>351</v>
      </c>
      <c r="D275" t="s">
        <v>1574</v>
      </c>
      <c r="E275" t="s">
        <v>1575</v>
      </c>
      <c r="F275" t="s">
        <v>1576</v>
      </c>
      <c r="G275" s="4">
        <v>45472</v>
      </c>
      <c r="H275" s="4">
        <v>45697</v>
      </c>
      <c r="I275" s="4">
        <v>45700</v>
      </c>
      <c r="J275">
        <f t="shared" si="20"/>
        <v>3</v>
      </c>
      <c r="K275" t="str">
        <f t="array" ref="K275">_xlfn.IFS(J275=1,"Day Use",J275&lt;=3,"Short Stay",J275&lt;=7,"Extended Stay",J275&gt;=8,"Long Stay")</f>
        <v>Short Stay</v>
      </c>
      <c r="L275" t="s">
        <v>49</v>
      </c>
      <c r="M275" s="10" t="str">
        <f t="shared" si="21"/>
        <v>Standard</v>
      </c>
      <c r="N275" t="s">
        <v>26</v>
      </c>
      <c r="O275" t="s">
        <v>42</v>
      </c>
      <c r="P275">
        <f>IFERROR(VLOOKUP(TRIM(M275),Room!D:H,5,FALSE),5000)</f>
        <v>3200</v>
      </c>
      <c r="Q275">
        <f t="shared" si="22"/>
        <v>9600</v>
      </c>
      <c r="R275" s="11" t="str">
        <f t="shared" si="23"/>
        <v>Other</v>
      </c>
      <c r="S275" s="11">
        <f t="shared" si="24"/>
        <v>2</v>
      </c>
    </row>
    <row r="276" spans="1:19">
      <c r="A276" t="s">
        <v>1577</v>
      </c>
      <c r="B276" t="s">
        <v>1578</v>
      </c>
      <c r="C276" t="s">
        <v>512</v>
      </c>
      <c r="D276" t="s">
        <v>1579</v>
      </c>
      <c r="E276" t="s">
        <v>1580</v>
      </c>
      <c r="F276" t="s">
        <v>1581</v>
      </c>
      <c r="G276" s="4">
        <v>45470</v>
      </c>
      <c r="H276" s="4">
        <v>45857</v>
      </c>
      <c r="I276" s="4">
        <v>45869</v>
      </c>
      <c r="J276">
        <f t="shared" si="20"/>
        <v>12</v>
      </c>
      <c r="K276" t="str">
        <f t="array" ref="K276">_xlfn.IFS(J276=1,"Day Use",J276&lt;=3,"Short Stay",J276&lt;=7,"Extended Stay",J276&gt;=8,"Long Stay")</f>
        <v>Long Stay</v>
      </c>
      <c r="L276" t="s">
        <v>141</v>
      </c>
      <c r="M276" s="10" t="str">
        <f t="shared" si="21"/>
        <v>Suite</v>
      </c>
      <c r="N276" t="s">
        <v>148</v>
      </c>
      <c r="O276" t="s">
        <v>71</v>
      </c>
      <c r="P276">
        <f>IFERROR(VLOOKUP(TRIM(M276),Room!D:H,5,FALSE),5000)</f>
        <v>12500</v>
      </c>
      <c r="Q276">
        <f t="shared" si="22"/>
        <v>150000</v>
      </c>
      <c r="R276" s="11" t="str">
        <f t="shared" si="23"/>
        <v>Business</v>
      </c>
      <c r="S276" s="11">
        <f t="shared" si="24"/>
        <v>5</v>
      </c>
    </row>
    <row r="277" spans="1:19">
      <c r="A277" t="s">
        <v>1582</v>
      </c>
      <c r="B277" t="s">
        <v>1583</v>
      </c>
      <c r="C277" t="s">
        <v>1361</v>
      </c>
      <c r="D277" t="s">
        <v>1584</v>
      </c>
      <c r="E277" t="s">
        <v>1585</v>
      </c>
      <c r="F277" t="s">
        <v>1586</v>
      </c>
      <c r="G277" s="4">
        <v>45692</v>
      </c>
      <c r="H277" s="4">
        <v>45897</v>
      </c>
      <c r="I277" s="4">
        <v>45906</v>
      </c>
      <c r="J277">
        <f t="shared" si="20"/>
        <v>9</v>
      </c>
      <c r="K277" t="str">
        <f t="array" ref="K277">_xlfn.IFS(J277=1,"Day Use",J277&lt;=3,"Short Stay",J277&lt;=7,"Extended Stay",J277&gt;=8,"Long Stay")</f>
        <v>Long Stay</v>
      </c>
      <c r="L277" t="s">
        <v>25</v>
      </c>
      <c r="M277" s="10" t="str">
        <f t="shared" si="21"/>
        <v>Premium</v>
      </c>
      <c r="N277" t="s">
        <v>26</v>
      </c>
      <c r="O277" t="s">
        <v>58</v>
      </c>
      <c r="P277">
        <f>IFERROR(VLOOKUP(TRIM(M277),Room!D:H,5,FALSE),5000)</f>
        <v>9500</v>
      </c>
      <c r="Q277">
        <f t="shared" si="22"/>
        <v>85500</v>
      </c>
      <c r="R277" s="11" t="str">
        <f t="shared" si="23"/>
        <v>Conference</v>
      </c>
      <c r="S277" s="11">
        <f t="shared" si="24"/>
        <v>4</v>
      </c>
    </row>
    <row r="278" spans="1:19">
      <c r="A278" t="s">
        <v>1587</v>
      </c>
      <c r="B278" t="s">
        <v>1588</v>
      </c>
      <c r="C278" t="s">
        <v>375</v>
      </c>
      <c r="D278" t="s">
        <v>1589</v>
      </c>
      <c r="E278" t="s">
        <v>1590</v>
      </c>
      <c r="F278" t="s">
        <v>1591</v>
      </c>
      <c r="G278" s="4">
        <v>45296</v>
      </c>
      <c r="H278" s="4">
        <v>45308</v>
      </c>
      <c r="I278" s="4">
        <v>45315</v>
      </c>
      <c r="J278">
        <f t="shared" si="20"/>
        <v>7</v>
      </c>
      <c r="K278" t="str">
        <f t="array" ref="K278">_xlfn.IFS(J278=1,"Day Use",J278&lt;=3,"Short Stay",J278&lt;=7,"Extended Stay",J278&gt;=8,"Long Stay")</f>
        <v>Extended Stay</v>
      </c>
      <c r="L278" t="s">
        <v>84</v>
      </c>
      <c r="M278" s="10" t="str">
        <f t="shared" si="21"/>
        <v>Premium</v>
      </c>
      <c r="N278" t="s">
        <v>26</v>
      </c>
      <c r="O278" t="s">
        <v>42</v>
      </c>
      <c r="P278">
        <f>IFERROR(VLOOKUP(TRIM(M278),Room!D:H,5,FALSE),5000)</f>
        <v>9500</v>
      </c>
      <c r="Q278">
        <f t="shared" si="22"/>
        <v>66500</v>
      </c>
      <c r="R278" s="11" t="str">
        <f t="shared" si="23"/>
        <v>Conference</v>
      </c>
      <c r="S278" s="11">
        <f t="shared" si="24"/>
        <v>4</v>
      </c>
    </row>
    <row r="279" spans="1:19">
      <c r="A279" t="s">
        <v>1592</v>
      </c>
      <c r="B279" t="s">
        <v>1593</v>
      </c>
      <c r="C279" t="s">
        <v>1594</v>
      </c>
      <c r="D279" t="s">
        <v>1595</v>
      </c>
      <c r="E279" t="s">
        <v>1596</v>
      </c>
      <c r="F279" t="s">
        <v>1597</v>
      </c>
      <c r="G279" s="4">
        <v>45540</v>
      </c>
      <c r="H279" s="4">
        <v>45637</v>
      </c>
      <c r="I279" s="4">
        <v>45649</v>
      </c>
      <c r="J279">
        <f t="shared" si="20"/>
        <v>12</v>
      </c>
      <c r="K279" t="str">
        <f t="array" ref="K279">_xlfn.IFS(J279=1,"Day Use",J279&lt;=3,"Short Stay",J279&lt;=7,"Extended Stay",J279&gt;=8,"Long Stay")</f>
        <v>Long Stay</v>
      </c>
      <c r="L279" t="s">
        <v>196</v>
      </c>
      <c r="M279" s="10" t="str">
        <f t="shared" si="21"/>
        <v>Suite</v>
      </c>
      <c r="N279" t="s">
        <v>26</v>
      </c>
      <c r="O279" t="s">
        <v>35</v>
      </c>
      <c r="P279">
        <f>IFERROR(VLOOKUP(TRIM(M279),Room!D:H,5,FALSE),5000)</f>
        <v>12500</v>
      </c>
      <c r="Q279">
        <f t="shared" si="22"/>
        <v>150000</v>
      </c>
      <c r="R279" s="11" t="str">
        <f t="shared" si="23"/>
        <v>Business</v>
      </c>
      <c r="S279" s="11">
        <f t="shared" si="24"/>
        <v>5</v>
      </c>
    </row>
    <row r="280" spans="1:19">
      <c r="A280" t="s">
        <v>1598</v>
      </c>
      <c r="B280" t="s">
        <v>1599</v>
      </c>
      <c r="C280" t="s">
        <v>564</v>
      </c>
      <c r="D280" t="s">
        <v>1600</v>
      </c>
      <c r="E280" t="s">
        <v>1601</v>
      </c>
      <c r="F280" t="s">
        <v>1602</v>
      </c>
      <c r="G280" s="4">
        <v>45846</v>
      </c>
      <c r="H280" s="4">
        <v>45959</v>
      </c>
      <c r="I280" s="4">
        <v>45963</v>
      </c>
      <c r="J280">
        <f t="shared" si="20"/>
        <v>4</v>
      </c>
      <c r="K280" t="str">
        <f t="array" ref="K280">_xlfn.IFS(J280=1,"Day Use",J280&lt;=3,"Short Stay",J280&lt;=7,"Extended Stay",J280&gt;=8,"Long Stay")</f>
        <v>Extended Stay</v>
      </c>
      <c r="L280" t="s">
        <v>56</v>
      </c>
      <c r="M280" s="10" t="str">
        <f t="shared" si="21"/>
        <v>Deluxe</v>
      </c>
      <c r="N280" t="s">
        <v>26</v>
      </c>
      <c r="O280" t="s">
        <v>58</v>
      </c>
      <c r="P280">
        <f>IFERROR(VLOOKUP(TRIM(M280),Room!D:H,5,FALSE),5000)</f>
        <v>5400</v>
      </c>
      <c r="Q280">
        <f t="shared" si="22"/>
        <v>21600</v>
      </c>
      <c r="R280" s="11" t="str">
        <f t="shared" si="23"/>
        <v>Conference</v>
      </c>
      <c r="S280" s="11">
        <f t="shared" si="24"/>
        <v>3</v>
      </c>
    </row>
    <row r="281" spans="1:19">
      <c r="A281" t="s">
        <v>1603</v>
      </c>
      <c r="B281" t="s">
        <v>1604</v>
      </c>
      <c r="C281" t="s">
        <v>157</v>
      </c>
      <c r="D281" t="s">
        <v>1605</v>
      </c>
      <c r="E281" t="s">
        <v>1606</v>
      </c>
      <c r="F281" t="s">
        <v>1607</v>
      </c>
      <c r="G281" s="4">
        <v>45476</v>
      </c>
      <c r="H281" s="4">
        <v>45751</v>
      </c>
      <c r="I281" s="4">
        <v>45763</v>
      </c>
      <c r="J281">
        <f t="shared" si="20"/>
        <v>12</v>
      </c>
      <c r="K281" t="str">
        <f t="array" ref="K281">_xlfn.IFS(J281=1,"Day Use",J281&lt;=3,"Short Stay",J281&lt;=7,"Extended Stay",J281&gt;=8,"Long Stay")</f>
        <v>Long Stay</v>
      </c>
      <c r="L281" t="s">
        <v>49</v>
      </c>
      <c r="M281" s="10" t="str">
        <f t="shared" si="21"/>
        <v>Suite</v>
      </c>
      <c r="N281" t="s">
        <v>26</v>
      </c>
      <c r="O281" t="s">
        <v>42</v>
      </c>
      <c r="P281">
        <f>IFERROR(VLOOKUP(TRIM(M281),Room!D:H,5,FALSE),5000)</f>
        <v>12500</v>
      </c>
      <c r="Q281">
        <f t="shared" si="22"/>
        <v>150000</v>
      </c>
      <c r="R281" s="11" t="str">
        <f t="shared" si="23"/>
        <v>Business</v>
      </c>
      <c r="S281" s="11">
        <f t="shared" si="24"/>
        <v>5</v>
      </c>
    </row>
    <row r="282" spans="1:19">
      <c r="A282" t="s">
        <v>1608</v>
      </c>
      <c r="B282" t="s">
        <v>1609</v>
      </c>
      <c r="C282" t="s">
        <v>1610</v>
      </c>
      <c r="D282" t="s">
        <v>1611</v>
      </c>
      <c r="E282" t="s">
        <v>1612</v>
      </c>
      <c r="F282" t="s">
        <v>1613</v>
      </c>
      <c r="G282" s="4">
        <v>45504</v>
      </c>
      <c r="H282" s="4">
        <v>45516</v>
      </c>
      <c r="I282" s="4">
        <v>45529</v>
      </c>
      <c r="J282">
        <f t="shared" si="20"/>
        <v>13</v>
      </c>
      <c r="K282" t="str">
        <f t="array" ref="K282">_xlfn.IFS(J282=1,"Day Use",J282&lt;=3,"Short Stay",J282&lt;=7,"Extended Stay",J282&gt;=8,"Long Stay")</f>
        <v>Long Stay</v>
      </c>
      <c r="L282" t="s">
        <v>91</v>
      </c>
      <c r="M282" s="10" t="str">
        <f t="shared" si="21"/>
        <v>Suite</v>
      </c>
      <c r="N282" t="s">
        <v>26</v>
      </c>
      <c r="O282" t="s">
        <v>42</v>
      </c>
      <c r="P282">
        <f>IFERROR(VLOOKUP(TRIM(M282),Room!D:H,5,FALSE),5000)</f>
        <v>12500</v>
      </c>
      <c r="Q282">
        <f t="shared" si="22"/>
        <v>162500</v>
      </c>
      <c r="R282" s="11" t="str">
        <f t="shared" si="23"/>
        <v>Business</v>
      </c>
      <c r="S282" s="11">
        <f t="shared" si="24"/>
        <v>5</v>
      </c>
    </row>
    <row r="283" spans="1:19">
      <c r="A283" t="s">
        <v>1614</v>
      </c>
      <c r="B283" t="s">
        <v>1615</v>
      </c>
      <c r="C283" t="s">
        <v>253</v>
      </c>
      <c r="D283" t="s">
        <v>1616</v>
      </c>
      <c r="E283" t="s">
        <v>1617</v>
      </c>
      <c r="F283" t="s">
        <v>1618</v>
      </c>
      <c r="G283" s="4">
        <v>45521</v>
      </c>
      <c r="H283" s="4">
        <v>46004</v>
      </c>
      <c r="I283" s="4">
        <v>46016</v>
      </c>
      <c r="J283">
        <f t="shared" si="20"/>
        <v>12</v>
      </c>
      <c r="K283" t="str">
        <f t="array" ref="K283">_xlfn.IFS(J283=1,"Day Use",J283&lt;=3,"Short Stay",J283&lt;=7,"Extended Stay",J283&gt;=8,"Long Stay")</f>
        <v>Long Stay</v>
      </c>
      <c r="L283" t="s">
        <v>34</v>
      </c>
      <c r="M283" s="10" t="str">
        <f t="shared" si="21"/>
        <v>Suite</v>
      </c>
      <c r="N283" t="s">
        <v>57</v>
      </c>
      <c r="O283" t="s">
        <v>71</v>
      </c>
      <c r="P283">
        <f>IFERROR(VLOOKUP(TRIM(M283),Room!D:H,5,FALSE),5000)</f>
        <v>12500</v>
      </c>
      <c r="Q283">
        <f t="shared" si="22"/>
        <v>150000</v>
      </c>
      <c r="R283" s="11" t="str">
        <f t="shared" si="23"/>
        <v>Business</v>
      </c>
      <c r="S283" s="11">
        <f t="shared" si="24"/>
        <v>5</v>
      </c>
    </row>
    <row r="284" spans="1:19">
      <c r="A284" t="s">
        <v>1619</v>
      </c>
      <c r="B284" t="s">
        <v>1620</v>
      </c>
      <c r="C284" t="s">
        <v>1074</v>
      </c>
      <c r="D284" t="s">
        <v>1621</v>
      </c>
      <c r="E284" t="s">
        <v>1622</v>
      </c>
      <c r="F284" t="s">
        <v>1623</v>
      </c>
      <c r="G284" s="4">
        <v>45726</v>
      </c>
      <c r="H284" s="4">
        <v>45749</v>
      </c>
      <c r="I284" s="4">
        <v>45761</v>
      </c>
      <c r="J284">
        <f t="shared" si="20"/>
        <v>12</v>
      </c>
      <c r="K284" t="str">
        <f t="array" ref="K284">_xlfn.IFS(J284=1,"Day Use",J284&lt;=3,"Short Stay",J284&lt;=7,"Extended Stay",J284&gt;=8,"Long Stay")</f>
        <v>Long Stay</v>
      </c>
      <c r="L284" t="s">
        <v>141</v>
      </c>
      <c r="M284" s="10" t="str">
        <f t="shared" si="21"/>
        <v>Suite</v>
      </c>
      <c r="N284" t="s">
        <v>26</v>
      </c>
      <c r="O284" t="s">
        <v>35</v>
      </c>
      <c r="P284">
        <f>IFERROR(VLOOKUP(TRIM(M284),Room!D:H,5,FALSE),5000)</f>
        <v>12500</v>
      </c>
      <c r="Q284">
        <f t="shared" si="22"/>
        <v>150000</v>
      </c>
      <c r="R284" s="11" t="str">
        <f t="shared" si="23"/>
        <v>Business</v>
      </c>
      <c r="S284" s="11">
        <f t="shared" si="24"/>
        <v>5</v>
      </c>
    </row>
    <row r="285" spans="1:19">
      <c r="A285" t="s">
        <v>1624</v>
      </c>
      <c r="B285" t="s">
        <v>1625</v>
      </c>
      <c r="C285" t="s">
        <v>1626</v>
      </c>
      <c r="D285" t="s">
        <v>1627</v>
      </c>
      <c r="E285" t="s">
        <v>1628</v>
      </c>
      <c r="F285" t="s">
        <v>1629</v>
      </c>
      <c r="G285" s="4">
        <v>45629</v>
      </c>
      <c r="H285" s="4">
        <v>45787</v>
      </c>
      <c r="I285" s="4">
        <v>45800</v>
      </c>
      <c r="J285">
        <f t="shared" si="20"/>
        <v>13</v>
      </c>
      <c r="K285" t="str">
        <f t="array" ref="K285">_xlfn.IFS(J285=1,"Day Use",J285&lt;=3,"Short Stay",J285&lt;=7,"Extended Stay",J285&gt;=8,"Long Stay")</f>
        <v>Long Stay</v>
      </c>
      <c r="L285" t="s">
        <v>49</v>
      </c>
      <c r="M285" s="10" t="str">
        <f t="shared" si="21"/>
        <v>Suite</v>
      </c>
      <c r="N285" t="s">
        <v>26</v>
      </c>
      <c r="O285" t="s">
        <v>35</v>
      </c>
      <c r="P285">
        <f>IFERROR(VLOOKUP(TRIM(M285),Room!D:H,5,FALSE),5000)</f>
        <v>12500</v>
      </c>
      <c r="Q285">
        <f t="shared" si="22"/>
        <v>162500</v>
      </c>
      <c r="R285" s="11" t="str">
        <f t="shared" si="23"/>
        <v>Business</v>
      </c>
      <c r="S285" s="11">
        <f t="shared" si="24"/>
        <v>5</v>
      </c>
    </row>
    <row r="286" spans="1:19">
      <c r="A286" t="s">
        <v>1630</v>
      </c>
      <c r="B286" t="s">
        <v>1631</v>
      </c>
      <c r="C286" t="s">
        <v>130</v>
      </c>
      <c r="D286" t="s">
        <v>1632</v>
      </c>
      <c r="E286" t="s">
        <v>1633</v>
      </c>
      <c r="F286" t="s">
        <v>1634</v>
      </c>
      <c r="G286" s="4">
        <v>45463</v>
      </c>
      <c r="H286" s="4">
        <v>45934</v>
      </c>
      <c r="I286" s="4">
        <v>45936</v>
      </c>
      <c r="J286">
        <f t="shared" si="20"/>
        <v>2</v>
      </c>
      <c r="K286" t="str">
        <f t="array" ref="K286">_xlfn.IFS(J286=1,"Day Use",J286&lt;=3,"Short Stay",J286&lt;=7,"Extended Stay",J286&gt;=8,"Long Stay")</f>
        <v>Short Stay</v>
      </c>
      <c r="L286" t="s">
        <v>49</v>
      </c>
      <c r="M286" s="10" t="str">
        <f t="shared" si="21"/>
        <v>Standard</v>
      </c>
      <c r="N286" t="s">
        <v>26</v>
      </c>
      <c r="O286" t="s">
        <v>35</v>
      </c>
      <c r="P286">
        <f>IFERROR(VLOOKUP(TRIM(M286),Room!D:H,5,FALSE),5000)</f>
        <v>3200</v>
      </c>
      <c r="Q286">
        <f t="shared" si="22"/>
        <v>6400</v>
      </c>
      <c r="R286" s="11" t="str">
        <f t="shared" si="23"/>
        <v>Other</v>
      </c>
      <c r="S286" s="11">
        <f t="shared" si="24"/>
        <v>2</v>
      </c>
    </row>
    <row r="287" spans="1:19">
      <c r="A287" t="s">
        <v>1635</v>
      </c>
      <c r="B287" t="s">
        <v>1636</v>
      </c>
      <c r="C287" t="s">
        <v>1637</v>
      </c>
      <c r="D287" t="s">
        <v>1638</v>
      </c>
      <c r="E287" t="s">
        <v>1639</v>
      </c>
      <c r="F287" t="s">
        <v>1640</v>
      </c>
      <c r="G287" s="4">
        <v>45250</v>
      </c>
      <c r="H287" s="4">
        <v>45305</v>
      </c>
      <c r="I287" s="4">
        <v>45306</v>
      </c>
      <c r="J287">
        <f t="shared" si="20"/>
        <v>1</v>
      </c>
      <c r="K287" t="str">
        <f t="array" ref="K287">_xlfn.IFS(J287=1,"Day Use",J287&lt;=3,"Short Stay",J287&lt;=7,"Extended Stay",J287&gt;=8,"Long Stay")</f>
        <v>Day Use</v>
      </c>
      <c r="L287" t="s">
        <v>49</v>
      </c>
      <c r="M287" s="10" t="str">
        <f t="shared" si="21"/>
        <v>Standard</v>
      </c>
      <c r="N287" t="s">
        <v>26</v>
      </c>
      <c r="O287" t="s">
        <v>27</v>
      </c>
      <c r="P287">
        <f>IFERROR(VLOOKUP(TRIM(M287),Room!D:H,5,FALSE),5000)</f>
        <v>3200</v>
      </c>
      <c r="Q287">
        <f t="shared" si="22"/>
        <v>3200</v>
      </c>
      <c r="R287" s="11" t="str">
        <f t="shared" si="23"/>
        <v>Other</v>
      </c>
      <c r="S287" s="11">
        <f t="shared" si="24"/>
        <v>1</v>
      </c>
    </row>
    <row r="288" spans="1:19">
      <c r="A288" t="s">
        <v>1641</v>
      </c>
      <c r="B288" t="s">
        <v>1642</v>
      </c>
      <c r="C288" t="s">
        <v>1643</v>
      </c>
      <c r="D288" t="s">
        <v>1644</v>
      </c>
      <c r="E288" t="s">
        <v>1645</v>
      </c>
      <c r="F288" t="s">
        <v>1646</v>
      </c>
      <c r="G288" s="4">
        <v>45302</v>
      </c>
      <c r="H288" s="4">
        <v>45311</v>
      </c>
      <c r="I288" s="4">
        <v>45320</v>
      </c>
      <c r="J288">
        <f t="shared" si="20"/>
        <v>9</v>
      </c>
      <c r="K288" t="str">
        <f t="array" ref="K288">_xlfn.IFS(J288=1,"Day Use",J288&lt;=3,"Short Stay",J288&lt;=7,"Extended Stay",J288&gt;=8,"Long Stay")</f>
        <v>Long Stay</v>
      </c>
      <c r="L288" t="s">
        <v>25</v>
      </c>
      <c r="M288" s="10" t="str">
        <f t="shared" si="21"/>
        <v>Premium</v>
      </c>
      <c r="N288" t="s">
        <v>26</v>
      </c>
      <c r="O288" t="s">
        <v>42</v>
      </c>
      <c r="P288">
        <f>IFERROR(VLOOKUP(TRIM(M288),Room!D:H,5,FALSE),5000)</f>
        <v>9500</v>
      </c>
      <c r="Q288">
        <f t="shared" si="22"/>
        <v>85500</v>
      </c>
      <c r="R288" s="11" t="str">
        <f t="shared" si="23"/>
        <v>Conference</v>
      </c>
      <c r="S288" s="11">
        <f t="shared" si="24"/>
        <v>4</v>
      </c>
    </row>
    <row r="289" spans="1:19">
      <c r="A289" t="s">
        <v>1647</v>
      </c>
      <c r="B289" t="s">
        <v>1648</v>
      </c>
      <c r="C289" t="s">
        <v>1649</v>
      </c>
      <c r="D289" t="s">
        <v>1650</v>
      </c>
      <c r="E289" t="s">
        <v>1651</v>
      </c>
      <c r="F289" t="s">
        <v>1652</v>
      </c>
      <c r="G289" s="4">
        <v>45376</v>
      </c>
      <c r="H289" s="4">
        <v>45401</v>
      </c>
      <c r="I289" s="4">
        <v>45415</v>
      </c>
      <c r="J289">
        <f t="shared" si="20"/>
        <v>14</v>
      </c>
      <c r="K289" t="str">
        <f t="array" ref="K289">_xlfn.IFS(J289=1,"Day Use",J289&lt;=3,"Short Stay",J289&lt;=7,"Extended Stay",J289&gt;=8,"Long Stay")</f>
        <v>Long Stay</v>
      </c>
      <c r="L289" t="s">
        <v>84</v>
      </c>
      <c r="M289" s="10" t="str">
        <f t="shared" si="21"/>
        <v>Suite</v>
      </c>
      <c r="N289" t="s">
        <v>26</v>
      </c>
      <c r="O289" t="s">
        <v>35</v>
      </c>
      <c r="P289">
        <f>IFERROR(VLOOKUP(TRIM(M289),Room!D:H,5,FALSE),5000)</f>
        <v>12500</v>
      </c>
      <c r="Q289">
        <f t="shared" si="22"/>
        <v>175000</v>
      </c>
      <c r="R289" s="11" t="str">
        <f t="shared" si="23"/>
        <v>Business</v>
      </c>
      <c r="S289" s="11">
        <f t="shared" si="24"/>
        <v>5</v>
      </c>
    </row>
    <row r="290" spans="1:19">
      <c r="A290" t="s">
        <v>1653</v>
      </c>
      <c r="B290" t="s">
        <v>1654</v>
      </c>
      <c r="C290" t="s">
        <v>80</v>
      </c>
      <c r="D290" t="s">
        <v>1655</v>
      </c>
      <c r="E290" t="s">
        <v>1656</v>
      </c>
      <c r="F290" t="s">
        <v>1657</v>
      </c>
      <c r="G290" s="4">
        <v>45272</v>
      </c>
      <c r="H290" s="4">
        <v>45801</v>
      </c>
      <c r="I290" s="4">
        <v>45806</v>
      </c>
      <c r="J290">
        <f t="shared" si="20"/>
        <v>5</v>
      </c>
      <c r="K290" t="str">
        <f t="array" ref="K290">_xlfn.IFS(J290=1,"Day Use",J290&lt;=3,"Short Stay",J290&lt;=7,"Extended Stay",J290&gt;=8,"Long Stay")</f>
        <v>Extended Stay</v>
      </c>
      <c r="L290" t="s">
        <v>141</v>
      </c>
      <c r="M290" s="10" t="str">
        <f t="shared" si="21"/>
        <v>Deluxe</v>
      </c>
      <c r="N290" t="s">
        <v>26</v>
      </c>
      <c r="O290" t="s">
        <v>42</v>
      </c>
      <c r="P290">
        <f>IFERROR(VLOOKUP(TRIM(M290),Room!D:H,5,FALSE),5000)</f>
        <v>5400</v>
      </c>
      <c r="Q290">
        <f t="shared" si="22"/>
        <v>27000</v>
      </c>
      <c r="R290" s="11" t="str">
        <f t="shared" si="23"/>
        <v>Conference</v>
      </c>
      <c r="S290" s="11">
        <f t="shared" si="24"/>
        <v>3</v>
      </c>
    </row>
    <row r="291" spans="1:19">
      <c r="A291" t="s">
        <v>1658</v>
      </c>
      <c r="B291" t="s">
        <v>1659</v>
      </c>
      <c r="C291" t="s">
        <v>1660</v>
      </c>
      <c r="D291" t="s">
        <v>1661</v>
      </c>
      <c r="E291" t="s">
        <v>1662</v>
      </c>
      <c r="F291" t="s">
        <v>1663</v>
      </c>
      <c r="G291" s="4">
        <v>45434</v>
      </c>
      <c r="H291" s="4">
        <v>45452</v>
      </c>
      <c r="I291" s="4">
        <v>45464</v>
      </c>
      <c r="J291">
        <f t="shared" si="20"/>
        <v>12</v>
      </c>
      <c r="K291" t="str">
        <f t="array" ref="K291">_xlfn.IFS(J291=1,"Day Use",J291&lt;=3,"Short Stay",J291&lt;=7,"Extended Stay",J291&gt;=8,"Long Stay")</f>
        <v>Long Stay</v>
      </c>
      <c r="L291" t="s">
        <v>196</v>
      </c>
      <c r="M291" s="10" t="str">
        <f t="shared" si="21"/>
        <v>Suite</v>
      </c>
      <c r="N291" t="s">
        <v>26</v>
      </c>
      <c r="O291" t="s">
        <v>35</v>
      </c>
      <c r="P291">
        <f>IFERROR(VLOOKUP(TRIM(M291),Room!D:H,5,FALSE),5000)</f>
        <v>12500</v>
      </c>
      <c r="Q291">
        <f t="shared" si="22"/>
        <v>150000</v>
      </c>
      <c r="R291" s="11" t="str">
        <f t="shared" si="23"/>
        <v>Business</v>
      </c>
      <c r="S291" s="11">
        <f t="shared" si="24"/>
        <v>5</v>
      </c>
    </row>
    <row r="292" spans="1:19">
      <c r="A292" t="s">
        <v>1664</v>
      </c>
      <c r="B292" t="s">
        <v>1665</v>
      </c>
      <c r="C292" t="s">
        <v>1666</v>
      </c>
      <c r="D292" t="s">
        <v>1667</v>
      </c>
      <c r="E292" t="s">
        <v>1668</v>
      </c>
      <c r="F292" t="s">
        <v>1669</v>
      </c>
      <c r="G292" s="4">
        <v>45790</v>
      </c>
      <c r="H292" s="4">
        <v>45809</v>
      </c>
      <c r="I292" s="4">
        <v>45822</v>
      </c>
      <c r="J292">
        <f t="shared" si="20"/>
        <v>13</v>
      </c>
      <c r="K292" t="str">
        <f t="array" ref="K292">_xlfn.IFS(J292=1,"Day Use",J292&lt;=3,"Short Stay",J292&lt;=7,"Extended Stay",J292&gt;=8,"Long Stay")</f>
        <v>Long Stay</v>
      </c>
      <c r="L292" t="s">
        <v>25</v>
      </c>
      <c r="M292" s="10" t="str">
        <f t="shared" si="21"/>
        <v>Suite</v>
      </c>
      <c r="N292" t="s">
        <v>26</v>
      </c>
      <c r="O292" t="s">
        <v>71</v>
      </c>
      <c r="P292">
        <f>IFERROR(VLOOKUP(TRIM(M292),Room!D:H,5,FALSE),5000)</f>
        <v>12500</v>
      </c>
      <c r="Q292">
        <f t="shared" si="22"/>
        <v>162500</v>
      </c>
      <c r="R292" s="11" t="str">
        <f t="shared" si="23"/>
        <v>Business</v>
      </c>
      <c r="S292" s="11">
        <f t="shared" si="24"/>
        <v>5</v>
      </c>
    </row>
    <row r="293" spans="1:19">
      <c r="A293" t="s">
        <v>1670</v>
      </c>
      <c r="B293" t="s">
        <v>1671</v>
      </c>
      <c r="C293" t="s">
        <v>351</v>
      </c>
      <c r="D293" t="s">
        <v>1672</v>
      </c>
      <c r="E293" t="s">
        <v>1673</v>
      </c>
      <c r="F293" t="s">
        <v>1674</v>
      </c>
      <c r="G293" s="4">
        <v>45963</v>
      </c>
      <c r="H293" s="4">
        <v>45991</v>
      </c>
      <c r="I293" s="4">
        <v>46002</v>
      </c>
      <c r="J293">
        <f t="shared" si="20"/>
        <v>11</v>
      </c>
      <c r="K293" t="str">
        <f t="array" ref="K293">_xlfn.IFS(J293=1,"Day Use",J293&lt;=3,"Short Stay",J293&lt;=7,"Extended Stay",J293&gt;=8,"Long Stay")</f>
        <v>Long Stay</v>
      </c>
      <c r="L293" t="s">
        <v>49</v>
      </c>
      <c r="M293" s="10" t="str">
        <f t="shared" si="21"/>
        <v>Suite</v>
      </c>
      <c r="N293" t="s">
        <v>57</v>
      </c>
      <c r="O293" t="s">
        <v>58</v>
      </c>
      <c r="P293">
        <f>IFERROR(VLOOKUP(TRIM(M293),Room!D:H,5,FALSE),5000)</f>
        <v>12500</v>
      </c>
      <c r="Q293">
        <f t="shared" si="22"/>
        <v>137500</v>
      </c>
      <c r="R293" s="11" t="str">
        <f t="shared" si="23"/>
        <v>Business</v>
      </c>
      <c r="S293" s="11">
        <f t="shared" si="24"/>
        <v>5</v>
      </c>
    </row>
    <row r="294" spans="1:19">
      <c r="A294" t="s">
        <v>1675</v>
      </c>
      <c r="B294" t="s">
        <v>1676</v>
      </c>
      <c r="C294" t="s">
        <v>259</v>
      </c>
      <c r="D294" t="s">
        <v>1677</v>
      </c>
      <c r="E294" t="s">
        <v>1678</v>
      </c>
      <c r="F294" t="s">
        <v>1679</v>
      </c>
      <c r="G294" s="4">
        <v>45605</v>
      </c>
      <c r="H294" s="4">
        <v>45605</v>
      </c>
      <c r="I294" s="4">
        <v>45606</v>
      </c>
      <c r="J294">
        <f t="shared" si="20"/>
        <v>1</v>
      </c>
      <c r="K294" t="str">
        <f t="array" ref="K294">_xlfn.IFS(J294=1,"Day Use",J294&lt;=3,"Short Stay",J294&lt;=7,"Extended Stay",J294&gt;=8,"Long Stay")</f>
        <v>Day Use</v>
      </c>
      <c r="L294" t="s">
        <v>49</v>
      </c>
      <c r="M294" s="10" t="str">
        <f t="shared" si="21"/>
        <v>Standard</v>
      </c>
      <c r="N294" t="s">
        <v>26</v>
      </c>
      <c r="O294" t="s">
        <v>71</v>
      </c>
      <c r="P294">
        <f>IFERROR(VLOOKUP(TRIM(M294),Room!D:H,5,FALSE),5000)</f>
        <v>3200</v>
      </c>
      <c r="Q294">
        <f t="shared" si="22"/>
        <v>3200</v>
      </c>
      <c r="R294" s="11" t="str">
        <f t="shared" si="23"/>
        <v>Other</v>
      </c>
      <c r="S294" s="11">
        <f t="shared" si="24"/>
        <v>1</v>
      </c>
    </row>
    <row r="295" spans="1:19">
      <c r="A295" t="s">
        <v>1680</v>
      </c>
      <c r="B295" t="s">
        <v>1681</v>
      </c>
      <c r="C295" t="s">
        <v>1682</v>
      </c>
      <c r="D295" t="s">
        <v>1683</v>
      </c>
      <c r="E295" t="s">
        <v>1684</v>
      </c>
      <c r="F295" t="s">
        <v>1685</v>
      </c>
      <c r="G295" s="4">
        <v>45290</v>
      </c>
      <c r="H295" s="4">
        <v>45310</v>
      </c>
      <c r="I295" s="4">
        <v>45318</v>
      </c>
      <c r="J295">
        <f t="shared" si="20"/>
        <v>8</v>
      </c>
      <c r="K295" t="str">
        <f t="array" ref="K295">_xlfn.IFS(J295=1,"Day Use",J295&lt;=3,"Short Stay",J295&lt;=7,"Extended Stay",J295&gt;=8,"Long Stay")</f>
        <v>Long Stay</v>
      </c>
      <c r="L295" t="s">
        <v>196</v>
      </c>
      <c r="M295" s="10" t="str">
        <f t="shared" si="21"/>
        <v>Premium</v>
      </c>
      <c r="N295" t="s">
        <v>26</v>
      </c>
      <c r="O295" t="s">
        <v>42</v>
      </c>
      <c r="P295">
        <f>IFERROR(VLOOKUP(TRIM(M295),Room!D:H,5,FALSE),5000)</f>
        <v>9500</v>
      </c>
      <c r="Q295">
        <f t="shared" si="22"/>
        <v>76000</v>
      </c>
      <c r="R295" s="11" t="str">
        <f t="shared" si="23"/>
        <v>Conference</v>
      </c>
      <c r="S295" s="11">
        <f t="shared" si="24"/>
        <v>4</v>
      </c>
    </row>
    <row r="296" spans="1:19">
      <c r="A296" t="s">
        <v>1686</v>
      </c>
      <c r="B296" t="s">
        <v>1687</v>
      </c>
      <c r="C296" t="s">
        <v>229</v>
      </c>
      <c r="D296" t="s">
        <v>1688</v>
      </c>
      <c r="E296" t="s">
        <v>1689</v>
      </c>
      <c r="F296" t="s">
        <v>1690</v>
      </c>
      <c r="G296" s="4">
        <v>45367</v>
      </c>
      <c r="H296" s="4">
        <v>45394</v>
      </c>
      <c r="I296" s="4">
        <v>45403</v>
      </c>
      <c r="J296">
        <f t="shared" si="20"/>
        <v>9</v>
      </c>
      <c r="K296" t="str">
        <f t="array" ref="K296">_xlfn.IFS(J296=1,"Day Use",J296&lt;=3,"Short Stay",J296&lt;=7,"Extended Stay",J296&gt;=8,"Long Stay")</f>
        <v>Long Stay</v>
      </c>
      <c r="L296" t="s">
        <v>91</v>
      </c>
      <c r="M296" s="10" t="str">
        <f t="shared" si="21"/>
        <v>Premium</v>
      </c>
      <c r="N296" t="s">
        <v>26</v>
      </c>
      <c r="O296" t="s">
        <v>71</v>
      </c>
      <c r="P296">
        <f>IFERROR(VLOOKUP(TRIM(M296),Room!D:H,5,FALSE),5000)</f>
        <v>9500</v>
      </c>
      <c r="Q296">
        <f t="shared" si="22"/>
        <v>85500</v>
      </c>
      <c r="R296" s="11" t="str">
        <f t="shared" si="23"/>
        <v>Conference</v>
      </c>
      <c r="S296" s="11">
        <f t="shared" si="24"/>
        <v>4</v>
      </c>
    </row>
    <row r="297" spans="1:19">
      <c r="A297" t="s">
        <v>1691</v>
      </c>
      <c r="B297" t="s">
        <v>1692</v>
      </c>
      <c r="C297" t="s">
        <v>1693</v>
      </c>
      <c r="D297" t="s">
        <v>1694</v>
      </c>
      <c r="E297" t="s">
        <v>1695</v>
      </c>
      <c r="F297" t="s">
        <v>1696</v>
      </c>
      <c r="G297" s="4">
        <v>45458</v>
      </c>
      <c r="H297" s="4">
        <v>45486</v>
      </c>
      <c r="I297" s="4">
        <v>45492</v>
      </c>
      <c r="J297">
        <f t="shared" si="20"/>
        <v>6</v>
      </c>
      <c r="K297" t="str">
        <f t="array" ref="K297">_xlfn.IFS(J297=1,"Day Use",J297&lt;=3,"Short Stay",J297&lt;=7,"Extended Stay",J297&gt;=8,"Long Stay")</f>
        <v>Extended Stay</v>
      </c>
      <c r="L297" t="s">
        <v>25</v>
      </c>
      <c r="M297" s="10" t="str">
        <f t="shared" si="21"/>
        <v>Deluxe</v>
      </c>
      <c r="N297" t="s">
        <v>57</v>
      </c>
      <c r="O297" t="s">
        <v>71</v>
      </c>
      <c r="P297">
        <f>IFERROR(VLOOKUP(TRIM(M297),Room!D:H,5,FALSE),5000)</f>
        <v>5400</v>
      </c>
      <c r="Q297">
        <f t="shared" si="22"/>
        <v>32400</v>
      </c>
      <c r="R297" s="11" t="str">
        <f t="shared" si="23"/>
        <v>Conference</v>
      </c>
      <c r="S297" s="11">
        <f t="shared" si="24"/>
        <v>3</v>
      </c>
    </row>
    <row r="298" spans="1:19">
      <c r="A298" t="s">
        <v>1697</v>
      </c>
      <c r="B298" t="s">
        <v>1698</v>
      </c>
      <c r="C298" t="s">
        <v>1699</v>
      </c>
      <c r="D298" t="s">
        <v>1700</v>
      </c>
      <c r="E298" t="s">
        <v>1701</v>
      </c>
      <c r="F298" t="s">
        <v>1702</v>
      </c>
      <c r="G298" s="4">
        <v>45740</v>
      </c>
      <c r="H298" s="4">
        <v>45750</v>
      </c>
      <c r="I298" s="4">
        <v>45760</v>
      </c>
      <c r="J298">
        <f t="shared" si="20"/>
        <v>10</v>
      </c>
      <c r="K298" t="str">
        <f t="array" ref="K298">_xlfn.IFS(J298=1,"Day Use",J298&lt;=3,"Short Stay",J298&lt;=7,"Extended Stay",J298&gt;=8,"Long Stay")</f>
        <v>Long Stay</v>
      </c>
      <c r="L298" t="s">
        <v>141</v>
      </c>
      <c r="M298" s="10" t="str">
        <f t="shared" si="21"/>
        <v>Premium</v>
      </c>
      <c r="N298" t="s">
        <v>26</v>
      </c>
      <c r="O298" t="s">
        <v>42</v>
      </c>
      <c r="P298">
        <f>IFERROR(VLOOKUP(TRIM(M298),Room!D:H,5,FALSE),5000)</f>
        <v>9500</v>
      </c>
      <c r="Q298">
        <f t="shared" si="22"/>
        <v>95000</v>
      </c>
      <c r="R298" s="11" t="str">
        <f t="shared" si="23"/>
        <v>Conference</v>
      </c>
      <c r="S298" s="11">
        <f t="shared" si="24"/>
        <v>4</v>
      </c>
    </row>
    <row r="299" spans="1:19">
      <c r="A299" t="s">
        <v>1703</v>
      </c>
      <c r="B299" t="s">
        <v>1704</v>
      </c>
      <c r="C299" t="s">
        <v>740</v>
      </c>
      <c r="D299" t="s">
        <v>1705</v>
      </c>
      <c r="E299" t="s">
        <v>1706</v>
      </c>
      <c r="F299" t="s">
        <v>1707</v>
      </c>
      <c r="G299" s="4">
        <v>45733</v>
      </c>
      <c r="H299" s="4">
        <v>45748</v>
      </c>
      <c r="I299" s="4">
        <v>45756</v>
      </c>
      <c r="J299">
        <f t="shared" si="20"/>
        <v>8</v>
      </c>
      <c r="K299" t="str">
        <f t="array" ref="K299">_xlfn.IFS(J299=1,"Day Use",J299&lt;=3,"Short Stay",J299&lt;=7,"Extended Stay",J299&gt;=8,"Long Stay")</f>
        <v>Long Stay</v>
      </c>
      <c r="L299" t="s">
        <v>141</v>
      </c>
      <c r="M299" s="10" t="str">
        <f t="shared" si="21"/>
        <v>Premium</v>
      </c>
      <c r="N299" t="s">
        <v>26</v>
      </c>
      <c r="O299" t="s">
        <v>42</v>
      </c>
      <c r="P299">
        <f>IFERROR(VLOOKUP(TRIM(M299),Room!D:H,5,FALSE),5000)</f>
        <v>9500</v>
      </c>
      <c r="Q299">
        <f t="shared" si="22"/>
        <v>76000</v>
      </c>
      <c r="R299" s="11" t="str">
        <f t="shared" si="23"/>
        <v>Conference</v>
      </c>
      <c r="S299" s="11">
        <f t="shared" si="24"/>
        <v>4</v>
      </c>
    </row>
    <row r="300" spans="1:19">
      <c r="A300" t="s">
        <v>1708</v>
      </c>
      <c r="B300" t="s">
        <v>1709</v>
      </c>
      <c r="C300" t="s">
        <v>1710</v>
      </c>
      <c r="D300" t="s">
        <v>1711</v>
      </c>
      <c r="E300" t="s">
        <v>1712</v>
      </c>
      <c r="F300" t="s">
        <v>1713</v>
      </c>
      <c r="G300" s="4">
        <v>45308</v>
      </c>
      <c r="H300" s="4">
        <v>45328</v>
      </c>
      <c r="I300" s="4">
        <v>45342</v>
      </c>
      <c r="J300">
        <f t="shared" si="20"/>
        <v>14</v>
      </c>
      <c r="K300" t="str">
        <f t="array" ref="K300">_xlfn.IFS(J300=1,"Day Use",J300&lt;=3,"Short Stay",J300&lt;=7,"Extended Stay",J300&gt;=8,"Long Stay")</f>
        <v>Long Stay</v>
      </c>
      <c r="L300" t="s">
        <v>34</v>
      </c>
      <c r="M300" s="10" t="str">
        <f t="shared" si="21"/>
        <v>Suite</v>
      </c>
      <c r="N300" t="s">
        <v>372</v>
      </c>
      <c r="O300" t="s">
        <v>42</v>
      </c>
      <c r="P300">
        <f>IFERROR(VLOOKUP(TRIM(M300),Room!D:H,5,FALSE),5000)</f>
        <v>12500</v>
      </c>
      <c r="Q300">
        <f t="shared" si="22"/>
        <v>175000</v>
      </c>
      <c r="R300" s="11" t="str">
        <f t="shared" si="23"/>
        <v>Business</v>
      </c>
      <c r="S300" s="11">
        <f t="shared" si="24"/>
        <v>5</v>
      </c>
    </row>
    <row r="301" spans="1:19">
      <c r="A301" t="s">
        <v>1714</v>
      </c>
      <c r="B301" t="s">
        <v>1715</v>
      </c>
      <c r="C301" t="s">
        <v>375</v>
      </c>
      <c r="D301" t="s">
        <v>1716</v>
      </c>
      <c r="E301" t="s">
        <v>1717</v>
      </c>
      <c r="F301" t="s">
        <v>1718</v>
      </c>
      <c r="G301" s="4">
        <v>45764</v>
      </c>
      <c r="H301" s="4">
        <v>45776</v>
      </c>
      <c r="I301" s="4">
        <v>45790</v>
      </c>
      <c r="J301">
        <f t="shared" si="20"/>
        <v>14</v>
      </c>
      <c r="K301" t="str">
        <f t="array" ref="K301">_xlfn.IFS(J301=1,"Day Use",J301&lt;=3,"Short Stay",J301&lt;=7,"Extended Stay",J301&gt;=8,"Long Stay")</f>
        <v>Long Stay</v>
      </c>
      <c r="L301" t="s">
        <v>84</v>
      </c>
      <c r="M301" s="10" t="str">
        <f t="shared" si="21"/>
        <v>Suite</v>
      </c>
      <c r="N301" t="s">
        <v>26</v>
      </c>
      <c r="O301" t="s">
        <v>27</v>
      </c>
      <c r="P301">
        <f>IFERROR(VLOOKUP(TRIM(M301),Room!D:H,5,FALSE),5000)</f>
        <v>12500</v>
      </c>
      <c r="Q301">
        <f t="shared" si="22"/>
        <v>175000</v>
      </c>
      <c r="R301" s="11" t="str">
        <f t="shared" si="23"/>
        <v>Business</v>
      </c>
      <c r="S301" s="11">
        <f t="shared" si="24"/>
        <v>5</v>
      </c>
    </row>
    <row r="302" spans="1:19">
      <c r="A302" t="s">
        <v>1719</v>
      </c>
      <c r="B302" t="s">
        <v>1720</v>
      </c>
      <c r="C302" t="s">
        <v>100</v>
      </c>
      <c r="D302" t="s">
        <v>1721</v>
      </c>
      <c r="E302" t="s">
        <v>1722</v>
      </c>
      <c r="F302" t="s">
        <v>1723</v>
      </c>
      <c r="G302" s="4">
        <v>45364</v>
      </c>
      <c r="H302" s="4">
        <v>45773</v>
      </c>
      <c r="I302" s="4">
        <v>45785</v>
      </c>
      <c r="J302">
        <f t="shared" si="20"/>
        <v>12</v>
      </c>
      <c r="K302" t="str">
        <f t="array" ref="K302">_xlfn.IFS(J302=1,"Day Use",J302&lt;=3,"Short Stay",J302&lt;=7,"Extended Stay",J302&gt;=8,"Long Stay")</f>
        <v>Long Stay</v>
      </c>
      <c r="L302" t="s">
        <v>91</v>
      </c>
      <c r="M302" s="10" t="str">
        <f t="shared" si="21"/>
        <v>Suite</v>
      </c>
      <c r="N302" t="s">
        <v>26</v>
      </c>
      <c r="O302" t="s">
        <v>58</v>
      </c>
      <c r="P302">
        <f>IFERROR(VLOOKUP(TRIM(M302),Room!D:H,5,FALSE),5000)</f>
        <v>12500</v>
      </c>
      <c r="Q302">
        <f t="shared" si="22"/>
        <v>150000</v>
      </c>
      <c r="R302" s="11" t="str">
        <f t="shared" si="23"/>
        <v>Business</v>
      </c>
      <c r="S302" s="11">
        <f t="shared" si="24"/>
        <v>5</v>
      </c>
    </row>
    <row r="303" spans="1:19">
      <c r="A303" t="s">
        <v>1724</v>
      </c>
      <c r="B303" t="s">
        <v>1725</v>
      </c>
      <c r="C303" t="s">
        <v>697</v>
      </c>
      <c r="D303" t="s">
        <v>1726</v>
      </c>
      <c r="E303" t="s">
        <v>1727</v>
      </c>
      <c r="F303" t="s">
        <v>1728</v>
      </c>
      <c r="G303" s="4">
        <v>45361</v>
      </c>
      <c r="H303" s="4">
        <v>45952</v>
      </c>
      <c r="I303" s="4">
        <v>45959</v>
      </c>
      <c r="J303">
        <f t="shared" si="20"/>
        <v>7</v>
      </c>
      <c r="K303" t="str">
        <f t="array" ref="K303">_xlfn.IFS(J303=1,"Day Use",J303&lt;=3,"Short Stay",J303&lt;=7,"Extended Stay",J303&gt;=8,"Long Stay")</f>
        <v>Extended Stay</v>
      </c>
      <c r="L303" t="s">
        <v>84</v>
      </c>
      <c r="M303" s="10" t="str">
        <f t="shared" si="21"/>
        <v>Premium</v>
      </c>
      <c r="N303" t="s">
        <v>26</v>
      </c>
      <c r="O303" t="s">
        <v>71</v>
      </c>
      <c r="P303">
        <f>IFERROR(VLOOKUP(TRIM(M303),Room!D:H,5,FALSE),5000)</f>
        <v>9500</v>
      </c>
      <c r="Q303">
        <f t="shared" si="22"/>
        <v>66500</v>
      </c>
      <c r="R303" s="11" t="str">
        <f t="shared" si="23"/>
        <v>Conference</v>
      </c>
      <c r="S303" s="11">
        <f t="shared" si="24"/>
        <v>4</v>
      </c>
    </row>
    <row r="304" spans="1:19">
      <c r="A304" t="s">
        <v>1729</v>
      </c>
      <c r="B304" t="s">
        <v>1730</v>
      </c>
      <c r="C304" t="s">
        <v>94</v>
      </c>
      <c r="D304" t="s">
        <v>1731</v>
      </c>
      <c r="E304" t="s">
        <v>1732</v>
      </c>
      <c r="F304" t="s">
        <v>1733</v>
      </c>
      <c r="G304" s="4">
        <v>45492</v>
      </c>
      <c r="H304" s="4">
        <v>45493</v>
      </c>
      <c r="I304" s="4">
        <v>45505</v>
      </c>
      <c r="J304">
        <f t="shared" si="20"/>
        <v>12</v>
      </c>
      <c r="K304" t="str">
        <f t="array" ref="K304">_xlfn.IFS(J304=1,"Day Use",J304&lt;=3,"Short Stay",J304&lt;=7,"Extended Stay",J304&gt;=8,"Long Stay")</f>
        <v>Long Stay</v>
      </c>
      <c r="L304" t="s">
        <v>34</v>
      </c>
      <c r="M304" s="10" t="str">
        <f t="shared" si="21"/>
        <v>Suite</v>
      </c>
      <c r="N304" t="s">
        <v>26</v>
      </c>
      <c r="O304" t="s">
        <v>42</v>
      </c>
      <c r="P304">
        <f>IFERROR(VLOOKUP(TRIM(M304),Room!D:H,5,FALSE),5000)</f>
        <v>12500</v>
      </c>
      <c r="Q304">
        <f t="shared" si="22"/>
        <v>150000</v>
      </c>
      <c r="R304" s="11" t="str">
        <f t="shared" si="23"/>
        <v>Business</v>
      </c>
      <c r="S304" s="11">
        <f t="shared" si="24"/>
        <v>5</v>
      </c>
    </row>
    <row r="305" spans="1:19">
      <c r="A305" t="s">
        <v>1734</v>
      </c>
      <c r="B305" t="s">
        <v>1735</v>
      </c>
      <c r="C305" t="s">
        <v>460</v>
      </c>
      <c r="D305" t="s">
        <v>1736</v>
      </c>
      <c r="E305" t="s">
        <v>1737</v>
      </c>
      <c r="F305" t="s">
        <v>1738</v>
      </c>
      <c r="G305" s="4">
        <v>45494</v>
      </c>
      <c r="H305" s="4">
        <v>45869</v>
      </c>
      <c r="I305" s="4">
        <v>45871</v>
      </c>
      <c r="J305">
        <f t="shared" si="20"/>
        <v>2</v>
      </c>
      <c r="K305" t="str">
        <f t="array" ref="K305">_xlfn.IFS(J305=1,"Day Use",J305&lt;=3,"Short Stay",J305&lt;=7,"Extended Stay",J305&gt;=8,"Long Stay")</f>
        <v>Short Stay</v>
      </c>
      <c r="L305" t="s">
        <v>141</v>
      </c>
      <c r="M305" s="10" t="str">
        <f t="shared" si="21"/>
        <v>Standard</v>
      </c>
      <c r="N305" t="s">
        <v>26</v>
      </c>
      <c r="O305" t="s">
        <v>71</v>
      </c>
      <c r="P305">
        <f>IFERROR(VLOOKUP(TRIM(M305),Room!D:H,5,FALSE),5000)</f>
        <v>3200</v>
      </c>
      <c r="Q305">
        <f t="shared" si="22"/>
        <v>6400</v>
      </c>
      <c r="R305" s="11" t="str">
        <f t="shared" si="23"/>
        <v>Other</v>
      </c>
      <c r="S305" s="11">
        <f t="shared" si="24"/>
        <v>2</v>
      </c>
    </row>
    <row r="306" spans="1:19">
      <c r="A306" t="s">
        <v>1739</v>
      </c>
      <c r="B306" t="s">
        <v>1740</v>
      </c>
      <c r="C306" t="s">
        <v>351</v>
      </c>
      <c r="D306" t="s">
        <v>1741</v>
      </c>
      <c r="E306" t="s">
        <v>1742</v>
      </c>
      <c r="F306" t="s">
        <v>1743</v>
      </c>
      <c r="G306" s="4">
        <v>45637</v>
      </c>
      <c r="H306" s="4">
        <v>45919</v>
      </c>
      <c r="I306" s="4">
        <v>45927</v>
      </c>
      <c r="J306">
        <f t="shared" si="20"/>
        <v>8</v>
      </c>
      <c r="K306" t="str">
        <f t="array" ref="K306">_xlfn.IFS(J306=1,"Day Use",J306&lt;=3,"Short Stay",J306&lt;=7,"Extended Stay",J306&gt;=8,"Long Stay")</f>
        <v>Long Stay</v>
      </c>
      <c r="L306" t="s">
        <v>56</v>
      </c>
      <c r="M306" s="10" t="str">
        <f t="shared" si="21"/>
        <v>Premium</v>
      </c>
      <c r="N306" t="s">
        <v>26</v>
      </c>
      <c r="O306" t="s">
        <v>35</v>
      </c>
      <c r="P306">
        <f>IFERROR(VLOOKUP(TRIM(M306),Room!D:H,5,FALSE),5000)</f>
        <v>9500</v>
      </c>
      <c r="Q306">
        <f t="shared" si="22"/>
        <v>76000</v>
      </c>
      <c r="R306" s="11" t="str">
        <f t="shared" si="23"/>
        <v>Conference</v>
      </c>
      <c r="S306" s="11">
        <f t="shared" si="24"/>
        <v>4</v>
      </c>
    </row>
    <row r="307" spans="1:19">
      <c r="A307" t="s">
        <v>1744</v>
      </c>
      <c r="B307" t="s">
        <v>1745</v>
      </c>
      <c r="C307" t="s">
        <v>1476</v>
      </c>
      <c r="D307" t="s">
        <v>1746</v>
      </c>
      <c r="E307" t="s">
        <v>1747</v>
      </c>
      <c r="F307" t="s">
        <v>1748</v>
      </c>
      <c r="G307" s="4">
        <v>45774</v>
      </c>
      <c r="H307" s="4">
        <v>45783</v>
      </c>
      <c r="I307" s="4">
        <v>45787</v>
      </c>
      <c r="J307">
        <f t="shared" si="20"/>
        <v>4</v>
      </c>
      <c r="K307" t="str">
        <f t="array" ref="K307">_xlfn.IFS(J307=1,"Day Use",J307&lt;=3,"Short Stay",J307&lt;=7,"Extended Stay",J307&gt;=8,"Long Stay")</f>
        <v>Extended Stay</v>
      </c>
      <c r="L307" t="s">
        <v>25</v>
      </c>
      <c r="M307" s="10" t="str">
        <f t="shared" si="21"/>
        <v>Deluxe</v>
      </c>
      <c r="N307" t="s">
        <v>26</v>
      </c>
      <c r="O307" t="s">
        <v>27</v>
      </c>
      <c r="P307">
        <f>IFERROR(VLOOKUP(TRIM(M307),Room!D:H,5,FALSE),5000)</f>
        <v>5400</v>
      </c>
      <c r="Q307">
        <f t="shared" si="22"/>
        <v>21600</v>
      </c>
      <c r="R307" s="11" t="str">
        <f t="shared" si="23"/>
        <v>Conference</v>
      </c>
      <c r="S307" s="11">
        <f t="shared" si="24"/>
        <v>3</v>
      </c>
    </row>
    <row r="308" spans="1:19">
      <c r="A308" t="s">
        <v>1749</v>
      </c>
      <c r="B308" t="s">
        <v>1750</v>
      </c>
      <c r="C308" t="s">
        <v>1751</v>
      </c>
      <c r="D308" t="s">
        <v>1752</v>
      </c>
      <c r="E308" t="s">
        <v>1753</v>
      </c>
      <c r="F308" t="s">
        <v>1754</v>
      </c>
      <c r="G308" s="4">
        <v>45452</v>
      </c>
      <c r="H308" s="4">
        <v>45470</v>
      </c>
      <c r="I308" s="4">
        <v>45484</v>
      </c>
      <c r="J308">
        <f t="shared" si="20"/>
        <v>14</v>
      </c>
      <c r="K308" t="str">
        <f t="array" ref="K308">_xlfn.IFS(J308=1,"Day Use",J308&lt;=3,"Short Stay",J308&lt;=7,"Extended Stay",J308&gt;=8,"Long Stay")</f>
        <v>Long Stay</v>
      </c>
      <c r="L308" t="s">
        <v>49</v>
      </c>
      <c r="M308" s="10" t="str">
        <f t="shared" si="21"/>
        <v>Suite</v>
      </c>
      <c r="N308" t="s">
        <v>57</v>
      </c>
      <c r="O308" t="s">
        <v>35</v>
      </c>
      <c r="P308">
        <f>IFERROR(VLOOKUP(TRIM(M308),Room!D:H,5,FALSE),5000)</f>
        <v>12500</v>
      </c>
      <c r="Q308">
        <f t="shared" si="22"/>
        <v>175000</v>
      </c>
      <c r="R308" s="11" t="str">
        <f t="shared" si="23"/>
        <v>Business</v>
      </c>
      <c r="S308" s="11">
        <f t="shared" si="24"/>
        <v>5</v>
      </c>
    </row>
    <row r="309" spans="1:19">
      <c r="A309" t="s">
        <v>1755</v>
      </c>
      <c r="B309" t="s">
        <v>1756</v>
      </c>
      <c r="C309" t="s">
        <v>1757</v>
      </c>
      <c r="D309" t="s">
        <v>1758</v>
      </c>
      <c r="E309" t="s">
        <v>1759</v>
      </c>
      <c r="F309" t="s">
        <v>1760</v>
      </c>
      <c r="G309" s="4">
        <v>45440</v>
      </c>
      <c r="H309" s="4">
        <v>45440</v>
      </c>
      <c r="I309" s="4">
        <v>45453</v>
      </c>
      <c r="J309">
        <f t="shared" si="20"/>
        <v>13</v>
      </c>
      <c r="K309" t="str">
        <f t="array" ref="K309">_xlfn.IFS(J309=1,"Day Use",J309&lt;=3,"Short Stay",J309&lt;=7,"Extended Stay",J309&gt;=8,"Long Stay")</f>
        <v>Long Stay</v>
      </c>
      <c r="L309" t="s">
        <v>196</v>
      </c>
      <c r="M309" s="10" t="str">
        <f t="shared" si="21"/>
        <v>Suite</v>
      </c>
      <c r="N309" t="s">
        <v>26</v>
      </c>
      <c r="O309" t="s">
        <v>35</v>
      </c>
      <c r="P309">
        <f>IFERROR(VLOOKUP(TRIM(M309),Room!D:H,5,FALSE),5000)</f>
        <v>12500</v>
      </c>
      <c r="Q309">
        <f t="shared" si="22"/>
        <v>162500</v>
      </c>
      <c r="R309" s="11" t="str">
        <f t="shared" si="23"/>
        <v>Business</v>
      </c>
      <c r="S309" s="11">
        <f t="shared" si="24"/>
        <v>5</v>
      </c>
    </row>
    <row r="310" spans="1:19">
      <c r="A310" t="s">
        <v>1761</v>
      </c>
      <c r="B310" t="s">
        <v>1762</v>
      </c>
      <c r="C310" t="s">
        <v>1763</v>
      </c>
      <c r="D310" t="s">
        <v>1764</v>
      </c>
      <c r="E310" t="s">
        <v>1765</v>
      </c>
      <c r="F310" t="s">
        <v>1766</v>
      </c>
      <c r="G310" s="4">
        <v>45393</v>
      </c>
      <c r="H310" s="4">
        <v>45863</v>
      </c>
      <c r="I310" s="4">
        <v>45874</v>
      </c>
      <c r="J310">
        <f t="shared" si="20"/>
        <v>11</v>
      </c>
      <c r="K310" t="str">
        <f t="array" ref="K310">_xlfn.IFS(J310=1,"Day Use",J310&lt;=3,"Short Stay",J310&lt;=7,"Extended Stay",J310&gt;=8,"Long Stay")</f>
        <v>Long Stay</v>
      </c>
      <c r="L310" t="s">
        <v>196</v>
      </c>
      <c r="M310" s="10" t="str">
        <f t="shared" si="21"/>
        <v>Suite</v>
      </c>
      <c r="N310" t="s">
        <v>26</v>
      </c>
      <c r="O310" t="s">
        <v>27</v>
      </c>
      <c r="P310">
        <f>IFERROR(VLOOKUP(TRIM(M310),Room!D:H,5,FALSE),5000)</f>
        <v>12500</v>
      </c>
      <c r="Q310">
        <f t="shared" si="22"/>
        <v>137500</v>
      </c>
      <c r="R310" s="11" t="str">
        <f t="shared" si="23"/>
        <v>Business</v>
      </c>
      <c r="S310" s="11">
        <f t="shared" si="24"/>
        <v>5</v>
      </c>
    </row>
    <row r="311" spans="1:19">
      <c r="A311" t="s">
        <v>1767</v>
      </c>
      <c r="B311" t="s">
        <v>1768</v>
      </c>
      <c r="C311" t="s">
        <v>229</v>
      </c>
      <c r="D311" t="s">
        <v>1769</v>
      </c>
      <c r="E311" t="s">
        <v>1770</v>
      </c>
      <c r="F311" t="s">
        <v>1771</v>
      </c>
      <c r="G311" s="4">
        <v>45541</v>
      </c>
      <c r="H311" s="4">
        <v>45541</v>
      </c>
      <c r="I311" s="4">
        <v>45555</v>
      </c>
      <c r="J311">
        <f t="shared" si="20"/>
        <v>14</v>
      </c>
      <c r="K311" t="str">
        <f t="array" ref="K311">_xlfn.IFS(J311=1,"Day Use",J311&lt;=3,"Short Stay",J311&lt;=7,"Extended Stay",J311&gt;=8,"Long Stay")</f>
        <v>Long Stay</v>
      </c>
      <c r="L311" t="s">
        <v>25</v>
      </c>
      <c r="M311" s="10" t="str">
        <f t="shared" si="21"/>
        <v>Suite</v>
      </c>
      <c r="N311" t="s">
        <v>26</v>
      </c>
      <c r="O311" t="s">
        <v>35</v>
      </c>
      <c r="P311">
        <f>IFERROR(VLOOKUP(TRIM(M311),Room!D:H,5,FALSE),5000)</f>
        <v>12500</v>
      </c>
      <c r="Q311">
        <f t="shared" si="22"/>
        <v>175000</v>
      </c>
      <c r="R311" s="11" t="str">
        <f t="shared" si="23"/>
        <v>Business</v>
      </c>
      <c r="S311" s="11">
        <f t="shared" si="24"/>
        <v>5</v>
      </c>
    </row>
    <row r="312" spans="1:19">
      <c r="A312" t="s">
        <v>1772</v>
      </c>
      <c r="B312" t="s">
        <v>1773</v>
      </c>
      <c r="C312" t="s">
        <v>1470</v>
      </c>
      <c r="D312" t="s">
        <v>1774</v>
      </c>
      <c r="E312" t="s">
        <v>1775</v>
      </c>
      <c r="F312" t="s">
        <v>1776</v>
      </c>
      <c r="G312" s="4">
        <v>45832</v>
      </c>
      <c r="H312" s="4">
        <v>45912</v>
      </c>
      <c r="I312" s="4">
        <v>45915</v>
      </c>
      <c r="J312">
        <f t="shared" si="20"/>
        <v>3</v>
      </c>
      <c r="K312" t="str">
        <f t="array" ref="K312">_xlfn.IFS(J312=1,"Day Use",J312&lt;=3,"Short Stay",J312&lt;=7,"Extended Stay",J312&gt;=8,"Long Stay")</f>
        <v>Short Stay</v>
      </c>
      <c r="L312" t="s">
        <v>49</v>
      </c>
      <c r="M312" s="10" t="str">
        <f t="shared" si="21"/>
        <v>Standard</v>
      </c>
      <c r="N312" t="s">
        <v>26</v>
      </c>
      <c r="O312" t="s">
        <v>58</v>
      </c>
      <c r="P312">
        <f>IFERROR(VLOOKUP(TRIM(M312),Room!D:H,5,FALSE),5000)</f>
        <v>3200</v>
      </c>
      <c r="Q312">
        <f t="shared" si="22"/>
        <v>9600</v>
      </c>
      <c r="R312" s="11" t="str">
        <f t="shared" si="23"/>
        <v>Other</v>
      </c>
      <c r="S312" s="11">
        <f t="shared" si="24"/>
        <v>2</v>
      </c>
    </row>
    <row r="313" spans="1:19">
      <c r="A313" t="s">
        <v>1777</v>
      </c>
      <c r="B313" t="s">
        <v>1778</v>
      </c>
      <c r="C313" t="s">
        <v>1146</v>
      </c>
      <c r="D313" t="s">
        <v>1779</v>
      </c>
      <c r="E313" t="s">
        <v>1780</v>
      </c>
      <c r="F313" t="s">
        <v>1781</v>
      </c>
      <c r="G313" s="4">
        <v>45739</v>
      </c>
      <c r="H313" s="4">
        <v>45875</v>
      </c>
      <c r="I313" s="4">
        <v>45889</v>
      </c>
      <c r="J313">
        <f t="shared" si="20"/>
        <v>14</v>
      </c>
      <c r="K313" t="str">
        <f t="array" ref="K313">_xlfn.IFS(J313=1,"Day Use",J313&lt;=3,"Short Stay",J313&lt;=7,"Extended Stay",J313&gt;=8,"Long Stay")</f>
        <v>Long Stay</v>
      </c>
      <c r="L313" t="s">
        <v>49</v>
      </c>
      <c r="M313" s="10" t="str">
        <f t="shared" si="21"/>
        <v>Suite</v>
      </c>
      <c r="N313" t="s">
        <v>26</v>
      </c>
      <c r="O313" t="s">
        <v>71</v>
      </c>
      <c r="P313">
        <f>IFERROR(VLOOKUP(TRIM(M313),Room!D:H,5,FALSE),5000)</f>
        <v>12500</v>
      </c>
      <c r="Q313">
        <f t="shared" si="22"/>
        <v>175000</v>
      </c>
      <c r="R313" s="11" t="str">
        <f t="shared" si="23"/>
        <v>Business</v>
      </c>
      <c r="S313" s="11">
        <f t="shared" si="24"/>
        <v>5</v>
      </c>
    </row>
    <row r="314" spans="1:19">
      <c r="A314" t="s">
        <v>1782</v>
      </c>
      <c r="B314" t="s">
        <v>1783</v>
      </c>
      <c r="C314" t="s">
        <v>1482</v>
      </c>
      <c r="D314" t="s">
        <v>1784</v>
      </c>
      <c r="E314" t="s">
        <v>1785</v>
      </c>
      <c r="F314" t="s">
        <v>1786</v>
      </c>
      <c r="G314" s="4">
        <v>45653</v>
      </c>
      <c r="H314" s="4">
        <v>45680</v>
      </c>
      <c r="I314" s="4">
        <v>45692</v>
      </c>
      <c r="J314">
        <f t="shared" si="20"/>
        <v>12</v>
      </c>
      <c r="K314" t="str">
        <f t="array" ref="K314">_xlfn.IFS(J314=1,"Day Use",J314&lt;=3,"Short Stay",J314&lt;=7,"Extended Stay",J314&gt;=8,"Long Stay")</f>
        <v>Long Stay</v>
      </c>
      <c r="L314" t="s">
        <v>25</v>
      </c>
      <c r="M314" s="10" t="str">
        <f t="shared" si="21"/>
        <v>Suite</v>
      </c>
      <c r="N314" t="s">
        <v>26</v>
      </c>
      <c r="O314" t="s">
        <v>42</v>
      </c>
      <c r="P314">
        <f>IFERROR(VLOOKUP(TRIM(M314),Room!D:H,5,FALSE),5000)</f>
        <v>12500</v>
      </c>
      <c r="Q314">
        <f t="shared" si="22"/>
        <v>150000</v>
      </c>
      <c r="R314" s="11" t="str">
        <f t="shared" si="23"/>
        <v>Business</v>
      </c>
      <c r="S314" s="11">
        <f t="shared" si="24"/>
        <v>5</v>
      </c>
    </row>
    <row r="315" spans="1:19">
      <c r="A315" t="s">
        <v>1787</v>
      </c>
      <c r="B315" t="s">
        <v>1788</v>
      </c>
      <c r="C315" t="s">
        <v>1074</v>
      </c>
      <c r="D315" t="s">
        <v>1789</v>
      </c>
      <c r="E315" t="s">
        <v>1790</v>
      </c>
      <c r="F315" t="s">
        <v>1791</v>
      </c>
      <c r="G315" s="4">
        <v>45349</v>
      </c>
      <c r="H315" s="4">
        <v>45371</v>
      </c>
      <c r="I315" s="4">
        <v>45372</v>
      </c>
      <c r="J315">
        <f t="shared" si="20"/>
        <v>1</v>
      </c>
      <c r="K315" t="str">
        <f t="array" ref="K315">_xlfn.IFS(J315=1,"Day Use",J315&lt;=3,"Short Stay",J315&lt;=7,"Extended Stay",J315&gt;=8,"Long Stay")</f>
        <v>Day Use</v>
      </c>
      <c r="L315" t="s">
        <v>91</v>
      </c>
      <c r="M315" s="10" t="str">
        <f t="shared" si="21"/>
        <v>Standard</v>
      </c>
      <c r="N315" t="s">
        <v>26</v>
      </c>
      <c r="O315" t="s">
        <v>27</v>
      </c>
      <c r="P315">
        <f>IFERROR(VLOOKUP(TRIM(M315),Room!D:H,5,FALSE),5000)</f>
        <v>3200</v>
      </c>
      <c r="Q315">
        <f t="shared" si="22"/>
        <v>3200</v>
      </c>
      <c r="R315" s="11" t="str">
        <f t="shared" si="23"/>
        <v>Other</v>
      </c>
      <c r="S315" s="11">
        <f t="shared" si="24"/>
        <v>1</v>
      </c>
    </row>
    <row r="316" spans="1:19">
      <c r="A316" t="s">
        <v>1792</v>
      </c>
      <c r="B316" t="s">
        <v>1793</v>
      </c>
      <c r="C316" t="s">
        <v>1794</v>
      </c>
      <c r="D316" t="s">
        <v>1795</v>
      </c>
      <c r="E316" t="s">
        <v>1796</v>
      </c>
      <c r="F316" t="s">
        <v>1797</v>
      </c>
      <c r="G316" s="4">
        <v>45427</v>
      </c>
      <c r="H316" s="4">
        <v>45658</v>
      </c>
      <c r="I316" s="4">
        <v>45664</v>
      </c>
      <c r="J316">
        <f t="shared" si="20"/>
        <v>6</v>
      </c>
      <c r="K316" t="str">
        <f t="array" ref="K316">_xlfn.IFS(J316=1,"Day Use",J316&lt;=3,"Short Stay",J316&lt;=7,"Extended Stay",J316&gt;=8,"Long Stay")</f>
        <v>Extended Stay</v>
      </c>
      <c r="L316" t="s">
        <v>56</v>
      </c>
      <c r="M316" s="10" t="str">
        <f t="shared" si="21"/>
        <v>Deluxe</v>
      </c>
      <c r="N316" t="s">
        <v>26</v>
      </c>
      <c r="O316" t="s">
        <v>35</v>
      </c>
      <c r="P316">
        <f>IFERROR(VLOOKUP(TRIM(M316),Room!D:H,5,FALSE),5000)</f>
        <v>5400</v>
      </c>
      <c r="Q316">
        <f t="shared" si="22"/>
        <v>32400</v>
      </c>
      <c r="R316" s="11" t="str">
        <f t="shared" si="23"/>
        <v>Conference</v>
      </c>
      <c r="S316" s="11">
        <f t="shared" si="24"/>
        <v>3</v>
      </c>
    </row>
    <row r="317" spans="1:19">
      <c r="A317" t="s">
        <v>1798</v>
      </c>
      <c r="B317" t="s">
        <v>1799</v>
      </c>
      <c r="C317" t="s">
        <v>163</v>
      </c>
      <c r="D317" t="s">
        <v>1800</v>
      </c>
      <c r="E317" t="s">
        <v>1801</v>
      </c>
      <c r="F317" t="s">
        <v>1802</v>
      </c>
      <c r="G317" s="4">
        <v>45424</v>
      </c>
      <c r="H317" s="4">
        <v>45780</v>
      </c>
      <c r="I317" s="4">
        <v>45781</v>
      </c>
      <c r="J317">
        <f t="shared" si="20"/>
        <v>1</v>
      </c>
      <c r="K317" t="str">
        <f t="array" ref="K317">_xlfn.IFS(J317=1,"Day Use",J317&lt;=3,"Short Stay",J317&lt;=7,"Extended Stay",J317&gt;=8,"Long Stay")</f>
        <v>Day Use</v>
      </c>
      <c r="L317" t="s">
        <v>56</v>
      </c>
      <c r="M317" s="10" t="str">
        <f t="shared" si="21"/>
        <v>Standard</v>
      </c>
      <c r="N317" t="s">
        <v>134</v>
      </c>
      <c r="O317" t="s">
        <v>27</v>
      </c>
      <c r="P317">
        <f>IFERROR(VLOOKUP(TRIM(M317),Room!D:H,5,FALSE),5000)</f>
        <v>3200</v>
      </c>
      <c r="Q317">
        <f t="shared" si="22"/>
        <v>3200</v>
      </c>
      <c r="R317" s="11" t="str">
        <f t="shared" si="23"/>
        <v>Other</v>
      </c>
      <c r="S317" s="11">
        <f t="shared" si="24"/>
        <v>1</v>
      </c>
    </row>
    <row r="318" spans="1:19">
      <c r="A318" t="s">
        <v>1803</v>
      </c>
      <c r="B318" t="s">
        <v>1804</v>
      </c>
      <c r="C318" t="s">
        <v>186</v>
      </c>
      <c r="D318" t="s">
        <v>1805</v>
      </c>
      <c r="E318" t="s">
        <v>1806</v>
      </c>
      <c r="F318" t="s">
        <v>1807</v>
      </c>
      <c r="G318" s="4">
        <v>45922</v>
      </c>
      <c r="H318" s="4">
        <v>46009</v>
      </c>
      <c r="I318" s="4">
        <v>46022</v>
      </c>
      <c r="J318">
        <f t="shared" si="20"/>
        <v>13</v>
      </c>
      <c r="K318" t="str">
        <f t="array" ref="K318">_xlfn.IFS(J318=1,"Day Use",J318&lt;=3,"Short Stay",J318&lt;=7,"Extended Stay",J318&gt;=8,"Long Stay")</f>
        <v>Long Stay</v>
      </c>
      <c r="L318" t="s">
        <v>91</v>
      </c>
      <c r="M318" s="10" t="str">
        <f t="shared" si="21"/>
        <v>Suite</v>
      </c>
      <c r="N318" t="s">
        <v>26</v>
      </c>
      <c r="O318" t="s">
        <v>71</v>
      </c>
      <c r="P318">
        <f>IFERROR(VLOOKUP(TRIM(M318),Room!D:H,5,FALSE),5000)</f>
        <v>12500</v>
      </c>
      <c r="Q318">
        <f t="shared" si="22"/>
        <v>162500</v>
      </c>
      <c r="R318" s="11" t="str">
        <f t="shared" si="23"/>
        <v>Business</v>
      </c>
      <c r="S318" s="11">
        <f t="shared" si="24"/>
        <v>5</v>
      </c>
    </row>
    <row r="319" spans="1:19">
      <c r="A319" t="s">
        <v>1808</v>
      </c>
      <c r="B319" t="s">
        <v>1809</v>
      </c>
      <c r="C319" t="s">
        <v>1810</v>
      </c>
      <c r="D319" t="s">
        <v>1811</v>
      </c>
      <c r="E319" t="s">
        <v>1812</v>
      </c>
      <c r="F319" t="s">
        <v>1813</v>
      </c>
      <c r="G319" s="4">
        <v>45360</v>
      </c>
      <c r="H319" s="4">
        <v>45370</v>
      </c>
      <c r="I319" s="4">
        <v>45384</v>
      </c>
      <c r="J319">
        <f t="shared" si="20"/>
        <v>14</v>
      </c>
      <c r="K319" t="str">
        <f t="array" ref="K319">_xlfn.IFS(J319=1,"Day Use",J319&lt;=3,"Short Stay",J319&lt;=7,"Extended Stay",J319&gt;=8,"Long Stay")</f>
        <v>Long Stay</v>
      </c>
      <c r="L319" t="s">
        <v>25</v>
      </c>
      <c r="M319" s="10" t="str">
        <f t="shared" si="21"/>
        <v>Suite</v>
      </c>
      <c r="N319" t="s">
        <v>57</v>
      </c>
      <c r="O319" t="s">
        <v>27</v>
      </c>
      <c r="P319">
        <f>IFERROR(VLOOKUP(TRIM(M319),Room!D:H,5,FALSE),5000)</f>
        <v>12500</v>
      </c>
      <c r="Q319">
        <f t="shared" si="22"/>
        <v>175000</v>
      </c>
      <c r="R319" s="11" t="str">
        <f t="shared" si="23"/>
        <v>Business</v>
      </c>
      <c r="S319" s="11">
        <f t="shared" si="24"/>
        <v>5</v>
      </c>
    </row>
    <row r="320" spans="1:19">
      <c r="A320" t="s">
        <v>1814</v>
      </c>
      <c r="B320" t="s">
        <v>1815</v>
      </c>
      <c r="C320" t="s">
        <v>1014</v>
      </c>
      <c r="D320" t="s">
        <v>1816</v>
      </c>
      <c r="E320" t="s">
        <v>1817</v>
      </c>
      <c r="F320" t="s">
        <v>1818</v>
      </c>
      <c r="G320" s="4">
        <v>45585</v>
      </c>
      <c r="H320" s="4">
        <v>45612</v>
      </c>
      <c r="I320" s="4">
        <v>45614</v>
      </c>
      <c r="J320">
        <f t="shared" si="20"/>
        <v>2</v>
      </c>
      <c r="K320" t="str">
        <f t="array" ref="K320">_xlfn.IFS(J320=1,"Day Use",J320&lt;=3,"Short Stay",J320&lt;=7,"Extended Stay",J320&gt;=8,"Long Stay")</f>
        <v>Short Stay</v>
      </c>
      <c r="L320" t="s">
        <v>49</v>
      </c>
      <c r="M320" s="10" t="str">
        <f t="shared" si="21"/>
        <v>Standard</v>
      </c>
      <c r="N320" t="s">
        <v>26</v>
      </c>
      <c r="O320" t="s">
        <v>27</v>
      </c>
      <c r="P320">
        <f>IFERROR(VLOOKUP(TRIM(M320),Room!D:H,5,FALSE),5000)</f>
        <v>3200</v>
      </c>
      <c r="Q320">
        <f t="shared" si="22"/>
        <v>6400</v>
      </c>
      <c r="R320" s="11" t="str">
        <f t="shared" si="23"/>
        <v>Other</v>
      </c>
      <c r="S320" s="11">
        <f t="shared" si="24"/>
        <v>2</v>
      </c>
    </row>
    <row r="321" spans="1:19">
      <c r="A321" t="s">
        <v>1819</v>
      </c>
      <c r="B321" t="s">
        <v>1820</v>
      </c>
      <c r="C321" t="s">
        <v>253</v>
      </c>
      <c r="D321" t="s">
        <v>1821</v>
      </c>
      <c r="E321" t="s">
        <v>1822</v>
      </c>
      <c r="F321" t="s">
        <v>1823</v>
      </c>
      <c r="G321" s="4">
        <v>45523</v>
      </c>
      <c r="H321" s="4">
        <v>45540</v>
      </c>
      <c r="I321" s="4">
        <v>45542</v>
      </c>
      <c r="J321">
        <f t="shared" si="20"/>
        <v>2</v>
      </c>
      <c r="K321" t="str">
        <f t="array" ref="K321">_xlfn.IFS(J321=1,"Day Use",J321&lt;=3,"Short Stay",J321&lt;=7,"Extended Stay",J321&gt;=8,"Long Stay")</f>
        <v>Short Stay</v>
      </c>
      <c r="L321" t="s">
        <v>141</v>
      </c>
      <c r="M321" s="10" t="str">
        <f t="shared" si="21"/>
        <v>Standard</v>
      </c>
      <c r="N321" t="s">
        <v>57</v>
      </c>
      <c r="O321" t="s">
        <v>42</v>
      </c>
      <c r="P321">
        <f>IFERROR(VLOOKUP(TRIM(M321),Room!D:H,5,FALSE),5000)</f>
        <v>3200</v>
      </c>
      <c r="Q321">
        <f t="shared" si="22"/>
        <v>6400</v>
      </c>
      <c r="R321" s="11" t="str">
        <f t="shared" si="23"/>
        <v>Other</v>
      </c>
      <c r="S321" s="11">
        <f t="shared" si="24"/>
        <v>2</v>
      </c>
    </row>
    <row r="322" spans="1:19">
      <c r="A322" t="s">
        <v>1824</v>
      </c>
      <c r="B322" t="s">
        <v>1825</v>
      </c>
      <c r="C322" t="s">
        <v>1826</v>
      </c>
      <c r="D322" t="s">
        <v>1827</v>
      </c>
      <c r="E322" t="s">
        <v>1828</v>
      </c>
      <c r="F322" t="s">
        <v>1829</v>
      </c>
      <c r="G322" s="4">
        <v>45696</v>
      </c>
      <c r="H322" s="4">
        <v>45913</v>
      </c>
      <c r="I322" s="4">
        <v>45920</v>
      </c>
      <c r="J322">
        <f t="shared" ref="J322:J385" si="25">I322-H322</f>
        <v>7</v>
      </c>
      <c r="K322" t="str">
        <f t="array" ref="K322">_xlfn.IFS(J322=1,"Day Use",J322&lt;=3,"Short Stay",J322&lt;=7,"Extended Stay",J322&gt;=8,"Long Stay")</f>
        <v>Extended Stay</v>
      </c>
      <c r="L322" t="s">
        <v>84</v>
      </c>
      <c r="M322" s="10" t="str">
        <f t="shared" ref="M322:M385" si="26">IF($J322&lt;=3,"Standard",IF($J322&lt;=6,"Deluxe",IF($J322&lt;=10,"Premium","Suite")))</f>
        <v>Premium</v>
      </c>
      <c r="N322" t="s">
        <v>57</v>
      </c>
      <c r="O322" t="s">
        <v>71</v>
      </c>
      <c r="P322">
        <f>IFERROR(VLOOKUP(TRIM(M322),Room!D:H,5,FALSE),5000)</f>
        <v>9500</v>
      </c>
      <c r="Q322">
        <f t="shared" si="22"/>
        <v>66500</v>
      </c>
      <c r="R322" s="11" t="str">
        <f t="shared" si="23"/>
        <v>Conference</v>
      </c>
      <c r="S322" s="11">
        <f t="shared" si="24"/>
        <v>4</v>
      </c>
    </row>
    <row r="323" spans="1:19">
      <c r="A323" t="s">
        <v>1830</v>
      </c>
      <c r="B323" t="s">
        <v>1831</v>
      </c>
      <c r="C323" t="s">
        <v>351</v>
      </c>
      <c r="D323" t="s">
        <v>1832</v>
      </c>
      <c r="E323" t="s">
        <v>1833</v>
      </c>
      <c r="F323" t="s">
        <v>1834</v>
      </c>
      <c r="G323" s="4">
        <v>45258</v>
      </c>
      <c r="H323" s="4">
        <v>45688</v>
      </c>
      <c r="I323" s="4">
        <v>45698</v>
      </c>
      <c r="J323">
        <f t="shared" si="25"/>
        <v>10</v>
      </c>
      <c r="K323" t="str">
        <f t="array" ref="K323">_xlfn.IFS(J323=1,"Day Use",J323&lt;=3,"Short Stay",J323&lt;=7,"Extended Stay",J323&gt;=8,"Long Stay")</f>
        <v>Long Stay</v>
      </c>
      <c r="L323" t="s">
        <v>49</v>
      </c>
      <c r="M323" s="10" t="str">
        <f t="shared" si="26"/>
        <v>Premium</v>
      </c>
      <c r="N323" t="s">
        <v>26</v>
      </c>
      <c r="O323" t="s">
        <v>42</v>
      </c>
      <c r="P323">
        <f>IFERROR(VLOOKUP(TRIM(M323),Room!D:H,5,FALSE),5000)</f>
        <v>9500</v>
      </c>
      <c r="Q323">
        <f t="shared" ref="Q323:Q386" si="27">P323*J323</f>
        <v>95000</v>
      </c>
      <c r="R323" s="11" t="str">
        <f t="shared" ref="R323:R386" si="28">IF(ISNUMBER(SEARCH("Suite",D323)),"Honeymoon",IF(P323&gt;10000,"Business",IF(P323&gt;5000,"Conference",IF(J323&gt;=8,"Family Vacation","Other"))))</f>
        <v>Conference</v>
      </c>
      <c r="S323" s="11">
        <f t="shared" ref="S323:S386" si="29">IF(M323="Suite",5,IF(M323="Premium",IF(Q323&gt;20000,4,3),IF(M323="Deluxe",IF(Q323&gt;=10000,3,2),IF(M323="Standard",IF(Q323&gt;=5000,2,1),1))))</f>
        <v>4</v>
      </c>
    </row>
    <row r="324" spans="1:19">
      <c r="A324" t="s">
        <v>1835</v>
      </c>
      <c r="B324" t="s">
        <v>1836</v>
      </c>
      <c r="C324" t="s">
        <v>1186</v>
      </c>
      <c r="D324" t="s">
        <v>1837</v>
      </c>
      <c r="E324" t="s">
        <v>1838</v>
      </c>
      <c r="F324" t="s">
        <v>1839</v>
      </c>
      <c r="G324" s="4">
        <v>45299</v>
      </c>
      <c r="H324" s="4">
        <v>45683</v>
      </c>
      <c r="I324" s="4">
        <v>45684</v>
      </c>
      <c r="J324">
        <f t="shared" si="25"/>
        <v>1</v>
      </c>
      <c r="K324" t="str">
        <f t="array" ref="K324">_xlfn.IFS(J324=1,"Day Use",J324&lt;=3,"Short Stay",J324&lt;=7,"Extended Stay",J324&gt;=8,"Long Stay")</f>
        <v>Day Use</v>
      </c>
      <c r="L324" t="s">
        <v>34</v>
      </c>
      <c r="M324" s="10" t="str">
        <f t="shared" si="26"/>
        <v>Standard</v>
      </c>
      <c r="N324" t="s">
        <v>26</v>
      </c>
      <c r="O324" t="s">
        <v>42</v>
      </c>
      <c r="P324">
        <f>IFERROR(VLOOKUP(TRIM(M324),Room!D:H,5,FALSE),5000)</f>
        <v>3200</v>
      </c>
      <c r="Q324">
        <f t="shared" si="27"/>
        <v>3200</v>
      </c>
      <c r="R324" s="11" t="str">
        <f t="shared" si="28"/>
        <v>Other</v>
      </c>
      <c r="S324" s="11">
        <f t="shared" si="29"/>
        <v>1</v>
      </c>
    </row>
    <row r="325" spans="1:19">
      <c r="A325" t="s">
        <v>1840</v>
      </c>
      <c r="B325" t="s">
        <v>1841</v>
      </c>
      <c r="C325" t="s">
        <v>1810</v>
      </c>
      <c r="D325" t="s">
        <v>1842</v>
      </c>
      <c r="E325" t="s">
        <v>1843</v>
      </c>
      <c r="F325" t="s">
        <v>1844</v>
      </c>
      <c r="G325" s="4">
        <v>45247</v>
      </c>
      <c r="H325" s="4">
        <v>45560</v>
      </c>
      <c r="I325" s="4">
        <v>45565</v>
      </c>
      <c r="J325">
        <f t="shared" si="25"/>
        <v>5</v>
      </c>
      <c r="K325" t="str">
        <f t="array" ref="K325">_xlfn.IFS(J325=1,"Day Use",J325&lt;=3,"Short Stay",J325&lt;=7,"Extended Stay",J325&gt;=8,"Long Stay")</f>
        <v>Extended Stay</v>
      </c>
      <c r="L325" t="s">
        <v>49</v>
      </c>
      <c r="M325" s="10" t="str">
        <f t="shared" si="26"/>
        <v>Deluxe</v>
      </c>
      <c r="N325" t="s">
        <v>57</v>
      </c>
      <c r="O325" t="s">
        <v>27</v>
      </c>
      <c r="P325">
        <f>IFERROR(VLOOKUP(TRIM(M325),Room!D:H,5,FALSE),5000)</f>
        <v>5400</v>
      </c>
      <c r="Q325">
        <f t="shared" si="27"/>
        <v>27000</v>
      </c>
      <c r="R325" s="11" t="str">
        <f t="shared" si="28"/>
        <v>Conference</v>
      </c>
      <c r="S325" s="11">
        <f t="shared" si="29"/>
        <v>3</v>
      </c>
    </row>
    <row r="326" spans="1:19">
      <c r="A326" t="s">
        <v>1845</v>
      </c>
      <c r="B326" t="s">
        <v>1846</v>
      </c>
      <c r="C326" t="s">
        <v>587</v>
      </c>
      <c r="D326" t="s">
        <v>1847</v>
      </c>
      <c r="E326" t="s">
        <v>1848</v>
      </c>
      <c r="F326" t="s">
        <v>1849</v>
      </c>
      <c r="G326" s="4">
        <v>45334</v>
      </c>
      <c r="H326" s="4">
        <v>45336</v>
      </c>
      <c r="I326" s="4">
        <v>45342</v>
      </c>
      <c r="J326">
        <f t="shared" si="25"/>
        <v>6</v>
      </c>
      <c r="K326" t="str">
        <f t="array" ref="K326">_xlfn.IFS(J326=1,"Day Use",J326&lt;=3,"Short Stay",J326&lt;=7,"Extended Stay",J326&gt;=8,"Long Stay")</f>
        <v>Extended Stay</v>
      </c>
      <c r="L326" t="s">
        <v>141</v>
      </c>
      <c r="M326" s="10" t="str">
        <f t="shared" si="26"/>
        <v>Deluxe</v>
      </c>
      <c r="N326" t="s">
        <v>26</v>
      </c>
      <c r="O326" t="s">
        <v>42</v>
      </c>
      <c r="P326">
        <f>IFERROR(VLOOKUP(TRIM(M326),Room!D:H,5,FALSE),5000)</f>
        <v>5400</v>
      </c>
      <c r="Q326">
        <f t="shared" si="27"/>
        <v>32400</v>
      </c>
      <c r="R326" s="11" t="str">
        <f t="shared" si="28"/>
        <v>Conference</v>
      </c>
      <c r="S326" s="11">
        <f t="shared" si="29"/>
        <v>3</v>
      </c>
    </row>
    <row r="327" spans="1:19">
      <c r="A327" t="s">
        <v>1850</v>
      </c>
      <c r="B327" t="s">
        <v>1851</v>
      </c>
      <c r="C327" t="s">
        <v>587</v>
      </c>
      <c r="D327" t="s">
        <v>1852</v>
      </c>
      <c r="E327" t="s">
        <v>1853</v>
      </c>
      <c r="F327" t="s">
        <v>1854</v>
      </c>
      <c r="G327" s="4">
        <v>45847</v>
      </c>
      <c r="H327" s="4">
        <v>45868</v>
      </c>
      <c r="I327" s="4">
        <v>45877</v>
      </c>
      <c r="J327">
        <f t="shared" si="25"/>
        <v>9</v>
      </c>
      <c r="K327" t="str">
        <f t="array" ref="K327">_xlfn.IFS(J327=1,"Day Use",J327&lt;=3,"Short Stay",J327&lt;=7,"Extended Stay",J327&gt;=8,"Long Stay")</f>
        <v>Long Stay</v>
      </c>
      <c r="L327" t="s">
        <v>141</v>
      </c>
      <c r="M327" s="10" t="str">
        <f t="shared" si="26"/>
        <v>Premium</v>
      </c>
      <c r="N327" t="s">
        <v>26</v>
      </c>
      <c r="O327" t="s">
        <v>35</v>
      </c>
      <c r="P327">
        <f>IFERROR(VLOOKUP(TRIM(M327),Room!D:H,5,FALSE),5000)</f>
        <v>9500</v>
      </c>
      <c r="Q327">
        <f t="shared" si="27"/>
        <v>85500</v>
      </c>
      <c r="R327" s="11" t="str">
        <f t="shared" si="28"/>
        <v>Conference</v>
      </c>
      <c r="S327" s="11">
        <f t="shared" si="29"/>
        <v>4</v>
      </c>
    </row>
    <row r="328" spans="1:19">
      <c r="A328" t="s">
        <v>1855</v>
      </c>
      <c r="B328" t="s">
        <v>1856</v>
      </c>
      <c r="C328" t="s">
        <v>1164</v>
      </c>
      <c r="D328" t="s">
        <v>1857</v>
      </c>
      <c r="E328" t="s">
        <v>1858</v>
      </c>
      <c r="F328" t="s">
        <v>1859</v>
      </c>
      <c r="G328" s="4">
        <v>45771</v>
      </c>
      <c r="H328" s="4">
        <v>45775</v>
      </c>
      <c r="I328" s="4">
        <v>45786</v>
      </c>
      <c r="J328">
        <f t="shared" si="25"/>
        <v>11</v>
      </c>
      <c r="K328" t="str">
        <f t="array" ref="K328">_xlfn.IFS(J328=1,"Day Use",J328&lt;=3,"Short Stay",J328&lt;=7,"Extended Stay",J328&gt;=8,"Long Stay")</f>
        <v>Long Stay</v>
      </c>
      <c r="L328" t="s">
        <v>196</v>
      </c>
      <c r="M328" s="10" t="str">
        <f t="shared" si="26"/>
        <v>Suite</v>
      </c>
      <c r="N328" t="s">
        <v>148</v>
      </c>
      <c r="O328" t="s">
        <v>42</v>
      </c>
      <c r="P328">
        <f>IFERROR(VLOOKUP(TRIM(M328),Room!D:H,5,FALSE),5000)</f>
        <v>12500</v>
      </c>
      <c r="Q328">
        <f t="shared" si="27"/>
        <v>137500</v>
      </c>
      <c r="R328" s="11" t="str">
        <f t="shared" si="28"/>
        <v>Business</v>
      </c>
      <c r="S328" s="11">
        <f t="shared" si="29"/>
        <v>5</v>
      </c>
    </row>
    <row r="329" spans="1:19">
      <c r="A329" t="s">
        <v>1860</v>
      </c>
      <c r="B329" t="s">
        <v>1861</v>
      </c>
      <c r="C329" t="s">
        <v>137</v>
      </c>
      <c r="D329" t="s">
        <v>1862</v>
      </c>
      <c r="E329" t="s">
        <v>1863</v>
      </c>
      <c r="F329" t="s">
        <v>1864</v>
      </c>
      <c r="G329" s="4">
        <v>45214</v>
      </c>
      <c r="H329" s="4">
        <v>45374</v>
      </c>
      <c r="I329" s="4">
        <v>45386</v>
      </c>
      <c r="J329">
        <f t="shared" si="25"/>
        <v>12</v>
      </c>
      <c r="K329" t="str">
        <f t="array" ref="K329">_xlfn.IFS(J329=1,"Day Use",J329&lt;=3,"Short Stay",J329&lt;=7,"Extended Stay",J329&gt;=8,"Long Stay")</f>
        <v>Long Stay</v>
      </c>
      <c r="L329" t="s">
        <v>91</v>
      </c>
      <c r="M329" s="10" t="str">
        <f t="shared" si="26"/>
        <v>Suite</v>
      </c>
      <c r="N329" t="s">
        <v>148</v>
      </c>
      <c r="O329" t="s">
        <v>71</v>
      </c>
      <c r="P329">
        <f>IFERROR(VLOOKUP(TRIM(M329),Room!D:H,5,FALSE),5000)</f>
        <v>12500</v>
      </c>
      <c r="Q329">
        <f t="shared" si="27"/>
        <v>150000</v>
      </c>
      <c r="R329" s="11" t="str">
        <f t="shared" si="28"/>
        <v>Business</v>
      </c>
      <c r="S329" s="11">
        <f t="shared" si="29"/>
        <v>5</v>
      </c>
    </row>
    <row r="330" spans="1:19">
      <c r="A330" t="s">
        <v>1865</v>
      </c>
      <c r="B330" t="s">
        <v>1866</v>
      </c>
      <c r="C330" t="s">
        <v>621</v>
      </c>
      <c r="D330" t="s">
        <v>1867</v>
      </c>
      <c r="E330" t="s">
        <v>1868</v>
      </c>
      <c r="F330" t="s">
        <v>1869</v>
      </c>
      <c r="G330" s="4">
        <v>45742</v>
      </c>
      <c r="H330" s="4">
        <v>45932</v>
      </c>
      <c r="I330" s="4">
        <v>45939</v>
      </c>
      <c r="J330">
        <f t="shared" si="25"/>
        <v>7</v>
      </c>
      <c r="K330" t="str">
        <f t="array" ref="K330">_xlfn.IFS(J330=1,"Day Use",J330&lt;=3,"Short Stay",J330&lt;=7,"Extended Stay",J330&gt;=8,"Long Stay")</f>
        <v>Extended Stay</v>
      </c>
      <c r="L330" t="s">
        <v>91</v>
      </c>
      <c r="M330" s="10" t="str">
        <f t="shared" si="26"/>
        <v>Premium</v>
      </c>
      <c r="N330" t="s">
        <v>148</v>
      </c>
      <c r="O330" t="s">
        <v>42</v>
      </c>
      <c r="P330">
        <f>IFERROR(VLOOKUP(TRIM(M330),Room!D:H,5,FALSE),5000)</f>
        <v>9500</v>
      </c>
      <c r="Q330">
        <f t="shared" si="27"/>
        <v>66500</v>
      </c>
      <c r="R330" s="11" t="str">
        <f t="shared" si="28"/>
        <v>Conference</v>
      </c>
      <c r="S330" s="11">
        <f t="shared" si="29"/>
        <v>4</v>
      </c>
    </row>
    <row r="331" spans="1:19">
      <c r="A331" t="s">
        <v>1870</v>
      </c>
      <c r="B331" t="s">
        <v>1871</v>
      </c>
      <c r="C331" t="s">
        <v>1052</v>
      </c>
      <c r="D331" t="s">
        <v>1872</v>
      </c>
      <c r="E331" t="s">
        <v>1873</v>
      </c>
      <c r="F331" t="s">
        <v>1874</v>
      </c>
      <c r="G331" s="4">
        <v>45210</v>
      </c>
      <c r="H331" s="4">
        <v>45942</v>
      </c>
      <c r="I331" s="4">
        <v>45952</v>
      </c>
      <c r="J331">
        <f t="shared" si="25"/>
        <v>10</v>
      </c>
      <c r="K331" t="str">
        <f t="array" ref="K331">_xlfn.IFS(J331=1,"Day Use",J331&lt;=3,"Short Stay",J331&lt;=7,"Extended Stay",J331&gt;=8,"Long Stay")</f>
        <v>Long Stay</v>
      </c>
      <c r="L331" t="s">
        <v>25</v>
      </c>
      <c r="M331" s="10" t="str">
        <f t="shared" si="26"/>
        <v>Premium</v>
      </c>
      <c r="N331" t="s">
        <v>26</v>
      </c>
      <c r="O331" t="s">
        <v>58</v>
      </c>
      <c r="P331">
        <f>IFERROR(VLOOKUP(TRIM(M331),Room!D:H,5,FALSE),5000)</f>
        <v>9500</v>
      </c>
      <c r="Q331">
        <f t="shared" si="27"/>
        <v>95000</v>
      </c>
      <c r="R331" s="11" t="str">
        <f t="shared" si="28"/>
        <v>Conference</v>
      </c>
      <c r="S331" s="11">
        <f t="shared" si="29"/>
        <v>4</v>
      </c>
    </row>
    <row r="332" spans="1:19">
      <c r="A332" t="s">
        <v>1875</v>
      </c>
      <c r="B332" t="s">
        <v>1876</v>
      </c>
      <c r="C332" t="s">
        <v>871</v>
      </c>
      <c r="D332" t="s">
        <v>1877</v>
      </c>
      <c r="E332" t="s">
        <v>1878</v>
      </c>
      <c r="F332" t="s">
        <v>1879</v>
      </c>
      <c r="G332" s="4">
        <v>45736</v>
      </c>
      <c r="H332" s="4">
        <v>45986</v>
      </c>
      <c r="I332" s="4">
        <v>45996</v>
      </c>
      <c r="J332">
        <f t="shared" si="25"/>
        <v>10</v>
      </c>
      <c r="K332" t="str">
        <f t="array" ref="K332">_xlfn.IFS(J332=1,"Day Use",J332&lt;=3,"Short Stay",J332&lt;=7,"Extended Stay",J332&gt;=8,"Long Stay")</f>
        <v>Long Stay</v>
      </c>
      <c r="L332" t="s">
        <v>141</v>
      </c>
      <c r="M332" s="10" t="str">
        <f t="shared" si="26"/>
        <v>Premium</v>
      </c>
      <c r="N332" t="s">
        <v>26</v>
      </c>
      <c r="O332" t="s">
        <v>71</v>
      </c>
      <c r="P332">
        <f>IFERROR(VLOOKUP(TRIM(M332),Room!D:H,5,FALSE),5000)</f>
        <v>9500</v>
      </c>
      <c r="Q332">
        <f t="shared" si="27"/>
        <v>95000</v>
      </c>
      <c r="R332" s="11" t="str">
        <f t="shared" si="28"/>
        <v>Conference</v>
      </c>
      <c r="S332" s="11">
        <f t="shared" si="29"/>
        <v>4</v>
      </c>
    </row>
    <row r="333" spans="1:19">
      <c r="A333" t="s">
        <v>1880</v>
      </c>
      <c r="B333" t="s">
        <v>1881</v>
      </c>
      <c r="C333" t="s">
        <v>1545</v>
      </c>
      <c r="D333" t="s">
        <v>1882</v>
      </c>
      <c r="E333" t="s">
        <v>1883</v>
      </c>
      <c r="F333" t="s">
        <v>1884</v>
      </c>
      <c r="G333" s="4">
        <v>45229</v>
      </c>
      <c r="H333" s="4">
        <v>45384</v>
      </c>
      <c r="I333" s="4">
        <v>45387</v>
      </c>
      <c r="J333">
        <f t="shared" si="25"/>
        <v>3</v>
      </c>
      <c r="K333" t="str">
        <f t="array" ref="K333">_xlfn.IFS(J333=1,"Day Use",J333&lt;=3,"Short Stay",J333&lt;=7,"Extended Stay",J333&gt;=8,"Long Stay")</f>
        <v>Short Stay</v>
      </c>
      <c r="L333" t="s">
        <v>25</v>
      </c>
      <c r="M333" s="10" t="str">
        <f t="shared" si="26"/>
        <v>Standard</v>
      </c>
      <c r="N333" t="s">
        <v>148</v>
      </c>
      <c r="O333" t="s">
        <v>35</v>
      </c>
      <c r="P333">
        <f>IFERROR(VLOOKUP(TRIM(M333),Room!D:H,5,FALSE),5000)</f>
        <v>3200</v>
      </c>
      <c r="Q333">
        <f t="shared" si="27"/>
        <v>9600</v>
      </c>
      <c r="R333" s="11" t="str">
        <f t="shared" si="28"/>
        <v>Other</v>
      </c>
      <c r="S333" s="11">
        <f t="shared" si="29"/>
        <v>2</v>
      </c>
    </row>
    <row r="334" spans="1:19">
      <c r="A334" t="s">
        <v>1885</v>
      </c>
      <c r="B334" t="s">
        <v>1886</v>
      </c>
      <c r="C334" t="s">
        <v>1660</v>
      </c>
      <c r="D334" t="s">
        <v>1887</v>
      </c>
      <c r="E334" t="s">
        <v>1888</v>
      </c>
      <c r="F334" t="s">
        <v>1889</v>
      </c>
      <c r="G334" s="4">
        <v>45613</v>
      </c>
      <c r="H334" s="4">
        <v>45956</v>
      </c>
      <c r="I334" s="4">
        <v>45959</v>
      </c>
      <c r="J334">
        <f t="shared" si="25"/>
        <v>3</v>
      </c>
      <c r="K334" t="str">
        <f t="array" ref="K334">_xlfn.IFS(J334=1,"Day Use",J334&lt;=3,"Short Stay",J334&lt;=7,"Extended Stay",J334&gt;=8,"Long Stay")</f>
        <v>Short Stay</v>
      </c>
      <c r="L334" t="s">
        <v>56</v>
      </c>
      <c r="M334" s="10" t="str">
        <f t="shared" si="26"/>
        <v>Standard</v>
      </c>
      <c r="N334" t="s">
        <v>148</v>
      </c>
      <c r="O334" t="s">
        <v>58</v>
      </c>
      <c r="P334">
        <f>IFERROR(VLOOKUP(TRIM(M334),Room!D:H,5,FALSE),5000)</f>
        <v>3200</v>
      </c>
      <c r="Q334">
        <f t="shared" si="27"/>
        <v>9600</v>
      </c>
      <c r="R334" s="11" t="str">
        <f t="shared" si="28"/>
        <v>Other</v>
      </c>
      <c r="S334" s="11">
        <f t="shared" si="29"/>
        <v>2</v>
      </c>
    </row>
    <row r="335" spans="1:19">
      <c r="A335" t="s">
        <v>1890</v>
      </c>
      <c r="B335" t="s">
        <v>1891</v>
      </c>
      <c r="C335" t="s">
        <v>621</v>
      </c>
      <c r="D335" t="s">
        <v>1892</v>
      </c>
      <c r="E335" t="s">
        <v>1893</v>
      </c>
      <c r="F335" t="s">
        <v>1894</v>
      </c>
      <c r="G335" s="4">
        <v>45646</v>
      </c>
      <c r="H335" s="4">
        <v>46014</v>
      </c>
      <c r="I335" s="4">
        <v>46021</v>
      </c>
      <c r="J335">
        <f t="shared" si="25"/>
        <v>7</v>
      </c>
      <c r="K335" t="str">
        <f t="array" ref="K335">_xlfn.IFS(J335=1,"Day Use",J335&lt;=3,"Short Stay",J335&lt;=7,"Extended Stay",J335&gt;=8,"Long Stay")</f>
        <v>Extended Stay</v>
      </c>
      <c r="L335" t="s">
        <v>25</v>
      </c>
      <c r="M335" s="10" t="str">
        <f t="shared" si="26"/>
        <v>Premium</v>
      </c>
      <c r="N335" t="s">
        <v>26</v>
      </c>
      <c r="O335" t="s">
        <v>27</v>
      </c>
      <c r="P335">
        <f>IFERROR(VLOOKUP(TRIM(M335),Room!D:H,5,FALSE),5000)</f>
        <v>9500</v>
      </c>
      <c r="Q335">
        <f t="shared" si="27"/>
        <v>66500</v>
      </c>
      <c r="R335" s="11" t="str">
        <f t="shared" si="28"/>
        <v>Conference</v>
      </c>
      <c r="S335" s="11">
        <f t="shared" si="29"/>
        <v>4</v>
      </c>
    </row>
    <row r="336" spans="1:19">
      <c r="A336" t="s">
        <v>1895</v>
      </c>
      <c r="B336" t="s">
        <v>1896</v>
      </c>
      <c r="C336" t="s">
        <v>524</v>
      </c>
      <c r="D336" t="s">
        <v>1897</v>
      </c>
      <c r="E336" t="s">
        <v>1898</v>
      </c>
      <c r="F336" t="s">
        <v>1899</v>
      </c>
      <c r="G336" s="4">
        <v>45725</v>
      </c>
      <c r="H336" s="4">
        <v>45791</v>
      </c>
      <c r="I336" s="4">
        <v>45795</v>
      </c>
      <c r="J336">
        <f t="shared" si="25"/>
        <v>4</v>
      </c>
      <c r="K336" t="str">
        <f t="array" ref="K336">_xlfn.IFS(J336=1,"Day Use",J336&lt;=3,"Short Stay",J336&lt;=7,"Extended Stay",J336&gt;=8,"Long Stay")</f>
        <v>Extended Stay</v>
      </c>
      <c r="L336" t="s">
        <v>25</v>
      </c>
      <c r="M336" s="10" t="str">
        <f t="shared" si="26"/>
        <v>Deluxe</v>
      </c>
      <c r="N336" t="s">
        <v>26</v>
      </c>
      <c r="O336" t="s">
        <v>27</v>
      </c>
      <c r="P336">
        <f>IFERROR(VLOOKUP(TRIM(M336),Room!D:H,5,FALSE),5000)</f>
        <v>5400</v>
      </c>
      <c r="Q336">
        <f t="shared" si="27"/>
        <v>21600</v>
      </c>
      <c r="R336" s="11" t="str">
        <f t="shared" si="28"/>
        <v>Conference</v>
      </c>
      <c r="S336" s="11">
        <f t="shared" si="29"/>
        <v>3</v>
      </c>
    </row>
    <row r="337" spans="1:19">
      <c r="A337" t="s">
        <v>1900</v>
      </c>
      <c r="B337" t="s">
        <v>1901</v>
      </c>
      <c r="C337" t="s">
        <v>61</v>
      </c>
      <c r="D337" t="s">
        <v>1902</v>
      </c>
      <c r="E337" t="s">
        <v>1903</v>
      </c>
      <c r="F337" t="s">
        <v>1904</v>
      </c>
      <c r="G337" s="4">
        <v>45409</v>
      </c>
      <c r="H337" s="4">
        <v>45957</v>
      </c>
      <c r="I337" s="4">
        <v>45971</v>
      </c>
      <c r="J337">
        <f t="shared" si="25"/>
        <v>14</v>
      </c>
      <c r="K337" t="str">
        <f t="array" ref="K337">_xlfn.IFS(J337=1,"Day Use",J337&lt;=3,"Short Stay",J337&lt;=7,"Extended Stay",J337&gt;=8,"Long Stay")</f>
        <v>Long Stay</v>
      </c>
      <c r="L337" t="s">
        <v>91</v>
      </c>
      <c r="M337" s="10" t="str">
        <f t="shared" si="26"/>
        <v>Suite</v>
      </c>
      <c r="N337" t="s">
        <v>372</v>
      </c>
      <c r="O337" t="s">
        <v>58</v>
      </c>
      <c r="P337">
        <f>IFERROR(VLOOKUP(TRIM(M337),Room!D:H,5,FALSE),5000)</f>
        <v>12500</v>
      </c>
      <c r="Q337">
        <f t="shared" si="27"/>
        <v>175000</v>
      </c>
      <c r="R337" s="11" t="str">
        <f t="shared" si="28"/>
        <v>Business</v>
      </c>
      <c r="S337" s="11">
        <f t="shared" si="29"/>
        <v>5</v>
      </c>
    </row>
    <row r="338" spans="1:19">
      <c r="A338" t="s">
        <v>1905</v>
      </c>
      <c r="B338" t="s">
        <v>1906</v>
      </c>
      <c r="C338" t="s">
        <v>386</v>
      </c>
      <c r="D338" t="s">
        <v>1907</v>
      </c>
      <c r="E338" t="s">
        <v>1908</v>
      </c>
      <c r="F338" t="s">
        <v>1909</v>
      </c>
      <c r="G338" s="4">
        <v>45446</v>
      </c>
      <c r="H338" s="4">
        <v>46020</v>
      </c>
      <c r="I338" s="4">
        <v>46022</v>
      </c>
      <c r="J338">
        <f t="shared" si="25"/>
        <v>2</v>
      </c>
      <c r="K338" t="str">
        <f t="array" ref="K338">_xlfn.IFS(J338=1,"Day Use",J338&lt;=3,"Short Stay",J338&lt;=7,"Extended Stay",J338&gt;=8,"Long Stay")</f>
        <v>Short Stay</v>
      </c>
      <c r="L338" t="s">
        <v>196</v>
      </c>
      <c r="M338" s="10" t="str">
        <f t="shared" si="26"/>
        <v>Standard</v>
      </c>
      <c r="N338" t="s">
        <v>148</v>
      </c>
      <c r="O338" t="s">
        <v>35</v>
      </c>
      <c r="P338">
        <f>IFERROR(VLOOKUP(TRIM(M338),Room!D:H,5,FALSE),5000)</f>
        <v>3200</v>
      </c>
      <c r="Q338">
        <f t="shared" si="27"/>
        <v>6400</v>
      </c>
      <c r="R338" s="11" t="str">
        <f t="shared" si="28"/>
        <v>Other</v>
      </c>
      <c r="S338" s="11">
        <f t="shared" si="29"/>
        <v>2</v>
      </c>
    </row>
    <row r="339" spans="1:19">
      <c r="A339" t="s">
        <v>1910</v>
      </c>
      <c r="B339" t="s">
        <v>1911</v>
      </c>
      <c r="C339" t="s">
        <v>484</v>
      </c>
      <c r="D339" t="s">
        <v>1912</v>
      </c>
      <c r="E339" t="s">
        <v>1913</v>
      </c>
      <c r="F339" t="s">
        <v>1914</v>
      </c>
      <c r="G339" s="4">
        <v>45239</v>
      </c>
      <c r="H339" s="4">
        <v>45685</v>
      </c>
      <c r="I339" s="4">
        <v>45690</v>
      </c>
      <c r="J339">
        <f t="shared" si="25"/>
        <v>5</v>
      </c>
      <c r="K339" t="str">
        <f t="array" ref="K339">_xlfn.IFS(J339=1,"Day Use",J339&lt;=3,"Short Stay",J339&lt;=7,"Extended Stay",J339&gt;=8,"Long Stay")</f>
        <v>Extended Stay</v>
      </c>
      <c r="L339" t="s">
        <v>196</v>
      </c>
      <c r="M339" s="10" t="str">
        <f t="shared" si="26"/>
        <v>Deluxe</v>
      </c>
      <c r="N339" t="s">
        <v>26</v>
      </c>
      <c r="O339" t="s">
        <v>27</v>
      </c>
      <c r="P339">
        <f>IFERROR(VLOOKUP(TRIM(M339),Room!D:H,5,FALSE),5000)</f>
        <v>5400</v>
      </c>
      <c r="Q339">
        <f t="shared" si="27"/>
        <v>27000</v>
      </c>
      <c r="R339" s="11" t="str">
        <f t="shared" si="28"/>
        <v>Conference</v>
      </c>
      <c r="S339" s="11">
        <f t="shared" si="29"/>
        <v>3</v>
      </c>
    </row>
    <row r="340" spans="1:19">
      <c r="A340" t="s">
        <v>1915</v>
      </c>
      <c r="B340" t="s">
        <v>1916</v>
      </c>
      <c r="C340" t="s">
        <v>74</v>
      </c>
      <c r="D340" t="s">
        <v>1917</v>
      </c>
      <c r="E340" t="s">
        <v>1918</v>
      </c>
      <c r="F340" t="s">
        <v>1919</v>
      </c>
      <c r="G340" s="4">
        <v>45329</v>
      </c>
      <c r="H340" s="4">
        <v>45792</v>
      </c>
      <c r="I340" s="4">
        <v>45803</v>
      </c>
      <c r="J340">
        <f t="shared" si="25"/>
        <v>11</v>
      </c>
      <c r="K340" t="str">
        <f t="array" ref="K340">_xlfn.IFS(J340=1,"Day Use",J340&lt;=3,"Short Stay",J340&lt;=7,"Extended Stay",J340&gt;=8,"Long Stay")</f>
        <v>Long Stay</v>
      </c>
      <c r="L340" t="s">
        <v>56</v>
      </c>
      <c r="M340" s="10" t="str">
        <f t="shared" si="26"/>
        <v>Suite</v>
      </c>
      <c r="N340" t="s">
        <v>57</v>
      </c>
      <c r="O340" t="s">
        <v>27</v>
      </c>
      <c r="P340">
        <f>IFERROR(VLOOKUP(TRIM(M340),Room!D:H,5,FALSE),5000)</f>
        <v>12500</v>
      </c>
      <c r="Q340">
        <f t="shared" si="27"/>
        <v>137500</v>
      </c>
      <c r="R340" s="11" t="str">
        <f t="shared" si="28"/>
        <v>Business</v>
      </c>
      <c r="S340" s="11">
        <f t="shared" si="29"/>
        <v>5</v>
      </c>
    </row>
    <row r="341" spans="1:19">
      <c r="A341" t="s">
        <v>1920</v>
      </c>
      <c r="B341" t="s">
        <v>1921</v>
      </c>
      <c r="C341" t="s">
        <v>1498</v>
      </c>
      <c r="D341" t="s">
        <v>1922</v>
      </c>
      <c r="E341" t="s">
        <v>1923</v>
      </c>
      <c r="F341" t="s">
        <v>1924</v>
      </c>
      <c r="G341" s="4">
        <v>45598</v>
      </c>
      <c r="H341" s="4">
        <v>45627</v>
      </c>
      <c r="I341" s="4">
        <v>45635</v>
      </c>
      <c r="J341">
        <f t="shared" si="25"/>
        <v>8</v>
      </c>
      <c r="K341" t="str">
        <f t="array" ref="K341">_xlfn.IFS(J341=1,"Day Use",J341&lt;=3,"Short Stay",J341&lt;=7,"Extended Stay",J341&gt;=8,"Long Stay")</f>
        <v>Long Stay</v>
      </c>
      <c r="L341" t="s">
        <v>34</v>
      </c>
      <c r="M341" s="10" t="str">
        <f t="shared" si="26"/>
        <v>Premium</v>
      </c>
      <c r="N341" t="s">
        <v>26</v>
      </c>
      <c r="O341" t="s">
        <v>71</v>
      </c>
      <c r="P341">
        <f>IFERROR(VLOOKUP(TRIM(M341),Room!D:H,5,FALSE),5000)</f>
        <v>9500</v>
      </c>
      <c r="Q341">
        <f t="shared" si="27"/>
        <v>76000</v>
      </c>
      <c r="R341" s="11" t="str">
        <f t="shared" si="28"/>
        <v>Conference</v>
      </c>
      <c r="S341" s="11">
        <f t="shared" si="29"/>
        <v>4</v>
      </c>
    </row>
    <row r="342" spans="1:19">
      <c r="A342" t="s">
        <v>1925</v>
      </c>
      <c r="B342" t="s">
        <v>1926</v>
      </c>
      <c r="C342" t="s">
        <v>186</v>
      </c>
      <c r="D342" t="s">
        <v>1927</v>
      </c>
      <c r="E342" t="s">
        <v>1928</v>
      </c>
      <c r="F342" t="s">
        <v>1929</v>
      </c>
      <c r="G342" s="4">
        <v>45552</v>
      </c>
      <c r="H342" s="4">
        <v>45614</v>
      </c>
      <c r="I342" s="4">
        <v>45618</v>
      </c>
      <c r="J342">
        <f t="shared" si="25"/>
        <v>4</v>
      </c>
      <c r="K342" t="str">
        <f t="array" ref="K342">_xlfn.IFS(J342=1,"Day Use",J342&lt;=3,"Short Stay",J342&lt;=7,"Extended Stay",J342&gt;=8,"Long Stay")</f>
        <v>Extended Stay</v>
      </c>
      <c r="L342" t="s">
        <v>25</v>
      </c>
      <c r="M342" s="10" t="str">
        <f t="shared" si="26"/>
        <v>Deluxe</v>
      </c>
      <c r="N342" t="s">
        <v>26</v>
      </c>
      <c r="O342" t="s">
        <v>71</v>
      </c>
      <c r="P342">
        <f>IFERROR(VLOOKUP(TRIM(M342),Room!D:H,5,FALSE),5000)</f>
        <v>5400</v>
      </c>
      <c r="Q342">
        <f t="shared" si="27"/>
        <v>21600</v>
      </c>
      <c r="R342" s="11" t="str">
        <f t="shared" si="28"/>
        <v>Conference</v>
      </c>
      <c r="S342" s="11">
        <f t="shared" si="29"/>
        <v>3</v>
      </c>
    </row>
    <row r="343" spans="1:19">
      <c r="A343" t="s">
        <v>1930</v>
      </c>
      <c r="B343" t="s">
        <v>1931</v>
      </c>
      <c r="C343" t="s">
        <v>449</v>
      </c>
      <c r="D343" t="s">
        <v>1932</v>
      </c>
      <c r="E343" t="s">
        <v>1933</v>
      </c>
      <c r="F343" t="s">
        <v>1934</v>
      </c>
      <c r="G343" s="4">
        <v>45722</v>
      </c>
      <c r="H343" s="4">
        <v>45777</v>
      </c>
      <c r="I343" s="4">
        <v>45788</v>
      </c>
      <c r="J343">
        <f t="shared" si="25"/>
        <v>11</v>
      </c>
      <c r="K343" t="str">
        <f t="array" ref="K343">_xlfn.IFS(J343=1,"Day Use",J343&lt;=3,"Short Stay",J343&lt;=7,"Extended Stay",J343&gt;=8,"Long Stay")</f>
        <v>Long Stay</v>
      </c>
      <c r="L343" t="s">
        <v>34</v>
      </c>
      <c r="M343" s="10" t="str">
        <f t="shared" si="26"/>
        <v>Suite</v>
      </c>
      <c r="N343" t="s">
        <v>148</v>
      </c>
      <c r="O343" t="s">
        <v>71</v>
      </c>
      <c r="P343">
        <f>IFERROR(VLOOKUP(TRIM(M343),Room!D:H,5,FALSE),5000)</f>
        <v>12500</v>
      </c>
      <c r="Q343">
        <f t="shared" si="27"/>
        <v>137500</v>
      </c>
      <c r="R343" s="11" t="str">
        <f t="shared" si="28"/>
        <v>Business</v>
      </c>
      <c r="S343" s="11">
        <f t="shared" si="29"/>
        <v>5</v>
      </c>
    </row>
    <row r="344" spans="1:19">
      <c r="A344" t="s">
        <v>1935</v>
      </c>
      <c r="B344" t="s">
        <v>1936</v>
      </c>
      <c r="C344" t="s">
        <v>1763</v>
      </c>
      <c r="D344" t="s">
        <v>1937</v>
      </c>
      <c r="E344" t="s">
        <v>1938</v>
      </c>
      <c r="F344" t="s">
        <v>1939</v>
      </c>
      <c r="G344" s="4">
        <v>45280</v>
      </c>
      <c r="H344" s="4">
        <v>45295</v>
      </c>
      <c r="I344" s="4">
        <v>45300</v>
      </c>
      <c r="J344">
        <f t="shared" si="25"/>
        <v>5</v>
      </c>
      <c r="K344" t="str">
        <f t="array" ref="K344">_xlfn.IFS(J344=1,"Day Use",J344&lt;=3,"Short Stay",J344&lt;=7,"Extended Stay",J344&gt;=8,"Long Stay")</f>
        <v>Extended Stay</v>
      </c>
      <c r="L344" t="s">
        <v>56</v>
      </c>
      <c r="M344" s="10" t="str">
        <f t="shared" si="26"/>
        <v>Deluxe</v>
      </c>
      <c r="N344" t="s">
        <v>148</v>
      </c>
      <c r="O344" t="s">
        <v>27</v>
      </c>
      <c r="P344">
        <f>IFERROR(VLOOKUP(TRIM(M344),Room!D:H,5,FALSE),5000)</f>
        <v>5400</v>
      </c>
      <c r="Q344">
        <f t="shared" si="27"/>
        <v>27000</v>
      </c>
      <c r="R344" s="11" t="str">
        <f t="shared" si="28"/>
        <v>Conference</v>
      </c>
      <c r="S344" s="11">
        <f t="shared" si="29"/>
        <v>3</v>
      </c>
    </row>
    <row r="345" spans="1:19">
      <c r="A345" t="s">
        <v>1940</v>
      </c>
      <c r="B345" t="s">
        <v>1941</v>
      </c>
      <c r="C345" t="s">
        <v>587</v>
      </c>
      <c r="D345" t="s">
        <v>1942</v>
      </c>
      <c r="E345" t="s">
        <v>1943</v>
      </c>
      <c r="F345" t="s">
        <v>1944</v>
      </c>
      <c r="G345" s="4">
        <v>45775</v>
      </c>
      <c r="H345" s="4">
        <v>45877</v>
      </c>
      <c r="I345" s="4">
        <v>45887</v>
      </c>
      <c r="J345">
        <f t="shared" si="25"/>
        <v>10</v>
      </c>
      <c r="K345" t="str">
        <f t="array" ref="K345">_xlfn.IFS(J345=1,"Day Use",J345&lt;=3,"Short Stay",J345&lt;=7,"Extended Stay",J345&gt;=8,"Long Stay")</f>
        <v>Long Stay</v>
      </c>
      <c r="L345" t="s">
        <v>49</v>
      </c>
      <c r="M345" s="10" t="str">
        <f t="shared" si="26"/>
        <v>Premium</v>
      </c>
      <c r="N345" t="s">
        <v>26</v>
      </c>
      <c r="O345" t="s">
        <v>71</v>
      </c>
      <c r="P345">
        <f>IFERROR(VLOOKUP(TRIM(M345),Room!D:H,5,FALSE),5000)</f>
        <v>9500</v>
      </c>
      <c r="Q345">
        <f t="shared" si="27"/>
        <v>95000</v>
      </c>
      <c r="R345" s="11" t="str">
        <f t="shared" si="28"/>
        <v>Conference</v>
      </c>
      <c r="S345" s="11">
        <f t="shared" si="29"/>
        <v>4</v>
      </c>
    </row>
    <row r="346" spans="1:19">
      <c r="A346" t="s">
        <v>1945</v>
      </c>
      <c r="B346" t="s">
        <v>1946</v>
      </c>
      <c r="C346" t="s">
        <v>865</v>
      </c>
      <c r="D346" t="s">
        <v>1947</v>
      </c>
      <c r="E346" t="s">
        <v>1948</v>
      </c>
      <c r="F346" t="s">
        <v>1949</v>
      </c>
      <c r="G346" s="4">
        <v>45324</v>
      </c>
      <c r="H346" s="4">
        <v>45338</v>
      </c>
      <c r="I346" s="4">
        <v>45340</v>
      </c>
      <c r="J346">
        <f t="shared" si="25"/>
        <v>2</v>
      </c>
      <c r="K346" t="str">
        <f t="array" ref="K346">_xlfn.IFS(J346=1,"Day Use",J346&lt;=3,"Short Stay",J346&lt;=7,"Extended Stay",J346&gt;=8,"Long Stay")</f>
        <v>Short Stay</v>
      </c>
      <c r="L346" t="s">
        <v>25</v>
      </c>
      <c r="M346" s="10" t="str">
        <f t="shared" si="26"/>
        <v>Standard</v>
      </c>
      <c r="N346" t="s">
        <v>372</v>
      </c>
      <c r="O346" t="s">
        <v>58</v>
      </c>
      <c r="P346">
        <f>IFERROR(VLOOKUP(TRIM(M346),Room!D:H,5,FALSE),5000)</f>
        <v>3200</v>
      </c>
      <c r="Q346">
        <f t="shared" si="27"/>
        <v>6400</v>
      </c>
      <c r="R346" s="11" t="str">
        <f t="shared" si="28"/>
        <v>Other</v>
      </c>
      <c r="S346" s="11">
        <f t="shared" si="29"/>
        <v>2</v>
      </c>
    </row>
    <row r="347" spans="1:19">
      <c r="A347" t="s">
        <v>1950</v>
      </c>
      <c r="B347" t="s">
        <v>1951</v>
      </c>
      <c r="C347" t="s">
        <v>363</v>
      </c>
      <c r="D347" t="s">
        <v>1952</v>
      </c>
      <c r="E347" t="s">
        <v>1953</v>
      </c>
      <c r="F347" t="s">
        <v>1954</v>
      </c>
      <c r="G347" s="4">
        <v>45598</v>
      </c>
      <c r="H347" s="4">
        <v>45884</v>
      </c>
      <c r="I347" s="4">
        <v>45889</v>
      </c>
      <c r="J347">
        <f t="shared" si="25"/>
        <v>5</v>
      </c>
      <c r="K347" t="str">
        <f t="array" ref="K347">_xlfn.IFS(J347=1,"Day Use",J347&lt;=3,"Short Stay",J347&lt;=7,"Extended Stay",J347&gt;=8,"Long Stay")</f>
        <v>Extended Stay</v>
      </c>
      <c r="L347" t="s">
        <v>196</v>
      </c>
      <c r="M347" s="10" t="str">
        <f t="shared" si="26"/>
        <v>Deluxe</v>
      </c>
      <c r="N347" t="s">
        <v>26</v>
      </c>
      <c r="O347" t="s">
        <v>27</v>
      </c>
      <c r="P347">
        <f>IFERROR(VLOOKUP(TRIM(M347),Room!D:H,5,FALSE),5000)</f>
        <v>5400</v>
      </c>
      <c r="Q347">
        <f t="shared" si="27"/>
        <v>27000</v>
      </c>
      <c r="R347" s="11" t="str">
        <f t="shared" si="28"/>
        <v>Conference</v>
      </c>
      <c r="S347" s="11">
        <f t="shared" si="29"/>
        <v>3</v>
      </c>
    </row>
    <row r="348" spans="1:19">
      <c r="A348" t="s">
        <v>1955</v>
      </c>
      <c r="B348" t="s">
        <v>1956</v>
      </c>
      <c r="C348" t="s">
        <v>1482</v>
      </c>
      <c r="D348" t="s">
        <v>1957</v>
      </c>
      <c r="E348" t="s">
        <v>1958</v>
      </c>
      <c r="F348" t="s">
        <v>1959</v>
      </c>
      <c r="G348" s="4">
        <v>45630</v>
      </c>
      <c r="H348" s="4">
        <v>45857</v>
      </c>
      <c r="I348" s="4">
        <v>45870</v>
      </c>
      <c r="J348">
        <f t="shared" si="25"/>
        <v>13</v>
      </c>
      <c r="K348" t="str">
        <f t="array" ref="K348">_xlfn.IFS(J348=1,"Day Use",J348&lt;=3,"Short Stay",J348&lt;=7,"Extended Stay",J348&gt;=8,"Long Stay")</f>
        <v>Long Stay</v>
      </c>
      <c r="L348" t="s">
        <v>141</v>
      </c>
      <c r="M348" s="10" t="str">
        <f t="shared" si="26"/>
        <v>Suite</v>
      </c>
      <c r="N348" t="s">
        <v>26</v>
      </c>
      <c r="O348" t="s">
        <v>27</v>
      </c>
      <c r="P348">
        <f>IFERROR(VLOOKUP(TRIM(M348),Room!D:H,5,FALSE),5000)</f>
        <v>12500</v>
      </c>
      <c r="Q348">
        <f t="shared" si="27"/>
        <v>162500</v>
      </c>
      <c r="R348" s="11" t="str">
        <f t="shared" si="28"/>
        <v>Business</v>
      </c>
      <c r="S348" s="11">
        <f t="shared" si="29"/>
        <v>5</v>
      </c>
    </row>
    <row r="349" spans="1:19">
      <c r="A349" t="s">
        <v>1960</v>
      </c>
      <c r="B349" t="s">
        <v>1961</v>
      </c>
      <c r="C349" t="s">
        <v>1666</v>
      </c>
      <c r="D349" t="s">
        <v>1962</v>
      </c>
      <c r="E349" t="s">
        <v>1963</v>
      </c>
      <c r="F349" t="s">
        <v>1964</v>
      </c>
      <c r="G349" s="4">
        <v>45518</v>
      </c>
      <c r="H349" s="4">
        <v>45525</v>
      </c>
      <c r="I349" s="4">
        <v>45536</v>
      </c>
      <c r="J349">
        <f t="shared" si="25"/>
        <v>11</v>
      </c>
      <c r="K349" t="str">
        <f t="array" ref="K349">_xlfn.IFS(J349=1,"Day Use",J349&lt;=3,"Short Stay",J349&lt;=7,"Extended Stay",J349&gt;=8,"Long Stay")</f>
        <v>Long Stay</v>
      </c>
      <c r="L349" t="s">
        <v>56</v>
      </c>
      <c r="M349" s="10" t="str">
        <f t="shared" si="26"/>
        <v>Suite</v>
      </c>
      <c r="N349" t="s">
        <v>26</v>
      </c>
      <c r="O349" t="s">
        <v>58</v>
      </c>
      <c r="P349">
        <f>IFERROR(VLOOKUP(TRIM(M349),Room!D:H,5,FALSE),5000)</f>
        <v>12500</v>
      </c>
      <c r="Q349">
        <f t="shared" si="27"/>
        <v>137500</v>
      </c>
      <c r="R349" s="11" t="str">
        <f t="shared" si="28"/>
        <v>Business</v>
      </c>
      <c r="S349" s="11">
        <f t="shared" si="29"/>
        <v>5</v>
      </c>
    </row>
    <row r="350" spans="1:19">
      <c r="A350" t="s">
        <v>1965</v>
      </c>
      <c r="B350" t="s">
        <v>1966</v>
      </c>
      <c r="C350" t="s">
        <v>229</v>
      </c>
      <c r="D350" t="s">
        <v>1967</v>
      </c>
      <c r="E350" t="s">
        <v>1968</v>
      </c>
      <c r="F350" t="s">
        <v>1969</v>
      </c>
      <c r="G350" s="4">
        <v>45825</v>
      </c>
      <c r="H350" s="4">
        <v>46022</v>
      </c>
      <c r="I350" s="4">
        <v>46022</v>
      </c>
      <c r="J350">
        <f t="shared" si="25"/>
        <v>0</v>
      </c>
      <c r="K350" t="str">
        <f t="array" ref="K350">_xlfn.IFS(J350=1,"Day Use",J350&lt;=3,"Short Stay",J350&lt;=7,"Extended Stay",J350&gt;=8,"Long Stay")</f>
        <v>Short Stay</v>
      </c>
      <c r="L350" t="s">
        <v>25</v>
      </c>
      <c r="M350" s="10" t="str">
        <f t="shared" si="26"/>
        <v>Standard</v>
      </c>
      <c r="N350" t="s">
        <v>26</v>
      </c>
      <c r="O350" t="s">
        <v>27</v>
      </c>
      <c r="P350">
        <f>IFERROR(VLOOKUP(TRIM(M350),Room!D:H,5,FALSE),5000)</f>
        <v>3200</v>
      </c>
      <c r="Q350">
        <f t="shared" si="27"/>
        <v>0</v>
      </c>
      <c r="R350" s="11" t="str">
        <f t="shared" si="28"/>
        <v>Other</v>
      </c>
      <c r="S350" s="11">
        <f t="shared" si="29"/>
        <v>1</v>
      </c>
    </row>
    <row r="351" spans="1:19">
      <c r="A351" t="s">
        <v>1970</v>
      </c>
      <c r="B351" t="s">
        <v>1971</v>
      </c>
      <c r="C351" t="s">
        <v>1972</v>
      </c>
      <c r="D351" t="s">
        <v>1973</v>
      </c>
      <c r="E351" t="s">
        <v>1974</v>
      </c>
      <c r="F351" t="s">
        <v>1975</v>
      </c>
      <c r="G351" s="4">
        <v>45243</v>
      </c>
      <c r="H351" s="4">
        <v>45456</v>
      </c>
      <c r="I351" s="4">
        <v>45464</v>
      </c>
      <c r="J351">
        <f t="shared" si="25"/>
        <v>8</v>
      </c>
      <c r="K351" t="str">
        <f t="array" ref="K351">_xlfn.IFS(J351=1,"Day Use",J351&lt;=3,"Short Stay",J351&lt;=7,"Extended Stay",J351&gt;=8,"Long Stay")</f>
        <v>Long Stay</v>
      </c>
      <c r="L351" t="s">
        <v>34</v>
      </c>
      <c r="M351" s="10" t="str">
        <f t="shared" si="26"/>
        <v>Premium</v>
      </c>
      <c r="N351" t="s">
        <v>148</v>
      </c>
      <c r="O351" t="s">
        <v>42</v>
      </c>
      <c r="P351">
        <f>IFERROR(VLOOKUP(TRIM(M351),Room!D:H,5,FALSE),5000)</f>
        <v>9500</v>
      </c>
      <c r="Q351">
        <f t="shared" si="27"/>
        <v>76000</v>
      </c>
      <c r="R351" s="11" t="str">
        <f t="shared" si="28"/>
        <v>Conference</v>
      </c>
      <c r="S351" s="11">
        <f t="shared" si="29"/>
        <v>4</v>
      </c>
    </row>
    <row r="352" spans="1:19">
      <c r="A352" t="s">
        <v>1976</v>
      </c>
      <c r="B352" t="s">
        <v>1977</v>
      </c>
      <c r="C352" t="s">
        <v>1008</v>
      </c>
      <c r="D352" t="s">
        <v>1978</v>
      </c>
      <c r="E352" t="s">
        <v>1979</v>
      </c>
      <c r="F352" t="s">
        <v>1980</v>
      </c>
      <c r="G352" s="4">
        <v>45350</v>
      </c>
      <c r="H352" s="4">
        <v>45498</v>
      </c>
      <c r="I352" s="4">
        <v>45502</v>
      </c>
      <c r="J352">
        <f t="shared" si="25"/>
        <v>4</v>
      </c>
      <c r="K352" t="str">
        <f t="array" ref="K352">_xlfn.IFS(J352=1,"Day Use",J352&lt;=3,"Short Stay",J352&lt;=7,"Extended Stay",J352&gt;=8,"Long Stay")</f>
        <v>Extended Stay</v>
      </c>
      <c r="L352" t="s">
        <v>56</v>
      </c>
      <c r="M352" s="10" t="str">
        <f t="shared" si="26"/>
        <v>Deluxe</v>
      </c>
      <c r="N352" t="s">
        <v>26</v>
      </c>
      <c r="O352" t="s">
        <v>71</v>
      </c>
      <c r="P352">
        <f>IFERROR(VLOOKUP(TRIM(M352),Room!D:H,5,FALSE),5000)</f>
        <v>5400</v>
      </c>
      <c r="Q352">
        <f t="shared" si="27"/>
        <v>21600</v>
      </c>
      <c r="R352" s="11" t="str">
        <f t="shared" si="28"/>
        <v>Conference</v>
      </c>
      <c r="S352" s="11">
        <f t="shared" si="29"/>
        <v>3</v>
      </c>
    </row>
    <row r="353" spans="1:19">
      <c r="A353" t="s">
        <v>1981</v>
      </c>
      <c r="B353" t="s">
        <v>1982</v>
      </c>
      <c r="C353" t="s">
        <v>1983</v>
      </c>
      <c r="D353" t="s">
        <v>1984</v>
      </c>
      <c r="E353" t="s">
        <v>1985</v>
      </c>
      <c r="F353" t="s">
        <v>1986</v>
      </c>
      <c r="G353" s="4">
        <v>45776</v>
      </c>
      <c r="H353" s="4">
        <v>45811</v>
      </c>
      <c r="I353" s="4">
        <v>45822</v>
      </c>
      <c r="J353">
        <f t="shared" si="25"/>
        <v>11</v>
      </c>
      <c r="K353" t="str">
        <f t="array" ref="K353">_xlfn.IFS(J353=1,"Day Use",J353&lt;=3,"Short Stay",J353&lt;=7,"Extended Stay",J353&gt;=8,"Long Stay")</f>
        <v>Long Stay</v>
      </c>
      <c r="L353" t="s">
        <v>84</v>
      </c>
      <c r="M353" s="10" t="str">
        <f t="shared" si="26"/>
        <v>Suite</v>
      </c>
      <c r="N353" t="s">
        <v>26</v>
      </c>
      <c r="O353" t="s">
        <v>58</v>
      </c>
      <c r="P353">
        <f>IFERROR(VLOOKUP(TRIM(M353),Room!D:H,5,FALSE),5000)</f>
        <v>12500</v>
      </c>
      <c r="Q353">
        <f t="shared" si="27"/>
        <v>137500</v>
      </c>
      <c r="R353" s="11" t="str">
        <f t="shared" si="28"/>
        <v>Business</v>
      </c>
      <c r="S353" s="11">
        <f t="shared" si="29"/>
        <v>5</v>
      </c>
    </row>
    <row r="354" spans="1:19">
      <c r="A354" t="s">
        <v>1987</v>
      </c>
      <c r="B354" t="s">
        <v>1988</v>
      </c>
      <c r="C354" t="s">
        <v>512</v>
      </c>
      <c r="D354" t="s">
        <v>1989</v>
      </c>
      <c r="E354" t="s">
        <v>1990</v>
      </c>
      <c r="F354" t="s">
        <v>1991</v>
      </c>
      <c r="G354" s="4">
        <v>45716</v>
      </c>
      <c r="H354" s="4">
        <v>45989</v>
      </c>
      <c r="I354" s="4">
        <v>45998</v>
      </c>
      <c r="J354">
        <f t="shared" si="25"/>
        <v>9</v>
      </c>
      <c r="K354" t="str">
        <f t="array" ref="K354">_xlfn.IFS(J354=1,"Day Use",J354&lt;=3,"Short Stay",J354&lt;=7,"Extended Stay",J354&gt;=8,"Long Stay")</f>
        <v>Long Stay</v>
      </c>
      <c r="L354" t="s">
        <v>141</v>
      </c>
      <c r="M354" s="10" t="str">
        <f t="shared" si="26"/>
        <v>Premium</v>
      </c>
      <c r="N354" t="s">
        <v>26</v>
      </c>
      <c r="O354" t="s">
        <v>58</v>
      </c>
      <c r="P354">
        <f>IFERROR(VLOOKUP(TRIM(M354),Room!D:H,5,FALSE),5000)</f>
        <v>9500</v>
      </c>
      <c r="Q354">
        <f t="shared" si="27"/>
        <v>85500</v>
      </c>
      <c r="R354" s="11" t="str">
        <f t="shared" si="28"/>
        <v>Conference</v>
      </c>
      <c r="S354" s="11">
        <f t="shared" si="29"/>
        <v>4</v>
      </c>
    </row>
    <row r="355" spans="1:19">
      <c r="A355" t="s">
        <v>1992</v>
      </c>
      <c r="B355" t="s">
        <v>1993</v>
      </c>
      <c r="C355" t="s">
        <v>1545</v>
      </c>
      <c r="D355" t="s">
        <v>1994</v>
      </c>
      <c r="E355" t="s">
        <v>1995</v>
      </c>
      <c r="F355" t="s">
        <v>1996</v>
      </c>
      <c r="G355" s="4">
        <v>45360</v>
      </c>
      <c r="H355" s="4">
        <v>45938</v>
      </c>
      <c r="I355" s="4">
        <v>45943</v>
      </c>
      <c r="J355">
        <f t="shared" si="25"/>
        <v>5</v>
      </c>
      <c r="K355" t="str">
        <f t="array" ref="K355">_xlfn.IFS(J355=1,"Day Use",J355&lt;=3,"Short Stay",J355&lt;=7,"Extended Stay",J355&gt;=8,"Long Stay")</f>
        <v>Extended Stay</v>
      </c>
      <c r="L355" t="s">
        <v>141</v>
      </c>
      <c r="M355" s="10" t="str">
        <f t="shared" si="26"/>
        <v>Deluxe</v>
      </c>
      <c r="N355" t="s">
        <v>26</v>
      </c>
      <c r="O355" t="s">
        <v>71</v>
      </c>
      <c r="P355">
        <f>IFERROR(VLOOKUP(TRIM(M355),Room!D:H,5,FALSE),5000)</f>
        <v>5400</v>
      </c>
      <c r="Q355">
        <f t="shared" si="27"/>
        <v>27000</v>
      </c>
      <c r="R355" s="11" t="str">
        <f t="shared" si="28"/>
        <v>Conference</v>
      </c>
      <c r="S355" s="11">
        <f t="shared" si="29"/>
        <v>3</v>
      </c>
    </row>
    <row r="356" spans="1:19">
      <c r="A356" t="s">
        <v>1997</v>
      </c>
      <c r="B356" t="s">
        <v>1998</v>
      </c>
      <c r="C356" t="s">
        <v>180</v>
      </c>
      <c r="D356" t="s">
        <v>1999</v>
      </c>
      <c r="E356" t="s">
        <v>2000</v>
      </c>
      <c r="F356" t="s">
        <v>2001</v>
      </c>
      <c r="G356" s="4">
        <v>45548</v>
      </c>
      <c r="H356" s="4">
        <v>45556</v>
      </c>
      <c r="I356" s="4">
        <v>45565</v>
      </c>
      <c r="J356">
        <f t="shared" si="25"/>
        <v>9</v>
      </c>
      <c r="K356" t="str">
        <f t="array" ref="K356">_xlfn.IFS(J356=1,"Day Use",J356&lt;=3,"Short Stay",J356&lt;=7,"Extended Stay",J356&gt;=8,"Long Stay")</f>
        <v>Long Stay</v>
      </c>
      <c r="L356" t="s">
        <v>91</v>
      </c>
      <c r="M356" s="10" t="str">
        <f t="shared" si="26"/>
        <v>Premium</v>
      </c>
      <c r="N356" t="s">
        <v>26</v>
      </c>
      <c r="O356" t="s">
        <v>27</v>
      </c>
      <c r="P356">
        <f>IFERROR(VLOOKUP(TRIM(M356),Room!D:H,5,FALSE),5000)</f>
        <v>9500</v>
      </c>
      <c r="Q356">
        <f t="shared" si="27"/>
        <v>85500</v>
      </c>
      <c r="R356" s="11" t="str">
        <f t="shared" si="28"/>
        <v>Conference</v>
      </c>
      <c r="S356" s="11">
        <f t="shared" si="29"/>
        <v>4</v>
      </c>
    </row>
    <row r="357" spans="1:19">
      <c r="A357" t="s">
        <v>2002</v>
      </c>
      <c r="B357" t="s">
        <v>2003</v>
      </c>
      <c r="C357" t="s">
        <v>1476</v>
      </c>
      <c r="D357" t="s">
        <v>2004</v>
      </c>
      <c r="E357" t="s">
        <v>2005</v>
      </c>
      <c r="F357" t="s">
        <v>2006</v>
      </c>
      <c r="G357" s="4">
        <v>45338</v>
      </c>
      <c r="H357" s="4">
        <v>45688</v>
      </c>
      <c r="I357" s="4">
        <v>45689</v>
      </c>
      <c r="J357">
        <f t="shared" si="25"/>
        <v>1</v>
      </c>
      <c r="K357" t="str">
        <f t="array" ref="K357">_xlfn.IFS(J357=1,"Day Use",J357&lt;=3,"Short Stay",J357&lt;=7,"Extended Stay",J357&gt;=8,"Long Stay")</f>
        <v>Day Use</v>
      </c>
      <c r="L357" t="s">
        <v>25</v>
      </c>
      <c r="M357" s="10" t="str">
        <f t="shared" si="26"/>
        <v>Standard</v>
      </c>
      <c r="N357" t="s">
        <v>26</v>
      </c>
      <c r="O357" t="s">
        <v>71</v>
      </c>
      <c r="P357">
        <f>IFERROR(VLOOKUP(TRIM(M357),Room!D:H,5,FALSE),5000)</f>
        <v>3200</v>
      </c>
      <c r="Q357">
        <f t="shared" si="27"/>
        <v>3200</v>
      </c>
      <c r="R357" s="11" t="str">
        <f t="shared" si="28"/>
        <v>Other</v>
      </c>
      <c r="S357" s="11">
        <f t="shared" si="29"/>
        <v>1</v>
      </c>
    </row>
    <row r="358" spans="1:19">
      <c r="A358" t="s">
        <v>2007</v>
      </c>
      <c r="B358" t="s">
        <v>2008</v>
      </c>
      <c r="C358" t="s">
        <v>1545</v>
      </c>
      <c r="D358" t="s">
        <v>2009</v>
      </c>
      <c r="E358" t="s">
        <v>2010</v>
      </c>
      <c r="F358" t="s">
        <v>2011</v>
      </c>
      <c r="G358" s="4">
        <v>45595</v>
      </c>
      <c r="H358" s="4">
        <v>45602</v>
      </c>
      <c r="I358" s="4">
        <v>45613</v>
      </c>
      <c r="J358">
        <f t="shared" si="25"/>
        <v>11</v>
      </c>
      <c r="K358" t="str">
        <f t="array" ref="K358">_xlfn.IFS(J358=1,"Day Use",J358&lt;=3,"Short Stay",J358&lt;=7,"Extended Stay",J358&gt;=8,"Long Stay")</f>
        <v>Long Stay</v>
      </c>
      <c r="L358" t="s">
        <v>56</v>
      </c>
      <c r="M358" s="10" t="str">
        <f t="shared" si="26"/>
        <v>Suite</v>
      </c>
      <c r="N358" t="s">
        <v>26</v>
      </c>
      <c r="O358" t="s">
        <v>58</v>
      </c>
      <c r="P358">
        <f>IFERROR(VLOOKUP(TRIM(M358),Room!D:H,5,FALSE),5000)</f>
        <v>12500</v>
      </c>
      <c r="Q358">
        <f t="shared" si="27"/>
        <v>137500</v>
      </c>
      <c r="R358" s="11" t="str">
        <f t="shared" si="28"/>
        <v>Business</v>
      </c>
      <c r="S358" s="11">
        <f t="shared" si="29"/>
        <v>5</v>
      </c>
    </row>
    <row r="359" spans="1:19">
      <c r="A359" t="s">
        <v>2012</v>
      </c>
      <c r="B359" t="s">
        <v>2013</v>
      </c>
      <c r="C359" t="s">
        <v>1030</v>
      </c>
      <c r="D359" t="s">
        <v>2014</v>
      </c>
      <c r="E359" t="s">
        <v>2015</v>
      </c>
      <c r="F359" t="s">
        <v>2016</v>
      </c>
      <c r="G359" s="4">
        <v>45738</v>
      </c>
      <c r="H359" s="4">
        <v>45832</v>
      </c>
      <c r="I359" s="4">
        <v>45840</v>
      </c>
      <c r="J359">
        <f t="shared" si="25"/>
        <v>8</v>
      </c>
      <c r="K359" t="str">
        <f t="array" ref="K359">_xlfn.IFS(J359=1,"Day Use",J359&lt;=3,"Short Stay",J359&lt;=7,"Extended Stay",J359&gt;=8,"Long Stay")</f>
        <v>Long Stay</v>
      </c>
      <c r="L359" t="s">
        <v>56</v>
      </c>
      <c r="M359" s="10" t="str">
        <f t="shared" si="26"/>
        <v>Premium</v>
      </c>
      <c r="N359" t="s">
        <v>134</v>
      </c>
      <c r="O359" t="s">
        <v>27</v>
      </c>
      <c r="P359">
        <f>IFERROR(VLOOKUP(TRIM(M359),Room!D:H,5,FALSE),5000)</f>
        <v>9500</v>
      </c>
      <c r="Q359">
        <f t="shared" si="27"/>
        <v>76000</v>
      </c>
      <c r="R359" s="11" t="str">
        <f t="shared" si="28"/>
        <v>Conference</v>
      </c>
      <c r="S359" s="11">
        <f t="shared" si="29"/>
        <v>4</v>
      </c>
    </row>
    <row r="360" spans="1:19">
      <c r="A360" t="s">
        <v>2017</v>
      </c>
      <c r="B360" t="s">
        <v>2018</v>
      </c>
      <c r="C360" t="s">
        <v>2019</v>
      </c>
      <c r="D360" t="s">
        <v>2020</v>
      </c>
      <c r="E360" t="s">
        <v>2021</v>
      </c>
      <c r="F360" t="s">
        <v>2022</v>
      </c>
      <c r="G360" s="4">
        <v>45689</v>
      </c>
      <c r="H360" s="4">
        <v>45976</v>
      </c>
      <c r="I360" s="4">
        <v>45982</v>
      </c>
      <c r="J360">
        <f t="shared" si="25"/>
        <v>6</v>
      </c>
      <c r="K360" t="str">
        <f t="array" ref="K360">_xlfn.IFS(J360=1,"Day Use",J360&lt;=3,"Short Stay",J360&lt;=7,"Extended Stay",J360&gt;=8,"Long Stay")</f>
        <v>Extended Stay</v>
      </c>
      <c r="L360" t="s">
        <v>84</v>
      </c>
      <c r="M360" s="10" t="str">
        <f t="shared" si="26"/>
        <v>Deluxe</v>
      </c>
      <c r="N360" t="s">
        <v>26</v>
      </c>
      <c r="O360" t="s">
        <v>27</v>
      </c>
      <c r="P360">
        <f>IFERROR(VLOOKUP(TRIM(M360),Room!D:H,5,FALSE),5000)</f>
        <v>5400</v>
      </c>
      <c r="Q360">
        <f t="shared" si="27"/>
        <v>32400</v>
      </c>
      <c r="R360" s="11" t="str">
        <f t="shared" si="28"/>
        <v>Conference</v>
      </c>
      <c r="S360" s="11">
        <f t="shared" si="29"/>
        <v>3</v>
      </c>
    </row>
    <row r="361" spans="1:19">
      <c r="A361" t="s">
        <v>2023</v>
      </c>
      <c r="B361" t="s">
        <v>2024</v>
      </c>
      <c r="C361" t="s">
        <v>1551</v>
      </c>
      <c r="D361" t="s">
        <v>2025</v>
      </c>
      <c r="E361" t="s">
        <v>2026</v>
      </c>
      <c r="F361" t="s">
        <v>2027</v>
      </c>
      <c r="G361" s="4">
        <v>45768</v>
      </c>
      <c r="H361" s="4">
        <v>45781</v>
      </c>
      <c r="I361" s="4">
        <v>45788</v>
      </c>
      <c r="J361">
        <f t="shared" si="25"/>
        <v>7</v>
      </c>
      <c r="K361" t="str">
        <f t="array" ref="K361">_xlfn.IFS(J361=1,"Day Use",J361&lt;=3,"Short Stay",J361&lt;=7,"Extended Stay",J361&gt;=8,"Long Stay")</f>
        <v>Extended Stay</v>
      </c>
      <c r="L361" t="s">
        <v>25</v>
      </c>
      <c r="M361" s="10" t="str">
        <f t="shared" si="26"/>
        <v>Premium</v>
      </c>
      <c r="N361" t="s">
        <v>26</v>
      </c>
      <c r="O361" t="s">
        <v>42</v>
      </c>
      <c r="P361">
        <f>IFERROR(VLOOKUP(TRIM(M361),Room!D:H,5,FALSE),5000)</f>
        <v>9500</v>
      </c>
      <c r="Q361">
        <f t="shared" si="27"/>
        <v>66500</v>
      </c>
      <c r="R361" s="11" t="str">
        <f t="shared" si="28"/>
        <v>Conference</v>
      </c>
      <c r="S361" s="11">
        <f t="shared" si="29"/>
        <v>4</v>
      </c>
    </row>
    <row r="362" spans="1:19">
      <c r="A362" t="s">
        <v>2028</v>
      </c>
      <c r="B362" t="s">
        <v>2029</v>
      </c>
      <c r="C362" t="s">
        <v>1164</v>
      </c>
      <c r="D362" t="s">
        <v>2030</v>
      </c>
      <c r="E362" t="s">
        <v>2031</v>
      </c>
      <c r="F362" t="s">
        <v>2032</v>
      </c>
      <c r="G362" s="4">
        <v>45319</v>
      </c>
      <c r="H362" s="4">
        <v>45906</v>
      </c>
      <c r="I362" s="4">
        <v>45916</v>
      </c>
      <c r="J362">
        <f t="shared" si="25"/>
        <v>10</v>
      </c>
      <c r="K362" t="str">
        <f t="array" ref="K362">_xlfn.IFS(J362=1,"Day Use",J362&lt;=3,"Short Stay",J362&lt;=7,"Extended Stay",J362&gt;=8,"Long Stay")</f>
        <v>Long Stay</v>
      </c>
      <c r="L362" t="s">
        <v>91</v>
      </c>
      <c r="M362" s="10" t="str">
        <f t="shared" si="26"/>
        <v>Premium</v>
      </c>
      <c r="N362" t="s">
        <v>26</v>
      </c>
      <c r="O362" t="s">
        <v>27</v>
      </c>
      <c r="P362">
        <f>IFERROR(VLOOKUP(TRIM(M362),Room!D:H,5,FALSE),5000)</f>
        <v>9500</v>
      </c>
      <c r="Q362">
        <f t="shared" si="27"/>
        <v>95000</v>
      </c>
      <c r="R362" s="11" t="str">
        <f t="shared" si="28"/>
        <v>Conference</v>
      </c>
      <c r="S362" s="11">
        <f t="shared" si="29"/>
        <v>4</v>
      </c>
    </row>
    <row r="363" spans="1:19">
      <c r="A363" t="s">
        <v>2033</v>
      </c>
      <c r="B363" t="s">
        <v>2034</v>
      </c>
      <c r="C363" t="s">
        <v>2035</v>
      </c>
      <c r="D363" t="s">
        <v>2036</v>
      </c>
      <c r="E363" t="s">
        <v>2037</v>
      </c>
      <c r="F363" t="s">
        <v>2038</v>
      </c>
      <c r="G363" s="4">
        <v>45382</v>
      </c>
      <c r="H363" s="4">
        <v>45878</v>
      </c>
      <c r="I363" s="4">
        <v>45888</v>
      </c>
      <c r="J363">
        <f t="shared" si="25"/>
        <v>10</v>
      </c>
      <c r="K363" t="str">
        <f t="array" ref="K363">_xlfn.IFS(J363=1,"Day Use",J363&lt;=3,"Short Stay",J363&lt;=7,"Extended Stay",J363&gt;=8,"Long Stay")</f>
        <v>Long Stay</v>
      </c>
      <c r="L363" t="s">
        <v>56</v>
      </c>
      <c r="M363" s="10" t="str">
        <f t="shared" si="26"/>
        <v>Premium</v>
      </c>
      <c r="N363" t="s">
        <v>26</v>
      </c>
      <c r="O363" t="s">
        <v>42</v>
      </c>
      <c r="P363">
        <f>IFERROR(VLOOKUP(TRIM(M363),Room!D:H,5,FALSE),5000)</f>
        <v>9500</v>
      </c>
      <c r="Q363">
        <f t="shared" si="27"/>
        <v>95000</v>
      </c>
      <c r="R363" s="11" t="str">
        <f t="shared" si="28"/>
        <v>Conference</v>
      </c>
      <c r="S363" s="11">
        <f t="shared" si="29"/>
        <v>4</v>
      </c>
    </row>
    <row r="364" spans="1:19">
      <c r="A364" t="s">
        <v>2039</v>
      </c>
      <c r="B364" t="s">
        <v>2040</v>
      </c>
      <c r="C364" t="s">
        <v>2041</v>
      </c>
      <c r="D364" t="s">
        <v>2042</v>
      </c>
      <c r="E364" t="s">
        <v>2043</v>
      </c>
      <c r="F364" t="s">
        <v>2044</v>
      </c>
      <c r="G364" s="4">
        <v>45438</v>
      </c>
      <c r="H364" s="4">
        <v>45862</v>
      </c>
      <c r="I364" s="4">
        <v>45869</v>
      </c>
      <c r="J364">
        <f t="shared" si="25"/>
        <v>7</v>
      </c>
      <c r="K364" t="str">
        <f t="array" ref="K364">_xlfn.IFS(J364=1,"Day Use",J364&lt;=3,"Short Stay",J364&lt;=7,"Extended Stay",J364&gt;=8,"Long Stay")</f>
        <v>Extended Stay</v>
      </c>
      <c r="L364" t="s">
        <v>196</v>
      </c>
      <c r="M364" s="10" t="str">
        <f t="shared" si="26"/>
        <v>Premium</v>
      </c>
      <c r="N364" t="s">
        <v>26</v>
      </c>
      <c r="O364" t="s">
        <v>71</v>
      </c>
      <c r="P364">
        <f>IFERROR(VLOOKUP(TRIM(M364),Room!D:H,5,FALSE),5000)</f>
        <v>9500</v>
      </c>
      <c r="Q364">
        <f t="shared" si="27"/>
        <v>66500</v>
      </c>
      <c r="R364" s="11" t="str">
        <f t="shared" si="28"/>
        <v>Conference</v>
      </c>
      <c r="S364" s="11">
        <f t="shared" si="29"/>
        <v>4</v>
      </c>
    </row>
    <row r="365" spans="1:19">
      <c r="A365" t="s">
        <v>2045</v>
      </c>
      <c r="B365" t="s">
        <v>2046</v>
      </c>
      <c r="C365" t="s">
        <v>1324</v>
      </c>
      <c r="D365" t="s">
        <v>2047</v>
      </c>
      <c r="E365" t="s">
        <v>2048</v>
      </c>
      <c r="F365" t="s">
        <v>2049</v>
      </c>
      <c r="G365" s="4">
        <v>45622</v>
      </c>
      <c r="H365" s="4">
        <v>45733</v>
      </c>
      <c r="I365" s="4">
        <v>45735</v>
      </c>
      <c r="J365">
        <f t="shared" si="25"/>
        <v>2</v>
      </c>
      <c r="K365" t="str">
        <f t="array" ref="K365">_xlfn.IFS(J365=1,"Day Use",J365&lt;=3,"Short Stay",J365&lt;=7,"Extended Stay",J365&gt;=8,"Long Stay")</f>
        <v>Short Stay</v>
      </c>
      <c r="L365" t="s">
        <v>56</v>
      </c>
      <c r="M365" s="10" t="str">
        <f t="shared" si="26"/>
        <v>Standard</v>
      </c>
      <c r="N365" t="s">
        <v>26</v>
      </c>
      <c r="O365" t="s">
        <v>27</v>
      </c>
      <c r="P365">
        <f>IFERROR(VLOOKUP(TRIM(M365),Room!D:H,5,FALSE),5000)</f>
        <v>3200</v>
      </c>
      <c r="Q365">
        <f t="shared" si="27"/>
        <v>6400</v>
      </c>
      <c r="R365" s="11" t="str">
        <f t="shared" si="28"/>
        <v>Other</v>
      </c>
      <c r="S365" s="11">
        <f t="shared" si="29"/>
        <v>2</v>
      </c>
    </row>
    <row r="366" spans="1:19">
      <c r="A366" t="s">
        <v>2050</v>
      </c>
      <c r="B366" t="s">
        <v>2051</v>
      </c>
      <c r="C366" t="s">
        <v>679</v>
      </c>
      <c r="D366" t="s">
        <v>2052</v>
      </c>
      <c r="E366" t="s">
        <v>2053</v>
      </c>
      <c r="F366" t="s">
        <v>2054</v>
      </c>
      <c r="G366" s="4">
        <v>45349</v>
      </c>
      <c r="H366" s="4">
        <v>45784</v>
      </c>
      <c r="I366" s="4">
        <v>45788</v>
      </c>
      <c r="J366">
        <f t="shared" si="25"/>
        <v>4</v>
      </c>
      <c r="K366" t="str">
        <f t="array" ref="K366">_xlfn.IFS(J366=1,"Day Use",J366&lt;=3,"Short Stay",J366&lt;=7,"Extended Stay",J366&gt;=8,"Long Stay")</f>
        <v>Extended Stay</v>
      </c>
      <c r="L366" t="s">
        <v>34</v>
      </c>
      <c r="M366" s="10" t="str">
        <f t="shared" si="26"/>
        <v>Deluxe</v>
      </c>
      <c r="N366" t="s">
        <v>26</v>
      </c>
      <c r="O366" t="s">
        <v>35</v>
      </c>
      <c r="P366">
        <f>IFERROR(VLOOKUP(TRIM(M366),Room!D:H,5,FALSE),5000)</f>
        <v>5400</v>
      </c>
      <c r="Q366">
        <f t="shared" si="27"/>
        <v>21600</v>
      </c>
      <c r="R366" s="11" t="str">
        <f t="shared" si="28"/>
        <v>Conference</v>
      </c>
      <c r="S366" s="11">
        <f t="shared" si="29"/>
        <v>3</v>
      </c>
    </row>
    <row r="367" spans="1:19">
      <c r="A367" t="s">
        <v>2055</v>
      </c>
      <c r="B367" t="s">
        <v>2056</v>
      </c>
      <c r="C367" t="s">
        <v>375</v>
      </c>
      <c r="D367" t="s">
        <v>2057</v>
      </c>
      <c r="E367" t="s">
        <v>2058</v>
      </c>
      <c r="F367" t="s">
        <v>2059</v>
      </c>
      <c r="G367" s="4">
        <v>45237</v>
      </c>
      <c r="H367" s="4">
        <v>45872</v>
      </c>
      <c r="I367" s="4">
        <v>45886</v>
      </c>
      <c r="J367">
        <f t="shared" si="25"/>
        <v>14</v>
      </c>
      <c r="K367" t="str">
        <f t="array" ref="K367">_xlfn.IFS(J367=1,"Day Use",J367&lt;=3,"Short Stay",J367&lt;=7,"Extended Stay",J367&gt;=8,"Long Stay")</f>
        <v>Long Stay</v>
      </c>
      <c r="L367" t="s">
        <v>141</v>
      </c>
      <c r="M367" s="10" t="str">
        <f t="shared" si="26"/>
        <v>Suite</v>
      </c>
      <c r="N367" t="s">
        <v>26</v>
      </c>
      <c r="O367" t="s">
        <v>42</v>
      </c>
      <c r="P367">
        <f>IFERROR(VLOOKUP(TRIM(M367),Room!D:H,5,FALSE),5000)</f>
        <v>12500</v>
      </c>
      <c r="Q367">
        <f t="shared" si="27"/>
        <v>175000</v>
      </c>
      <c r="R367" s="11" t="str">
        <f t="shared" si="28"/>
        <v>Business</v>
      </c>
      <c r="S367" s="11">
        <f t="shared" si="29"/>
        <v>5</v>
      </c>
    </row>
    <row r="368" spans="1:19">
      <c r="A368" t="s">
        <v>2060</v>
      </c>
      <c r="B368" t="s">
        <v>2061</v>
      </c>
      <c r="C368" t="s">
        <v>2062</v>
      </c>
      <c r="D368" t="s">
        <v>2063</v>
      </c>
      <c r="E368" t="s">
        <v>2064</v>
      </c>
      <c r="F368" t="s">
        <v>2065</v>
      </c>
      <c r="G368" s="4">
        <v>45540</v>
      </c>
      <c r="H368" s="4">
        <v>45567</v>
      </c>
      <c r="I368" s="4">
        <v>45574</v>
      </c>
      <c r="J368">
        <f t="shared" si="25"/>
        <v>7</v>
      </c>
      <c r="K368" t="str">
        <f t="array" ref="K368">_xlfn.IFS(J368=1,"Day Use",J368&lt;=3,"Short Stay",J368&lt;=7,"Extended Stay",J368&gt;=8,"Long Stay")</f>
        <v>Extended Stay</v>
      </c>
      <c r="L368" t="s">
        <v>25</v>
      </c>
      <c r="M368" s="10" t="str">
        <f t="shared" si="26"/>
        <v>Premium</v>
      </c>
      <c r="N368" t="s">
        <v>148</v>
      </c>
      <c r="O368" t="s">
        <v>58</v>
      </c>
      <c r="P368">
        <f>IFERROR(VLOOKUP(TRIM(M368),Room!D:H,5,FALSE),5000)</f>
        <v>9500</v>
      </c>
      <c r="Q368">
        <f t="shared" si="27"/>
        <v>66500</v>
      </c>
      <c r="R368" s="11" t="str">
        <f t="shared" si="28"/>
        <v>Conference</v>
      </c>
      <c r="S368" s="11">
        <f t="shared" si="29"/>
        <v>4</v>
      </c>
    </row>
    <row r="369" spans="1:19">
      <c r="A369" t="s">
        <v>2066</v>
      </c>
      <c r="B369" t="s">
        <v>2067</v>
      </c>
      <c r="C369" t="s">
        <v>661</v>
      </c>
      <c r="D369" t="s">
        <v>2068</v>
      </c>
      <c r="E369" t="s">
        <v>2069</v>
      </c>
      <c r="F369" t="s">
        <v>2070</v>
      </c>
      <c r="G369" s="4">
        <v>45668</v>
      </c>
      <c r="H369" s="4">
        <v>45994</v>
      </c>
      <c r="I369" s="4">
        <v>46008</v>
      </c>
      <c r="J369">
        <f t="shared" si="25"/>
        <v>14</v>
      </c>
      <c r="K369" t="str">
        <f t="array" ref="K369">_xlfn.IFS(J369=1,"Day Use",J369&lt;=3,"Short Stay",J369&lt;=7,"Extended Stay",J369&gt;=8,"Long Stay")</f>
        <v>Long Stay</v>
      </c>
      <c r="L369" t="s">
        <v>196</v>
      </c>
      <c r="M369" s="10" t="str">
        <f t="shared" si="26"/>
        <v>Suite</v>
      </c>
      <c r="N369" t="s">
        <v>26</v>
      </c>
      <c r="O369" t="s">
        <v>58</v>
      </c>
      <c r="P369">
        <f>IFERROR(VLOOKUP(TRIM(M369),Room!D:H,5,FALSE),5000)</f>
        <v>12500</v>
      </c>
      <c r="Q369">
        <f t="shared" si="27"/>
        <v>175000</v>
      </c>
      <c r="R369" s="11" t="str">
        <f t="shared" si="28"/>
        <v>Business</v>
      </c>
      <c r="S369" s="11">
        <f t="shared" si="29"/>
        <v>5</v>
      </c>
    </row>
    <row r="370" spans="1:19">
      <c r="A370" t="s">
        <v>2071</v>
      </c>
      <c r="B370" t="s">
        <v>2072</v>
      </c>
      <c r="C370" t="s">
        <v>2073</v>
      </c>
      <c r="D370" t="s">
        <v>2074</v>
      </c>
      <c r="E370" t="s">
        <v>2075</v>
      </c>
      <c r="F370" t="s">
        <v>2076</v>
      </c>
      <c r="G370" s="4">
        <v>45895</v>
      </c>
      <c r="H370" s="4">
        <v>45975</v>
      </c>
      <c r="I370" s="4">
        <v>45982</v>
      </c>
      <c r="J370">
        <f t="shared" si="25"/>
        <v>7</v>
      </c>
      <c r="K370" t="str">
        <f t="array" ref="K370">_xlfn.IFS(J370=1,"Day Use",J370&lt;=3,"Short Stay",J370&lt;=7,"Extended Stay",J370&gt;=8,"Long Stay")</f>
        <v>Extended Stay</v>
      </c>
      <c r="L370" t="s">
        <v>141</v>
      </c>
      <c r="M370" s="10" t="str">
        <f t="shared" si="26"/>
        <v>Premium</v>
      </c>
      <c r="N370" t="s">
        <v>372</v>
      </c>
      <c r="O370" t="s">
        <v>27</v>
      </c>
      <c r="P370">
        <f>IFERROR(VLOOKUP(TRIM(M370),Room!D:H,5,FALSE),5000)</f>
        <v>9500</v>
      </c>
      <c r="Q370">
        <f t="shared" si="27"/>
        <v>66500</v>
      </c>
      <c r="R370" s="11" t="str">
        <f t="shared" si="28"/>
        <v>Conference</v>
      </c>
      <c r="S370" s="11">
        <f t="shared" si="29"/>
        <v>4</v>
      </c>
    </row>
    <row r="371" spans="1:19">
      <c r="A371" t="s">
        <v>2077</v>
      </c>
      <c r="B371" t="s">
        <v>2078</v>
      </c>
      <c r="C371" t="s">
        <v>2079</v>
      </c>
      <c r="D371" t="s">
        <v>2080</v>
      </c>
      <c r="E371" t="s">
        <v>2081</v>
      </c>
      <c r="F371" t="s">
        <v>2082</v>
      </c>
      <c r="G371" s="4">
        <v>45451</v>
      </c>
      <c r="H371" s="4">
        <v>45609</v>
      </c>
      <c r="I371" s="4">
        <v>45623</v>
      </c>
      <c r="J371">
        <f t="shared" si="25"/>
        <v>14</v>
      </c>
      <c r="K371" t="str">
        <f t="array" ref="K371">_xlfn.IFS(J371=1,"Day Use",J371&lt;=3,"Short Stay",J371&lt;=7,"Extended Stay",J371&gt;=8,"Long Stay")</f>
        <v>Long Stay</v>
      </c>
      <c r="L371" t="s">
        <v>49</v>
      </c>
      <c r="M371" s="10" t="str">
        <f t="shared" si="26"/>
        <v>Suite</v>
      </c>
      <c r="N371" t="s">
        <v>26</v>
      </c>
      <c r="O371" t="s">
        <v>27</v>
      </c>
      <c r="P371">
        <f>IFERROR(VLOOKUP(TRIM(M371),Room!D:H,5,FALSE),5000)</f>
        <v>12500</v>
      </c>
      <c r="Q371">
        <f t="shared" si="27"/>
        <v>175000</v>
      </c>
      <c r="R371" s="11" t="str">
        <f t="shared" si="28"/>
        <v>Business</v>
      </c>
      <c r="S371" s="11">
        <f t="shared" si="29"/>
        <v>5</v>
      </c>
    </row>
    <row r="372" spans="1:19">
      <c r="A372" t="s">
        <v>2083</v>
      </c>
      <c r="B372" t="s">
        <v>2084</v>
      </c>
      <c r="C372" t="s">
        <v>2085</v>
      </c>
      <c r="D372" t="s">
        <v>2086</v>
      </c>
      <c r="E372" t="s">
        <v>2087</v>
      </c>
      <c r="F372" t="s">
        <v>2088</v>
      </c>
      <c r="G372" s="4">
        <v>45652</v>
      </c>
      <c r="H372" s="4">
        <v>45674</v>
      </c>
      <c r="I372" s="4">
        <v>45684</v>
      </c>
      <c r="J372">
        <f t="shared" si="25"/>
        <v>10</v>
      </c>
      <c r="K372" t="str">
        <f t="array" ref="K372">_xlfn.IFS(J372=1,"Day Use",J372&lt;=3,"Short Stay",J372&lt;=7,"Extended Stay",J372&gt;=8,"Long Stay")</f>
        <v>Long Stay</v>
      </c>
      <c r="L372" t="s">
        <v>34</v>
      </c>
      <c r="M372" s="10" t="str">
        <f t="shared" si="26"/>
        <v>Premium</v>
      </c>
      <c r="N372" t="s">
        <v>148</v>
      </c>
      <c r="O372" t="s">
        <v>71</v>
      </c>
      <c r="P372">
        <f>IFERROR(VLOOKUP(TRIM(M372),Room!D:H,5,FALSE),5000)</f>
        <v>9500</v>
      </c>
      <c r="Q372">
        <f t="shared" si="27"/>
        <v>95000</v>
      </c>
      <c r="R372" s="11" t="str">
        <f t="shared" si="28"/>
        <v>Conference</v>
      </c>
      <c r="S372" s="11">
        <f t="shared" si="29"/>
        <v>4</v>
      </c>
    </row>
    <row r="373" spans="1:19">
      <c r="A373" t="s">
        <v>2089</v>
      </c>
      <c r="B373" t="s">
        <v>2090</v>
      </c>
      <c r="C373" t="s">
        <v>229</v>
      </c>
      <c r="D373" t="s">
        <v>2091</v>
      </c>
      <c r="E373" t="s">
        <v>2092</v>
      </c>
      <c r="F373" t="s">
        <v>2093</v>
      </c>
      <c r="G373" s="4">
        <v>45342</v>
      </c>
      <c r="H373" s="4">
        <v>45363</v>
      </c>
      <c r="I373" s="4">
        <v>45369</v>
      </c>
      <c r="J373">
        <f t="shared" si="25"/>
        <v>6</v>
      </c>
      <c r="K373" t="str">
        <f t="array" ref="K373">_xlfn.IFS(J373=1,"Day Use",J373&lt;=3,"Short Stay",J373&lt;=7,"Extended Stay",J373&gt;=8,"Long Stay")</f>
        <v>Extended Stay</v>
      </c>
      <c r="L373" t="s">
        <v>34</v>
      </c>
      <c r="M373" s="10" t="str">
        <f t="shared" si="26"/>
        <v>Deluxe</v>
      </c>
      <c r="N373" t="s">
        <v>134</v>
      </c>
      <c r="O373" t="s">
        <v>58</v>
      </c>
      <c r="P373">
        <f>IFERROR(VLOOKUP(TRIM(M373),Room!D:H,5,FALSE),5000)</f>
        <v>5400</v>
      </c>
      <c r="Q373">
        <f t="shared" si="27"/>
        <v>32400</v>
      </c>
      <c r="R373" s="11" t="str">
        <f t="shared" si="28"/>
        <v>Conference</v>
      </c>
      <c r="S373" s="11">
        <f t="shared" si="29"/>
        <v>3</v>
      </c>
    </row>
    <row r="374" spans="1:19">
      <c r="A374" t="s">
        <v>2094</v>
      </c>
      <c r="B374" t="s">
        <v>2095</v>
      </c>
      <c r="C374" t="s">
        <v>2073</v>
      </c>
      <c r="D374" t="s">
        <v>2096</v>
      </c>
      <c r="E374" t="s">
        <v>2097</v>
      </c>
      <c r="F374" t="s">
        <v>2098</v>
      </c>
      <c r="G374" s="4">
        <v>45337</v>
      </c>
      <c r="H374" s="4">
        <v>45909</v>
      </c>
      <c r="I374" s="4">
        <v>45917</v>
      </c>
      <c r="J374">
        <f t="shared" si="25"/>
        <v>8</v>
      </c>
      <c r="K374" t="str">
        <f t="array" ref="K374">_xlfn.IFS(J374=1,"Day Use",J374&lt;=3,"Short Stay",J374&lt;=7,"Extended Stay",J374&gt;=8,"Long Stay")</f>
        <v>Long Stay</v>
      </c>
      <c r="L374" t="s">
        <v>91</v>
      </c>
      <c r="M374" s="10" t="str">
        <f t="shared" si="26"/>
        <v>Premium</v>
      </c>
      <c r="N374" t="s">
        <v>26</v>
      </c>
      <c r="O374" t="s">
        <v>58</v>
      </c>
      <c r="P374">
        <f>IFERROR(VLOOKUP(TRIM(M374),Room!D:H,5,FALSE),5000)</f>
        <v>9500</v>
      </c>
      <c r="Q374">
        <f t="shared" si="27"/>
        <v>76000</v>
      </c>
      <c r="R374" s="11" t="str">
        <f t="shared" si="28"/>
        <v>Conference</v>
      </c>
      <c r="S374" s="11">
        <f t="shared" si="29"/>
        <v>4</v>
      </c>
    </row>
    <row r="375" spans="1:19">
      <c r="A375" t="s">
        <v>2099</v>
      </c>
      <c r="B375" t="s">
        <v>2100</v>
      </c>
      <c r="C375" t="s">
        <v>2101</v>
      </c>
      <c r="D375" t="s">
        <v>2102</v>
      </c>
      <c r="E375" t="s">
        <v>2103</v>
      </c>
      <c r="F375" t="s">
        <v>2104</v>
      </c>
      <c r="G375" s="4">
        <v>45553</v>
      </c>
      <c r="H375" s="4">
        <v>45581</v>
      </c>
      <c r="I375" s="4">
        <v>45593</v>
      </c>
      <c r="J375">
        <f t="shared" si="25"/>
        <v>12</v>
      </c>
      <c r="K375" t="str">
        <f t="array" ref="K375">_xlfn.IFS(J375=1,"Day Use",J375&lt;=3,"Short Stay",J375&lt;=7,"Extended Stay",J375&gt;=8,"Long Stay")</f>
        <v>Long Stay</v>
      </c>
      <c r="L375" t="s">
        <v>56</v>
      </c>
      <c r="M375" s="10" t="str">
        <f t="shared" si="26"/>
        <v>Suite</v>
      </c>
      <c r="N375" t="s">
        <v>134</v>
      </c>
      <c r="O375" t="s">
        <v>42</v>
      </c>
      <c r="P375">
        <f>IFERROR(VLOOKUP(TRIM(M375),Room!D:H,5,FALSE),5000)</f>
        <v>12500</v>
      </c>
      <c r="Q375">
        <f t="shared" si="27"/>
        <v>150000</v>
      </c>
      <c r="R375" s="11" t="str">
        <f t="shared" si="28"/>
        <v>Business</v>
      </c>
      <c r="S375" s="11">
        <f t="shared" si="29"/>
        <v>5</v>
      </c>
    </row>
    <row r="376" spans="1:19">
      <c r="A376" t="s">
        <v>2105</v>
      </c>
      <c r="B376" t="s">
        <v>2106</v>
      </c>
      <c r="C376" t="s">
        <v>1557</v>
      </c>
      <c r="D376" t="s">
        <v>2107</v>
      </c>
      <c r="E376" t="s">
        <v>2108</v>
      </c>
      <c r="F376" t="s">
        <v>2109</v>
      </c>
      <c r="G376" s="4">
        <v>45416</v>
      </c>
      <c r="H376" s="4">
        <v>45969</v>
      </c>
      <c r="I376" s="4">
        <v>45982</v>
      </c>
      <c r="J376">
        <f t="shared" si="25"/>
        <v>13</v>
      </c>
      <c r="K376" t="str">
        <f t="array" ref="K376">_xlfn.IFS(J376=1,"Day Use",J376&lt;=3,"Short Stay",J376&lt;=7,"Extended Stay",J376&gt;=8,"Long Stay")</f>
        <v>Long Stay</v>
      </c>
      <c r="L376" t="s">
        <v>49</v>
      </c>
      <c r="M376" s="10" t="str">
        <f t="shared" si="26"/>
        <v>Suite</v>
      </c>
      <c r="N376" t="s">
        <v>26</v>
      </c>
      <c r="O376" t="s">
        <v>42</v>
      </c>
      <c r="P376">
        <f>IFERROR(VLOOKUP(TRIM(M376),Room!D:H,5,FALSE),5000)</f>
        <v>12500</v>
      </c>
      <c r="Q376">
        <f t="shared" si="27"/>
        <v>162500</v>
      </c>
      <c r="R376" s="11" t="str">
        <f t="shared" si="28"/>
        <v>Business</v>
      </c>
      <c r="S376" s="11">
        <f t="shared" si="29"/>
        <v>5</v>
      </c>
    </row>
    <row r="377" spans="1:19">
      <c r="A377" t="s">
        <v>2110</v>
      </c>
      <c r="B377" t="s">
        <v>2111</v>
      </c>
      <c r="C377" t="s">
        <v>2112</v>
      </c>
      <c r="D377" t="s">
        <v>2113</v>
      </c>
      <c r="E377" t="s">
        <v>2114</v>
      </c>
      <c r="F377" t="s">
        <v>2115</v>
      </c>
      <c r="G377" s="4">
        <v>45369</v>
      </c>
      <c r="H377" s="4">
        <v>45884</v>
      </c>
      <c r="I377" s="4">
        <v>45894</v>
      </c>
      <c r="J377">
        <f t="shared" si="25"/>
        <v>10</v>
      </c>
      <c r="K377" t="str">
        <f t="array" ref="K377">_xlfn.IFS(J377=1,"Day Use",J377&lt;=3,"Short Stay",J377&lt;=7,"Extended Stay",J377&gt;=8,"Long Stay")</f>
        <v>Long Stay</v>
      </c>
      <c r="L377" t="s">
        <v>196</v>
      </c>
      <c r="M377" s="10" t="str">
        <f t="shared" si="26"/>
        <v>Premium</v>
      </c>
      <c r="N377" t="s">
        <v>26</v>
      </c>
      <c r="O377" t="s">
        <v>35</v>
      </c>
      <c r="P377">
        <f>IFERROR(VLOOKUP(TRIM(M377),Room!D:H,5,FALSE),5000)</f>
        <v>9500</v>
      </c>
      <c r="Q377">
        <f t="shared" si="27"/>
        <v>95000</v>
      </c>
      <c r="R377" s="11" t="str">
        <f t="shared" si="28"/>
        <v>Conference</v>
      </c>
      <c r="S377" s="11">
        <f t="shared" si="29"/>
        <v>4</v>
      </c>
    </row>
    <row r="378" spans="1:19">
      <c r="A378" t="s">
        <v>2116</v>
      </c>
      <c r="B378" t="s">
        <v>2117</v>
      </c>
      <c r="C378" t="s">
        <v>1545</v>
      </c>
      <c r="D378" t="s">
        <v>2118</v>
      </c>
      <c r="E378" t="s">
        <v>2119</v>
      </c>
      <c r="F378" t="s">
        <v>2120</v>
      </c>
      <c r="G378" s="4">
        <v>45491</v>
      </c>
      <c r="H378" s="4">
        <v>45820</v>
      </c>
      <c r="I378" s="4">
        <v>45830</v>
      </c>
      <c r="J378">
        <f t="shared" si="25"/>
        <v>10</v>
      </c>
      <c r="K378" t="str">
        <f t="array" ref="K378">_xlfn.IFS(J378=1,"Day Use",J378&lt;=3,"Short Stay",J378&lt;=7,"Extended Stay",J378&gt;=8,"Long Stay")</f>
        <v>Long Stay</v>
      </c>
      <c r="L378" t="s">
        <v>141</v>
      </c>
      <c r="M378" s="10" t="str">
        <f t="shared" si="26"/>
        <v>Premium</v>
      </c>
      <c r="N378" t="s">
        <v>26</v>
      </c>
      <c r="O378" t="s">
        <v>71</v>
      </c>
      <c r="P378">
        <f>IFERROR(VLOOKUP(TRIM(M378),Room!D:H,5,FALSE),5000)</f>
        <v>9500</v>
      </c>
      <c r="Q378">
        <f t="shared" si="27"/>
        <v>95000</v>
      </c>
      <c r="R378" s="11" t="str">
        <f t="shared" si="28"/>
        <v>Conference</v>
      </c>
      <c r="S378" s="11">
        <f t="shared" si="29"/>
        <v>4</v>
      </c>
    </row>
    <row r="379" spans="1:19">
      <c r="A379" t="s">
        <v>2121</v>
      </c>
      <c r="B379" t="s">
        <v>2122</v>
      </c>
      <c r="C379" t="s">
        <v>1030</v>
      </c>
      <c r="D379" t="s">
        <v>2123</v>
      </c>
      <c r="E379" t="s">
        <v>2124</v>
      </c>
      <c r="F379" t="s">
        <v>2125</v>
      </c>
      <c r="G379" s="4">
        <v>45319</v>
      </c>
      <c r="H379" s="4">
        <v>45958</v>
      </c>
      <c r="I379" s="4">
        <v>45961</v>
      </c>
      <c r="J379">
        <f t="shared" si="25"/>
        <v>3</v>
      </c>
      <c r="K379" t="str">
        <f t="array" ref="K379">_xlfn.IFS(J379=1,"Day Use",J379&lt;=3,"Short Stay",J379&lt;=7,"Extended Stay",J379&gt;=8,"Long Stay")</f>
        <v>Short Stay</v>
      </c>
      <c r="L379" t="s">
        <v>196</v>
      </c>
      <c r="M379" s="10" t="str">
        <f t="shared" si="26"/>
        <v>Standard</v>
      </c>
      <c r="N379" t="s">
        <v>26</v>
      </c>
      <c r="O379" t="s">
        <v>35</v>
      </c>
      <c r="P379">
        <f>IFERROR(VLOOKUP(TRIM(M379),Room!D:H,5,FALSE),5000)</f>
        <v>3200</v>
      </c>
      <c r="Q379">
        <f t="shared" si="27"/>
        <v>9600</v>
      </c>
      <c r="R379" s="11" t="str">
        <f t="shared" si="28"/>
        <v>Other</v>
      </c>
      <c r="S379" s="11">
        <f t="shared" si="29"/>
        <v>2</v>
      </c>
    </row>
    <row r="380" spans="1:19">
      <c r="A380" t="s">
        <v>2126</v>
      </c>
      <c r="B380" t="s">
        <v>2127</v>
      </c>
      <c r="C380" t="s">
        <v>443</v>
      </c>
      <c r="D380" t="s">
        <v>2128</v>
      </c>
      <c r="E380" t="s">
        <v>2129</v>
      </c>
      <c r="F380" t="s">
        <v>2130</v>
      </c>
      <c r="G380" s="4">
        <v>45824</v>
      </c>
      <c r="H380" s="4">
        <v>45956</v>
      </c>
      <c r="I380" s="4">
        <v>45961</v>
      </c>
      <c r="J380">
        <f t="shared" si="25"/>
        <v>5</v>
      </c>
      <c r="K380" t="str">
        <f t="array" ref="K380">_xlfn.IFS(J380=1,"Day Use",J380&lt;=3,"Short Stay",J380&lt;=7,"Extended Stay",J380&gt;=8,"Long Stay")</f>
        <v>Extended Stay</v>
      </c>
      <c r="L380" t="s">
        <v>196</v>
      </c>
      <c r="M380" s="10" t="str">
        <f t="shared" si="26"/>
        <v>Deluxe</v>
      </c>
      <c r="N380" t="s">
        <v>57</v>
      </c>
      <c r="O380" t="s">
        <v>27</v>
      </c>
      <c r="P380">
        <f>IFERROR(VLOOKUP(TRIM(M380),Room!D:H,5,FALSE),5000)</f>
        <v>5400</v>
      </c>
      <c r="Q380">
        <f t="shared" si="27"/>
        <v>27000</v>
      </c>
      <c r="R380" s="11" t="str">
        <f t="shared" si="28"/>
        <v>Conference</v>
      </c>
      <c r="S380" s="11">
        <f t="shared" si="29"/>
        <v>3</v>
      </c>
    </row>
    <row r="381" spans="1:19">
      <c r="A381" t="s">
        <v>2131</v>
      </c>
      <c r="B381" t="s">
        <v>2132</v>
      </c>
      <c r="C381" t="s">
        <v>893</v>
      </c>
      <c r="D381" t="s">
        <v>2133</v>
      </c>
      <c r="E381" t="s">
        <v>2134</v>
      </c>
      <c r="F381" t="s">
        <v>2135</v>
      </c>
      <c r="G381" s="4">
        <v>45273</v>
      </c>
      <c r="H381" s="4">
        <v>45478</v>
      </c>
      <c r="I381" s="4">
        <v>45485</v>
      </c>
      <c r="J381">
        <f t="shared" si="25"/>
        <v>7</v>
      </c>
      <c r="K381" t="str">
        <f t="array" ref="K381">_xlfn.IFS(J381=1,"Day Use",J381&lt;=3,"Short Stay",J381&lt;=7,"Extended Stay",J381&gt;=8,"Long Stay")</f>
        <v>Extended Stay</v>
      </c>
      <c r="L381" t="s">
        <v>49</v>
      </c>
      <c r="M381" s="10" t="str">
        <f t="shared" si="26"/>
        <v>Premium</v>
      </c>
      <c r="N381" t="s">
        <v>26</v>
      </c>
      <c r="O381" t="s">
        <v>35</v>
      </c>
      <c r="P381">
        <f>IFERROR(VLOOKUP(TRIM(M381),Room!D:H,5,FALSE),5000)</f>
        <v>9500</v>
      </c>
      <c r="Q381">
        <f t="shared" si="27"/>
        <v>66500</v>
      </c>
      <c r="R381" s="11" t="str">
        <f t="shared" si="28"/>
        <v>Conference</v>
      </c>
      <c r="S381" s="11">
        <f t="shared" si="29"/>
        <v>4</v>
      </c>
    </row>
    <row r="382" spans="1:19">
      <c r="A382" t="s">
        <v>2136</v>
      </c>
      <c r="B382" t="s">
        <v>2137</v>
      </c>
      <c r="C382" t="s">
        <v>106</v>
      </c>
      <c r="D382" t="s">
        <v>2138</v>
      </c>
      <c r="E382" t="s">
        <v>2139</v>
      </c>
      <c r="F382" t="s">
        <v>2140</v>
      </c>
      <c r="G382" s="4">
        <v>45306</v>
      </c>
      <c r="H382" s="4">
        <v>45320</v>
      </c>
      <c r="I382" s="4">
        <v>45321</v>
      </c>
      <c r="J382">
        <f t="shared" si="25"/>
        <v>1</v>
      </c>
      <c r="K382" t="str">
        <f t="array" ref="K382">_xlfn.IFS(J382=1,"Day Use",J382&lt;=3,"Short Stay",J382&lt;=7,"Extended Stay",J382&gt;=8,"Long Stay")</f>
        <v>Day Use</v>
      </c>
      <c r="L382" t="s">
        <v>34</v>
      </c>
      <c r="M382" s="10" t="str">
        <f t="shared" si="26"/>
        <v>Standard</v>
      </c>
      <c r="N382" t="s">
        <v>26</v>
      </c>
      <c r="O382" t="s">
        <v>42</v>
      </c>
      <c r="P382">
        <f>IFERROR(VLOOKUP(TRIM(M382),Room!D:H,5,FALSE),5000)</f>
        <v>3200</v>
      </c>
      <c r="Q382">
        <f t="shared" si="27"/>
        <v>3200</v>
      </c>
      <c r="R382" s="11" t="str">
        <f t="shared" si="28"/>
        <v>Other</v>
      </c>
      <c r="S382" s="11">
        <f t="shared" si="29"/>
        <v>1</v>
      </c>
    </row>
    <row r="383" spans="1:19">
      <c r="A383" t="s">
        <v>2141</v>
      </c>
      <c r="B383" t="s">
        <v>2142</v>
      </c>
      <c r="C383" t="s">
        <v>2143</v>
      </c>
      <c r="D383" t="s">
        <v>2144</v>
      </c>
      <c r="E383" t="s">
        <v>2145</v>
      </c>
      <c r="F383" t="s">
        <v>2146</v>
      </c>
      <c r="G383" s="4">
        <v>45448</v>
      </c>
      <c r="H383" s="4">
        <v>45448</v>
      </c>
      <c r="I383" s="4">
        <v>45461</v>
      </c>
      <c r="J383">
        <f t="shared" si="25"/>
        <v>13</v>
      </c>
      <c r="K383" t="str">
        <f t="array" ref="K383">_xlfn.IFS(J383=1,"Day Use",J383&lt;=3,"Short Stay",J383&lt;=7,"Extended Stay",J383&gt;=8,"Long Stay")</f>
        <v>Long Stay</v>
      </c>
      <c r="L383" t="s">
        <v>91</v>
      </c>
      <c r="M383" s="10" t="str">
        <f t="shared" si="26"/>
        <v>Suite</v>
      </c>
      <c r="N383" t="s">
        <v>26</v>
      </c>
      <c r="O383" t="s">
        <v>42</v>
      </c>
      <c r="P383">
        <f>IFERROR(VLOOKUP(TRIM(M383),Room!D:H,5,FALSE),5000)</f>
        <v>12500</v>
      </c>
      <c r="Q383">
        <f t="shared" si="27"/>
        <v>162500</v>
      </c>
      <c r="R383" s="11" t="str">
        <f t="shared" si="28"/>
        <v>Business</v>
      </c>
      <c r="S383" s="11">
        <f t="shared" si="29"/>
        <v>5</v>
      </c>
    </row>
    <row r="384" spans="1:19">
      <c r="A384" t="s">
        <v>2147</v>
      </c>
      <c r="B384" t="s">
        <v>2148</v>
      </c>
      <c r="C384" t="s">
        <v>899</v>
      </c>
      <c r="D384" t="s">
        <v>2149</v>
      </c>
      <c r="E384" t="s">
        <v>2150</v>
      </c>
      <c r="F384" t="s">
        <v>2151</v>
      </c>
      <c r="G384" s="4">
        <v>45366</v>
      </c>
      <c r="H384" s="4">
        <v>46009</v>
      </c>
      <c r="I384" s="4">
        <v>46020</v>
      </c>
      <c r="J384">
        <f t="shared" si="25"/>
        <v>11</v>
      </c>
      <c r="K384" t="str">
        <f t="array" ref="K384">_xlfn.IFS(J384=1,"Day Use",J384&lt;=3,"Short Stay",J384&lt;=7,"Extended Stay",J384&gt;=8,"Long Stay")</f>
        <v>Long Stay</v>
      </c>
      <c r="L384" t="s">
        <v>196</v>
      </c>
      <c r="M384" s="10" t="str">
        <f t="shared" si="26"/>
        <v>Suite</v>
      </c>
      <c r="N384" t="s">
        <v>26</v>
      </c>
      <c r="O384" t="s">
        <v>58</v>
      </c>
      <c r="P384">
        <f>IFERROR(VLOOKUP(TRIM(M384),Room!D:H,5,FALSE),5000)</f>
        <v>12500</v>
      </c>
      <c r="Q384">
        <f t="shared" si="27"/>
        <v>137500</v>
      </c>
      <c r="R384" s="11" t="str">
        <f t="shared" si="28"/>
        <v>Business</v>
      </c>
      <c r="S384" s="11">
        <f t="shared" si="29"/>
        <v>5</v>
      </c>
    </row>
    <row r="385" spans="1:19">
      <c r="A385" t="s">
        <v>2152</v>
      </c>
      <c r="B385" t="s">
        <v>2153</v>
      </c>
      <c r="C385" t="s">
        <v>2154</v>
      </c>
      <c r="D385" t="s">
        <v>2155</v>
      </c>
      <c r="E385" t="s">
        <v>2156</v>
      </c>
      <c r="F385" t="s">
        <v>2157</v>
      </c>
      <c r="G385" s="4">
        <v>45649</v>
      </c>
      <c r="H385" s="4">
        <v>45663</v>
      </c>
      <c r="I385" s="4">
        <v>45675</v>
      </c>
      <c r="J385">
        <f t="shared" si="25"/>
        <v>12</v>
      </c>
      <c r="K385" t="str">
        <f t="array" ref="K385">_xlfn.IFS(J385=1,"Day Use",J385&lt;=3,"Short Stay",J385&lt;=7,"Extended Stay",J385&gt;=8,"Long Stay")</f>
        <v>Long Stay</v>
      </c>
      <c r="L385" t="s">
        <v>25</v>
      </c>
      <c r="M385" s="10" t="str">
        <f t="shared" si="26"/>
        <v>Suite</v>
      </c>
      <c r="N385" t="s">
        <v>26</v>
      </c>
      <c r="O385" t="s">
        <v>71</v>
      </c>
      <c r="P385">
        <f>IFERROR(VLOOKUP(TRIM(M385),Room!D:H,5,FALSE),5000)</f>
        <v>12500</v>
      </c>
      <c r="Q385">
        <f t="shared" si="27"/>
        <v>150000</v>
      </c>
      <c r="R385" s="11" t="str">
        <f t="shared" si="28"/>
        <v>Business</v>
      </c>
      <c r="S385" s="11">
        <f t="shared" si="29"/>
        <v>5</v>
      </c>
    </row>
    <row r="386" spans="1:19">
      <c r="A386" t="s">
        <v>2158</v>
      </c>
      <c r="B386" t="s">
        <v>2159</v>
      </c>
      <c r="C386" t="s">
        <v>1447</v>
      </c>
      <c r="D386" t="s">
        <v>2160</v>
      </c>
      <c r="E386" t="s">
        <v>2161</v>
      </c>
      <c r="F386" t="s">
        <v>2162</v>
      </c>
      <c r="G386" s="4">
        <v>45756</v>
      </c>
      <c r="H386" s="4">
        <v>45797</v>
      </c>
      <c r="I386" s="4">
        <v>45799</v>
      </c>
      <c r="J386">
        <f t="shared" ref="J386:J449" si="30">I386-H386</f>
        <v>2</v>
      </c>
      <c r="K386" t="str">
        <f t="array" ref="K386">_xlfn.IFS(J386=1,"Day Use",J386&lt;=3,"Short Stay",J386&lt;=7,"Extended Stay",J386&gt;=8,"Long Stay")</f>
        <v>Short Stay</v>
      </c>
      <c r="L386" t="s">
        <v>34</v>
      </c>
      <c r="M386" s="10" t="str">
        <f t="shared" ref="M386:M449" si="31">IF($J386&lt;=3,"Standard",IF($J386&lt;=6,"Deluxe",IF($J386&lt;=10,"Premium","Suite")))</f>
        <v>Standard</v>
      </c>
      <c r="N386" t="s">
        <v>148</v>
      </c>
      <c r="O386" t="s">
        <v>58</v>
      </c>
      <c r="P386">
        <f>IFERROR(VLOOKUP(TRIM(M386),Room!D:H,5,FALSE),5000)</f>
        <v>3200</v>
      </c>
      <c r="Q386">
        <f t="shared" si="27"/>
        <v>6400</v>
      </c>
      <c r="R386" s="11" t="str">
        <f t="shared" si="28"/>
        <v>Other</v>
      </c>
      <c r="S386" s="11">
        <f t="shared" si="29"/>
        <v>2</v>
      </c>
    </row>
    <row r="387" spans="1:19">
      <c r="A387" t="s">
        <v>2163</v>
      </c>
      <c r="B387" t="s">
        <v>2164</v>
      </c>
      <c r="C387" t="s">
        <v>392</v>
      </c>
      <c r="D387" t="s">
        <v>2165</v>
      </c>
      <c r="E387" t="s">
        <v>2166</v>
      </c>
      <c r="F387" t="s">
        <v>2167</v>
      </c>
      <c r="G387" s="4">
        <v>45338</v>
      </c>
      <c r="H387" s="4">
        <v>45357</v>
      </c>
      <c r="I387" s="4">
        <v>45371</v>
      </c>
      <c r="J387">
        <f t="shared" si="30"/>
        <v>14</v>
      </c>
      <c r="K387" t="str">
        <f t="array" ref="K387">_xlfn.IFS(J387=1,"Day Use",J387&lt;=3,"Short Stay",J387&lt;=7,"Extended Stay",J387&gt;=8,"Long Stay")</f>
        <v>Long Stay</v>
      </c>
      <c r="L387" t="s">
        <v>84</v>
      </c>
      <c r="M387" s="10" t="str">
        <f t="shared" si="31"/>
        <v>Suite</v>
      </c>
      <c r="N387" t="s">
        <v>57</v>
      </c>
      <c r="O387" t="s">
        <v>35</v>
      </c>
      <c r="P387">
        <f>IFERROR(VLOOKUP(TRIM(M387),Room!D:H,5,FALSE),5000)</f>
        <v>12500</v>
      </c>
      <c r="Q387">
        <f t="shared" ref="Q387:Q450" si="32">P387*J387</f>
        <v>175000</v>
      </c>
      <c r="R387" s="11" t="str">
        <f t="shared" ref="R387:R450" si="33">IF(ISNUMBER(SEARCH("Suite",D387)),"Honeymoon",IF(P387&gt;10000,"Business",IF(P387&gt;5000,"Conference",IF(J387&gt;=8,"Family Vacation","Other"))))</f>
        <v>Business</v>
      </c>
      <c r="S387" s="11">
        <f t="shared" ref="S387:S450" si="34">IF(M387="Suite",5,IF(M387="Premium",IF(Q387&gt;20000,4,3),IF(M387="Deluxe",IF(Q387&gt;=10000,3,2),IF(M387="Standard",IF(Q387&gt;=5000,2,1),1))))</f>
        <v>5</v>
      </c>
    </row>
    <row r="388" spans="1:19">
      <c r="A388" t="s">
        <v>2168</v>
      </c>
      <c r="B388" t="s">
        <v>2169</v>
      </c>
      <c r="C388" t="s">
        <v>679</v>
      </c>
      <c r="D388" t="s">
        <v>2170</v>
      </c>
      <c r="E388" t="s">
        <v>2171</v>
      </c>
      <c r="F388" t="s">
        <v>2172</v>
      </c>
      <c r="G388" s="4">
        <v>45734</v>
      </c>
      <c r="H388" s="4">
        <v>45978</v>
      </c>
      <c r="I388" s="4">
        <v>45991</v>
      </c>
      <c r="J388">
        <f t="shared" si="30"/>
        <v>13</v>
      </c>
      <c r="K388" t="str">
        <f t="array" ref="K388">_xlfn.IFS(J388=1,"Day Use",J388&lt;=3,"Short Stay",J388&lt;=7,"Extended Stay",J388&gt;=8,"Long Stay")</f>
        <v>Long Stay</v>
      </c>
      <c r="L388" t="s">
        <v>91</v>
      </c>
      <c r="M388" s="10" t="str">
        <f t="shared" si="31"/>
        <v>Suite</v>
      </c>
      <c r="N388" t="s">
        <v>148</v>
      </c>
      <c r="O388" t="s">
        <v>58</v>
      </c>
      <c r="P388">
        <f>IFERROR(VLOOKUP(TRIM(M388),Room!D:H,5,FALSE),5000)</f>
        <v>12500</v>
      </c>
      <c r="Q388">
        <f t="shared" si="32"/>
        <v>162500</v>
      </c>
      <c r="R388" s="11" t="str">
        <f t="shared" si="33"/>
        <v>Business</v>
      </c>
      <c r="S388" s="11">
        <f t="shared" si="34"/>
        <v>5</v>
      </c>
    </row>
    <row r="389" spans="1:19">
      <c r="A389" t="s">
        <v>2173</v>
      </c>
      <c r="B389" t="s">
        <v>2174</v>
      </c>
      <c r="C389" t="s">
        <v>2175</v>
      </c>
      <c r="D389" t="s">
        <v>2176</v>
      </c>
      <c r="E389" t="s">
        <v>2177</v>
      </c>
      <c r="F389" t="s">
        <v>2178</v>
      </c>
      <c r="G389" s="4">
        <v>45420</v>
      </c>
      <c r="H389" s="4">
        <v>45799</v>
      </c>
      <c r="I389" s="4">
        <v>45813</v>
      </c>
      <c r="J389">
        <f t="shared" si="30"/>
        <v>14</v>
      </c>
      <c r="K389" t="str">
        <f t="array" ref="K389">_xlfn.IFS(J389=1,"Day Use",J389&lt;=3,"Short Stay",J389&lt;=7,"Extended Stay",J389&gt;=8,"Long Stay")</f>
        <v>Long Stay</v>
      </c>
      <c r="L389" t="s">
        <v>84</v>
      </c>
      <c r="M389" s="10" t="str">
        <f t="shared" si="31"/>
        <v>Suite</v>
      </c>
      <c r="N389" t="s">
        <v>26</v>
      </c>
      <c r="O389" t="s">
        <v>42</v>
      </c>
      <c r="P389">
        <f>IFERROR(VLOOKUP(TRIM(M389),Room!D:H,5,FALSE),5000)</f>
        <v>12500</v>
      </c>
      <c r="Q389">
        <f t="shared" si="32"/>
        <v>175000</v>
      </c>
      <c r="R389" s="11" t="str">
        <f t="shared" si="33"/>
        <v>Business</v>
      </c>
      <c r="S389" s="11">
        <f t="shared" si="34"/>
        <v>5</v>
      </c>
    </row>
    <row r="390" spans="1:19">
      <c r="A390" t="s">
        <v>2179</v>
      </c>
      <c r="B390" t="s">
        <v>2180</v>
      </c>
      <c r="C390" t="s">
        <v>333</v>
      </c>
      <c r="D390" t="s">
        <v>2181</v>
      </c>
      <c r="E390" t="s">
        <v>2182</v>
      </c>
      <c r="F390" t="s">
        <v>2183</v>
      </c>
      <c r="G390" s="4">
        <v>45383</v>
      </c>
      <c r="H390" s="4">
        <v>45696</v>
      </c>
      <c r="I390" s="4">
        <v>45705</v>
      </c>
      <c r="J390">
        <f t="shared" si="30"/>
        <v>9</v>
      </c>
      <c r="K390" t="str">
        <f t="array" ref="K390">_xlfn.IFS(J390=1,"Day Use",J390&lt;=3,"Short Stay",J390&lt;=7,"Extended Stay",J390&gt;=8,"Long Stay")</f>
        <v>Long Stay</v>
      </c>
      <c r="L390" t="s">
        <v>91</v>
      </c>
      <c r="M390" s="10" t="str">
        <f t="shared" si="31"/>
        <v>Premium</v>
      </c>
      <c r="N390" t="s">
        <v>26</v>
      </c>
      <c r="O390" t="s">
        <v>27</v>
      </c>
      <c r="P390">
        <f>IFERROR(VLOOKUP(TRIM(M390),Room!D:H,5,FALSE),5000)</f>
        <v>9500</v>
      </c>
      <c r="Q390">
        <f t="shared" si="32"/>
        <v>85500</v>
      </c>
      <c r="R390" s="11" t="str">
        <f t="shared" si="33"/>
        <v>Conference</v>
      </c>
      <c r="S390" s="11">
        <f t="shared" si="34"/>
        <v>4</v>
      </c>
    </row>
    <row r="391" spans="1:19">
      <c r="A391" t="s">
        <v>2184</v>
      </c>
      <c r="B391" t="s">
        <v>2185</v>
      </c>
      <c r="C391" t="s">
        <v>882</v>
      </c>
      <c r="D391" t="s">
        <v>2186</v>
      </c>
      <c r="E391" t="s">
        <v>2187</v>
      </c>
      <c r="F391" t="s">
        <v>2188</v>
      </c>
      <c r="G391" s="4">
        <v>45299</v>
      </c>
      <c r="H391" s="4">
        <v>45609</v>
      </c>
      <c r="I391" s="4">
        <v>45623</v>
      </c>
      <c r="J391">
        <f t="shared" si="30"/>
        <v>14</v>
      </c>
      <c r="K391" t="str">
        <f t="array" ref="K391">_xlfn.IFS(J391=1,"Day Use",J391&lt;=3,"Short Stay",J391&lt;=7,"Extended Stay",J391&gt;=8,"Long Stay")</f>
        <v>Long Stay</v>
      </c>
      <c r="L391" t="s">
        <v>49</v>
      </c>
      <c r="M391" s="10" t="str">
        <f t="shared" si="31"/>
        <v>Suite</v>
      </c>
      <c r="N391" t="s">
        <v>26</v>
      </c>
      <c r="O391" t="s">
        <v>35</v>
      </c>
      <c r="P391">
        <f>IFERROR(VLOOKUP(TRIM(M391),Room!D:H,5,FALSE),5000)</f>
        <v>12500</v>
      </c>
      <c r="Q391">
        <f t="shared" si="32"/>
        <v>175000</v>
      </c>
      <c r="R391" s="11" t="str">
        <f t="shared" si="33"/>
        <v>Business</v>
      </c>
      <c r="S391" s="11">
        <f t="shared" si="34"/>
        <v>5</v>
      </c>
    </row>
    <row r="392" spans="1:19">
      <c r="A392" t="s">
        <v>2189</v>
      </c>
      <c r="B392" t="s">
        <v>2190</v>
      </c>
      <c r="C392" t="s">
        <v>1626</v>
      </c>
      <c r="D392" t="s">
        <v>2191</v>
      </c>
      <c r="E392" t="s">
        <v>2192</v>
      </c>
      <c r="F392" t="s">
        <v>2193</v>
      </c>
      <c r="G392" s="4">
        <v>45469</v>
      </c>
      <c r="H392" s="4">
        <v>45977</v>
      </c>
      <c r="I392" s="4">
        <v>45981</v>
      </c>
      <c r="J392">
        <f t="shared" si="30"/>
        <v>4</v>
      </c>
      <c r="K392" t="str">
        <f t="array" ref="K392">_xlfn.IFS(J392=1,"Day Use",J392&lt;=3,"Short Stay",J392&lt;=7,"Extended Stay",J392&gt;=8,"Long Stay")</f>
        <v>Extended Stay</v>
      </c>
      <c r="L392" t="s">
        <v>49</v>
      </c>
      <c r="M392" s="10" t="str">
        <f t="shared" si="31"/>
        <v>Deluxe</v>
      </c>
      <c r="N392" t="s">
        <v>134</v>
      </c>
      <c r="O392" t="s">
        <v>58</v>
      </c>
      <c r="P392">
        <f>IFERROR(VLOOKUP(TRIM(M392),Room!D:H,5,FALSE),5000)</f>
        <v>5400</v>
      </c>
      <c r="Q392">
        <f t="shared" si="32"/>
        <v>21600</v>
      </c>
      <c r="R392" s="11" t="str">
        <f t="shared" si="33"/>
        <v>Conference</v>
      </c>
      <c r="S392" s="11">
        <f t="shared" si="34"/>
        <v>3</v>
      </c>
    </row>
    <row r="393" spans="1:19">
      <c r="A393" t="s">
        <v>2194</v>
      </c>
      <c r="B393" t="s">
        <v>2195</v>
      </c>
      <c r="C393" t="s">
        <v>2196</v>
      </c>
      <c r="D393" t="s">
        <v>2197</v>
      </c>
      <c r="E393" t="s">
        <v>2198</v>
      </c>
      <c r="F393" t="s">
        <v>2199</v>
      </c>
      <c r="G393" s="4">
        <v>45746</v>
      </c>
      <c r="H393" s="4">
        <v>45747</v>
      </c>
      <c r="I393" s="4">
        <v>45753</v>
      </c>
      <c r="J393">
        <f t="shared" si="30"/>
        <v>6</v>
      </c>
      <c r="K393" t="str">
        <f t="array" ref="K393">_xlfn.IFS(J393=1,"Day Use",J393&lt;=3,"Short Stay",J393&lt;=7,"Extended Stay",J393&gt;=8,"Long Stay")</f>
        <v>Extended Stay</v>
      </c>
      <c r="L393" t="s">
        <v>141</v>
      </c>
      <c r="M393" s="10" t="str">
        <f t="shared" si="31"/>
        <v>Deluxe</v>
      </c>
      <c r="N393" t="s">
        <v>26</v>
      </c>
      <c r="O393" t="s">
        <v>35</v>
      </c>
      <c r="P393">
        <f>IFERROR(VLOOKUP(TRIM(M393),Room!D:H,5,FALSE),5000)</f>
        <v>5400</v>
      </c>
      <c r="Q393">
        <f t="shared" si="32"/>
        <v>32400</v>
      </c>
      <c r="R393" s="11" t="str">
        <f t="shared" si="33"/>
        <v>Conference</v>
      </c>
      <c r="S393" s="11">
        <f t="shared" si="34"/>
        <v>3</v>
      </c>
    </row>
    <row r="394" spans="1:19">
      <c r="A394" t="s">
        <v>2200</v>
      </c>
      <c r="B394" t="s">
        <v>2201</v>
      </c>
      <c r="C394" t="s">
        <v>2202</v>
      </c>
      <c r="D394" t="s">
        <v>2203</v>
      </c>
      <c r="E394" t="s">
        <v>2204</v>
      </c>
      <c r="F394" t="s">
        <v>2205</v>
      </c>
      <c r="G394" s="4">
        <v>45661</v>
      </c>
      <c r="H394" s="4">
        <v>45674</v>
      </c>
      <c r="I394" s="4">
        <v>45681</v>
      </c>
      <c r="J394">
        <f t="shared" si="30"/>
        <v>7</v>
      </c>
      <c r="K394" t="str">
        <f t="array" ref="K394">_xlfn.IFS(J394=1,"Day Use",J394&lt;=3,"Short Stay",J394&lt;=7,"Extended Stay",J394&gt;=8,"Long Stay")</f>
        <v>Extended Stay</v>
      </c>
      <c r="L394" t="s">
        <v>141</v>
      </c>
      <c r="M394" s="10" t="str">
        <f t="shared" si="31"/>
        <v>Premium</v>
      </c>
      <c r="N394" t="s">
        <v>26</v>
      </c>
      <c r="O394" t="s">
        <v>42</v>
      </c>
      <c r="P394">
        <f>IFERROR(VLOOKUP(TRIM(M394),Room!D:H,5,FALSE),5000)</f>
        <v>9500</v>
      </c>
      <c r="Q394">
        <f t="shared" si="32"/>
        <v>66500</v>
      </c>
      <c r="R394" s="11" t="str">
        <f t="shared" si="33"/>
        <v>Conference</v>
      </c>
      <c r="S394" s="11">
        <f t="shared" si="34"/>
        <v>4</v>
      </c>
    </row>
    <row r="395" spans="1:19">
      <c r="A395" t="s">
        <v>2206</v>
      </c>
      <c r="B395" t="s">
        <v>2207</v>
      </c>
      <c r="C395" t="s">
        <v>398</v>
      </c>
      <c r="D395" t="s">
        <v>2208</v>
      </c>
      <c r="E395" t="s">
        <v>2209</v>
      </c>
      <c r="F395" t="s">
        <v>2210</v>
      </c>
      <c r="G395" s="4">
        <v>45389</v>
      </c>
      <c r="H395" s="4">
        <v>45693</v>
      </c>
      <c r="I395" s="4">
        <v>45704</v>
      </c>
      <c r="J395">
        <f t="shared" si="30"/>
        <v>11</v>
      </c>
      <c r="K395" t="str">
        <f t="array" ref="K395">_xlfn.IFS(J395=1,"Day Use",J395&lt;=3,"Short Stay",J395&lt;=7,"Extended Stay",J395&gt;=8,"Long Stay")</f>
        <v>Long Stay</v>
      </c>
      <c r="L395" t="s">
        <v>34</v>
      </c>
      <c r="M395" s="10" t="str">
        <f t="shared" si="31"/>
        <v>Suite</v>
      </c>
      <c r="N395" t="s">
        <v>26</v>
      </c>
      <c r="O395" t="s">
        <v>42</v>
      </c>
      <c r="P395">
        <f>IFERROR(VLOOKUP(TRIM(M395),Room!D:H,5,FALSE),5000)</f>
        <v>12500</v>
      </c>
      <c r="Q395">
        <f t="shared" si="32"/>
        <v>137500</v>
      </c>
      <c r="R395" s="11" t="str">
        <f t="shared" si="33"/>
        <v>Business</v>
      </c>
      <c r="S395" s="11">
        <f t="shared" si="34"/>
        <v>5</v>
      </c>
    </row>
    <row r="396" spans="1:19">
      <c r="A396" t="s">
        <v>2211</v>
      </c>
      <c r="B396" t="s">
        <v>2212</v>
      </c>
      <c r="C396" t="s">
        <v>1693</v>
      </c>
      <c r="D396" t="s">
        <v>2213</v>
      </c>
      <c r="E396" t="s">
        <v>2214</v>
      </c>
      <c r="F396" t="s">
        <v>2215</v>
      </c>
      <c r="G396" s="4">
        <v>45688</v>
      </c>
      <c r="H396" s="4">
        <v>45783</v>
      </c>
      <c r="I396" s="4">
        <v>45788</v>
      </c>
      <c r="J396">
        <f t="shared" si="30"/>
        <v>5</v>
      </c>
      <c r="K396" t="str">
        <f t="array" ref="K396">_xlfn.IFS(J396=1,"Day Use",J396&lt;=3,"Short Stay",J396&lt;=7,"Extended Stay",J396&gt;=8,"Long Stay")</f>
        <v>Extended Stay</v>
      </c>
      <c r="L396" t="s">
        <v>141</v>
      </c>
      <c r="M396" s="10" t="str">
        <f t="shared" si="31"/>
        <v>Deluxe</v>
      </c>
      <c r="N396" t="s">
        <v>26</v>
      </c>
      <c r="O396" t="s">
        <v>27</v>
      </c>
      <c r="P396">
        <f>IFERROR(VLOOKUP(TRIM(M396),Room!D:H,5,FALSE),5000)</f>
        <v>5400</v>
      </c>
      <c r="Q396">
        <f t="shared" si="32"/>
        <v>27000</v>
      </c>
      <c r="R396" s="11" t="str">
        <f t="shared" si="33"/>
        <v>Conference</v>
      </c>
      <c r="S396" s="11">
        <f t="shared" si="34"/>
        <v>3</v>
      </c>
    </row>
    <row r="397" spans="1:19">
      <c r="A397" t="s">
        <v>2216</v>
      </c>
      <c r="B397" t="s">
        <v>2217</v>
      </c>
      <c r="C397" t="s">
        <v>627</v>
      </c>
      <c r="D397" t="s">
        <v>2218</v>
      </c>
      <c r="E397" t="s">
        <v>2219</v>
      </c>
      <c r="F397" t="s">
        <v>2220</v>
      </c>
      <c r="G397" s="4">
        <v>45390</v>
      </c>
      <c r="H397" s="4">
        <v>45412</v>
      </c>
      <c r="I397" s="4">
        <v>45417</v>
      </c>
      <c r="J397">
        <f t="shared" si="30"/>
        <v>5</v>
      </c>
      <c r="K397" t="str">
        <f t="array" ref="K397">_xlfn.IFS(J397=1,"Day Use",J397&lt;=3,"Short Stay",J397&lt;=7,"Extended Stay",J397&gt;=8,"Long Stay")</f>
        <v>Extended Stay</v>
      </c>
      <c r="L397" t="s">
        <v>91</v>
      </c>
      <c r="M397" s="10" t="str">
        <f t="shared" si="31"/>
        <v>Deluxe</v>
      </c>
      <c r="N397" t="s">
        <v>57</v>
      </c>
      <c r="O397" t="s">
        <v>42</v>
      </c>
      <c r="P397">
        <f>IFERROR(VLOOKUP(TRIM(M397),Room!D:H,5,FALSE),5000)</f>
        <v>5400</v>
      </c>
      <c r="Q397">
        <f t="shared" si="32"/>
        <v>27000</v>
      </c>
      <c r="R397" s="11" t="str">
        <f t="shared" si="33"/>
        <v>Conference</v>
      </c>
      <c r="S397" s="11">
        <f t="shared" si="34"/>
        <v>3</v>
      </c>
    </row>
    <row r="398" spans="1:19">
      <c r="A398" t="s">
        <v>2221</v>
      </c>
      <c r="B398" t="s">
        <v>2222</v>
      </c>
      <c r="C398" t="s">
        <v>333</v>
      </c>
      <c r="D398" t="s">
        <v>2223</v>
      </c>
      <c r="E398" t="s">
        <v>2224</v>
      </c>
      <c r="F398" t="s">
        <v>2225</v>
      </c>
      <c r="G398" s="4">
        <v>45443</v>
      </c>
      <c r="H398" s="4">
        <v>45460</v>
      </c>
      <c r="I398" s="4">
        <v>45470</v>
      </c>
      <c r="J398">
        <f t="shared" si="30"/>
        <v>10</v>
      </c>
      <c r="K398" t="str">
        <f t="array" ref="K398">_xlfn.IFS(J398=1,"Day Use",J398&lt;=3,"Short Stay",J398&lt;=7,"Extended Stay",J398&gt;=8,"Long Stay")</f>
        <v>Long Stay</v>
      </c>
      <c r="L398" t="s">
        <v>56</v>
      </c>
      <c r="M398" s="10" t="str">
        <f t="shared" si="31"/>
        <v>Premium</v>
      </c>
      <c r="N398" t="s">
        <v>148</v>
      </c>
      <c r="O398" t="s">
        <v>42</v>
      </c>
      <c r="P398">
        <f>IFERROR(VLOOKUP(TRIM(M398),Room!D:H,5,FALSE),5000)</f>
        <v>9500</v>
      </c>
      <c r="Q398">
        <f t="shared" si="32"/>
        <v>95000</v>
      </c>
      <c r="R398" s="11" t="str">
        <f t="shared" si="33"/>
        <v>Conference</v>
      </c>
      <c r="S398" s="11">
        <f t="shared" si="34"/>
        <v>4</v>
      </c>
    </row>
    <row r="399" spans="1:19">
      <c r="A399" t="s">
        <v>2226</v>
      </c>
      <c r="B399" t="s">
        <v>2227</v>
      </c>
      <c r="C399" t="s">
        <v>679</v>
      </c>
      <c r="D399" t="s">
        <v>2228</v>
      </c>
      <c r="E399" t="s">
        <v>2229</v>
      </c>
      <c r="F399" t="s">
        <v>2230</v>
      </c>
      <c r="G399" s="4">
        <v>45642</v>
      </c>
      <c r="H399" s="4">
        <v>45699</v>
      </c>
      <c r="I399" s="4">
        <v>45701</v>
      </c>
      <c r="J399">
        <f t="shared" si="30"/>
        <v>2</v>
      </c>
      <c r="K399" t="str">
        <f t="array" ref="K399">_xlfn.IFS(J399=1,"Day Use",J399&lt;=3,"Short Stay",J399&lt;=7,"Extended Stay",J399&gt;=8,"Long Stay")</f>
        <v>Short Stay</v>
      </c>
      <c r="L399" t="s">
        <v>84</v>
      </c>
      <c r="M399" s="10" t="str">
        <f t="shared" si="31"/>
        <v>Standard</v>
      </c>
      <c r="N399" t="s">
        <v>26</v>
      </c>
      <c r="O399" t="s">
        <v>42</v>
      </c>
      <c r="P399">
        <f>IFERROR(VLOOKUP(TRIM(M399),Room!D:H,5,FALSE),5000)</f>
        <v>3200</v>
      </c>
      <c r="Q399">
        <f t="shared" si="32"/>
        <v>6400</v>
      </c>
      <c r="R399" s="11" t="str">
        <f t="shared" si="33"/>
        <v>Other</v>
      </c>
      <c r="S399" s="11">
        <f t="shared" si="34"/>
        <v>2</v>
      </c>
    </row>
    <row r="400" spans="1:19">
      <c r="A400" t="s">
        <v>2231</v>
      </c>
      <c r="B400" t="s">
        <v>2232</v>
      </c>
      <c r="C400" t="s">
        <v>2233</v>
      </c>
      <c r="D400" t="s">
        <v>2234</v>
      </c>
      <c r="E400" t="s">
        <v>2235</v>
      </c>
      <c r="F400" t="s">
        <v>2236</v>
      </c>
      <c r="G400" s="4">
        <v>45496</v>
      </c>
      <c r="H400" s="4">
        <v>45499</v>
      </c>
      <c r="I400" s="4">
        <v>45509</v>
      </c>
      <c r="J400">
        <f t="shared" si="30"/>
        <v>10</v>
      </c>
      <c r="K400" t="str">
        <f t="array" ref="K400">_xlfn.IFS(J400=1,"Day Use",J400&lt;=3,"Short Stay",J400&lt;=7,"Extended Stay",J400&gt;=8,"Long Stay")</f>
        <v>Long Stay</v>
      </c>
      <c r="L400" t="s">
        <v>49</v>
      </c>
      <c r="M400" s="10" t="str">
        <f t="shared" si="31"/>
        <v>Premium</v>
      </c>
      <c r="N400" t="s">
        <v>26</v>
      </c>
      <c r="O400" t="s">
        <v>71</v>
      </c>
      <c r="P400">
        <f>IFERROR(VLOOKUP(TRIM(M400),Room!D:H,5,FALSE),5000)</f>
        <v>9500</v>
      </c>
      <c r="Q400">
        <f t="shared" si="32"/>
        <v>95000</v>
      </c>
      <c r="R400" s="11" t="str">
        <f t="shared" si="33"/>
        <v>Conference</v>
      </c>
      <c r="S400" s="11">
        <f t="shared" si="34"/>
        <v>4</v>
      </c>
    </row>
    <row r="401" spans="1:19">
      <c r="A401" t="s">
        <v>2237</v>
      </c>
      <c r="B401" t="s">
        <v>2238</v>
      </c>
      <c r="C401" t="s">
        <v>52</v>
      </c>
      <c r="D401" t="s">
        <v>2239</v>
      </c>
      <c r="E401" t="s">
        <v>2240</v>
      </c>
      <c r="F401" t="s">
        <v>2241</v>
      </c>
      <c r="G401" s="4">
        <v>45218</v>
      </c>
      <c r="H401" s="4">
        <v>45817</v>
      </c>
      <c r="I401" s="4">
        <v>45828</v>
      </c>
      <c r="J401">
        <f t="shared" si="30"/>
        <v>11</v>
      </c>
      <c r="K401" t="str">
        <f t="array" ref="K401">_xlfn.IFS(J401=1,"Day Use",J401&lt;=3,"Short Stay",J401&lt;=7,"Extended Stay",J401&gt;=8,"Long Stay")</f>
        <v>Long Stay</v>
      </c>
      <c r="L401" t="s">
        <v>91</v>
      </c>
      <c r="M401" s="10" t="str">
        <f t="shared" si="31"/>
        <v>Suite</v>
      </c>
      <c r="N401" t="s">
        <v>26</v>
      </c>
      <c r="O401" t="s">
        <v>42</v>
      </c>
      <c r="P401">
        <f>IFERROR(VLOOKUP(TRIM(M401),Room!D:H,5,FALSE),5000)</f>
        <v>12500</v>
      </c>
      <c r="Q401">
        <f t="shared" si="32"/>
        <v>137500</v>
      </c>
      <c r="R401" s="11" t="str">
        <f t="shared" si="33"/>
        <v>Business</v>
      </c>
      <c r="S401" s="11">
        <f t="shared" si="34"/>
        <v>5</v>
      </c>
    </row>
    <row r="402" spans="1:19">
      <c r="A402" t="s">
        <v>2242</v>
      </c>
      <c r="B402" t="s">
        <v>2243</v>
      </c>
      <c r="C402" t="s">
        <v>2244</v>
      </c>
      <c r="D402" t="s">
        <v>2245</v>
      </c>
      <c r="E402" t="s">
        <v>2246</v>
      </c>
      <c r="F402" t="s">
        <v>2247</v>
      </c>
      <c r="G402" s="4">
        <v>45750</v>
      </c>
      <c r="H402" s="4">
        <v>45995</v>
      </c>
      <c r="I402" s="4">
        <v>46002</v>
      </c>
      <c r="J402">
        <f t="shared" si="30"/>
        <v>7</v>
      </c>
      <c r="K402" t="str">
        <f t="array" ref="K402">_xlfn.IFS(J402=1,"Day Use",J402&lt;=3,"Short Stay",J402&lt;=7,"Extended Stay",J402&gt;=8,"Long Stay")</f>
        <v>Extended Stay</v>
      </c>
      <c r="L402" t="s">
        <v>25</v>
      </c>
      <c r="M402" s="10" t="str">
        <f t="shared" si="31"/>
        <v>Premium</v>
      </c>
      <c r="N402" t="s">
        <v>134</v>
      </c>
      <c r="O402" t="s">
        <v>58</v>
      </c>
      <c r="P402">
        <f>IFERROR(VLOOKUP(TRIM(M402),Room!D:H,5,FALSE),5000)</f>
        <v>9500</v>
      </c>
      <c r="Q402">
        <f t="shared" si="32"/>
        <v>66500</v>
      </c>
      <c r="R402" s="11" t="str">
        <f t="shared" si="33"/>
        <v>Conference</v>
      </c>
      <c r="S402" s="11">
        <f t="shared" si="34"/>
        <v>4</v>
      </c>
    </row>
    <row r="403" spans="1:19">
      <c r="A403" t="s">
        <v>2248</v>
      </c>
      <c r="B403" t="s">
        <v>2249</v>
      </c>
      <c r="C403" t="s">
        <v>80</v>
      </c>
      <c r="D403" t="s">
        <v>2250</v>
      </c>
      <c r="E403" t="s">
        <v>2251</v>
      </c>
      <c r="F403" t="s">
        <v>2252</v>
      </c>
      <c r="G403" s="4">
        <v>45655</v>
      </c>
      <c r="H403" s="4">
        <v>45655</v>
      </c>
      <c r="I403" s="4">
        <v>45657</v>
      </c>
      <c r="J403">
        <f t="shared" si="30"/>
        <v>2</v>
      </c>
      <c r="K403" t="str">
        <f t="array" ref="K403">_xlfn.IFS(J403=1,"Day Use",J403&lt;=3,"Short Stay",J403&lt;=7,"Extended Stay",J403&gt;=8,"Long Stay")</f>
        <v>Short Stay</v>
      </c>
      <c r="L403" t="s">
        <v>196</v>
      </c>
      <c r="M403" s="10" t="str">
        <f t="shared" si="31"/>
        <v>Standard</v>
      </c>
      <c r="N403" t="s">
        <v>26</v>
      </c>
      <c r="O403" t="s">
        <v>35</v>
      </c>
      <c r="P403">
        <f>IFERROR(VLOOKUP(TRIM(M403),Room!D:H,5,FALSE),5000)</f>
        <v>3200</v>
      </c>
      <c r="Q403">
        <f t="shared" si="32"/>
        <v>6400</v>
      </c>
      <c r="R403" s="11" t="str">
        <f t="shared" si="33"/>
        <v>Other</v>
      </c>
      <c r="S403" s="11">
        <f t="shared" si="34"/>
        <v>2</v>
      </c>
    </row>
    <row r="404" spans="1:19">
      <c r="A404" t="s">
        <v>2253</v>
      </c>
      <c r="B404" t="s">
        <v>2254</v>
      </c>
      <c r="C404" t="s">
        <v>157</v>
      </c>
      <c r="D404" t="s">
        <v>2255</v>
      </c>
      <c r="E404" t="s">
        <v>2256</v>
      </c>
      <c r="F404" t="s">
        <v>2257</v>
      </c>
      <c r="G404" s="4">
        <v>45500</v>
      </c>
      <c r="H404" s="4">
        <v>45707</v>
      </c>
      <c r="I404" s="4">
        <v>45712</v>
      </c>
      <c r="J404">
        <f t="shared" si="30"/>
        <v>5</v>
      </c>
      <c r="K404" t="str">
        <f t="array" ref="K404">_xlfn.IFS(J404=1,"Day Use",J404&lt;=3,"Short Stay",J404&lt;=7,"Extended Stay",J404&gt;=8,"Long Stay")</f>
        <v>Extended Stay</v>
      </c>
      <c r="L404" t="s">
        <v>141</v>
      </c>
      <c r="M404" s="10" t="str">
        <f t="shared" si="31"/>
        <v>Deluxe</v>
      </c>
      <c r="N404" t="s">
        <v>26</v>
      </c>
      <c r="O404" t="s">
        <v>27</v>
      </c>
      <c r="P404">
        <f>IFERROR(VLOOKUP(TRIM(M404),Room!D:H,5,FALSE),5000)</f>
        <v>5400</v>
      </c>
      <c r="Q404">
        <f t="shared" si="32"/>
        <v>27000</v>
      </c>
      <c r="R404" s="11" t="str">
        <f t="shared" si="33"/>
        <v>Conference</v>
      </c>
      <c r="S404" s="11">
        <f t="shared" si="34"/>
        <v>3</v>
      </c>
    </row>
    <row r="405" spans="1:19">
      <c r="A405" t="s">
        <v>2258</v>
      </c>
      <c r="B405" t="s">
        <v>2259</v>
      </c>
      <c r="C405" t="s">
        <v>1431</v>
      </c>
      <c r="D405" t="s">
        <v>2260</v>
      </c>
      <c r="E405" t="s">
        <v>2261</v>
      </c>
      <c r="F405" t="s">
        <v>2262</v>
      </c>
      <c r="G405" s="4">
        <v>45680</v>
      </c>
      <c r="H405" s="4">
        <v>45843</v>
      </c>
      <c r="I405" s="4">
        <v>45845</v>
      </c>
      <c r="J405">
        <f t="shared" si="30"/>
        <v>2</v>
      </c>
      <c r="K405" t="str">
        <f t="array" ref="K405">_xlfn.IFS(J405=1,"Day Use",J405&lt;=3,"Short Stay",J405&lt;=7,"Extended Stay",J405&gt;=8,"Long Stay")</f>
        <v>Short Stay</v>
      </c>
      <c r="L405" t="s">
        <v>196</v>
      </c>
      <c r="M405" s="10" t="str">
        <f t="shared" si="31"/>
        <v>Standard</v>
      </c>
      <c r="N405" t="s">
        <v>57</v>
      </c>
      <c r="O405" t="s">
        <v>35</v>
      </c>
      <c r="P405">
        <f>IFERROR(VLOOKUP(TRIM(M405),Room!D:H,5,FALSE),5000)</f>
        <v>3200</v>
      </c>
      <c r="Q405">
        <f t="shared" si="32"/>
        <v>6400</v>
      </c>
      <c r="R405" s="11" t="str">
        <f t="shared" si="33"/>
        <v>Other</v>
      </c>
      <c r="S405" s="11">
        <f t="shared" si="34"/>
        <v>2</v>
      </c>
    </row>
    <row r="406" spans="1:19">
      <c r="A406" t="s">
        <v>2263</v>
      </c>
      <c r="B406" t="s">
        <v>2264</v>
      </c>
      <c r="C406" t="s">
        <v>241</v>
      </c>
      <c r="D406" t="s">
        <v>2265</v>
      </c>
      <c r="E406" t="s">
        <v>2266</v>
      </c>
      <c r="F406" t="s">
        <v>2267</v>
      </c>
      <c r="G406" s="4">
        <v>45511</v>
      </c>
      <c r="H406" s="4">
        <v>45734</v>
      </c>
      <c r="I406" s="4">
        <v>45746</v>
      </c>
      <c r="J406">
        <f t="shared" si="30"/>
        <v>12</v>
      </c>
      <c r="K406" t="str">
        <f t="array" ref="K406">_xlfn.IFS(J406=1,"Day Use",J406&lt;=3,"Short Stay",J406&lt;=7,"Extended Stay",J406&gt;=8,"Long Stay")</f>
        <v>Long Stay</v>
      </c>
      <c r="L406" t="s">
        <v>49</v>
      </c>
      <c r="M406" s="10" t="str">
        <f t="shared" si="31"/>
        <v>Suite</v>
      </c>
      <c r="N406" t="s">
        <v>26</v>
      </c>
      <c r="O406" t="s">
        <v>27</v>
      </c>
      <c r="P406">
        <f>IFERROR(VLOOKUP(TRIM(M406),Room!D:H,5,FALSE),5000)</f>
        <v>12500</v>
      </c>
      <c r="Q406">
        <f t="shared" si="32"/>
        <v>150000</v>
      </c>
      <c r="R406" s="11" t="str">
        <f t="shared" si="33"/>
        <v>Business</v>
      </c>
      <c r="S406" s="11">
        <f t="shared" si="34"/>
        <v>5</v>
      </c>
    </row>
    <row r="407" spans="1:19">
      <c r="A407" t="s">
        <v>2268</v>
      </c>
      <c r="B407" t="s">
        <v>2269</v>
      </c>
      <c r="C407" t="s">
        <v>2270</v>
      </c>
      <c r="D407" t="s">
        <v>2271</v>
      </c>
      <c r="E407" t="s">
        <v>2272</v>
      </c>
      <c r="F407" t="s">
        <v>2273</v>
      </c>
      <c r="G407" s="4">
        <v>45920</v>
      </c>
      <c r="H407" s="4">
        <v>45932</v>
      </c>
      <c r="I407" s="4">
        <v>45934</v>
      </c>
      <c r="J407">
        <f t="shared" si="30"/>
        <v>2</v>
      </c>
      <c r="K407" t="str">
        <f t="array" ref="K407">_xlfn.IFS(J407=1,"Day Use",J407&lt;=3,"Short Stay",J407&lt;=7,"Extended Stay",J407&gt;=8,"Long Stay")</f>
        <v>Short Stay</v>
      </c>
      <c r="L407" t="s">
        <v>25</v>
      </c>
      <c r="M407" s="10" t="str">
        <f t="shared" si="31"/>
        <v>Standard</v>
      </c>
      <c r="N407" t="s">
        <v>148</v>
      </c>
      <c r="O407" t="s">
        <v>35</v>
      </c>
      <c r="P407">
        <f>IFERROR(VLOOKUP(TRIM(M407),Room!D:H,5,FALSE),5000)</f>
        <v>3200</v>
      </c>
      <c r="Q407">
        <f t="shared" si="32"/>
        <v>6400</v>
      </c>
      <c r="R407" s="11" t="str">
        <f t="shared" si="33"/>
        <v>Other</v>
      </c>
      <c r="S407" s="11">
        <f t="shared" si="34"/>
        <v>2</v>
      </c>
    </row>
    <row r="408" spans="1:19">
      <c r="A408" t="s">
        <v>2274</v>
      </c>
      <c r="B408" t="s">
        <v>2275</v>
      </c>
      <c r="C408" t="s">
        <v>2276</v>
      </c>
      <c r="D408" t="s">
        <v>2277</v>
      </c>
      <c r="E408" t="s">
        <v>2278</v>
      </c>
      <c r="F408" t="s">
        <v>2279</v>
      </c>
      <c r="G408" s="4">
        <v>45498</v>
      </c>
      <c r="H408" s="4">
        <v>45607</v>
      </c>
      <c r="I408" s="4">
        <v>45621</v>
      </c>
      <c r="J408">
        <f t="shared" si="30"/>
        <v>14</v>
      </c>
      <c r="K408" t="str">
        <f t="array" ref="K408">_xlfn.IFS(J408=1,"Day Use",J408&lt;=3,"Short Stay",J408&lt;=7,"Extended Stay",J408&gt;=8,"Long Stay")</f>
        <v>Long Stay</v>
      </c>
      <c r="L408" t="s">
        <v>141</v>
      </c>
      <c r="M408" s="10" t="str">
        <f t="shared" si="31"/>
        <v>Suite</v>
      </c>
      <c r="N408" t="s">
        <v>57</v>
      </c>
      <c r="O408" t="s">
        <v>42</v>
      </c>
      <c r="P408">
        <f>IFERROR(VLOOKUP(TRIM(M408),Room!D:H,5,FALSE),5000)</f>
        <v>12500</v>
      </c>
      <c r="Q408">
        <f t="shared" si="32"/>
        <v>175000</v>
      </c>
      <c r="R408" s="11" t="str">
        <f t="shared" si="33"/>
        <v>Business</v>
      </c>
      <c r="S408" s="11">
        <f t="shared" si="34"/>
        <v>5</v>
      </c>
    </row>
    <row r="409" spans="1:19">
      <c r="A409" t="s">
        <v>2280</v>
      </c>
      <c r="B409" t="s">
        <v>2281</v>
      </c>
      <c r="C409" t="s">
        <v>1610</v>
      </c>
      <c r="D409" t="s">
        <v>2282</v>
      </c>
      <c r="E409" t="s">
        <v>2283</v>
      </c>
      <c r="F409" t="s">
        <v>2284</v>
      </c>
      <c r="G409" s="4">
        <v>45312</v>
      </c>
      <c r="H409" s="4">
        <v>45322</v>
      </c>
      <c r="I409" s="4">
        <v>45334</v>
      </c>
      <c r="J409">
        <f t="shared" si="30"/>
        <v>12</v>
      </c>
      <c r="K409" t="str">
        <f t="array" ref="K409">_xlfn.IFS(J409=1,"Day Use",J409&lt;=3,"Short Stay",J409&lt;=7,"Extended Stay",J409&gt;=8,"Long Stay")</f>
        <v>Long Stay</v>
      </c>
      <c r="L409" t="s">
        <v>34</v>
      </c>
      <c r="M409" s="10" t="str">
        <f t="shared" si="31"/>
        <v>Suite</v>
      </c>
      <c r="N409" t="s">
        <v>26</v>
      </c>
      <c r="O409" t="s">
        <v>35</v>
      </c>
      <c r="P409">
        <f>IFERROR(VLOOKUP(TRIM(M409),Room!D:H,5,FALSE),5000)</f>
        <v>12500</v>
      </c>
      <c r="Q409">
        <f t="shared" si="32"/>
        <v>150000</v>
      </c>
      <c r="R409" s="11" t="str">
        <f t="shared" si="33"/>
        <v>Business</v>
      </c>
      <c r="S409" s="11">
        <f t="shared" si="34"/>
        <v>5</v>
      </c>
    </row>
    <row r="410" spans="1:19">
      <c r="A410" t="s">
        <v>2285</v>
      </c>
      <c r="B410" t="s">
        <v>2286</v>
      </c>
      <c r="C410" t="s">
        <v>933</v>
      </c>
      <c r="D410" t="s">
        <v>2287</v>
      </c>
      <c r="E410" t="s">
        <v>2288</v>
      </c>
      <c r="F410" t="s">
        <v>2289</v>
      </c>
      <c r="G410" s="4">
        <v>45346</v>
      </c>
      <c r="H410" s="4">
        <v>45352</v>
      </c>
      <c r="I410" s="4">
        <v>45354</v>
      </c>
      <c r="J410">
        <f t="shared" si="30"/>
        <v>2</v>
      </c>
      <c r="K410" t="str">
        <f t="array" ref="K410">_xlfn.IFS(J410=1,"Day Use",J410&lt;=3,"Short Stay",J410&lt;=7,"Extended Stay",J410&gt;=8,"Long Stay")</f>
        <v>Short Stay</v>
      </c>
      <c r="L410" t="s">
        <v>34</v>
      </c>
      <c r="M410" s="10" t="str">
        <f t="shared" si="31"/>
        <v>Standard</v>
      </c>
      <c r="N410" t="s">
        <v>148</v>
      </c>
      <c r="O410" t="s">
        <v>42</v>
      </c>
      <c r="P410">
        <f>IFERROR(VLOOKUP(TRIM(M410),Room!D:H,5,FALSE),5000)</f>
        <v>3200</v>
      </c>
      <c r="Q410">
        <f t="shared" si="32"/>
        <v>6400</v>
      </c>
      <c r="R410" s="11" t="str">
        <f t="shared" si="33"/>
        <v>Other</v>
      </c>
      <c r="S410" s="11">
        <f t="shared" si="34"/>
        <v>2</v>
      </c>
    </row>
    <row r="411" spans="1:19">
      <c r="A411" t="s">
        <v>2290</v>
      </c>
      <c r="B411" t="s">
        <v>2291</v>
      </c>
      <c r="C411" t="s">
        <v>2154</v>
      </c>
      <c r="D411" t="s">
        <v>2292</v>
      </c>
      <c r="E411" t="s">
        <v>2293</v>
      </c>
      <c r="F411" t="s">
        <v>2294</v>
      </c>
      <c r="G411" s="4">
        <v>45470</v>
      </c>
      <c r="H411" s="4">
        <v>45952</v>
      </c>
      <c r="I411" s="4">
        <v>45954</v>
      </c>
      <c r="J411">
        <f t="shared" si="30"/>
        <v>2</v>
      </c>
      <c r="K411" t="str">
        <f t="array" ref="K411">_xlfn.IFS(J411=1,"Day Use",J411&lt;=3,"Short Stay",J411&lt;=7,"Extended Stay",J411&gt;=8,"Long Stay")</f>
        <v>Short Stay</v>
      </c>
      <c r="L411" t="s">
        <v>49</v>
      </c>
      <c r="M411" s="10" t="str">
        <f t="shared" si="31"/>
        <v>Standard</v>
      </c>
      <c r="N411" t="s">
        <v>134</v>
      </c>
      <c r="O411" t="s">
        <v>71</v>
      </c>
      <c r="P411">
        <f>IFERROR(VLOOKUP(TRIM(M411),Room!D:H,5,FALSE),5000)</f>
        <v>3200</v>
      </c>
      <c r="Q411">
        <f t="shared" si="32"/>
        <v>6400</v>
      </c>
      <c r="R411" s="11" t="str">
        <f t="shared" si="33"/>
        <v>Other</v>
      </c>
      <c r="S411" s="11">
        <f t="shared" si="34"/>
        <v>2</v>
      </c>
    </row>
    <row r="412" spans="1:19">
      <c r="A412" t="s">
        <v>2295</v>
      </c>
      <c r="B412" t="s">
        <v>2296</v>
      </c>
      <c r="C412" t="s">
        <v>2297</v>
      </c>
      <c r="D412" t="s">
        <v>2298</v>
      </c>
      <c r="E412" t="s">
        <v>2299</v>
      </c>
      <c r="F412" t="s">
        <v>2300</v>
      </c>
      <c r="G412" s="4">
        <v>45468</v>
      </c>
      <c r="H412" s="4">
        <v>45929</v>
      </c>
      <c r="I412" s="4">
        <v>45943</v>
      </c>
      <c r="J412">
        <f t="shared" si="30"/>
        <v>14</v>
      </c>
      <c r="K412" t="str">
        <f t="array" ref="K412">_xlfn.IFS(J412=1,"Day Use",J412&lt;=3,"Short Stay",J412&lt;=7,"Extended Stay",J412&gt;=8,"Long Stay")</f>
        <v>Long Stay</v>
      </c>
      <c r="L412" t="s">
        <v>25</v>
      </c>
      <c r="M412" s="10" t="str">
        <f t="shared" si="31"/>
        <v>Suite</v>
      </c>
      <c r="N412" t="s">
        <v>26</v>
      </c>
      <c r="O412" t="s">
        <v>42</v>
      </c>
      <c r="P412">
        <f>IFERROR(VLOOKUP(TRIM(M412),Room!D:H,5,FALSE),5000)</f>
        <v>12500</v>
      </c>
      <c r="Q412">
        <f t="shared" si="32"/>
        <v>175000</v>
      </c>
      <c r="R412" s="11" t="str">
        <f t="shared" si="33"/>
        <v>Business</v>
      </c>
      <c r="S412" s="11">
        <f t="shared" si="34"/>
        <v>5</v>
      </c>
    </row>
    <row r="413" spans="1:19">
      <c r="A413" t="s">
        <v>2301</v>
      </c>
      <c r="B413" t="s">
        <v>2302</v>
      </c>
      <c r="C413" t="s">
        <v>1610</v>
      </c>
      <c r="D413" t="s">
        <v>2303</v>
      </c>
      <c r="E413" t="s">
        <v>2304</v>
      </c>
      <c r="F413" t="s">
        <v>2305</v>
      </c>
      <c r="G413" s="4">
        <v>45470</v>
      </c>
      <c r="H413" s="4">
        <v>45495</v>
      </c>
      <c r="I413" s="4">
        <v>45507</v>
      </c>
      <c r="J413">
        <f t="shared" si="30"/>
        <v>12</v>
      </c>
      <c r="K413" t="str">
        <f t="array" ref="K413">_xlfn.IFS(J413=1,"Day Use",J413&lt;=3,"Short Stay",J413&lt;=7,"Extended Stay",J413&gt;=8,"Long Stay")</f>
        <v>Long Stay</v>
      </c>
      <c r="L413" t="s">
        <v>49</v>
      </c>
      <c r="M413" s="10" t="str">
        <f t="shared" si="31"/>
        <v>Suite</v>
      </c>
      <c r="N413" t="s">
        <v>26</v>
      </c>
      <c r="O413" t="s">
        <v>58</v>
      </c>
      <c r="P413">
        <f>IFERROR(VLOOKUP(TRIM(M413),Room!D:H,5,FALSE),5000)</f>
        <v>12500</v>
      </c>
      <c r="Q413">
        <f t="shared" si="32"/>
        <v>150000</v>
      </c>
      <c r="R413" s="11" t="str">
        <f t="shared" si="33"/>
        <v>Business</v>
      </c>
      <c r="S413" s="11">
        <f t="shared" si="34"/>
        <v>5</v>
      </c>
    </row>
    <row r="414" spans="1:19">
      <c r="A414" t="s">
        <v>2306</v>
      </c>
      <c r="B414" t="s">
        <v>2307</v>
      </c>
      <c r="C414" t="s">
        <v>1250</v>
      </c>
      <c r="D414" t="s">
        <v>2308</v>
      </c>
      <c r="E414" t="s">
        <v>2309</v>
      </c>
      <c r="F414" t="s">
        <v>2310</v>
      </c>
      <c r="G414" s="4">
        <v>45305</v>
      </c>
      <c r="H414" s="4">
        <v>45507</v>
      </c>
      <c r="I414" s="4">
        <v>45517</v>
      </c>
      <c r="J414">
        <f t="shared" si="30"/>
        <v>10</v>
      </c>
      <c r="K414" t="str">
        <f t="array" ref="K414">_xlfn.IFS(J414=1,"Day Use",J414&lt;=3,"Short Stay",J414&lt;=7,"Extended Stay",J414&gt;=8,"Long Stay")</f>
        <v>Long Stay</v>
      </c>
      <c r="L414" t="s">
        <v>34</v>
      </c>
      <c r="M414" s="10" t="str">
        <f t="shared" si="31"/>
        <v>Premium</v>
      </c>
      <c r="N414" t="s">
        <v>372</v>
      </c>
      <c r="O414" t="s">
        <v>58</v>
      </c>
      <c r="P414">
        <f>IFERROR(VLOOKUP(TRIM(M414),Room!D:H,5,FALSE),5000)</f>
        <v>9500</v>
      </c>
      <c r="Q414">
        <f t="shared" si="32"/>
        <v>95000</v>
      </c>
      <c r="R414" s="11" t="str">
        <f t="shared" si="33"/>
        <v>Conference</v>
      </c>
      <c r="S414" s="11">
        <f t="shared" si="34"/>
        <v>4</v>
      </c>
    </row>
    <row r="415" spans="1:19">
      <c r="A415" t="s">
        <v>2311</v>
      </c>
      <c r="B415" t="s">
        <v>2312</v>
      </c>
      <c r="C415" t="s">
        <v>2313</v>
      </c>
      <c r="D415" t="s">
        <v>2314</v>
      </c>
      <c r="E415" t="s">
        <v>2315</v>
      </c>
      <c r="F415" t="s">
        <v>2316</v>
      </c>
      <c r="G415" s="4">
        <v>45513</v>
      </c>
      <c r="H415" s="4">
        <v>45517</v>
      </c>
      <c r="I415" s="4">
        <v>45522</v>
      </c>
      <c r="J415">
        <f t="shared" si="30"/>
        <v>5</v>
      </c>
      <c r="K415" t="str">
        <f t="array" ref="K415">_xlfn.IFS(J415=1,"Day Use",J415&lt;=3,"Short Stay",J415&lt;=7,"Extended Stay",J415&gt;=8,"Long Stay")</f>
        <v>Extended Stay</v>
      </c>
      <c r="L415" t="s">
        <v>196</v>
      </c>
      <c r="M415" s="10" t="str">
        <f t="shared" si="31"/>
        <v>Deluxe</v>
      </c>
      <c r="N415" t="s">
        <v>26</v>
      </c>
      <c r="O415" t="s">
        <v>58</v>
      </c>
      <c r="P415">
        <f>IFERROR(VLOOKUP(TRIM(M415),Room!D:H,5,FALSE),5000)</f>
        <v>5400</v>
      </c>
      <c r="Q415">
        <f t="shared" si="32"/>
        <v>27000</v>
      </c>
      <c r="R415" s="11" t="str">
        <f t="shared" si="33"/>
        <v>Conference</v>
      </c>
      <c r="S415" s="11">
        <f t="shared" si="34"/>
        <v>3</v>
      </c>
    </row>
    <row r="416" spans="1:19">
      <c r="A416" t="s">
        <v>2317</v>
      </c>
      <c r="B416" t="s">
        <v>2318</v>
      </c>
      <c r="C416" t="s">
        <v>333</v>
      </c>
      <c r="D416" t="s">
        <v>2319</v>
      </c>
      <c r="E416" t="s">
        <v>2320</v>
      </c>
      <c r="F416" t="s">
        <v>2321</v>
      </c>
      <c r="G416" s="4">
        <v>45428</v>
      </c>
      <c r="H416" s="4">
        <v>45674</v>
      </c>
      <c r="I416" s="4">
        <v>45675</v>
      </c>
      <c r="J416">
        <f t="shared" si="30"/>
        <v>1</v>
      </c>
      <c r="K416" t="str">
        <f t="array" ref="K416">_xlfn.IFS(J416=1,"Day Use",J416&lt;=3,"Short Stay",J416&lt;=7,"Extended Stay",J416&gt;=8,"Long Stay")</f>
        <v>Day Use</v>
      </c>
      <c r="L416" t="s">
        <v>56</v>
      </c>
      <c r="M416" s="10" t="str">
        <f t="shared" si="31"/>
        <v>Standard</v>
      </c>
      <c r="N416" t="s">
        <v>148</v>
      </c>
      <c r="O416" t="s">
        <v>27</v>
      </c>
      <c r="P416">
        <f>IFERROR(VLOOKUP(TRIM(M416),Room!D:H,5,FALSE),5000)</f>
        <v>3200</v>
      </c>
      <c r="Q416">
        <f t="shared" si="32"/>
        <v>3200</v>
      </c>
      <c r="R416" s="11" t="str">
        <f t="shared" si="33"/>
        <v>Other</v>
      </c>
      <c r="S416" s="11">
        <f t="shared" si="34"/>
        <v>1</v>
      </c>
    </row>
    <row r="417" spans="1:19">
      <c r="A417" t="s">
        <v>2322</v>
      </c>
      <c r="B417" t="s">
        <v>2323</v>
      </c>
      <c r="C417" t="s">
        <v>982</v>
      </c>
      <c r="D417" t="s">
        <v>2324</v>
      </c>
      <c r="E417" t="s">
        <v>2325</v>
      </c>
      <c r="F417" t="s">
        <v>2326</v>
      </c>
      <c r="G417" s="4">
        <v>45439</v>
      </c>
      <c r="H417" s="4">
        <v>45455</v>
      </c>
      <c r="I417" s="4">
        <v>45462</v>
      </c>
      <c r="J417">
        <f t="shared" si="30"/>
        <v>7</v>
      </c>
      <c r="K417" t="str">
        <f t="array" ref="K417">_xlfn.IFS(J417=1,"Day Use",J417&lt;=3,"Short Stay",J417&lt;=7,"Extended Stay",J417&gt;=8,"Long Stay")</f>
        <v>Extended Stay</v>
      </c>
      <c r="L417" t="s">
        <v>25</v>
      </c>
      <c r="M417" s="10" t="str">
        <f t="shared" si="31"/>
        <v>Premium</v>
      </c>
      <c r="N417" t="s">
        <v>148</v>
      </c>
      <c r="O417" t="s">
        <v>58</v>
      </c>
      <c r="P417">
        <f>IFERROR(VLOOKUP(TRIM(M417),Room!D:H,5,FALSE),5000)</f>
        <v>9500</v>
      </c>
      <c r="Q417">
        <f t="shared" si="32"/>
        <v>66500</v>
      </c>
      <c r="R417" s="11" t="str">
        <f t="shared" si="33"/>
        <v>Conference</v>
      </c>
      <c r="S417" s="11">
        <f t="shared" si="34"/>
        <v>4</v>
      </c>
    </row>
    <row r="418" spans="1:19">
      <c r="A418" t="s">
        <v>2327</v>
      </c>
      <c r="B418" t="s">
        <v>2328</v>
      </c>
      <c r="C418" t="s">
        <v>2329</v>
      </c>
      <c r="D418" t="s">
        <v>2330</v>
      </c>
      <c r="E418" t="s">
        <v>2331</v>
      </c>
      <c r="F418" t="s">
        <v>2332</v>
      </c>
      <c r="G418" s="4">
        <v>45502</v>
      </c>
      <c r="H418" s="4">
        <v>45514</v>
      </c>
      <c r="I418" s="4">
        <v>45515</v>
      </c>
      <c r="J418">
        <f t="shared" si="30"/>
        <v>1</v>
      </c>
      <c r="K418" t="str">
        <f t="array" ref="K418">_xlfn.IFS(J418=1,"Day Use",J418&lt;=3,"Short Stay",J418&lt;=7,"Extended Stay",J418&gt;=8,"Long Stay")</f>
        <v>Day Use</v>
      </c>
      <c r="L418" t="s">
        <v>56</v>
      </c>
      <c r="M418" s="10" t="str">
        <f t="shared" si="31"/>
        <v>Standard</v>
      </c>
      <c r="N418" t="s">
        <v>26</v>
      </c>
      <c r="O418" t="s">
        <v>58</v>
      </c>
      <c r="P418">
        <f>IFERROR(VLOOKUP(TRIM(M418),Room!D:H,5,FALSE),5000)</f>
        <v>3200</v>
      </c>
      <c r="Q418">
        <f t="shared" si="32"/>
        <v>3200</v>
      </c>
      <c r="R418" s="11" t="str">
        <f t="shared" si="33"/>
        <v>Other</v>
      </c>
      <c r="S418" s="11">
        <f t="shared" si="34"/>
        <v>1</v>
      </c>
    </row>
    <row r="419" spans="1:19">
      <c r="A419" t="s">
        <v>2333</v>
      </c>
      <c r="B419" t="s">
        <v>2334</v>
      </c>
      <c r="C419" t="s">
        <v>1383</v>
      </c>
      <c r="D419" t="s">
        <v>2335</v>
      </c>
      <c r="E419" t="s">
        <v>2336</v>
      </c>
      <c r="F419" t="s">
        <v>2337</v>
      </c>
      <c r="G419" s="4">
        <v>45402</v>
      </c>
      <c r="H419" s="4">
        <v>45430</v>
      </c>
      <c r="I419" s="4">
        <v>45441</v>
      </c>
      <c r="J419">
        <f t="shared" si="30"/>
        <v>11</v>
      </c>
      <c r="K419" t="str">
        <f t="array" ref="K419">_xlfn.IFS(J419=1,"Day Use",J419&lt;=3,"Short Stay",J419&lt;=7,"Extended Stay",J419&gt;=8,"Long Stay")</f>
        <v>Long Stay</v>
      </c>
      <c r="L419" t="s">
        <v>91</v>
      </c>
      <c r="M419" s="10" t="str">
        <f t="shared" si="31"/>
        <v>Suite</v>
      </c>
      <c r="N419" t="s">
        <v>134</v>
      </c>
      <c r="O419" t="s">
        <v>27</v>
      </c>
      <c r="P419">
        <f>IFERROR(VLOOKUP(TRIM(M419),Room!D:H,5,FALSE),5000)</f>
        <v>12500</v>
      </c>
      <c r="Q419">
        <f t="shared" si="32"/>
        <v>137500</v>
      </c>
      <c r="R419" s="11" t="str">
        <f t="shared" si="33"/>
        <v>Business</v>
      </c>
      <c r="S419" s="11">
        <f t="shared" si="34"/>
        <v>5</v>
      </c>
    </row>
    <row r="420" spans="1:19">
      <c r="A420" t="s">
        <v>2338</v>
      </c>
      <c r="B420" t="s">
        <v>2339</v>
      </c>
      <c r="C420" t="s">
        <v>853</v>
      </c>
      <c r="D420" t="s">
        <v>2340</v>
      </c>
      <c r="E420" t="s">
        <v>2341</v>
      </c>
      <c r="F420" t="s">
        <v>2342</v>
      </c>
      <c r="G420" s="4">
        <v>45913</v>
      </c>
      <c r="H420" s="4">
        <v>45983</v>
      </c>
      <c r="I420" s="4">
        <v>45990</v>
      </c>
      <c r="J420">
        <f t="shared" si="30"/>
        <v>7</v>
      </c>
      <c r="K420" t="str">
        <f t="array" ref="K420">_xlfn.IFS(J420=1,"Day Use",J420&lt;=3,"Short Stay",J420&lt;=7,"Extended Stay",J420&gt;=8,"Long Stay")</f>
        <v>Extended Stay</v>
      </c>
      <c r="L420" t="s">
        <v>196</v>
      </c>
      <c r="M420" s="10" t="str">
        <f t="shared" si="31"/>
        <v>Premium</v>
      </c>
      <c r="N420" t="s">
        <v>26</v>
      </c>
      <c r="O420" t="s">
        <v>71</v>
      </c>
      <c r="P420">
        <f>IFERROR(VLOOKUP(TRIM(M420),Room!D:H,5,FALSE),5000)</f>
        <v>9500</v>
      </c>
      <c r="Q420">
        <f t="shared" si="32"/>
        <v>66500</v>
      </c>
      <c r="R420" s="11" t="str">
        <f t="shared" si="33"/>
        <v>Conference</v>
      </c>
      <c r="S420" s="11">
        <f t="shared" si="34"/>
        <v>4</v>
      </c>
    </row>
    <row r="421" spans="1:19">
      <c r="A421" t="s">
        <v>2343</v>
      </c>
      <c r="B421" t="s">
        <v>2344</v>
      </c>
      <c r="C421" t="s">
        <v>205</v>
      </c>
      <c r="D421" t="s">
        <v>2345</v>
      </c>
      <c r="E421" t="s">
        <v>2346</v>
      </c>
      <c r="F421" t="s">
        <v>2347</v>
      </c>
      <c r="G421" s="4">
        <v>45344</v>
      </c>
      <c r="H421" s="4">
        <v>45369</v>
      </c>
      <c r="I421" s="4">
        <v>45372</v>
      </c>
      <c r="J421">
        <f t="shared" si="30"/>
        <v>3</v>
      </c>
      <c r="K421" t="str">
        <f t="array" ref="K421">_xlfn.IFS(J421=1,"Day Use",J421&lt;=3,"Short Stay",J421&lt;=7,"Extended Stay",J421&gt;=8,"Long Stay")</f>
        <v>Short Stay</v>
      </c>
      <c r="L421" t="s">
        <v>25</v>
      </c>
      <c r="M421" s="10" t="str">
        <f t="shared" si="31"/>
        <v>Standard</v>
      </c>
      <c r="N421" t="s">
        <v>134</v>
      </c>
      <c r="O421" t="s">
        <v>42</v>
      </c>
      <c r="P421">
        <f>IFERROR(VLOOKUP(TRIM(M421),Room!D:H,5,FALSE),5000)</f>
        <v>3200</v>
      </c>
      <c r="Q421">
        <f t="shared" si="32"/>
        <v>9600</v>
      </c>
      <c r="R421" s="11" t="str">
        <f t="shared" si="33"/>
        <v>Other</v>
      </c>
      <c r="S421" s="11">
        <f t="shared" si="34"/>
        <v>2</v>
      </c>
    </row>
    <row r="422" spans="1:19">
      <c r="A422" t="s">
        <v>2348</v>
      </c>
      <c r="B422" t="s">
        <v>2349</v>
      </c>
      <c r="C422" t="s">
        <v>2035</v>
      </c>
      <c r="D422" t="s">
        <v>2350</v>
      </c>
      <c r="E422" t="s">
        <v>2351</v>
      </c>
      <c r="F422" t="s">
        <v>2352</v>
      </c>
      <c r="G422" s="4">
        <v>45403</v>
      </c>
      <c r="H422" s="4">
        <v>45408</v>
      </c>
      <c r="I422" s="4">
        <v>45419</v>
      </c>
      <c r="J422">
        <f t="shared" si="30"/>
        <v>11</v>
      </c>
      <c r="K422" t="str">
        <f t="array" ref="K422">_xlfn.IFS(J422=1,"Day Use",J422&lt;=3,"Short Stay",J422&lt;=7,"Extended Stay",J422&gt;=8,"Long Stay")</f>
        <v>Long Stay</v>
      </c>
      <c r="L422" t="s">
        <v>34</v>
      </c>
      <c r="M422" s="10" t="str">
        <f t="shared" si="31"/>
        <v>Suite</v>
      </c>
      <c r="N422" t="s">
        <v>26</v>
      </c>
      <c r="O422" t="s">
        <v>35</v>
      </c>
      <c r="P422">
        <f>IFERROR(VLOOKUP(TRIM(M422),Room!D:H,5,FALSE),5000)</f>
        <v>12500</v>
      </c>
      <c r="Q422">
        <f t="shared" si="32"/>
        <v>137500</v>
      </c>
      <c r="R422" s="11" t="str">
        <f t="shared" si="33"/>
        <v>Business</v>
      </c>
      <c r="S422" s="11">
        <f t="shared" si="34"/>
        <v>5</v>
      </c>
    </row>
    <row r="423" spans="1:19">
      <c r="A423" t="s">
        <v>2353</v>
      </c>
      <c r="B423" t="s">
        <v>2354</v>
      </c>
      <c r="C423" t="s">
        <v>1693</v>
      </c>
      <c r="D423" t="s">
        <v>2355</v>
      </c>
      <c r="E423" t="s">
        <v>2356</v>
      </c>
      <c r="F423" t="s">
        <v>2357</v>
      </c>
      <c r="G423" s="4">
        <v>45684</v>
      </c>
      <c r="H423" s="4">
        <v>45687</v>
      </c>
      <c r="I423" s="4">
        <v>45691</v>
      </c>
      <c r="J423">
        <f t="shared" si="30"/>
        <v>4</v>
      </c>
      <c r="K423" t="str">
        <f t="array" ref="K423">_xlfn.IFS(J423=1,"Day Use",J423&lt;=3,"Short Stay",J423&lt;=7,"Extended Stay",J423&gt;=8,"Long Stay")</f>
        <v>Extended Stay</v>
      </c>
      <c r="L423" t="s">
        <v>56</v>
      </c>
      <c r="M423" s="10" t="str">
        <f t="shared" si="31"/>
        <v>Deluxe</v>
      </c>
      <c r="N423" t="s">
        <v>26</v>
      </c>
      <c r="O423" t="s">
        <v>42</v>
      </c>
      <c r="P423">
        <f>IFERROR(VLOOKUP(TRIM(M423),Room!D:H,5,FALSE),5000)</f>
        <v>5400</v>
      </c>
      <c r="Q423">
        <f t="shared" si="32"/>
        <v>21600</v>
      </c>
      <c r="R423" s="11" t="str">
        <f t="shared" si="33"/>
        <v>Conference</v>
      </c>
      <c r="S423" s="11">
        <f t="shared" si="34"/>
        <v>3</v>
      </c>
    </row>
    <row r="424" spans="1:19">
      <c r="A424" t="s">
        <v>2358</v>
      </c>
      <c r="B424" t="s">
        <v>2359</v>
      </c>
      <c r="C424" t="s">
        <v>421</v>
      </c>
      <c r="D424" t="s">
        <v>2360</v>
      </c>
      <c r="E424" t="s">
        <v>2361</v>
      </c>
      <c r="F424" t="s">
        <v>2362</v>
      </c>
      <c r="G424" s="4">
        <v>45480</v>
      </c>
      <c r="H424" s="4">
        <v>45496</v>
      </c>
      <c r="I424" s="4">
        <v>45508</v>
      </c>
      <c r="J424">
        <f t="shared" si="30"/>
        <v>12</v>
      </c>
      <c r="K424" t="str">
        <f t="array" ref="K424">_xlfn.IFS(J424=1,"Day Use",J424&lt;=3,"Short Stay",J424&lt;=7,"Extended Stay",J424&gt;=8,"Long Stay")</f>
        <v>Long Stay</v>
      </c>
      <c r="L424" t="s">
        <v>25</v>
      </c>
      <c r="M424" s="10" t="str">
        <f t="shared" si="31"/>
        <v>Suite</v>
      </c>
      <c r="N424" t="s">
        <v>26</v>
      </c>
      <c r="O424" t="s">
        <v>71</v>
      </c>
      <c r="P424">
        <f>IFERROR(VLOOKUP(TRIM(M424),Room!D:H,5,FALSE),5000)</f>
        <v>12500</v>
      </c>
      <c r="Q424">
        <f t="shared" si="32"/>
        <v>150000</v>
      </c>
      <c r="R424" s="11" t="str">
        <f t="shared" si="33"/>
        <v>Business</v>
      </c>
      <c r="S424" s="11">
        <f t="shared" si="34"/>
        <v>5</v>
      </c>
    </row>
    <row r="425" spans="1:19">
      <c r="A425" t="s">
        <v>2363</v>
      </c>
      <c r="B425" t="s">
        <v>2364</v>
      </c>
      <c r="C425" t="s">
        <v>893</v>
      </c>
      <c r="D425" t="s">
        <v>2365</v>
      </c>
      <c r="E425" t="s">
        <v>2366</v>
      </c>
      <c r="F425" t="s">
        <v>2367</v>
      </c>
      <c r="G425" s="4">
        <v>45451</v>
      </c>
      <c r="H425" s="4">
        <v>45723</v>
      </c>
      <c r="I425" s="4">
        <v>45734</v>
      </c>
      <c r="J425">
        <f t="shared" si="30"/>
        <v>11</v>
      </c>
      <c r="K425" t="str">
        <f t="array" ref="K425">_xlfn.IFS(J425=1,"Day Use",J425&lt;=3,"Short Stay",J425&lt;=7,"Extended Stay",J425&gt;=8,"Long Stay")</f>
        <v>Long Stay</v>
      </c>
      <c r="L425" t="s">
        <v>196</v>
      </c>
      <c r="M425" s="10" t="str">
        <f t="shared" si="31"/>
        <v>Suite</v>
      </c>
      <c r="N425" t="s">
        <v>26</v>
      </c>
      <c r="O425" t="s">
        <v>42</v>
      </c>
      <c r="P425">
        <f>IFERROR(VLOOKUP(TRIM(M425),Room!D:H,5,FALSE),5000)</f>
        <v>12500</v>
      </c>
      <c r="Q425">
        <f t="shared" si="32"/>
        <v>137500</v>
      </c>
      <c r="R425" s="11" t="str">
        <f t="shared" si="33"/>
        <v>Business</v>
      </c>
      <c r="S425" s="11">
        <f t="shared" si="34"/>
        <v>5</v>
      </c>
    </row>
    <row r="426" spans="1:19">
      <c r="A426" t="s">
        <v>2368</v>
      </c>
      <c r="B426" t="s">
        <v>2369</v>
      </c>
      <c r="C426" t="s">
        <v>1036</v>
      </c>
      <c r="D426" t="s">
        <v>2370</v>
      </c>
      <c r="E426" t="s">
        <v>2371</v>
      </c>
      <c r="F426" t="s">
        <v>2372</v>
      </c>
      <c r="G426" s="4">
        <v>45829</v>
      </c>
      <c r="H426" s="4">
        <v>45888</v>
      </c>
      <c r="I426" s="4">
        <v>45899</v>
      </c>
      <c r="J426">
        <f t="shared" si="30"/>
        <v>11</v>
      </c>
      <c r="K426" t="str">
        <f t="array" ref="K426">_xlfn.IFS(J426=1,"Day Use",J426&lt;=3,"Short Stay",J426&lt;=7,"Extended Stay",J426&gt;=8,"Long Stay")</f>
        <v>Long Stay</v>
      </c>
      <c r="L426" t="s">
        <v>56</v>
      </c>
      <c r="M426" s="10" t="str">
        <f t="shared" si="31"/>
        <v>Suite</v>
      </c>
      <c r="N426" t="s">
        <v>57</v>
      </c>
      <c r="O426" t="s">
        <v>71</v>
      </c>
      <c r="P426">
        <f>IFERROR(VLOOKUP(TRIM(M426),Room!D:H,5,FALSE),5000)</f>
        <v>12500</v>
      </c>
      <c r="Q426">
        <f t="shared" si="32"/>
        <v>137500</v>
      </c>
      <c r="R426" s="11" t="str">
        <f t="shared" si="33"/>
        <v>Business</v>
      </c>
      <c r="S426" s="11">
        <f t="shared" si="34"/>
        <v>5</v>
      </c>
    </row>
    <row r="427" spans="1:19">
      <c r="A427" t="s">
        <v>2373</v>
      </c>
      <c r="B427" t="s">
        <v>2374</v>
      </c>
      <c r="C427" t="s">
        <v>253</v>
      </c>
      <c r="D427" t="s">
        <v>2375</v>
      </c>
      <c r="E427" t="s">
        <v>2376</v>
      </c>
      <c r="F427" t="s">
        <v>2377</v>
      </c>
      <c r="G427" s="4">
        <v>45409</v>
      </c>
      <c r="H427" s="4">
        <v>46012</v>
      </c>
      <c r="I427" s="4">
        <v>46019</v>
      </c>
      <c r="J427">
        <f t="shared" si="30"/>
        <v>7</v>
      </c>
      <c r="K427" t="str">
        <f t="array" ref="K427">_xlfn.IFS(J427=1,"Day Use",J427&lt;=3,"Short Stay",J427&lt;=7,"Extended Stay",J427&gt;=8,"Long Stay")</f>
        <v>Extended Stay</v>
      </c>
      <c r="L427" t="s">
        <v>56</v>
      </c>
      <c r="M427" s="10" t="str">
        <f t="shared" si="31"/>
        <v>Premium</v>
      </c>
      <c r="N427" t="s">
        <v>148</v>
      </c>
      <c r="O427" t="s">
        <v>35</v>
      </c>
      <c r="P427">
        <f>IFERROR(VLOOKUP(TRIM(M427),Room!D:H,5,FALSE),5000)</f>
        <v>9500</v>
      </c>
      <c r="Q427">
        <f t="shared" si="32"/>
        <v>66500</v>
      </c>
      <c r="R427" s="11" t="str">
        <f t="shared" si="33"/>
        <v>Conference</v>
      </c>
      <c r="S427" s="11">
        <f t="shared" si="34"/>
        <v>4</v>
      </c>
    </row>
    <row r="428" spans="1:19">
      <c r="A428" t="s">
        <v>2378</v>
      </c>
      <c r="B428" t="s">
        <v>2379</v>
      </c>
      <c r="C428" t="s">
        <v>223</v>
      </c>
      <c r="D428" t="s">
        <v>2380</v>
      </c>
      <c r="E428" t="s">
        <v>2381</v>
      </c>
      <c r="F428" t="s">
        <v>2382</v>
      </c>
      <c r="G428" s="4">
        <v>45315</v>
      </c>
      <c r="H428" s="4">
        <v>45495</v>
      </c>
      <c r="I428" s="4">
        <v>45498</v>
      </c>
      <c r="J428">
        <f t="shared" si="30"/>
        <v>3</v>
      </c>
      <c r="K428" t="str">
        <f t="array" ref="K428">_xlfn.IFS(J428=1,"Day Use",J428&lt;=3,"Short Stay",J428&lt;=7,"Extended Stay",J428&gt;=8,"Long Stay")</f>
        <v>Short Stay</v>
      </c>
      <c r="L428" t="s">
        <v>84</v>
      </c>
      <c r="M428" s="10" t="str">
        <f t="shared" si="31"/>
        <v>Standard</v>
      </c>
      <c r="N428" t="s">
        <v>134</v>
      </c>
      <c r="O428" t="s">
        <v>58</v>
      </c>
      <c r="P428">
        <f>IFERROR(VLOOKUP(TRIM(M428),Room!D:H,5,FALSE),5000)</f>
        <v>3200</v>
      </c>
      <c r="Q428">
        <f t="shared" si="32"/>
        <v>9600</v>
      </c>
      <c r="R428" s="11" t="str">
        <f t="shared" si="33"/>
        <v>Other</v>
      </c>
      <c r="S428" s="11">
        <f t="shared" si="34"/>
        <v>2</v>
      </c>
    </row>
    <row r="429" spans="1:19">
      <c r="A429" t="s">
        <v>2383</v>
      </c>
      <c r="B429" t="s">
        <v>2384</v>
      </c>
      <c r="C429" t="s">
        <v>1207</v>
      </c>
      <c r="D429" t="s">
        <v>2385</v>
      </c>
      <c r="E429" t="s">
        <v>2386</v>
      </c>
      <c r="F429" t="s">
        <v>2387</v>
      </c>
      <c r="G429" s="4">
        <v>45574</v>
      </c>
      <c r="H429" s="4">
        <v>45596</v>
      </c>
      <c r="I429" s="4">
        <v>45600</v>
      </c>
      <c r="J429">
        <f t="shared" si="30"/>
        <v>4</v>
      </c>
      <c r="K429" t="str">
        <f t="array" ref="K429">_xlfn.IFS(J429=1,"Day Use",J429&lt;=3,"Short Stay",J429&lt;=7,"Extended Stay",J429&gt;=8,"Long Stay")</f>
        <v>Extended Stay</v>
      </c>
      <c r="L429" t="s">
        <v>56</v>
      </c>
      <c r="M429" s="10" t="str">
        <f t="shared" si="31"/>
        <v>Deluxe</v>
      </c>
      <c r="N429" t="s">
        <v>134</v>
      </c>
      <c r="O429" t="s">
        <v>42</v>
      </c>
      <c r="P429">
        <f>IFERROR(VLOOKUP(TRIM(M429),Room!D:H,5,FALSE),5000)</f>
        <v>5400</v>
      </c>
      <c r="Q429">
        <f t="shared" si="32"/>
        <v>21600</v>
      </c>
      <c r="R429" s="11" t="str">
        <f t="shared" si="33"/>
        <v>Conference</v>
      </c>
      <c r="S429" s="11">
        <f t="shared" si="34"/>
        <v>3</v>
      </c>
    </row>
    <row r="430" spans="1:19">
      <c r="A430" t="s">
        <v>2388</v>
      </c>
      <c r="B430" t="s">
        <v>2389</v>
      </c>
      <c r="C430" t="s">
        <v>2112</v>
      </c>
      <c r="D430" t="s">
        <v>2390</v>
      </c>
      <c r="E430" t="s">
        <v>2391</v>
      </c>
      <c r="F430" t="s">
        <v>2392</v>
      </c>
      <c r="G430" s="4">
        <v>45738</v>
      </c>
      <c r="H430" s="4">
        <v>45775</v>
      </c>
      <c r="I430" s="4">
        <v>45780</v>
      </c>
      <c r="J430">
        <f t="shared" si="30"/>
        <v>5</v>
      </c>
      <c r="K430" t="str">
        <f t="array" ref="K430">_xlfn.IFS(J430=1,"Day Use",J430&lt;=3,"Short Stay",J430&lt;=7,"Extended Stay",J430&gt;=8,"Long Stay")</f>
        <v>Extended Stay</v>
      </c>
      <c r="L430" t="s">
        <v>91</v>
      </c>
      <c r="M430" s="10" t="str">
        <f t="shared" si="31"/>
        <v>Deluxe</v>
      </c>
      <c r="N430" t="s">
        <v>26</v>
      </c>
      <c r="O430" t="s">
        <v>58</v>
      </c>
      <c r="P430">
        <f>IFERROR(VLOOKUP(TRIM(M430),Room!D:H,5,FALSE),5000)</f>
        <v>5400</v>
      </c>
      <c r="Q430">
        <f t="shared" si="32"/>
        <v>27000</v>
      </c>
      <c r="R430" s="11" t="str">
        <f t="shared" si="33"/>
        <v>Conference</v>
      </c>
      <c r="S430" s="11">
        <f t="shared" si="34"/>
        <v>3</v>
      </c>
    </row>
    <row r="431" spans="1:19">
      <c r="A431" t="s">
        <v>2393</v>
      </c>
      <c r="B431" t="s">
        <v>2394</v>
      </c>
      <c r="C431" t="s">
        <v>1610</v>
      </c>
      <c r="D431" t="s">
        <v>2395</v>
      </c>
      <c r="E431" t="s">
        <v>2396</v>
      </c>
      <c r="F431" t="s">
        <v>2397</v>
      </c>
      <c r="G431" s="4">
        <v>45336</v>
      </c>
      <c r="H431" s="4">
        <v>45365</v>
      </c>
      <c r="I431" s="4">
        <v>45373</v>
      </c>
      <c r="J431">
        <f t="shared" si="30"/>
        <v>8</v>
      </c>
      <c r="K431" t="str">
        <f t="array" ref="K431">_xlfn.IFS(J431=1,"Day Use",J431&lt;=3,"Short Stay",J431&lt;=7,"Extended Stay",J431&gt;=8,"Long Stay")</f>
        <v>Long Stay</v>
      </c>
      <c r="L431" t="s">
        <v>141</v>
      </c>
      <c r="M431" s="10" t="str">
        <f t="shared" si="31"/>
        <v>Premium</v>
      </c>
      <c r="N431" t="s">
        <v>148</v>
      </c>
      <c r="O431" t="s">
        <v>58</v>
      </c>
      <c r="P431">
        <f>IFERROR(VLOOKUP(TRIM(M431),Room!D:H,5,FALSE),5000)</f>
        <v>9500</v>
      </c>
      <c r="Q431">
        <f t="shared" si="32"/>
        <v>76000</v>
      </c>
      <c r="R431" s="11" t="str">
        <f t="shared" si="33"/>
        <v>Conference</v>
      </c>
      <c r="S431" s="11">
        <f t="shared" si="34"/>
        <v>4</v>
      </c>
    </row>
    <row r="432" spans="1:19">
      <c r="A432" t="s">
        <v>2398</v>
      </c>
      <c r="B432" t="s">
        <v>2399</v>
      </c>
      <c r="C432" t="s">
        <v>398</v>
      </c>
      <c r="D432" t="s">
        <v>2400</v>
      </c>
      <c r="E432" t="s">
        <v>2401</v>
      </c>
      <c r="F432" t="s">
        <v>2402</v>
      </c>
      <c r="G432" s="4">
        <v>45224</v>
      </c>
      <c r="H432" s="4">
        <v>45716</v>
      </c>
      <c r="I432" s="4">
        <v>45720</v>
      </c>
      <c r="J432">
        <f t="shared" si="30"/>
        <v>4</v>
      </c>
      <c r="K432" t="str">
        <f t="array" ref="K432">_xlfn.IFS(J432=1,"Day Use",J432&lt;=3,"Short Stay",J432&lt;=7,"Extended Stay",J432&gt;=8,"Long Stay")</f>
        <v>Extended Stay</v>
      </c>
      <c r="L432" t="s">
        <v>56</v>
      </c>
      <c r="M432" s="10" t="str">
        <f t="shared" si="31"/>
        <v>Deluxe</v>
      </c>
      <c r="N432" t="s">
        <v>26</v>
      </c>
      <c r="O432" t="s">
        <v>42</v>
      </c>
      <c r="P432">
        <f>IFERROR(VLOOKUP(TRIM(M432),Room!D:H,5,FALSE),5000)</f>
        <v>5400</v>
      </c>
      <c r="Q432">
        <f t="shared" si="32"/>
        <v>21600</v>
      </c>
      <c r="R432" s="11" t="str">
        <f t="shared" si="33"/>
        <v>Conference</v>
      </c>
      <c r="S432" s="11">
        <f t="shared" si="34"/>
        <v>3</v>
      </c>
    </row>
    <row r="433" spans="1:19">
      <c r="A433" t="s">
        <v>2403</v>
      </c>
      <c r="B433" t="s">
        <v>2404</v>
      </c>
      <c r="C433" t="s">
        <v>1682</v>
      </c>
      <c r="D433" t="s">
        <v>2405</v>
      </c>
      <c r="E433" t="s">
        <v>2406</v>
      </c>
      <c r="F433" t="s">
        <v>2407</v>
      </c>
      <c r="G433" s="4">
        <v>45271</v>
      </c>
      <c r="H433" s="4">
        <v>45762</v>
      </c>
      <c r="I433" s="4">
        <v>45772</v>
      </c>
      <c r="J433">
        <f t="shared" si="30"/>
        <v>10</v>
      </c>
      <c r="K433" t="str">
        <f t="array" ref="K433">_xlfn.IFS(J433=1,"Day Use",J433&lt;=3,"Short Stay",J433&lt;=7,"Extended Stay",J433&gt;=8,"Long Stay")</f>
        <v>Long Stay</v>
      </c>
      <c r="L433" t="s">
        <v>25</v>
      </c>
      <c r="M433" s="10" t="str">
        <f t="shared" si="31"/>
        <v>Premium</v>
      </c>
      <c r="N433" t="s">
        <v>26</v>
      </c>
      <c r="O433" t="s">
        <v>58</v>
      </c>
      <c r="P433">
        <f>IFERROR(VLOOKUP(TRIM(M433),Room!D:H,5,FALSE),5000)</f>
        <v>9500</v>
      </c>
      <c r="Q433">
        <f t="shared" si="32"/>
        <v>95000</v>
      </c>
      <c r="R433" s="11" t="str">
        <f t="shared" si="33"/>
        <v>Conference</v>
      </c>
      <c r="S433" s="11">
        <f t="shared" si="34"/>
        <v>4</v>
      </c>
    </row>
    <row r="434" spans="1:19">
      <c r="A434" t="s">
        <v>2408</v>
      </c>
      <c r="B434" t="s">
        <v>2409</v>
      </c>
      <c r="C434" t="s">
        <v>484</v>
      </c>
      <c r="D434" t="s">
        <v>2410</v>
      </c>
      <c r="E434" t="s">
        <v>2411</v>
      </c>
      <c r="F434" t="s">
        <v>2412</v>
      </c>
      <c r="G434" s="4">
        <v>45293</v>
      </c>
      <c r="H434" s="4">
        <v>45903</v>
      </c>
      <c r="I434" s="4">
        <v>45908</v>
      </c>
      <c r="J434">
        <f t="shared" si="30"/>
        <v>5</v>
      </c>
      <c r="K434" t="str">
        <f t="array" ref="K434">_xlfn.IFS(J434=1,"Day Use",J434&lt;=3,"Short Stay",J434&lt;=7,"Extended Stay",J434&gt;=8,"Long Stay")</f>
        <v>Extended Stay</v>
      </c>
      <c r="L434" t="s">
        <v>56</v>
      </c>
      <c r="M434" s="10" t="str">
        <f t="shared" si="31"/>
        <v>Deluxe</v>
      </c>
      <c r="N434" t="s">
        <v>57</v>
      </c>
      <c r="O434" t="s">
        <v>42</v>
      </c>
      <c r="P434">
        <f>IFERROR(VLOOKUP(TRIM(M434),Room!D:H,5,FALSE),5000)</f>
        <v>5400</v>
      </c>
      <c r="Q434">
        <f t="shared" si="32"/>
        <v>27000</v>
      </c>
      <c r="R434" s="11" t="str">
        <f t="shared" si="33"/>
        <v>Conference</v>
      </c>
      <c r="S434" s="11">
        <f t="shared" si="34"/>
        <v>3</v>
      </c>
    </row>
    <row r="435" spans="1:19">
      <c r="A435" t="s">
        <v>2413</v>
      </c>
      <c r="B435" t="s">
        <v>2414</v>
      </c>
      <c r="C435" t="s">
        <v>627</v>
      </c>
      <c r="D435" t="s">
        <v>2415</v>
      </c>
      <c r="E435" t="s">
        <v>2416</v>
      </c>
      <c r="F435" t="s">
        <v>2417</v>
      </c>
      <c r="G435" s="4">
        <v>45570</v>
      </c>
      <c r="H435" s="4">
        <v>45581</v>
      </c>
      <c r="I435" s="4">
        <v>45582</v>
      </c>
      <c r="J435">
        <f t="shared" si="30"/>
        <v>1</v>
      </c>
      <c r="K435" t="str">
        <f t="array" ref="K435">_xlfn.IFS(J435=1,"Day Use",J435&lt;=3,"Short Stay",J435&lt;=7,"Extended Stay",J435&gt;=8,"Long Stay")</f>
        <v>Day Use</v>
      </c>
      <c r="L435" t="s">
        <v>56</v>
      </c>
      <c r="M435" s="10" t="str">
        <f t="shared" si="31"/>
        <v>Standard</v>
      </c>
      <c r="N435" t="s">
        <v>148</v>
      </c>
      <c r="O435" t="s">
        <v>27</v>
      </c>
      <c r="P435">
        <f>IFERROR(VLOOKUP(TRIM(M435),Room!D:H,5,FALSE),5000)</f>
        <v>3200</v>
      </c>
      <c r="Q435">
        <f t="shared" si="32"/>
        <v>3200</v>
      </c>
      <c r="R435" s="11" t="str">
        <f t="shared" si="33"/>
        <v>Other</v>
      </c>
      <c r="S435" s="11">
        <f t="shared" si="34"/>
        <v>1</v>
      </c>
    </row>
    <row r="436" spans="1:19">
      <c r="A436" t="s">
        <v>2418</v>
      </c>
      <c r="B436" t="s">
        <v>2419</v>
      </c>
      <c r="C436" t="s">
        <v>2420</v>
      </c>
      <c r="D436" t="s">
        <v>2421</v>
      </c>
      <c r="E436" t="s">
        <v>2422</v>
      </c>
      <c r="F436" t="s">
        <v>2423</v>
      </c>
      <c r="G436" s="4">
        <v>45558</v>
      </c>
      <c r="H436" s="4">
        <v>45570</v>
      </c>
      <c r="I436" s="4">
        <v>45572</v>
      </c>
      <c r="J436">
        <f t="shared" si="30"/>
        <v>2</v>
      </c>
      <c r="K436" t="str">
        <f t="array" ref="K436">_xlfn.IFS(J436=1,"Day Use",J436&lt;=3,"Short Stay",J436&lt;=7,"Extended Stay",J436&gt;=8,"Long Stay")</f>
        <v>Short Stay</v>
      </c>
      <c r="L436" t="s">
        <v>91</v>
      </c>
      <c r="M436" s="10" t="str">
        <f t="shared" si="31"/>
        <v>Standard</v>
      </c>
      <c r="N436" t="s">
        <v>26</v>
      </c>
      <c r="O436" t="s">
        <v>35</v>
      </c>
      <c r="P436">
        <f>IFERROR(VLOOKUP(TRIM(M436),Room!D:H,5,FALSE),5000)</f>
        <v>3200</v>
      </c>
      <c r="Q436">
        <f t="shared" si="32"/>
        <v>6400</v>
      </c>
      <c r="R436" s="11" t="str">
        <f t="shared" si="33"/>
        <v>Other</v>
      </c>
      <c r="S436" s="11">
        <f t="shared" si="34"/>
        <v>2</v>
      </c>
    </row>
    <row r="437" spans="1:19">
      <c r="A437" t="s">
        <v>2424</v>
      </c>
      <c r="B437" t="s">
        <v>2425</v>
      </c>
      <c r="C437" t="s">
        <v>163</v>
      </c>
      <c r="D437" t="s">
        <v>2426</v>
      </c>
      <c r="E437" t="s">
        <v>2427</v>
      </c>
      <c r="F437" t="s">
        <v>2428</v>
      </c>
      <c r="G437" s="4">
        <v>45436</v>
      </c>
      <c r="H437" s="4">
        <v>45445</v>
      </c>
      <c r="I437" s="4">
        <v>45446</v>
      </c>
      <c r="J437">
        <f t="shared" si="30"/>
        <v>1</v>
      </c>
      <c r="K437" t="str">
        <f t="array" ref="K437">_xlfn.IFS(J437=1,"Day Use",J437&lt;=3,"Short Stay",J437&lt;=7,"Extended Stay",J437&gt;=8,"Long Stay")</f>
        <v>Day Use</v>
      </c>
      <c r="L437" t="s">
        <v>91</v>
      </c>
      <c r="M437" s="10" t="str">
        <f t="shared" si="31"/>
        <v>Standard</v>
      </c>
      <c r="N437" t="s">
        <v>26</v>
      </c>
      <c r="O437" t="s">
        <v>27</v>
      </c>
      <c r="P437">
        <f>IFERROR(VLOOKUP(TRIM(M437),Room!D:H,5,FALSE),5000)</f>
        <v>3200</v>
      </c>
      <c r="Q437">
        <f t="shared" si="32"/>
        <v>3200</v>
      </c>
      <c r="R437" s="11" t="str">
        <f t="shared" si="33"/>
        <v>Other</v>
      </c>
      <c r="S437" s="11">
        <f t="shared" si="34"/>
        <v>1</v>
      </c>
    </row>
    <row r="438" spans="1:19">
      <c r="A438" t="s">
        <v>2429</v>
      </c>
      <c r="B438" t="s">
        <v>2430</v>
      </c>
      <c r="C438" t="s">
        <v>1158</v>
      </c>
      <c r="D438" t="s">
        <v>2431</v>
      </c>
      <c r="E438" t="s">
        <v>2432</v>
      </c>
      <c r="F438" t="s">
        <v>2433</v>
      </c>
      <c r="G438" s="4">
        <v>45570</v>
      </c>
      <c r="H438" s="4">
        <v>45784</v>
      </c>
      <c r="I438" s="4">
        <v>45789</v>
      </c>
      <c r="J438">
        <f t="shared" si="30"/>
        <v>5</v>
      </c>
      <c r="K438" t="str">
        <f t="array" ref="K438">_xlfn.IFS(J438=1,"Day Use",J438&lt;=3,"Short Stay",J438&lt;=7,"Extended Stay",J438&gt;=8,"Long Stay")</f>
        <v>Extended Stay</v>
      </c>
      <c r="L438" t="s">
        <v>196</v>
      </c>
      <c r="M438" s="10" t="str">
        <f t="shared" si="31"/>
        <v>Deluxe</v>
      </c>
      <c r="N438" t="s">
        <v>26</v>
      </c>
      <c r="O438" t="s">
        <v>71</v>
      </c>
      <c r="P438">
        <f>IFERROR(VLOOKUP(TRIM(M438),Room!D:H,5,FALSE),5000)</f>
        <v>5400</v>
      </c>
      <c r="Q438">
        <f t="shared" si="32"/>
        <v>27000</v>
      </c>
      <c r="R438" s="11" t="str">
        <f t="shared" si="33"/>
        <v>Conference</v>
      </c>
      <c r="S438" s="11">
        <f t="shared" si="34"/>
        <v>3</v>
      </c>
    </row>
    <row r="439" spans="1:19">
      <c r="A439" t="s">
        <v>2434</v>
      </c>
      <c r="B439" t="s">
        <v>2435</v>
      </c>
      <c r="C439" t="s">
        <v>351</v>
      </c>
      <c r="D439" t="s">
        <v>2436</v>
      </c>
      <c r="E439" t="s">
        <v>2437</v>
      </c>
      <c r="F439" t="s">
        <v>2438</v>
      </c>
      <c r="G439" s="4">
        <v>45640</v>
      </c>
      <c r="H439" s="4">
        <v>45823</v>
      </c>
      <c r="I439" s="4">
        <v>45827</v>
      </c>
      <c r="J439">
        <f t="shared" si="30"/>
        <v>4</v>
      </c>
      <c r="K439" t="str">
        <f t="array" ref="K439">_xlfn.IFS(J439=1,"Day Use",J439&lt;=3,"Short Stay",J439&lt;=7,"Extended Stay",J439&gt;=8,"Long Stay")</f>
        <v>Extended Stay</v>
      </c>
      <c r="L439" t="s">
        <v>141</v>
      </c>
      <c r="M439" s="10" t="str">
        <f t="shared" si="31"/>
        <v>Deluxe</v>
      </c>
      <c r="N439" t="s">
        <v>26</v>
      </c>
      <c r="O439" t="s">
        <v>35</v>
      </c>
      <c r="P439">
        <f>IFERROR(VLOOKUP(TRIM(M439),Room!D:H,5,FALSE),5000)</f>
        <v>5400</v>
      </c>
      <c r="Q439">
        <f t="shared" si="32"/>
        <v>21600</v>
      </c>
      <c r="R439" s="11" t="str">
        <f t="shared" si="33"/>
        <v>Conference</v>
      </c>
      <c r="S439" s="11">
        <f t="shared" si="34"/>
        <v>3</v>
      </c>
    </row>
    <row r="440" spans="1:19">
      <c r="A440" t="s">
        <v>2439</v>
      </c>
      <c r="B440" t="s">
        <v>2440</v>
      </c>
      <c r="C440" t="s">
        <v>265</v>
      </c>
      <c r="D440" t="s">
        <v>2441</v>
      </c>
      <c r="E440" t="s">
        <v>2442</v>
      </c>
      <c r="F440" t="s">
        <v>2443</v>
      </c>
      <c r="G440" s="4">
        <v>45566</v>
      </c>
      <c r="H440" s="4">
        <v>45586</v>
      </c>
      <c r="I440" s="4">
        <v>45589</v>
      </c>
      <c r="J440">
        <f t="shared" si="30"/>
        <v>3</v>
      </c>
      <c r="K440" t="str">
        <f t="array" ref="K440">_xlfn.IFS(J440=1,"Day Use",J440&lt;=3,"Short Stay",J440&lt;=7,"Extended Stay",J440&gt;=8,"Long Stay")</f>
        <v>Short Stay</v>
      </c>
      <c r="L440" t="s">
        <v>56</v>
      </c>
      <c r="M440" s="10" t="str">
        <f t="shared" si="31"/>
        <v>Standard</v>
      </c>
      <c r="N440" t="s">
        <v>26</v>
      </c>
      <c r="O440" t="s">
        <v>71</v>
      </c>
      <c r="P440">
        <f>IFERROR(VLOOKUP(TRIM(M440),Room!D:H,5,FALSE),5000)</f>
        <v>3200</v>
      </c>
      <c r="Q440">
        <f t="shared" si="32"/>
        <v>9600</v>
      </c>
      <c r="R440" s="11" t="str">
        <f t="shared" si="33"/>
        <v>Other</v>
      </c>
      <c r="S440" s="11">
        <f t="shared" si="34"/>
        <v>2</v>
      </c>
    </row>
    <row r="441" spans="1:19">
      <c r="A441" t="s">
        <v>2444</v>
      </c>
      <c r="B441" t="s">
        <v>2445</v>
      </c>
      <c r="C441" t="s">
        <v>1983</v>
      </c>
      <c r="D441" t="s">
        <v>2446</v>
      </c>
      <c r="E441" t="s">
        <v>2447</v>
      </c>
      <c r="F441" t="s">
        <v>2448</v>
      </c>
      <c r="G441" s="4">
        <v>45216</v>
      </c>
      <c r="H441" s="4">
        <v>45900</v>
      </c>
      <c r="I441" s="4">
        <v>45902</v>
      </c>
      <c r="J441">
        <f t="shared" si="30"/>
        <v>2</v>
      </c>
      <c r="K441" t="str">
        <f t="array" ref="K441">_xlfn.IFS(J441=1,"Day Use",J441&lt;=3,"Short Stay",J441&lt;=7,"Extended Stay",J441&gt;=8,"Long Stay")</f>
        <v>Short Stay</v>
      </c>
      <c r="L441" t="s">
        <v>91</v>
      </c>
      <c r="M441" s="10" t="str">
        <f t="shared" si="31"/>
        <v>Standard</v>
      </c>
      <c r="N441" t="s">
        <v>26</v>
      </c>
      <c r="O441" t="s">
        <v>35</v>
      </c>
      <c r="P441">
        <f>IFERROR(VLOOKUP(TRIM(M441),Room!D:H,5,FALSE),5000)</f>
        <v>3200</v>
      </c>
      <c r="Q441">
        <f t="shared" si="32"/>
        <v>6400</v>
      </c>
      <c r="R441" s="11" t="str">
        <f t="shared" si="33"/>
        <v>Other</v>
      </c>
      <c r="S441" s="11">
        <f t="shared" si="34"/>
        <v>2</v>
      </c>
    </row>
    <row r="442" spans="1:19">
      <c r="A442" t="s">
        <v>2449</v>
      </c>
      <c r="B442" t="s">
        <v>2450</v>
      </c>
      <c r="C442" t="s">
        <v>2451</v>
      </c>
      <c r="D442" t="s">
        <v>2452</v>
      </c>
      <c r="E442" t="s">
        <v>2453</v>
      </c>
      <c r="F442" t="s">
        <v>2454</v>
      </c>
      <c r="G442" s="4">
        <v>45600</v>
      </c>
      <c r="H442" s="4">
        <v>45955</v>
      </c>
      <c r="I442" s="4">
        <v>45958</v>
      </c>
      <c r="J442">
        <f t="shared" si="30"/>
        <v>3</v>
      </c>
      <c r="K442" t="str">
        <f t="array" ref="K442">_xlfn.IFS(J442=1,"Day Use",J442&lt;=3,"Short Stay",J442&lt;=7,"Extended Stay",J442&gt;=8,"Long Stay")</f>
        <v>Short Stay</v>
      </c>
      <c r="L442" t="s">
        <v>25</v>
      </c>
      <c r="M442" s="10" t="str">
        <f t="shared" si="31"/>
        <v>Standard</v>
      </c>
      <c r="N442" t="s">
        <v>26</v>
      </c>
      <c r="O442" t="s">
        <v>58</v>
      </c>
      <c r="P442">
        <f>IFERROR(VLOOKUP(TRIM(M442),Room!D:H,5,FALSE),5000)</f>
        <v>3200</v>
      </c>
      <c r="Q442">
        <f t="shared" si="32"/>
        <v>9600</v>
      </c>
      <c r="R442" s="11" t="str">
        <f t="shared" si="33"/>
        <v>Other</v>
      </c>
      <c r="S442" s="11">
        <f t="shared" si="34"/>
        <v>2</v>
      </c>
    </row>
    <row r="443" spans="1:19">
      <c r="A443" t="s">
        <v>2455</v>
      </c>
      <c r="B443" t="s">
        <v>2456</v>
      </c>
      <c r="C443" t="s">
        <v>2457</v>
      </c>
      <c r="D443" t="s">
        <v>2458</v>
      </c>
      <c r="E443" t="s">
        <v>2459</v>
      </c>
      <c r="F443" t="s">
        <v>2460</v>
      </c>
      <c r="G443" s="4">
        <v>45298</v>
      </c>
      <c r="H443" s="4">
        <v>45302</v>
      </c>
      <c r="I443" s="4">
        <v>45303</v>
      </c>
      <c r="J443">
        <f t="shared" si="30"/>
        <v>1</v>
      </c>
      <c r="K443" t="str">
        <f t="array" ref="K443">_xlfn.IFS(J443=1,"Day Use",J443&lt;=3,"Short Stay",J443&lt;=7,"Extended Stay",J443&gt;=8,"Long Stay")</f>
        <v>Day Use</v>
      </c>
      <c r="L443" t="s">
        <v>49</v>
      </c>
      <c r="M443" s="10" t="str">
        <f t="shared" si="31"/>
        <v>Standard</v>
      </c>
      <c r="N443" t="s">
        <v>134</v>
      </c>
      <c r="O443" t="s">
        <v>35</v>
      </c>
      <c r="P443">
        <f>IFERROR(VLOOKUP(TRIM(M443),Room!D:H,5,FALSE),5000)</f>
        <v>3200</v>
      </c>
      <c r="Q443">
        <f t="shared" si="32"/>
        <v>3200</v>
      </c>
      <c r="R443" s="11" t="str">
        <f t="shared" si="33"/>
        <v>Other</v>
      </c>
      <c r="S443" s="11">
        <f t="shared" si="34"/>
        <v>1</v>
      </c>
    </row>
    <row r="444" spans="1:19">
      <c r="A444" t="s">
        <v>2461</v>
      </c>
      <c r="B444" t="s">
        <v>2462</v>
      </c>
      <c r="C444" t="s">
        <v>2463</v>
      </c>
      <c r="D444" t="s">
        <v>2464</v>
      </c>
      <c r="E444" t="s">
        <v>2465</v>
      </c>
      <c r="F444" t="s">
        <v>2466</v>
      </c>
      <c r="G444" s="4">
        <v>45769</v>
      </c>
      <c r="H444" s="4">
        <v>45772</v>
      </c>
      <c r="I444" s="4">
        <v>45783</v>
      </c>
      <c r="J444">
        <f t="shared" si="30"/>
        <v>11</v>
      </c>
      <c r="K444" t="str">
        <f t="array" ref="K444">_xlfn.IFS(J444=1,"Day Use",J444&lt;=3,"Short Stay",J444&lt;=7,"Extended Stay",J444&gt;=8,"Long Stay")</f>
        <v>Long Stay</v>
      </c>
      <c r="L444" t="s">
        <v>91</v>
      </c>
      <c r="M444" s="10" t="str">
        <f t="shared" si="31"/>
        <v>Suite</v>
      </c>
      <c r="N444" t="s">
        <v>26</v>
      </c>
      <c r="O444" t="s">
        <v>27</v>
      </c>
      <c r="P444">
        <f>IFERROR(VLOOKUP(TRIM(M444),Room!D:H,5,FALSE),5000)</f>
        <v>12500</v>
      </c>
      <c r="Q444">
        <f t="shared" si="32"/>
        <v>137500</v>
      </c>
      <c r="R444" s="11" t="str">
        <f t="shared" si="33"/>
        <v>Business</v>
      </c>
      <c r="S444" s="11">
        <f t="shared" si="34"/>
        <v>5</v>
      </c>
    </row>
    <row r="445" spans="1:19">
      <c r="A445" t="s">
        <v>2467</v>
      </c>
      <c r="B445" t="s">
        <v>2468</v>
      </c>
      <c r="C445" t="s">
        <v>1250</v>
      </c>
      <c r="D445" t="s">
        <v>2469</v>
      </c>
      <c r="E445" t="s">
        <v>2470</v>
      </c>
      <c r="F445" t="s">
        <v>2471</v>
      </c>
      <c r="G445" s="4">
        <v>45641</v>
      </c>
      <c r="H445" s="4">
        <v>45650</v>
      </c>
      <c r="I445" s="4">
        <v>45658</v>
      </c>
      <c r="J445">
        <f t="shared" si="30"/>
        <v>8</v>
      </c>
      <c r="K445" t="str">
        <f t="array" ref="K445">_xlfn.IFS(J445=1,"Day Use",J445&lt;=3,"Short Stay",J445&lt;=7,"Extended Stay",J445&gt;=8,"Long Stay")</f>
        <v>Long Stay</v>
      </c>
      <c r="L445" t="s">
        <v>196</v>
      </c>
      <c r="M445" s="10" t="str">
        <f t="shared" si="31"/>
        <v>Premium</v>
      </c>
      <c r="N445" t="s">
        <v>26</v>
      </c>
      <c r="O445" t="s">
        <v>58</v>
      </c>
      <c r="P445">
        <f>IFERROR(VLOOKUP(TRIM(M445),Room!D:H,5,FALSE),5000)</f>
        <v>9500</v>
      </c>
      <c r="Q445">
        <f t="shared" si="32"/>
        <v>76000</v>
      </c>
      <c r="R445" s="11" t="str">
        <f t="shared" si="33"/>
        <v>Conference</v>
      </c>
      <c r="S445" s="11">
        <f t="shared" si="34"/>
        <v>4</v>
      </c>
    </row>
    <row r="446" spans="1:19">
      <c r="A446" t="s">
        <v>2472</v>
      </c>
      <c r="B446" t="s">
        <v>2473</v>
      </c>
      <c r="C446" t="s">
        <v>2474</v>
      </c>
      <c r="D446" t="s">
        <v>2475</v>
      </c>
      <c r="E446" t="s">
        <v>2476</v>
      </c>
      <c r="F446" t="s">
        <v>2477</v>
      </c>
      <c r="G446" s="4">
        <v>45363</v>
      </c>
      <c r="H446" s="4">
        <v>45559</v>
      </c>
      <c r="I446" s="4">
        <v>45565</v>
      </c>
      <c r="J446">
        <f t="shared" si="30"/>
        <v>6</v>
      </c>
      <c r="K446" t="str">
        <f t="array" ref="K446">_xlfn.IFS(J446=1,"Day Use",J446&lt;=3,"Short Stay",J446&lt;=7,"Extended Stay",J446&gt;=8,"Long Stay")</f>
        <v>Extended Stay</v>
      </c>
      <c r="L446" t="s">
        <v>56</v>
      </c>
      <c r="M446" s="10" t="str">
        <f t="shared" si="31"/>
        <v>Deluxe</v>
      </c>
      <c r="N446" t="s">
        <v>26</v>
      </c>
      <c r="O446" t="s">
        <v>27</v>
      </c>
      <c r="P446">
        <f>IFERROR(VLOOKUP(TRIM(M446),Room!D:H,5,FALSE),5000)</f>
        <v>5400</v>
      </c>
      <c r="Q446">
        <f t="shared" si="32"/>
        <v>32400</v>
      </c>
      <c r="R446" s="11" t="str">
        <f t="shared" si="33"/>
        <v>Conference</v>
      </c>
      <c r="S446" s="11">
        <f t="shared" si="34"/>
        <v>3</v>
      </c>
    </row>
    <row r="447" spans="1:19">
      <c r="A447" t="s">
        <v>2478</v>
      </c>
      <c r="B447" t="s">
        <v>2479</v>
      </c>
      <c r="C447" t="s">
        <v>1568</v>
      </c>
      <c r="D447" t="s">
        <v>2480</v>
      </c>
      <c r="E447" t="s">
        <v>2481</v>
      </c>
      <c r="F447" t="s">
        <v>2482</v>
      </c>
      <c r="G447" s="4">
        <v>45373</v>
      </c>
      <c r="H447" s="4">
        <v>45635</v>
      </c>
      <c r="I447" s="4">
        <v>45641</v>
      </c>
      <c r="J447">
        <f t="shared" si="30"/>
        <v>6</v>
      </c>
      <c r="K447" t="str">
        <f t="array" ref="K447">_xlfn.IFS(J447=1,"Day Use",J447&lt;=3,"Short Stay",J447&lt;=7,"Extended Stay",J447&gt;=8,"Long Stay")</f>
        <v>Extended Stay</v>
      </c>
      <c r="L447" t="s">
        <v>196</v>
      </c>
      <c r="M447" s="10" t="str">
        <f t="shared" si="31"/>
        <v>Deluxe</v>
      </c>
      <c r="N447" t="s">
        <v>26</v>
      </c>
      <c r="O447" t="s">
        <v>42</v>
      </c>
      <c r="P447">
        <f>IFERROR(VLOOKUP(TRIM(M447),Room!D:H,5,FALSE),5000)</f>
        <v>5400</v>
      </c>
      <c r="Q447">
        <f t="shared" si="32"/>
        <v>32400</v>
      </c>
      <c r="R447" s="11" t="str">
        <f t="shared" si="33"/>
        <v>Conference</v>
      </c>
      <c r="S447" s="11">
        <f t="shared" si="34"/>
        <v>3</v>
      </c>
    </row>
    <row r="448" spans="1:19">
      <c r="A448" t="s">
        <v>2483</v>
      </c>
      <c r="B448" t="s">
        <v>2484</v>
      </c>
      <c r="C448" t="s">
        <v>1068</v>
      </c>
      <c r="D448" t="s">
        <v>2485</v>
      </c>
      <c r="E448" t="s">
        <v>2486</v>
      </c>
      <c r="F448" t="s">
        <v>2487</v>
      </c>
      <c r="G448" s="4">
        <v>45531</v>
      </c>
      <c r="H448" s="4">
        <v>45545</v>
      </c>
      <c r="I448" s="4">
        <v>45555</v>
      </c>
      <c r="J448">
        <f t="shared" si="30"/>
        <v>10</v>
      </c>
      <c r="K448" t="str">
        <f t="array" ref="K448">_xlfn.IFS(J448=1,"Day Use",J448&lt;=3,"Short Stay",J448&lt;=7,"Extended Stay",J448&gt;=8,"Long Stay")</f>
        <v>Long Stay</v>
      </c>
      <c r="L448" t="s">
        <v>56</v>
      </c>
      <c r="M448" s="10" t="str">
        <f t="shared" si="31"/>
        <v>Premium</v>
      </c>
      <c r="N448" t="s">
        <v>148</v>
      </c>
      <c r="O448" t="s">
        <v>58</v>
      </c>
      <c r="P448">
        <f>IFERROR(VLOOKUP(TRIM(M448),Room!D:H,5,FALSE),5000)</f>
        <v>9500</v>
      </c>
      <c r="Q448">
        <f t="shared" si="32"/>
        <v>95000</v>
      </c>
      <c r="R448" s="11" t="str">
        <f t="shared" si="33"/>
        <v>Conference</v>
      </c>
      <c r="S448" s="11">
        <f t="shared" si="34"/>
        <v>4</v>
      </c>
    </row>
    <row r="449" spans="1:19">
      <c r="A449" t="s">
        <v>2488</v>
      </c>
      <c r="B449" t="s">
        <v>2489</v>
      </c>
      <c r="C449" t="s">
        <v>478</v>
      </c>
      <c r="D449" t="s">
        <v>2490</v>
      </c>
      <c r="E449" t="s">
        <v>2491</v>
      </c>
      <c r="F449" t="s">
        <v>2492</v>
      </c>
      <c r="G449" s="4">
        <v>45843</v>
      </c>
      <c r="H449" s="4">
        <v>45848</v>
      </c>
      <c r="I449" s="4">
        <v>45861</v>
      </c>
      <c r="J449">
        <f t="shared" si="30"/>
        <v>13</v>
      </c>
      <c r="K449" t="str">
        <f t="array" ref="K449">_xlfn.IFS(J449=1,"Day Use",J449&lt;=3,"Short Stay",J449&lt;=7,"Extended Stay",J449&gt;=8,"Long Stay")</f>
        <v>Long Stay</v>
      </c>
      <c r="L449" t="s">
        <v>84</v>
      </c>
      <c r="M449" s="10" t="str">
        <f t="shared" si="31"/>
        <v>Suite</v>
      </c>
      <c r="N449" t="s">
        <v>26</v>
      </c>
      <c r="O449" t="s">
        <v>35</v>
      </c>
      <c r="P449">
        <f>IFERROR(VLOOKUP(TRIM(M449),Room!D:H,5,FALSE),5000)</f>
        <v>12500</v>
      </c>
      <c r="Q449">
        <f t="shared" si="32"/>
        <v>162500</v>
      </c>
      <c r="R449" s="11" t="str">
        <f t="shared" si="33"/>
        <v>Business</v>
      </c>
      <c r="S449" s="11">
        <f t="shared" si="34"/>
        <v>5</v>
      </c>
    </row>
    <row r="450" spans="1:19">
      <c r="A450" t="s">
        <v>2493</v>
      </c>
      <c r="B450" t="s">
        <v>2494</v>
      </c>
      <c r="C450" t="s">
        <v>610</v>
      </c>
      <c r="D450" t="s">
        <v>2495</v>
      </c>
      <c r="E450" t="s">
        <v>2496</v>
      </c>
      <c r="F450" t="s">
        <v>2497</v>
      </c>
      <c r="G450" s="4">
        <v>45564</v>
      </c>
      <c r="H450" s="4">
        <v>45683</v>
      </c>
      <c r="I450" s="4">
        <v>45686</v>
      </c>
      <c r="J450">
        <f t="shared" ref="J450:J513" si="35">I450-H450</f>
        <v>3</v>
      </c>
      <c r="K450" t="str">
        <f t="array" ref="K450">_xlfn.IFS(J450=1,"Day Use",J450&lt;=3,"Short Stay",J450&lt;=7,"Extended Stay",J450&gt;=8,"Long Stay")</f>
        <v>Short Stay</v>
      </c>
      <c r="L450" t="s">
        <v>34</v>
      </c>
      <c r="M450" s="10" t="str">
        <f t="shared" ref="M450:M513" si="36">IF($J450&lt;=3,"Standard",IF($J450&lt;=6,"Deluxe",IF($J450&lt;=10,"Premium","Suite")))</f>
        <v>Standard</v>
      </c>
      <c r="N450" t="s">
        <v>26</v>
      </c>
      <c r="O450" t="s">
        <v>35</v>
      </c>
      <c r="P450">
        <f>IFERROR(VLOOKUP(TRIM(M450),Room!D:H,5,FALSE),5000)</f>
        <v>3200</v>
      </c>
      <c r="Q450">
        <f t="shared" si="32"/>
        <v>9600</v>
      </c>
      <c r="R450" s="11" t="str">
        <f t="shared" si="33"/>
        <v>Other</v>
      </c>
      <c r="S450" s="11">
        <f t="shared" si="34"/>
        <v>2</v>
      </c>
    </row>
    <row r="451" spans="1:19">
      <c r="A451" t="s">
        <v>2498</v>
      </c>
      <c r="B451" t="s">
        <v>2499</v>
      </c>
      <c r="C451" t="s">
        <v>87</v>
      </c>
      <c r="D451" t="s">
        <v>2500</v>
      </c>
      <c r="E451" t="s">
        <v>2501</v>
      </c>
      <c r="F451" t="s">
        <v>2502</v>
      </c>
      <c r="G451" s="4">
        <v>45564</v>
      </c>
      <c r="H451" s="4">
        <v>45771</v>
      </c>
      <c r="I451" s="4">
        <v>45772</v>
      </c>
      <c r="J451">
        <f t="shared" si="35"/>
        <v>1</v>
      </c>
      <c r="K451" t="str">
        <f t="array" ref="K451">_xlfn.IFS(J451=1,"Day Use",J451&lt;=3,"Short Stay",J451&lt;=7,"Extended Stay",J451&gt;=8,"Long Stay")</f>
        <v>Day Use</v>
      </c>
      <c r="L451" t="s">
        <v>25</v>
      </c>
      <c r="M451" s="10" t="str">
        <f t="shared" si="36"/>
        <v>Standard</v>
      </c>
      <c r="N451" t="s">
        <v>26</v>
      </c>
      <c r="O451" t="s">
        <v>71</v>
      </c>
      <c r="P451">
        <f>IFERROR(VLOOKUP(TRIM(M451),Room!D:H,5,FALSE),5000)</f>
        <v>3200</v>
      </c>
      <c r="Q451">
        <f t="shared" ref="Q451:Q514" si="37">P451*J451</f>
        <v>3200</v>
      </c>
      <c r="R451" s="11" t="str">
        <f t="shared" ref="R451:R514" si="38">IF(ISNUMBER(SEARCH("Suite",D451)),"Honeymoon",IF(P451&gt;10000,"Business",IF(P451&gt;5000,"Conference",IF(J451&gt;=8,"Family Vacation","Other"))))</f>
        <v>Other</v>
      </c>
      <c r="S451" s="11">
        <f t="shared" ref="S451:S514" si="39">IF(M451="Suite",5,IF(M451="Premium",IF(Q451&gt;20000,4,3),IF(M451="Deluxe",IF(Q451&gt;=10000,3,2),IF(M451="Standard",IF(Q451&gt;=5000,2,1),1))))</f>
        <v>1</v>
      </c>
    </row>
    <row r="452" spans="1:19">
      <c r="A452" t="s">
        <v>2503</v>
      </c>
      <c r="B452" t="s">
        <v>2504</v>
      </c>
      <c r="C452" t="s">
        <v>124</v>
      </c>
      <c r="D452" t="s">
        <v>2505</v>
      </c>
      <c r="E452" t="s">
        <v>2506</v>
      </c>
      <c r="F452" t="s">
        <v>2507</v>
      </c>
      <c r="G452" s="4">
        <v>45390</v>
      </c>
      <c r="H452" s="4">
        <v>45980</v>
      </c>
      <c r="I452" s="4">
        <v>45994</v>
      </c>
      <c r="J452">
        <f t="shared" si="35"/>
        <v>14</v>
      </c>
      <c r="K452" t="str">
        <f t="array" ref="K452">_xlfn.IFS(J452=1,"Day Use",J452&lt;=3,"Short Stay",J452&lt;=7,"Extended Stay",J452&gt;=8,"Long Stay")</f>
        <v>Long Stay</v>
      </c>
      <c r="L452" t="s">
        <v>84</v>
      </c>
      <c r="M452" s="10" t="str">
        <f t="shared" si="36"/>
        <v>Suite</v>
      </c>
      <c r="N452" t="s">
        <v>57</v>
      </c>
      <c r="O452" t="s">
        <v>35</v>
      </c>
      <c r="P452">
        <f>IFERROR(VLOOKUP(TRIM(M452),Room!D:H,5,FALSE),5000)</f>
        <v>12500</v>
      </c>
      <c r="Q452">
        <f t="shared" si="37"/>
        <v>175000</v>
      </c>
      <c r="R452" s="11" t="str">
        <f t="shared" si="38"/>
        <v>Business</v>
      </c>
      <c r="S452" s="11">
        <f t="shared" si="39"/>
        <v>5</v>
      </c>
    </row>
    <row r="453" spans="1:19">
      <c r="A453" t="s">
        <v>2508</v>
      </c>
      <c r="B453" t="s">
        <v>2509</v>
      </c>
      <c r="C453" t="s">
        <v>2510</v>
      </c>
      <c r="D453" t="s">
        <v>2511</v>
      </c>
      <c r="E453" t="s">
        <v>2512</v>
      </c>
      <c r="F453" t="s">
        <v>2513</v>
      </c>
      <c r="G453" s="4">
        <v>45491</v>
      </c>
      <c r="H453" s="4">
        <v>45491</v>
      </c>
      <c r="I453" s="4">
        <v>45498</v>
      </c>
      <c r="J453">
        <f t="shared" si="35"/>
        <v>7</v>
      </c>
      <c r="K453" t="str">
        <f t="array" ref="K453">_xlfn.IFS(J453=1,"Day Use",J453&lt;=3,"Short Stay",J453&lt;=7,"Extended Stay",J453&gt;=8,"Long Stay")</f>
        <v>Extended Stay</v>
      </c>
      <c r="L453" t="s">
        <v>91</v>
      </c>
      <c r="M453" s="10" t="str">
        <f t="shared" si="36"/>
        <v>Premium</v>
      </c>
      <c r="N453" t="s">
        <v>57</v>
      </c>
      <c r="O453" t="s">
        <v>71</v>
      </c>
      <c r="P453">
        <f>IFERROR(VLOOKUP(TRIM(M453),Room!D:H,5,FALSE),5000)</f>
        <v>9500</v>
      </c>
      <c r="Q453">
        <f t="shared" si="37"/>
        <v>66500</v>
      </c>
      <c r="R453" s="11" t="str">
        <f t="shared" si="38"/>
        <v>Conference</v>
      </c>
      <c r="S453" s="11">
        <f t="shared" si="39"/>
        <v>4</v>
      </c>
    </row>
    <row r="454" spans="1:19">
      <c r="A454" t="s">
        <v>2514</v>
      </c>
      <c r="B454" t="s">
        <v>2515</v>
      </c>
      <c r="C454" t="s">
        <v>1626</v>
      </c>
      <c r="D454" t="s">
        <v>2516</v>
      </c>
      <c r="E454" t="s">
        <v>2517</v>
      </c>
      <c r="F454" t="s">
        <v>2518</v>
      </c>
      <c r="G454" s="4">
        <v>45345</v>
      </c>
      <c r="H454" s="4">
        <v>46004</v>
      </c>
      <c r="I454" s="4">
        <v>46016</v>
      </c>
      <c r="J454">
        <f t="shared" si="35"/>
        <v>12</v>
      </c>
      <c r="K454" t="str">
        <f t="array" ref="K454">_xlfn.IFS(J454=1,"Day Use",J454&lt;=3,"Short Stay",J454&lt;=7,"Extended Stay",J454&gt;=8,"Long Stay")</f>
        <v>Long Stay</v>
      </c>
      <c r="L454" t="s">
        <v>141</v>
      </c>
      <c r="M454" s="10" t="str">
        <f t="shared" si="36"/>
        <v>Suite</v>
      </c>
      <c r="N454" t="s">
        <v>57</v>
      </c>
      <c r="O454" t="s">
        <v>35</v>
      </c>
      <c r="P454">
        <f>IFERROR(VLOOKUP(TRIM(M454),Room!D:H,5,FALSE),5000)</f>
        <v>12500</v>
      </c>
      <c r="Q454">
        <f t="shared" si="37"/>
        <v>150000</v>
      </c>
      <c r="R454" s="11" t="str">
        <f t="shared" si="38"/>
        <v>Business</v>
      </c>
      <c r="S454" s="11">
        <f t="shared" si="39"/>
        <v>5</v>
      </c>
    </row>
    <row r="455" spans="1:19">
      <c r="A455" t="s">
        <v>2519</v>
      </c>
      <c r="B455" t="s">
        <v>2520</v>
      </c>
      <c r="C455" t="s">
        <v>1036</v>
      </c>
      <c r="D455" t="s">
        <v>2521</v>
      </c>
      <c r="E455" t="s">
        <v>2522</v>
      </c>
      <c r="F455" t="s">
        <v>2523</v>
      </c>
      <c r="G455" s="4">
        <v>45556</v>
      </c>
      <c r="H455" s="4">
        <v>46015</v>
      </c>
      <c r="I455" s="4">
        <v>46020</v>
      </c>
      <c r="J455">
        <f t="shared" si="35"/>
        <v>5</v>
      </c>
      <c r="K455" t="str">
        <f t="array" ref="K455">_xlfn.IFS(J455=1,"Day Use",J455&lt;=3,"Short Stay",J455&lt;=7,"Extended Stay",J455&gt;=8,"Long Stay")</f>
        <v>Extended Stay</v>
      </c>
      <c r="L455" t="s">
        <v>56</v>
      </c>
      <c r="M455" s="10" t="str">
        <f t="shared" si="36"/>
        <v>Deluxe</v>
      </c>
      <c r="N455" t="s">
        <v>26</v>
      </c>
      <c r="O455" t="s">
        <v>35</v>
      </c>
      <c r="P455">
        <f>IFERROR(VLOOKUP(TRIM(M455),Room!D:H,5,FALSE),5000)</f>
        <v>5400</v>
      </c>
      <c r="Q455">
        <f t="shared" si="37"/>
        <v>27000</v>
      </c>
      <c r="R455" s="11" t="str">
        <f t="shared" si="38"/>
        <v>Conference</v>
      </c>
      <c r="S455" s="11">
        <f t="shared" si="39"/>
        <v>3</v>
      </c>
    </row>
    <row r="456" spans="1:19">
      <c r="A456" t="s">
        <v>2524</v>
      </c>
      <c r="B456" t="s">
        <v>2525</v>
      </c>
      <c r="C456" t="s">
        <v>1637</v>
      </c>
      <c r="D456" t="s">
        <v>2526</v>
      </c>
      <c r="E456" t="s">
        <v>2527</v>
      </c>
      <c r="F456" t="s">
        <v>2528</v>
      </c>
      <c r="G456" s="4">
        <v>45525</v>
      </c>
      <c r="H456" s="4">
        <v>45673</v>
      </c>
      <c r="I456" s="4">
        <v>45680</v>
      </c>
      <c r="J456">
        <f t="shared" si="35"/>
        <v>7</v>
      </c>
      <c r="K456" t="str">
        <f t="array" ref="K456">_xlfn.IFS(J456=1,"Day Use",J456&lt;=3,"Short Stay",J456&lt;=7,"Extended Stay",J456&gt;=8,"Long Stay")</f>
        <v>Extended Stay</v>
      </c>
      <c r="L456" t="s">
        <v>91</v>
      </c>
      <c r="M456" s="10" t="str">
        <f t="shared" si="36"/>
        <v>Premium</v>
      </c>
      <c r="N456" t="s">
        <v>26</v>
      </c>
      <c r="O456" t="s">
        <v>42</v>
      </c>
      <c r="P456">
        <f>IFERROR(VLOOKUP(TRIM(M456),Room!D:H,5,FALSE),5000)</f>
        <v>9500</v>
      </c>
      <c r="Q456">
        <f t="shared" si="37"/>
        <v>66500</v>
      </c>
      <c r="R456" s="11" t="str">
        <f t="shared" si="38"/>
        <v>Conference</v>
      </c>
      <c r="S456" s="11">
        <f t="shared" si="39"/>
        <v>4</v>
      </c>
    </row>
    <row r="457" spans="1:19">
      <c r="A457" t="s">
        <v>2529</v>
      </c>
      <c r="B457" t="s">
        <v>2530</v>
      </c>
      <c r="C457" t="s">
        <v>2112</v>
      </c>
      <c r="D457" t="s">
        <v>2531</v>
      </c>
      <c r="E457" t="s">
        <v>2532</v>
      </c>
      <c r="F457" t="s">
        <v>2533</v>
      </c>
      <c r="G457" s="4">
        <v>45329</v>
      </c>
      <c r="H457" s="4">
        <v>45335</v>
      </c>
      <c r="I457" s="4">
        <v>45346</v>
      </c>
      <c r="J457">
        <f t="shared" si="35"/>
        <v>11</v>
      </c>
      <c r="K457" t="str">
        <f t="array" ref="K457">_xlfn.IFS(J457=1,"Day Use",J457&lt;=3,"Short Stay",J457&lt;=7,"Extended Stay",J457&gt;=8,"Long Stay")</f>
        <v>Long Stay</v>
      </c>
      <c r="L457" t="s">
        <v>141</v>
      </c>
      <c r="M457" s="10" t="str">
        <f t="shared" si="36"/>
        <v>Suite</v>
      </c>
      <c r="N457" t="s">
        <v>26</v>
      </c>
      <c r="O457" t="s">
        <v>42</v>
      </c>
      <c r="P457">
        <f>IFERROR(VLOOKUP(TRIM(M457),Room!D:H,5,FALSE),5000)</f>
        <v>12500</v>
      </c>
      <c r="Q457">
        <f t="shared" si="37"/>
        <v>137500</v>
      </c>
      <c r="R457" s="11" t="str">
        <f t="shared" si="38"/>
        <v>Business</v>
      </c>
      <c r="S457" s="11">
        <f t="shared" si="39"/>
        <v>5</v>
      </c>
    </row>
    <row r="458" spans="1:19">
      <c r="A458" t="s">
        <v>2534</v>
      </c>
      <c r="B458" t="s">
        <v>2535</v>
      </c>
      <c r="C458" t="s">
        <v>271</v>
      </c>
      <c r="D458" t="s">
        <v>2536</v>
      </c>
      <c r="E458" t="s">
        <v>2537</v>
      </c>
      <c r="F458" t="s">
        <v>2538</v>
      </c>
      <c r="G458" s="4">
        <v>45606</v>
      </c>
      <c r="H458" s="4">
        <v>45822</v>
      </c>
      <c r="I458" s="4">
        <v>45833</v>
      </c>
      <c r="J458">
        <f t="shared" si="35"/>
        <v>11</v>
      </c>
      <c r="K458" t="str">
        <f t="array" ref="K458">_xlfn.IFS(J458=1,"Day Use",J458&lt;=3,"Short Stay",J458&lt;=7,"Extended Stay",J458&gt;=8,"Long Stay")</f>
        <v>Long Stay</v>
      </c>
      <c r="L458" t="s">
        <v>196</v>
      </c>
      <c r="M458" s="10" t="str">
        <f t="shared" si="36"/>
        <v>Suite</v>
      </c>
      <c r="N458" t="s">
        <v>57</v>
      </c>
      <c r="O458" t="s">
        <v>42</v>
      </c>
      <c r="P458">
        <f>IFERROR(VLOOKUP(TRIM(M458),Room!D:H,5,FALSE),5000)</f>
        <v>12500</v>
      </c>
      <c r="Q458">
        <f t="shared" si="37"/>
        <v>137500</v>
      </c>
      <c r="R458" s="11" t="str">
        <f t="shared" si="38"/>
        <v>Business</v>
      </c>
      <c r="S458" s="11">
        <f t="shared" si="39"/>
        <v>5</v>
      </c>
    </row>
    <row r="459" spans="1:19">
      <c r="A459" t="s">
        <v>2539</v>
      </c>
      <c r="B459" t="s">
        <v>2540</v>
      </c>
      <c r="C459" t="s">
        <v>404</v>
      </c>
      <c r="D459" t="s">
        <v>2541</v>
      </c>
      <c r="E459" t="s">
        <v>2542</v>
      </c>
      <c r="F459" t="s">
        <v>2543</v>
      </c>
      <c r="G459" s="4">
        <v>45294</v>
      </c>
      <c r="H459" s="4">
        <v>45299</v>
      </c>
      <c r="I459" s="4">
        <v>45310</v>
      </c>
      <c r="J459">
        <f t="shared" si="35"/>
        <v>11</v>
      </c>
      <c r="K459" t="str">
        <f t="array" ref="K459">_xlfn.IFS(J459=1,"Day Use",J459&lt;=3,"Short Stay",J459&lt;=7,"Extended Stay",J459&gt;=8,"Long Stay")</f>
        <v>Long Stay</v>
      </c>
      <c r="L459" t="s">
        <v>49</v>
      </c>
      <c r="M459" s="10" t="str">
        <f t="shared" si="36"/>
        <v>Suite</v>
      </c>
      <c r="N459" t="s">
        <v>57</v>
      </c>
      <c r="O459" t="s">
        <v>58</v>
      </c>
      <c r="P459">
        <f>IFERROR(VLOOKUP(TRIM(M459),Room!D:H,5,FALSE),5000)</f>
        <v>12500</v>
      </c>
      <c r="Q459">
        <f t="shared" si="37"/>
        <v>137500</v>
      </c>
      <c r="R459" s="11" t="str">
        <f t="shared" si="38"/>
        <v>Business</v>
      </c>
      <c r="S459" s="11">
        <f t="shared" si="39"/>
        <v>5</v>
      </c>
    </row>
    <row r="460" spans="1:19">
      <c r="A460" t="s">
        <v>2544</v>
      </c>
      <c r="B460" t="s">
        <v>2545</v>
      </c>
      <c r="C460" t="s">
        <v>882</v>
      </c>
      <c r="D460" t="s">
        <v>2546</v>
      </c>
      <c r="E460" t="s">
        <v>2547</v>
      </c>
      <c r="F460" t="s">
        <v>2548</v>
      </c>
      <c r="G460" s="4">
        <v>45276</v>
      </c>
      <c r="H460" s="4">
        <v>45484</v>
      </c>
      <c r="I460" s="4">
        <v>45490</v>
      </c>
      <c r="J460">
        <f t="shared" si="35"/>
        <v>6</v>
      </c>
      <c r="K460" t="str">
        <f t="array" ref="K460">_xlfn.IFS(J460=1,"Day Use",J460&lt;=3,"Short Stay",J460&lt;=7,"Extended Stay",J460&gt;=8,"Long Stay")</f>
        <v>Extended Stay</v>
      </c>
      <c r="L460" t="s">
        <v>91</v>
      </c>
      <c r="M460" s="10" t="str">
        <f t="shared" si="36"/>
        <v>Deluxe</v>
      </c>
      <c r="N460" t="s">
        <v>372</v>
      </c>
      <c r="O460" t="s">
        <v>58</v>
      </c>
      <c r="P460">
        <f>IFERROR(VLOOKUP(TRIM(M460),Room!D:H,5,FALSE),5000)</f>
        <v>5400</v>
      </c>
      <c r="Q460">
        <f t="shared" si="37"/>
        <v>32400</v>
      </c>
      <c r="R460" s="11" t="str">
        <f t="shared" si="38"/>
        <v>Conference</v>
      </c>
      <c r="S460" s="11">
        <f t="shared" si="39"/>
        <v>3</v>
      </c>
    </row>
    <row r="461" spans="1:19">
      <c r="A461" t="s">
        <v>2549</v>
      </c>
      <c r="B461" t="s">
        <v>2550</v>
      </c>
      <c r="C461" t="s">
        <v>1710</v>
      </c>
      <c r="D461" t="s">
        <v>2551</v>
      </c>
      <c r="E461" t="s">
        <v>2552</v>
      </c>
      <c r="F461" t="s">
        <v>2553</v>
      </c>
      <c r="G461" s="4">
        <v>45503</v>
      </c>
      <c r="H461" s="4">
        <v>45526</v>
      </c>
      <c r="I461" s="4">
        <v>45532</v>
      </c>
      <c r="J461">
        <f t="shared" si="35"/>
        <v>6</v>
      </c>
      <c r="K461" t="str">
        <f t="array" ref="K461">_xlfn.IFS(J461=1,"Day Use",J461&lt;=3,"Short Stay",J461&lt;=7,"Extended Stay",J461&gt;=8,"Long Stay")</f>
        <v>Extended Stay</v>
      </c>
      <c r="L461" t="s">
        <v>49</v>
      </c>
      <c r="M461" s="10" t="str">
        <f t="shared" si="36"/>
        <v>Deluxe</v>
      </c>
      <c r="N461" t="s">
        <v>26</v>
      </c>
      <c r="O461" t="s">
        <v>27</v>
      </c>
      <c r="P461">
        <f>IFERROR(VLOOKUP(TRIM(M461),Room!D:H,5,FALSE),5000)</f>
        <v>5400</v>
      </c>
      <c r="Q461">
        <f t="shared" si="37"/>
        <v>32400</v>
      </c>
      <c r="R461" s="11" t="str">
        <f t="shared" si="38"/>
        <v>Conference</v>
      </c>
      <c r="S461" s="11">
        <f t="shared" si="39"/>
        <v>3</v>
      </c>
    </row>
    <row r="462" spans="1:19">
      <c r="A462" t="s">
        <v>2554</v>
      </c>
      <c r="B462" t="s">
        <v>2555</v>
      </c>
      <c r="C462" t="s">
        <v>421</v>
      </c>
      <c r="D462" t="s">
        <v>2556</v>
      </c>
      <c r="E462" t="s">
        <v>2557</v>
      </c>
      <c r="F462" t="s">
        <v>2558</v>
      </c>
      <c r="G462" s="4">
        <v>45460</v>
      </c>
      <c r="H462" s="4">
        <v>45472</v>
      </c>
      <c r="I462" s="4">
        <v>45479</v>
      </c>
      <c r="J462">
        <f t="shared" si="35"/>
        <v>7</v>
      </c>
      <c r="K462" t="str">
        <f t="array" ref="K462">_xlfn.IFS(J462=1,"Day Use",J462&lt;=3,"Short Stay",J462&lt;=7,"Extended Stay",J462&gt;=8,"Long Stay")</f>
        <v>Extended Stay</v>
      </c>
      <c r="L462" t="s">
        <v>196</v>
      </c>
      <c r="M462" s="10" t="str">
        <f t="shared" si="36"/>
        <v>Premium</v>
      </c>
      <c r="N462" t="s">
        <v>26</v>
      </c>
      <c r="O462" t="s">
        <v>71</v>
      </c>
      <c r="P462">
        <f>IFERROR(VLOOKUP(TRIM(M462),Room!D:H,5,FALSE),5000)</f>
        <v>9500</v>
      </c>
      <c r="Q462">
        <f t="shared" si="37"/>
        <v>66500</v>
      </c>
      <c r="R462" s="11" t="str">
        <f t="shared" si="38"/>
        <v>Conference</v>
      </c>
      <c r="S462" s="11">
        <f t="shared" si="39"/>
        <v>4</v>
      </c>
    </row>
    <row r="463" spans="1:19">
      <c r="A463" t="s">
        <v>2559</v>
      </c>
      <c r="B463" t="s">
        <v>2560</v>
      </c>
      <c r="C463" t="s">
        <v>1545</v>
      </c>
      <c r="D463" t="s">
        <v>2561</v>
      </c>
      <c r="E463" t="s">
        <v>2562</v>
      </c>
      <c r="F463" t="s">
        <v>2563</v>
      </c>
      <c r="G463" s="4">
        <v>45306</v>
      </c>
      <c r="H463" s="4">
        <v>45706</v>
      </c>
      <c r="I463" s="4">
        <v>45712</v>
      </c>
      <c r="J463">
        <f t="shared" si="35"/>
        <v>6</v>
      </c>
      <c r="K463" t="str">
        <f t="array" ref="K463">_xlfn.IFS(J463=1,"Day Use",J463&lt;=3,"Short Stay",J463&lt;=7,"Extended Stay",J463&gt;=8,"Long Stay")</f>
        <v>Extended Stay</v>
      </c>
      <c r="L463" t="s">
        <v>84</v>
      </c>
      <c r="M463" s="10" t="str">
        <f t="shared" si="36"/>
        <v>Deluxe</v>
      </c>
      <c r="N463" t="s">
        <v>26</v>
      </c>
      <c r="O463" t="s">
        <v>27</v>
      </c>
      <c r="P463">
        <f>IFERROR(VLOOKUP(TRIM(M463),Room!D:H,5,FALSE),5000)</f>
        <v>5400</v>
      </c>
      <c r="Q463">
        <f t="shared" si="37"/>
        <v>32400</v>
      </c>
      <c r="R463" s="11" t="str">
        <f t="shared" si="38"/>
        <v>Conference</v>
      </c>
      <c r="S463" s="11">
        <f t="shared" si="39"/>
        <v>3</v>
      </c>
    </row>
    <row r="464" spans="1:19">
      <c r="A464" t="s">
        <v>2564</v>
      </c>
      <c r="B464" t="s">
        <v>2565</v>
      </c>
      <c r="C464" t="s">
        <v>472</v>
      </c>
      <c r="D464" t="s">
        <v>2566</v>
      </c>
      <c r="E464" t="s">
        <v>2567</v>
      </c>
      <c r="F464" t="s">
        <v>2568</v>
      </c>
      <c r="G464" s="4">
        <v>45453</v>
      </c>
      <c r="H464" s="4">
        <v>45466</v>
      </c>
      <c r="I464" s="4">
        <v>45468</v>
      </c>
      <c r="J464">
        <f t="shared" si="35"/>
        <v>2</v>
      </c>
      <c r="K464" t="str">
        <f t="array" ref="K464">_xlfn.IFS(J464=1,"Day Use",J464&lt;=3,"Short Stay",J464&lt;=7,"Extended Stay",J464&gt;=8,"Long Stay")</f>
        <v>Short Stay</v>
      </c>
      <c r="L464" t="s">
        <v>91</v>
      </c>
      <c r="M464" s="10" t="str">
        <f t="shared" si="36"/>
        <v>Standard</v>
      </c>
      <c r="N464" t="s">
        <v>26</v>
      </c>
      <c r="O464" t="s">
        <v>71</v>
      </c>
      <c r="P464">
        <f>IFERROR(VLOOKUP(TRIM(M464),Room!D:H,5,FALSE),5000)</f>
        <v>3200</v>
      </c>
      <c r="Q464">
        <f t="shared" si="37"/>
        <v>6400</v>
      </c>
      <c r="R464" s="11" t="str">
        <f t="shared" si="38"/>
        <v>Other</v>
      </c>
      <c r="S464" s="11">
        <f t="shared" si="39"/>
        <v>2</v>
      </c>
    </row>
    <row r="465" spans="1:19">
      <c r="A465" t="s">
        <v>2569</v>
      </c>
      <c r="B465" t="s">
        <v>2570</v>
      </c>
      <c r="C465" t="s">
        <v>1399</v>
      </c>
      <c r="D465" t="s">
        <v>2571</v>
      </c>
      <c r="E465" t="s">
        <v>2572</v>
      </c>
      <c r="F465" t="s">
        <v>2573</v>
      </c>
      <c r="G465" s="4">
        <v>45336</v>
      </c>
      <c r="H465" s="4">
        <v>45447</v>
      </c>
      <c r="I465" s="4">
        <v>45457</v>
      </c>
      <c r="J465">
        <f t="shared" si="35"/>
        <v>10</v>
      </c>
      <c r="K465" t="str">
        <f t="array" ref="K465">_xlfn.IFS(J465=1,"Day Use",J465&lt;=3,"Short Stay",J465&lt;=7,"Extended Stay",J465&gt;=8,"Long Stay")</f>
        <v>Long Stay</v>
      </c>
      <c r="L465" t="s">
        <v>196</v>
      </c>
      <c r="M465" s="10" t="str">
        <f t="shared" si="36"/>
        <v>Premium</v>
      </c>
      <c r="N465" t="s">
        <v>148</v>
      </c>
      <c r="O465" t="s">
        <v>27</v>
      </c>
      <c r="P465">
        <f>IFERROR(VLOOKUP(TRIM(M465),Room!D:H,5,FALSE),5000)</f>
        <v>9500</v>
      </c>
      <c r="Q465">
        <f t="shared" si="37"/>
        <v>95000</v>
      </c>
      <c r="R465" s="11" t="str">
        <f t="shared" si="38"/>
        <v>Conference</v>
      </c>
      <c r="S465" s="11">
        <f t="shared" si="39"/>
        <v>4</v>
      </c>
    </row>
    <row r="466" spans="1:19">
      <c r="A466" t="s">
        <v>2574</v>
      </c>
      <c r="B466" t="s">
        <v>2575</v>
      </c>
      <c r="C466" t="s">
        <v>1626</v>
      </c>
      <c r="D466" t="s">
        <v>2576</v>
      </c>
      <c r="E466" t="s">
        <v>2577</v>
      </c>
      <c r="F466" t="s">
        <v>2578</v>
      </c>
      <c r="G466" s="4">
        <v>45701</v>
      </c>
      <c r="H466" s="4">
        <v>45714</v>
      </c>
      <c r="I466" s="4">
        <v>45719</v>
      </c>
      <c r="J466">
        <f t="shared" si="35"/>
        <v>5</v>
      </c>
      <c r="K466" t="str">
        <f t="array" ref="K466">_xlfn.IFS(J466=1,"Day Use",J466&lt;=3,"Short Stay",J466&lt;=7,"Extended Stay",J466&gt;=8,"Long Stay")</f>
        <v>Extended Stay</v>
      </c>
      <c r="L466" t="s">
        <v>25</v>
      </c>
      <c r="M466" s="10" t="str">
        <f t="shared" si="36"/>
        <v>Deluxe</v>
      </c>
      <c r="N466" t="s">
        <v>26</v>
      </c>
      <c r="O466" t="s">
        <v>42</v>
      </c>
      <c r="P466">
        <f>IFERROR(VLOOKUP(TRIM(M466),Room!D:H,5,FALSE),5000)</f>
        <v>5400</v>
      </c>
      <c r="Q466">
        <f t="shared" si="37"/>
        <v>27000</v>
      </c>
      <c r="R466" s="11" t="str">
        <f t="shared" si="38"/>
        <v>Conference</v>
      </c>
      <c r="S466" s="11">
        <f t="shared" si="39"/>
        <v>3</v>
      </c>
    </row>
    <row r="467" spans="1:19">
      <c r="A467" t="s">
        <v>2579</v>
      </c>
      <c r="B467" t="s">
        <v>2580</v>
      </c>
      <c r="C467" t="s">
        <v>1983</v>
      </c>
      <c r="D467" t="s">
        <v>2581</v>
      </c>
      <c r="E467" t="s">
        <v>2582</v>
      </c>
      <c r="F467" t="s">
        <v>2583</v>
      </c>
      <c r="G467" s="4">
        <v>45860</v>
      </c>
      <c r="H467" s="4">
        <v>45863</v>
      </c>
      <c r="I467" s="4">
        <v>45872</v>
      </c>
      <c r="J467">
        <f t="shared" si="35"/>
        <v>9</v>
      </c>
      <c r="K467" t="str">
        <f t="array" ref="K467">_xlfn.IFS(J467=1,"Day Use",J467&lt;=3,"Short Stay",J467&lt;=7,"Extended Stay",J467&gt;=8,"Long Stay")</f>
        <v>Long Stay</v>
      </c>
      <c r="L467" t="s">
        <v>141</v>
      </c>
      <c r="M467" s="10" t="str">
        <f t="shared" si="36"/>
        <v>Premium</v>
      </c>
      <c r="N467" t="s">
        <v>26</v>
      </c>
      <c r="O467" t="s">
        <v>71</v>
      </c>
      <c r="P467">
        <f>IFERROR(VLOOKUP(TRIM(M467),Room!D:H,5,FALSE),5000)</f>
        <v>9500</v>
      </c>
      <c r="Q467">
        <f t="shared" si="37"/>
        <v>85500</v>
      </c>
      <c r="R467" s="11" t="str">
        <f t="shared" si="38"/>
        <v>Conference</v>
      </c>
      <c r="S467" s="11">
        <f t="shared" si="39"/>
        <v>4</v>
      </c>
    </row>
    <row r="468" spans="1:19">
      <c r="A468" t="s">
        <v>2584</v>
      </c>
      <c r="B468" t="s">
        <v>2585</v>
      </c>
      <c r="C468" t="s">
        <v>460</v>
      </c>
      <c r="D468" t="s">
        <v>2586</v>
      </c>
      <c r="E468" t="s">
        <v>2587</v>
      </c>
      <c r="F468" t="s">
        <v>2588</v>
      </c>
      <c r="G468" s="4">
        <v>45450</v>
      </c>
      <c r="H468" s="4">
        <v>45807</v>
      </c>
      <c r="I468" s="4">
        <v>45812</v>
      </c>
      <c r="J468">
        <f t="shared" si="35"/>
        <v>5</v>
      </c>
      <c r="K468" t="str">
        <f t="array" ref="K468">_xlfn.IFS(J468=1,"Day Use",J468&lt;=3,"Short Stay",J468&lt;=7,"Extended Stay",J468&gt;=8,"Long Stay")</f>
        <v>Extended Stay</v>
      </c>
      <c r="L468" t="s">
        <v>141</v>
      </c>
      <c r="M468" s="10" t="str">
        <f t="shared" si="36"/>
        <v>Deluxe</v>
      </c>
      <c r="N468" t="s">
        <v>148</v>
      </c>
      <c r="O468" t="s">
        <v>35</v>
      </c>
      <c r="P468">
        <f>IFERROR(VLOOKUP(TRIM(M468),Room!D:H,5,FALSE),5000)</f>
        <v>5400</v>
      </c>
      <c r="Q468">
        <f t="shared" si="37"/>
        <v>27000</v>
      </c>
      <c r="R468" s="11" t="str">
        <f t="shared" si="38"/>
        <v>Conference</v>
      </c>
      <c r="S468" s="11">
        <f t="shared" si="39"/>
        <v>3</v>
      </c>
    </row>
    <row r="469" spans="1:19">
      <c r="A469" t="s">
        <v>2589</v>
      </c>
      <c r="B469" t="s">
        <v>2590</v>
      </c>
      <c r="C469" t="s">
        <v>404</v>
      </c>
      <c r="D469" t="s">
        <v>2591</v>
      </c>
      <c r="E469" t="s">
        <v>2592</v>
      </c>
      <c r="F469" t="s">
        <v>2593</v>
      </c>
      <c r="G469" s="4">
        <v>45546</v>
      </c>
      <c r="H469" s="4">
        <v>46003</v>
      </c>
      <c r="I469" s="4">
        <v>46004</v>
      </c>
      <c r="J469">
        <f t="shared" si="35"/>
        <v>1</v>
      </c>
      <c r="K469" t="str">
        <f t="array" ref="K469">_xlfn.IFS(J469=1,"Day Use",J469&lt;=3,"Short Stay",J469&lt;=7,"Extended Stay",J469&gt;=8,"Long Stay")</f>
        <v>Day Use</v>
      </c>
      <c r="L469" t="s">
        <v>196</v>
      </c>
      <c r="M469" s="10" t="str">
        <f t="shared" si="36"/>
        <v>Standard</v>
      </c>
      <c r="N469" t="s">
        <v>26</v>
      </c>
      <c r="O469" t="s">
        <v>35</v>
      </c>
      <c r="P469">
        <f>IFERROR(VLOOKUP(TRIM(M469),Room!D:H,5,FALSE),5000)</f>
        <v>3200</v>
      </c>
      <c r="Q469">
        <f t="shared" si="37"/>
        <v>3200</v>
      </c>
      <c r="R469" s="11" t="str">
        <f t="shared" si="38"/>
        <v>Other</v>
      </c>
      <c r="S469" s="11">
        <f t="shared" si="39"/>
        <v>1</v>
      </c>
    </row>
    <row r="470" spans="1:19">
      <c r="A470" t="s">
        <v>2594</v>
      </c>
      <c r="B470" t="s">
        <v>2595</v>
      </c>
      <c r="C470" t="s">
        <v>835</v>
      </c>
      <c r="D470" t="s">
        <v>2596</v>
      </c>
      <c r="E470" t="s">
        <v>2597</v>
      </c>
      <c r="F470" t="s">
        <v>2598</v>
      </c>
      <c r="G470" s="4">
        <v>45327</v>
      </c>
      <c r="H470" s="4">
        <v>45351</v>
      </c>
      <c r="I470" s="4">
        <v>45360</v>
      </c>
      <c r="J470">
        <f t="shared" si="35"/>
        <v>9</v>
      </c>
      <c r="K470" t="str">
        <f t="array" ref="K470">_xlfn.IFS(J470=1,"Day Use",J470&lt;=3,"Short Stay",J470&lt;=7,"Extended Stay",J470&gt;=8,"Long Stay")</f>
        <v>Long Stay</v>
      </c>
      <c r="L470" t="s">
        <v>25</v>
      </c>
      <c r="M470" s="10" t="str">
        <f t="shared" si="36"/>
        <v>Premium</v>
      </c>
      <c r="N470" t="s">
        <v>148</v>
      </c>
      <c r="O470" t="s">
        <v>71</v>
      </c>
      <c r="P470">
        <f>IFERROR(VLOOKUP(TRIM(M470),Room!D:H,5,FALSE),5000)</f>
        <v>9500</v>
      </c>
      <c r="Q470">
        <f t="shared" si="37"/>
        <v>85500</v>
      </c>
      <c r="R470" s="11" t="str">
        <f t="shared" si="38"/>
        <v>Conference</v>
      </c>
      <c r="S470" s="11">
        <f t="shared" si="39"/>
        <v>4</v>
      </c>
    </row>
    <row r="471" spans="1:19">
      <c r="A471" t="s">
        <v>2599</v>
      </c>
      <c r="B471" t="s">
        <v>2600</v>
      </c>
      <c r="C471" t="s">
        <v>2329</v>
      </c>
      <c r="D471" t="s">
        <v>2601</v>
      </c>
      <c r="E471" t="s">
        <v>2602</v>
      </c>
      <c r="F471" t="s">
        <v>2603</v>
      </c>
      <c r="G471" s="4">
        <v>45469</v>
      </c>
      <c r="H471" s="4">
        <v>45470</v>
      </c>
      <c r="I471" s="4">
        <v>45478</v>
      </c>
      <c r="J471">
        <f t="shared" si="35"/>
        <v>8</v>
      </c>
      <c r="K471" t="str">
        <f t="array" ref="K471">_xlfn.IFS(J471=1,"Day Use",J471&lt;=3,"Short Stay",J471&lt;=7,"Extended Stay",J471&gt;=8,"Long Stay")</f>
        <v>Long Stay</v>
      </c>
      <c r="L471" t="s">
        <v>25</v>
      </c>
      <c r="M471" s="10" t="str">
        <f t="shared" si="36"/>
        <v>Premium</v>
      </c>
      <c r="N471" t="s">
        <v>372</v>
      </c>
      <c r="O471" t="s">
        <v>35</v>
      </c>
      <c r="P471">
        <f>IFERROR(VLOOKUP(TRIM(M471),Room!D:H,5,FALSE),5000)</f>
        <v>9500</v>
      </c>
      <c r="Q471">
        <f t="shared" si="37"/>
        <v>76000</v>
      </c>
      <c r="R471" s="11" t="str">
        <f t="shared" si="38"/>
        <v>Conference</v>
      </c>
      <c r="S471" s="11">
        <f t="shared" si="39"/>
        <v>4</v>
      </c>
    </row>
    <row r="472" spans="1:19">
      <c r="A472" t="s">
        <v>2604</v>
      </c>
      <c r="B472" t="s">
        <v>2605</v>
      </c>
      <c r="C472" t="s">
        <v>558</v>
      </c>
      <c r="D472" t="s">
        <v>2606</v>
      </c>
      <c r="E472" t="s">
        <v>2607</v>
      </c>
      <c r="F472" t="s">
        <v>2608</v>
      </c>
      <c r="G472" s="4">
        <v>45230</v>
      </c>
      <c r="H472" s="4">
        <v>45358</v>
      </c>
      <c r="I472" s="4">
        <v>45369</v>
      </c>
      <c r="J472">
        <f t="shared" si="35"/>
        <v>11</v>
      </c>
      <c r="K472" t="str">
        <f t="array" ref="K472">_xlfn.IFS(J472=1,"Day Use",J472&lt;=3,"Short Stay",J472&lt;=7,"Extended Stay",J472&gt;=8,"Long Stay")</f>
        <v>Long Stay</v>
      </c>
      <c r="L472" t="s">
        <v>49</v>
      </c>
      <c r="M472" s="10" t="str">
        <f t="shared" si="36"/>
        <v>Suite</v>
      </c>
      <c r="N472" t="s">
        <v>26</v>
      </c>
      <c r="O472" t="s">
        <v>27</v>
      </c>
      <c r="P472">
        <f>IFERROR(VLOOKUP(TRIM(M472),Room!D:H,5,FALSE),5000)</f>
        <v>12500</v>
      </c>
      <c r="Q472">
        <f t="shared" si="37"/>
        <v>137500</v>
      </c>
      <c r="R472" s="11" t="str">
        <f t="shared" si="38"/>
        <v>Business</v>
      </c>
      <c r="S472" s="11">
        <f t="shared" si="39"/>
        <v>5</v>
      </c>
    </row>
    <row r="473" spans="1:19">
      <c r="A473" t="s">
        <v>2609</v>
      </c>
      <c r="B473" t="s">
        <v>2610</v>
      </c>
      <c r="C473" t="s">
        <v>518</v>
      </c>
      <c r="D473" t="s">
        <v>2611</v>
      </c>
      <c r="E473" t="s">
        <v>2612</v>
      </c>
      <c r="F473" t="s">
        <v>2613</v>
      </c>
      <c r="G473" s="4">
        <v>45238</v>
      </c>
      <c r="H473" s="4">
        <v>45867</v>
      </c>
      <c r="I473" s="4">
        <v>45871</v>
      </c>
      <c r="J473">
        <f t="shared" si="35"/>
        <v>4</v>
      </c>
      <c r="K473" t="str">
        <f t="array" ref="K473">_xlfn.IFS(J473=1,"Day Use",J473&lt;=3,"Short Stay",J473&lt;=7,"Extended Stay",J473&gt;=8,"Long Stay")</f>
        <v>Extended Stay</v>
      </c>
      <c r="L473" t="s">
        <v>84</v>
      </c>
      <c r="M473" s="10" t="str">
        <f t="shared" si="36"/>
        <v>Deluxe</v>
      </c>
      <c r="N473" t="s">
        <v>26</v>
      </c>
      <c r="O473" t="s">
        <v>71</v>
      </c>
      <c r="P473">
        <f>IFERROR(VLOOKUP(TRIM(M473),Room!D:H,5,FALSE),5000)</f>
        <v>5400</v>
      </c>
      <c r="Q473">
        <f t="shared" si="37"/>
        <v>21600</v>
      </c>
      <c r="R473" s="11" t="str">
        <f t="shared" si="38"/>
        <v>Conference</v>
      </c>
      <c r="S473" s="11">
        <f t="shared" si="39"/>
        <v>3</v>
      </c>
    </row>
    <row r="474" spans="1:19">
      <c r="A474" t="s">
        <v>2614</v>
      </c>
      <c r="B474" t="s">
        <v>2615</v>
      </c>
      <c r="C474" t="s">
        <v>575</v>
      </c>
      <c r="D474" t="s">
        <v>2616</v>
      </c>
      <c r="E474" t="s">
        <v>2617</v>
      </c>
      <c r="F474" t="s">
        <v>2618</v>
      </c>
      <c r="G474" s="4">
        <v>45333</v>
      </c>
      <c r="H474" s="4">
        <v>45754</v>
      </c>
      <c r="I474" s="4">
        <v>45762</v>
      </c>
      <c r="J474">
        <f t="shared" si="35"/>
        <v>8</v>
      </c>
      <c r="K474" t="str">
        <f t="array" ref="K474">_xlfn.IFS(J474=1,"Day Use",J474&lt;=3,"Short Stay",J474&lt;=7,"Extended Stay",J474&gt;=8,"Long Stay")</f>
        <v>Long Stay</v>
      </c>
      <c r="L474" t="s">
        <v>84</v>
      </c>
      <c r="M474" s="10" t="str">
        <f t="shared" si="36"/>
        <v>Premium</v>
      </c>
      <c r="N474" t="s">
        <v>148</v>
      </c>
      <c r="O474" t="s">
        <v>58</v>
      </c>
      <c r="P474">
        <f>IFERROR(VLOOKUP(TRIM(M474),Room!D:H,5,FALSE),5000)</f>
        <v>9500</v>
      </c>
      <c r="Q474">
        <f t="shared" si="37"/>
        <v>76000</v>
      </c>
      <c r="R474" s="11" t="str">
        <f t="shared" si="38"/>
        <v>Conference</v>
      </c>
      <c r="S474" s="11">
        <f t="shared" si="39"/>
        <v>4</v>
      </c>
    </row>
    <row r="475" spans="1:19">
      <c r="A475" t="s">
        <v>2619</v>
      </c>
      <c r="B475" t="s">
        <v>2620</v>
      </c>
      <c r="C475" t="s">
        <v>1074</v>
      </c>
      <c r="D475" t="s">
        <v>2621</v>
      </c>
      <c r="E475" t="s">
        <v>2622</v>
      </c>
      <c r="F475" t="s">
        <v>2623</v>
      </c>
      <c r="G475" s="4">
        <v>45588</v>
      </c>
      <c r="H475" s="4">
        <v>45590</v>
      </c>
      <c r="I475" s="4">
        <v>45602</v>
      </c>
      <c r="J475">
        <f t="shared" si="35"/>
        <v>12</v>
      </c>
      <c r="K475" t="str">
        <f t="array" ref="K475">_xlfn.IFS(J475=1,"Day Use",J475&lt;=3,"Short Stay",J475&lt;=7,"Extended Stay",J475&gt;=8,"Long Stay")</f>
        <v>Long Stay</v>
      </c>
      <c r="L475" t="s">
        <v>84</v>
      </c>
      <c r="M475" s="10" t="str">
        <f t="shared" si="36"/>
        <v>Suite</v>
      </c>
      <c r="N475" t="s">
        <v>26</v>
      </c>
      <c r="O475" t="s">
        <v>42</v>
      </c>
      <c r="P475">
        <f>IFERROR(VLOOKUP(TRIM(M475),Room!D:H,5,FALSE),5000)</f>
        <v>12500</v>
      </c>
      <c r="Q475">
        <f t="shared" si="37"/>
        <v>150000</v>
      </c>
      <c r="R475" s="11" t="str">
        <f t="shared" si="38"/>
        <v>Business</v>
      </c>
      <c r="S475" s="11">
        <f t="shared" si="39"/>
        <v>5</v>
      </c>
    </row>
    <row r="476" spans="1:19">
      <c r="A476" t="s">
        <v>2624</v>
      </c>
      <c r="B476" t="s">
        <v>2625</v>
      </c>
      <c r="C476" t="s">
        <v>1545</v>
      </c>
      <c r="D476" t="s">
        <v>2626</v>
      </c>
      <c r="E476" t="s">
        <v>2627</v>
      </c>
      <c r="F476" t="s">
        <v>2628</v>
      </c>
      <c r="G476" s="4">
        <v>45508</v>
      </c>
      <c r="H476" s="4">
        <v>45518</v>
      </c>
      <c r="I476" s="4">
        <v>45526</v>
      </c>
      <c r="J476">
        <f t="shared" si="35"/>
        <v>8</v>
      </c>
      <c r="K476" t="str">
        <f t="array" ref="K476">_xlfn.IFS(J476=1,"Day Use",J476&lt;=3,"Short Stay",J476&lt;=7,"Extended Stay",J476&gt;=8,"Long Stay")</f>
        <v>Long Stay</v>
      </c>
      <c r="L476" t="s">
        <v>91</v>
      </c>
      <c r="M476" s="10" t="str">
        <f t="shared" si="36"/>
        <v>Premium</v>
      </c>
      <c r="N476" t="s">
        <v>148</v>
      </c>
      <c r="O476" t="s">
        <v>27</v>
      </c>
      <c r="P476">
        <f>IFERROR(VLOOKUP(TRIM(M476),Room!D:H,5,FALSE),5000)</f>
        <v>9500</v>
      </c>
      <c r="Q476">
        <f t="shared" si="37"/>
        <v>76000</v>
      </c>
      <c r="R476" s="11" t="str">
        <f t="shared" si="38"/>
        <v>Conference</v>
      </c>
      <c r="S476" s="11">
        <f t="shared" si="39"/>
        <v>4</v>
      </c>
    </row>
    <row r="477" spans="1:19">
      <c r="A477" t="s">
        <v>2629</v>
      </c>
      <c r="B477" t="s">
        <v>2630</v>
      </c>
      <c r="C477" t="s">
        <v>118</v>
      </c>
      <c r="D477" t="s">
        <v>2631</v>
      </c>
      <c r="E477" t="s">
        <v>2632</v>
      </c>
      <c r="F477" t="s">
        <v>2633</v>
      </c>
      <c r="G477" s="4">
        <v>45474</v>
      </c>
      <c r="H477" s="4">
        <v>45488</v>
      </c>
      <c r="I477" s="4">
        <v>45493</v>
      </c>
      <c r="J477">
        <f t="shared" si="35"/>
        <v>5</v>
      </c>
      <c r="K477" t="str">
        <f t="array" ref="K477">_xlfn.IFS(J477=1,"Day Use",J477&lt;=3,"Short Stay",J477&lt;=7,"Extended Stay",J477&gt;=8,"Long Stay")</f>
        <v>Extended Stay</v>
      </c>
      <c r="L477" t="s">
        <v>49</v>
      </c>
      <c r="M477" s="10" t="str">
        <f t="shared" si="36"/>
        <v>Deluxe</v>
      </c>
      <c r="N477" t="s">
        <v>57</v>
      </c>
      <c r="O477" t="s">
        <v>58</v>
      </c>
      <c r="P477">
        <f>IFERROR(VLOOKUP(TRIM(M477),Room!D:H,5,FALSE),5000)</f>
        <v>5400</v>
      </c>
      <c r="Q477">
        <f t="shared" si="37"/>
        <v>27000</v>
      </c>
      <c r="R477" s="11" t="str">
        <f t="shared" si="38"/>
        <v>Conference</v>
      </c>
      <c r="S477" s="11">
        <f t="shared" si="39"/>
        <v>3</v>
      </c>
    </row>
    <row r="478" spans="1:19">
      <c r="A478" t="s">
        <v>2634</v>
      </c>
      <c r="B478" t="s">
        <v>2635</v>
      </c>
      <c r="C478" t="s">
        <v>2636</v>
      </c>
      <c r="D478" t="s">
        <v>2637</v>
      </c>
      <c r="E478" t="s">
        <v>2638</v>
      </c>
      <c r="F478" t="s">
        <v>2639</v>
      </c>
      <c r="G478" s="4">
        <v>45351</v>
      </c>
      <c r="H478" s="4">
        <v>45355</v>
      </c>
      <c r="I478" s="4">
        <v>45357</v>
      </c>
      <c r="J478">
        <f t="shared" si="35"/>
        <v>2</v>
      </c>
      <c r="K478" t="str">
        <f t="array" ref="K478">_xlfn.IFS(J478=1,"Day Use",J478&lt;=3,"Short Stay",J478&lt;=7,"Extended Stay",J478&gt;=8,"Long Stay")</f>
        <v>Short Stay</v>
      </c>
      <c r="L478" t="s">
        <v>91</v>
      </c>
      <c r="M478" s="10" t="str">
        <f t="shared" si="36"/>
        <v>Standard</v>
      </c>
      <c r="N478" t="s">
        <v>26</v>
      </c>
      <c r="O478" t="s">
        <v>71</v>
      </c>
      <c r="P478">
        <f>IFERROR(VLOOKUP(TRIM(M478),Room!D:H,5,FALSE),5000)</f>
        <v>3200</v>
      </c>
      <c r="Q478">
        <f t="shared" si="37"/>
        <v>6400</v>
      </c>
      <c r="R478" s="11" t="str">
        <f t="shared" si="38"/>
        <v>Other</v>
      </c>
      <c r="S478" s="11">
        <f t="shared" si="39"/>
        <v>2</v>
      </c>
    </row>
    <row r="479" spans="1:19">
      <c r="A479" t="s">
        <v>2640</v>
      </c>
      <c r="B479" t="s">
        <v>2641</v>
      </c>
      <c r="C479" t="s">
        <v>2642</v>
      </c>
      <c r="D479" t="s">
        <v>2643</v>
      </c>
      <c r="E479" t="s">
        <v>2644</v>
      </c>
      <c r="F479" t="s">
        <v>2645</v>
      </c>
      <c r="G479" s="4">
        <v>45590</v>
      </c>
      <c r="H479" s="4">
        <v>45590</v>
      </c>
      <c r="I479" s="4">
        <v>45594</v>
      </c>
      <c r="J479">
        <f t="shared" si="35"/>
        <v>4</v>
      </c>
      <c r="K479" t="str">
        <f t="array" ref="K479">_xlfn.IFS(J479=1,"Day Use",J479&lt;=3,"Short Stay",J479&lt;=7,"Extended Stay",J479&gt;=8,"Long Stay")</f>
        <v>Extended Stay</v>
      </c>
      <c r="L479" t="s">
        <v>56</v>
      </c>
      <c r="M479" s="10" t="str">
        <f t="shared" si="36"/>
        <v>Deluxe</v>
      </c>
      <c r="N479" t="s">
        <v>26</v>
      </c>
      <c r="O479" t="s">
        <v>58</v>
      </c>
      <c r="P479">
        <f>IFERROR(VLOOKUP(TRIM(M479),Room!D:H,5,FALSE),5000)</f>
        <v>5400</v>
      </c>
      <c r="Q479">
        <f t="shared" si="37"/>
        <v>21600</v>
      </c>
      <c r="R479" s="11" t="str">
        <f t="shared" si="38"/>
        <v>Conference</v>
      </c>
      <c r="S479" s="11">
        <f t="shared" si="39"/>
        <v>3</v>
      </c>
    </row>
    <row r="480" spans="1:19">
      <c r="A480" t="s">
        <v>2646</v>
      </c>
      <c r="B480" t="s">
        <v>2647</v>
      </c>
      <c r="C480" t="s">
        <v>835</v>
      </c>
      <c r="D480" t="s">
        <v>2648</v>
      </c>
      <c r="E480" t="s">
        <v>2649</v>
      </c>
      <c r="F480" t="s">
        <v>2650</v>
      </c>
      <c r="G480" s="4">
        <v>45304</v>
      </c>
      <c r="H480" s="4">
        <v>45921</v>
      </c>
      <c r="I480" s="4">
        <v>45935</v>
      </c>
      <c r="J480">
        <f t="shared" si="35"/>
        <v>14</v>
      </c>
      <c r="K480" t="str">
        <f t="array" ref="K480">_xlfn.IFS(J480=1,"Day Use",J480&lt;=3,"Short Stay",J480&lt;=7,"Extended Stay",J480&gt;=8,"Long Stay")</f>
        <v>Long Stay</v>
      </c>
      <c r="L480" t="s">
        <v>91</v>
      </c>
      <c r="M480" s="10" t="str">
        <f t="shared" si="36"/>
        <v>Suite</v>
      </c>
      <c r="N480" t="s">
        <v>57</v>
      </c>
      <c r="O480" t="s">
        <v>71</v>
      </c>
      <c r="P480">
        <f>IFERROR(VLOOKUP(TRIM(M480),Room!D:H,5,FALSE),5000)</f>
        <v>12500</v>
      </c>
      <c r="Q480">
        <f t="shared" si="37"/>
        <v>175000</v>
      </c>
      <c r="R480" s="11" t="str">
        <f t="shared" si="38"/>
        <v>Business</v>
      </c>
      <c r="S480" s="11">
        <f t="shared" si="39"/>
        <v>5</v>
      </c>
    </row>
    <row r="481" spans="1:19">
      <c r="A481" t="s">
        <v>2651</v>
      </c>
      <c r="B481" t="s">
        <v>2652</v>
      </c>
      <c r="C481" t="s">
        <v>1693</v>
      </c>
      <c r="D481" t="s">
        <v>2653</v>
      </c>
      <c r="E481" t="s">
        <v>2654</v>
      </c>
      <c r="F481" t="s">
        <v>2655</v>
      </c>
      <c r="G481" s="4">
        <v>45385</v>
      </c>
      <c r="H481" s="4">
        <v>45659</v>
      </c>
      <c r="I481" s="4">
        <v>45660</v>
      </c>
      <c r="J481">
        <f t="shared" si="35"/>
        <v>1</v>
      </c>
      <c r="K481" t="str">
        <f t="array" ref="K481">_xlfn.IFS(J481=1,"Day Use",J481&lt;=3,"Short Stay",J481&lt;=7,"Extended Stay",J481&gt;=8,"Long Stay")</f>
        <v>Day Use</v>
      </c>
      <c r="L481" t="s">
        <v>141</v>
      </c>
      <c r="M481" s="10" t="str">
        <f t="shared" si="36"/>
        <v>Standard</v>
      </c>
      <c r="N481" t="s">
        <v>26</v>
      </c>
      <c r="O481" t="s">
        <v>27</v>
      </c>
      <c r="P481">
        <f>IFERROR(VLOOKUP(TRIM(M481),Room!D:H,5,FALSE),5000)</f>
        <v>3200</v>
      </c>
      <c r="Q481">
        <f t="shared" si="37"/>
        <v>3200</v>
      </c>
      <c r="R481" s="11" t="str">
        <f t="shared" si="38"/>
        <v>Other</v>
      </c>
      <c r="S481" s="11">
        <f t="shared" si="39"/>
        <v>1</v>
      </c>
    </row>
    <row r="482" spans="1:19">
      <c r="A482" t="s">
        <v>2656</v>
      </c>
      <c r="B482" t="s">
        <v>2657</v>
      </c>
      <c r="C482" t="s">
        <v>933</v>
      </c>
      <c r="D482" t="s">
        <v>2658</v>
      </c>
      <c r="E482" t="s">
        <v>2659</v>
      </c>
      <c r="F482" t="s">
        <v>2660</v>
      </c>
      <c r="G482" s="4">
        <v>45203</v>
      </c>
      <c r="H482" s="4">
        <v>45641</v>
      </c>
      <c r="I482" s="4">
        <v>45648</v>
      </c>
      <c r="J482">
        <f t="shared" si="35"/>
        <v>7</v>
      </c>
      <c r="K482" t="str">
        <f t="array" ref="K482">_xlfn.IFS(J482=1,"Day Use",J482&lt;=3,"Short Stay",J482&lt;=7,"Extended Stay",J482&gt;=8,"Long Stay")</f>
        <v>Extended Stay</v>
      </c>
      <c r="L482" t="s">
        <v>56</v>
      </c>
      <c r="M482" s="10" t="str">
        <f t="shared" si="36"/>
        <v>Premium</v>
      </c>
      <c r="N482" t="s">
        <v>134</v>
      </c>
      <c r="O482" t="s">
        <v>71</v>
      </c>
      <c r="P482">
        <f>IFERROR(VLOOKUP(TRIM(M482),Room!D:H,5,FALSE),5000)</f>
        <v>9500</v>
      </c>
      <c r="Q482">
        <f t="shared" si="37"/>
        <v>66500</v>
      </c>
      <c r="R482" s="11" t="str">
        <f t="shared" si="38"/>
        <v>Conference</v>
      </c>
      <c r="S482" s="11">
        <f t="shared" si="39"/>
        <v>4</v>
      </c>
    </row>
    <row r="483" spans="1:19">
      <c r="A483" t="s">
        <v>2661</v>
      </c>
      <c r="B483" t="s">
        <v>2662</v>
      </c>
      <c r="C483" t="s">
        <v>2663</v>
      </c>
      <c r="D483" t="s">
        <v>2664</v>
      </c>
      <c r="E483" t="s">
        <v>2665</v>
      </c>
      <c r="F483" t="s">
        <v>2666</v>
      </c>
      <c r="G483" s="4">
        <v>45319</v>
      </c>
      <c r="H483" s="4">
        <v>45709</v>
      </c>
      <c r="I483" s="4">
        <v>45722</v>
      </c>
      <c r="J483">
        <f t="shared" si="35"/>
        <v>13</v>
      </c>
      <c r="K483" t="str">
        <f t="array" ref="K483">_xlfn.IFS(J483=1,"Day Use",J483&lt;=3,"Short Stay",J483&lt;=7,"Extended Stay",J483&gt;=8,"Long Stay")</f>
        <v>Long Stay</v>
      </c>
      <c r="L483" t="s">
        <v>141</v>
      </c>
      <c r="M483" s="10" t="str">
        <f t="shared" si="36"/>
        <v>Suite</v>
      </c>
      <c r="N483" t="s">
        <v>26</v>
      </c>
      <c r="O483" t="s">
        <v>42</v>
      </c>
      <c r="P483">
        <f>IFERROR(VLOOKUP(TRIM(M483),Room!D:H,5,FALSE),5000)</f>
        <v>12500</v>
      </c>
      <c r="Q483">
        <f t="shared" si="37"/>
        <v>162500</v>
      </c>
      <c r="R483" s="11" t="str">
        <f t="shared" si="38"/>
        <v>Business</v>
      </c>
      <c r="S483" s="11">
        <f t="shared" si="39"/>
        <v>5</v>
      </c>
    </row>
    <row r="484" spans="1:19">
      <c r="A484" t="s">
        <v>2667</v>
      </c>
      <c r="B484" t="s">
        <v>2668</v>
      </c>
      <c r="C484" t="s">
        <v>2636</v>
      </c>
      <c r="D484" t="s">
        <v>2669</v>
      </c>
      <c r="E484" t="s">
        <v>2670</v>
      </c>
      <c r="F484" t="s">
        <v>2671</v>
      </c>
      <c r="G484" s="4">
        <v>45418</v>
      </c>
      <c r="H484" s="4">
        <v>45527</v>
      </c>
      <c r="I484" s="4">
        <v>45540</v>
      </c>
      <c r="J484">
        <f t="shared" si="35"/>
        <v>13</v>
      </c>
      <c r="K484" t="str">
        <f t="array" ref="K484">_xlfn.IFS(J484=1,"Day Use",J484&lt;=3,"Short Stay",J484&lt;=7,"Extended Stay",J484&gt;=8,"Long Stay")</f>
        <v>Long Stay</v>
      </c>
      <c r="L484" t="s">
        <v>84</v>
      </c>
      <c r="M484" s="10" t="str">
        <f t="shared" si="36"/>
        <v>Suite</v>
      </c>
      <c r="N484" t="s">
        <v>134</v>
      </c>
      <c r="O484" t="s">
        <v>27</v>
      </c>
      <c r="P484">
        <f>IFERROR(VLOOKUP(TRIM(M484),Room!D:H,5,FALSE),5000)</f>
        <v>12500</v>
      </c>
      <c r="Q484">
        <f t="shared" si="37"/>
        <v>162500</v>
      </c>
      <c r="R484" s="11" t="str">
        <f t="shared" si="38"/>
        <v>Business</v>
      </c>
      <c r="S484" s="11">
        <f t="shared" si="39"/>
        <v>5</v>
      </c>
    </row>
    <row r="485" spans="1:19">
      <c r="A485" t="s">
        <v>2672</v>
      </c>
      <c r="B485" t="s">
        <v>2673</v>
      </c>
      <c r="C485" t="s">
        <v>1482</v>
      </c>
      <c r="D485" t="s">
        <v>2674</v>
      </c>
      <c r="E485" t="s">
        <v>2675</v>
      </c>
      <c r="F485" t="s">
        <v>2676</v>
      </c>
      <c r="G485" s="4">
        <v>45441</v>
      </c>
      <c r="H485" s="4">
        <v>45829</v>
      </c>
      <c r="I485" s="4">
        <v>45838</v>
      </c>
      <c r="J485">
        <f t="shared" si="35"/>
        <v>9</v>
      </c>
      <c r="K485" t="str">
        <f t="array" ref="K485">_xlfn.IFS(J485=1,"Day Use",J485&lt;=3,"Short Stay",J485&lt;=7,"Extended Stay",J485&gt;=8,"Long Stay")</f>
        <v>Long Stay</v>
      </c>
      <c r="L485" t="s">
        <v>25</v>
      </c>
      <c r="M485" s="10" t="str">
        <f t="shared" si="36"/>
        <v>Premium</v>
      </c>
      <c r="N485" t="s">
        <v>26</v>
      </c>
      <c r="O485" t="s">
        <v>42</v>
      </c>
      <c r="P485">
        <f>IFERROR(VLOOKUP(TRIM(M485),Room!D:H,5,FALSE),5000)</f>
        <v>9500</v>
      </c>
      <c r="Q485">
        <f t="shared" si="37"/>
        <v>85500</v>
      </c>
      <c r="R485" s="11" t="str">
        <f t="shared" si="38"/>
        <v>Conference</v>
      </c>
      <c r="S485" s="11">
        <f t="shared" si="39"/>
        <v>4</v>
      </c>
    </row>
    <row r="486" spans="1:19">
      <c r="A486" t="s">
        <v>2677</v>
      </c>
      <c r="B486" t="s">
        <v>2678</v>
      </c>
      <c r="C486" t="s">
        <v>1036</v>
      </c>
      <c r="D486" t="s">
        <v>2679</v>
      </c>
      <c r="E486" t="s">
        <v>2680</v>
      </c>
      <c r="F486" t="s">
        <v>2681</v>
      </c>
      <c r="G486" s="4">
        <v>45729</v>
      </c>
      <c r="H486" s="4">
        <v>45861</v>
      </c>
      <c r="I486" s="4">
        <v>45862</v>
      </c>
      <c r="J486">
        <f t="shared" si="35"/>
        <v>1</v>
      </c>
      <c r="K486" t="str">
        <f t="array" ref="K486">_xlfn.IFS(J486=1,"Day Use",J486&lt;=3,"Short Stay",J486&lt;=7,"Extended Stay",J486&gt;=8,"Long Stay")</f>
        <v>Day Use</v>
      </c>
      <c r="L486" t="s">
        <v>49</v>
      </c>
      <c r="M486" s="10" t="str">
        <f t="shared" si="36"/>
        <v>Standard</v>
      </c>
      <c r="N486" t="s">
        <v>26</v>
      </c>
      <c r="O486" t="s">
        <v>42</v>
      </c>
      <c r="P486">
        <f>IFERROR(VLOOKUP(TRIM(M486),Room!D:H,5,FALSE),5000)</f>
        <v>3200</v>
      </c>
      <c r="Q486">
        <f t="shared" si="37"/>
        <v>3200</v>
      </c>
      <c r="R486" s="11" t="str">
        <f t="shared" si="38"/>
        <v>Other</v>
      </c>
      <c r="S486" s="11">
        <f t="shared" si="39"/>
        <v>1</v>
      </c>
    </row>
    <row r="487" spans="1:19">
      <c r="A487" t="s">
        <v>2682</v>
      </c>
      <c r="B487" t="s">
        <v>2683</v>
      </c>
      <c r="C487" t="s">
        <v>1146</v>
      </c>
      <c r="D487" t="s">
        <v>2684</v>
      </c>
      <c r="E487" t="s">
        <v>2685</v>
      </c>
      <c r="F487" t="s">
        <v>2686</v>
      </c>
      <c r="G487" s="4">
        <v>45660</v>
      </c>
      <c r="H487" s="4">
        <v>45919</v>
      </c>
      <c r="I487" s="4">
        <v>45920</v>
      </c>
      <c r="J487">
        <f t="shared" si="35"/>
        <v>1</v>
      </c>
      <c r="K487" t="str">
        <f t="array" ref="K487">_xlfn.IFS(J487=1,"Day Use",J487&lt;=3,"Short Stay",J487&lt;=7,"Extended Stay",J487&gt;=8,"Long Stay")</f>
        <v>Day Use</v>
      </c>
      <c r="L487" t="s">
        <v>25</v>
      </c>
      <c r="M487" s="10" t="str">
        <f t="shared" si="36"/>
        <v>Standard</v>
      </c>
      <c r="N487" t="s">
        <v>26</v>
      </c>
      <c r="O487" t="s">
        <v>58</v>
      </c>
      <c r="P487">
        <f>IFERROR(VLOOKUP(TRIM(M487),Room!D:H,5,FALSE),5000)</f>
        <v>3200</v>
      </c>
      <c r="Q487">
        <f t="shared" si="37"/>
        <v>3200</v>
      </c>
      <c r="R487" s="11" t="str">
        <f t="shared" si="38"/>
        <v>Other</v>
      </c>
      <c r="S487" s="11">
        <f t="shared" si="39"/>
        <v>1</v>
      </c>
    </row>
    <row r="488" spans="1:19">
      <c r="A488" t="s">
        <v>2687</v>
      </c>
      <c r="B488" t="s">
        <v>2688</v>
      </c>
      <c r="C488" t="s">
        <v>2689</v>
      </c>
      <c r="D488" t="s">
        <v>2690</v>
      </c>
      <c r="E488" t="s">
        <v>2691</v>
      </c>
      <c r="F488" t="s">
        <v>2692</v>
      </c>
      <c r="G488" s="4">
        <v>45613</v>
      </c>
      <c r="H488" s="4">
        <v>45623</v>
      </c>
      <c r="I488" s="4">
        <v>45637</v>
      </c>
      <c r="J488">
        <f t="shared" si="35"/>
        <v>14</v>
      </c>
      <c r="K488" t="str">
        <f t="array" ref="K488">_xlfn.IFS(J488=1,"Day Use",J488&lt;=3,"Short Stay",J488&lt;=7,"Extended Stay",J488&gt;=8,"Long Stay")</f>
        <v>Long Stay</v>
      </c>
      <c r="L488" t="s">
        <v>91</v>
      </c>
      <c r="M488" s="10" t="str">
        <f t="shared" si="36"/>
        <v>Suite</v>
      </c>
      <c r="N488" t="s">
        <v>26</v>
      </c>
      <c r="O488" t="s">
        <v>35</v>
      </c>
      <c r="P488">
        <f>IFERROR(VLOOKUP(TRIM(M488),Room!D:H,5,FALSE),5000)</f>
        <v>12500</v>
      </c>
      <c r="Q488">
        <f t="shared" si="37"/>
        <v>175000</v>
      </c>
      <c r="R488" s="11" t="str">
        <f t="shared" si="38"/>
        <v>Business</v>
      </c>
      <c r="S488" s="11">
        <f t="shared" si="39"/>
        <v>5</v>
      </c>
    </row>
    <row r="489" spans="1:19">
      <c r="A489" t="s">
        <v>2693</v>
      </c>
      <c r="B489" t="s">
        <v>2694</v>
      </c>
      <c r="C489" t="s">
        <v>2313</v>
      </c>
      <c r="D489" t="s">
        <v>2695</v>
      </c>
      <c r="E489" t="s">
        <v>2696</v>
      </c>
      <c r="F489" t="s">
        <v>2697</v>
      </c>
      <c r="G489" s="4">
        <v>45629</v>
      </c>
      <c r="H489" s="4">
        <v>45648</v>
      </c>
      <c r="I489" s="4">
        <v>45656</v>
      </c>
      <c r="J489">
        <f t="shared" si="35"/>
        <v>8</v>
      </c>
      <c r="K489" t="str">
        <f t="array" ref="K489">_xlfn.IFS(J489=1,"Day Use",J489&lt;=3,"Short Stay",J489&lt;=7,"Extended Stay",J489&gt;=8,"Long Stay")</f>
        <v>Long Stay</v>
      </c>
      <c r="L489" t="s">
        <v>196</v>
      </c>
      <c r="M489" s="10" t="str">
        <f t="shared" si="36"/>
        <v>Premium</v>
      </c>
      <c r="N489" t="s">
        <v>26</v>
      </c>
      <c r="O489" t="s">
        <v>27</v>
      </c>
      <c r="P489">
        <f>IFERROR(VLOOKUP(TRIM(M489),Room!D:H,5,FALSE),5000)</f>
        <v>9500</v>
      </c>
      <c r="Q489">
        <f t="shared" si="37"/>
        <v>76000</v>
      </c>
      <c r="R489" s="11" t="str">
        <f t="shared" si="38"/>
        <v>Conference</v>
      </c>
      <c r="S489" s="11">
        <f t="shared" si="39"/>
        <v>4</v>
      </c>
    </row>
    <row r="490" spans="1:19">
      <c r="A490" t="s">
        <v>2698</v>
      </c>
      <c r="B490" t="s">
        <v>2699</v>
      </c>
      <c r="C490" t="s">
        <v>865</v>
      </c>
      <c r="D490" t="s">
        <v>2700</v>
      </c>
      <c r="E490" t="s">
        <v>2701</v>
      </c>
      <c r="F490" t="s">
        <v>2702</v>
      </c>
      <c r="G490" s="4">
        <v>45793</v>
      </c>
      <c r="H490" s="4">
        <v>45964</v>
      </c>
      <c r="I490" s="4">
        <v>45976</v>
      </c>
      <c r="J490">
        <f t="shared" si="35"/>
        <v>12</v>
      </c>
      <c r="K490" t="str">
        <f t="array" ref="K490">_xlfn.IFS(J490=1,"Day Use",J490&lt;=3,"Short Stay",J490&lt;=7,"Extended Stay",J490&gt;=8,"Long Stay")</f>
        <v>Long Stay</v>
      </c>
      <c r="L490" t="s">
        <v>196</v>
      </c>
      <c r="M490" s="10" t="str">
        <f t="shared" si="36"/>
        <v>Suite</v>
      </c>
      <c r="N490" t="s">
        <v>148</v>
      </c>
      <c r="O490" t="s">
        <v>71</v>
      </c>
      <c r="P490">
        <f>IFERROR(VLOOKUP(TRIM(M490),Room!D:H,5,FALSE),5000)</f>
        <v>12500</v>
      </c>
      <c r="Q490">
        <f t="shared" si="37"/>
        <v>150000</v>
      </c>
      <c r="R490" s="11" t="str">
        <f t="shared" si="38"/>
        <v>Business</v>
      </c>
      <c r="S490" s="11">
        <f t="shared" si="39"/>
        <v>5</v>
      </c>
    </row>
    <row r="491" spans="1:19">
      <c r="A491" t="s">
        <v>2703</v>
      </c>
      <c r="B491" t="s">
        <v>2704</v>
      </c>
      <c r="C491" t="s">
        <v>982</v>
      </c>
      <c r="D491" t="s">
        <v>2705</v>
      </c>
      <c r="E491" t="s">
        <v>2706</v>
      </c>
      <c r="F491" t="s">
        <v>2707</v>
      </c>
      <c r="G491" s="4">
        <v>45595</v>
      </c>
      <c r="H491" s="4">
        <v>45605</v>
      </c>
      <c r="I491" s="4">
        <v>45610</v>
      </c>
      <c r="J491">
        <f t="shared" si="35"/>
        <v>5</v>
      </c>
      <c r="K491" t="str">
        <f t="array" ref="K491">_xlfn.IFS(J491=1,"Day Use",J491&lt;=3,"Short Stay",J491&lt;=7,"Extended Stay",J491&gt;=8,"Long Stay")</f>
        <v>Extended Stay</v>
      </c>
      <c r="L491" t="s">
        <v>56</v>
      </c>
      <c r="M491" s="10" t="str">
        <f t="shared" si="36"/>
        <v>Deluxe</v>
      </c>
      <c r="N491" t="s">
        <v>26</v>
      </c>
      <c r="O491" t="s">
        <v>27</v>
      </c>
      <c r="P491">
        <f>IFERROR(VLOOKUP(TRIM(M491),Room!D:H,5,FALSE),5000)</f>
        <v>5400</v>
      </c>
      <c r="Q491">
        <f t="shared" si="37"/>
        <v>27000</v>
      </c>
      <c r="R491" s="11" t="str">
        <f t="shared" si="38"/>
        <v>Conference</v>
      </c>
      <c r="S491" s="11">
        <f t="shared" si="39"/>
        <v>3</v>
      </c>
    </row>
    <row r="492" spans="1:19">
      <c r="A492" t="s">
        <v>2708</v>
      </c>
      <c r="B492" t="s">
        <v>2709</v>
      </c>
      <c r="C492" t="s">
        <v>685</v>
      </c>
      <c r="D492" t="s">
        <v>2710</v>
      </c>
      <c r="E492" t="s">
        <v>2711</v>
      </c>
      <c r="F492" t="s">
        <v>2712</v>
      </c>
      <c r="G492" s="4">
        <v>45677</v>
      </c>
      <c r="H492" s="4">
        <v>45689</v>
      </c>
      <c r="I492" s="4">
        <v>45697</v>
      </c>
      <c r="J492">
        <f t="shared" si="35"/>
        <v>8</v>
      </c>
      <c r="K492" t="str">
        <f t="array" ref="K492">_xlfn.IFS(J492=1,"Day Use",J492&lt;=3,"Short Stay",J492&lt;=7,"Extended Stay",J492&gt;=8,"Long Stay")</f>
        <v>Long Stay</v>
      </c>
      <c r="L492" t="s">
        <v>49</v>
      </c>
      <c r="M492" s="10" t="str">
        <f t="shared" si="36"/>
        <v>Premium</v>
      </c>
      <c r="N492" t="s">
        <v>26</v>
      </c>
      <c r="O492" t="s">
        <v>71</v>
      </c>
      <c r="P492">
        <f>IFERROR(VLOOKUP(TRIM(M492),Room!D:H,5,FALSE),5000)</f>
        <v>9500</v>
      </c>
      <c r="Q492">
        <f t="shared" si="37"/>
        <v>76000</v>
      </c>
      <c r="R492" s="11" t="str">
        <f t="shared" si="38"/>
        <v>Conference</v>
      </c>
      <c r="S492" s="11">
        <f t="shared" si="39"/>
        <v>4</v>
      </c>
    </row>
    <row r="493" spans="1:19">
      <c r="A493" t="s">
        <v>2713</v>
      </c>
      <c r="B493" t="s">
        <v>2714</v>
      </c>
      <c r="C493" t="s">
        <v>443</v>
      </c>
      <c r="D493" t="s">
        <v>2715</v>
      </c>
      <c r="E493" t="s">
        <v>2716</v>
      </c>
      <c r="F493" t="s">
        <v>2717</v>
      </c>
      <c r="G493" s="4">
        <v>45325</v>
      </c>
      <c r="H493" s="4">
        <v>45844</v>
      </c>
      <c r="I493" s="4">
        <v>45856</v>
      </c>
      <c r="J493">
        <f t="shared" si="35"/>
        <v>12</v>
      </c>
      <c r="K493" t="str">
        <f t="array" ref="K493">_xlfn.IFS(J493=1,"Day Use",J493&lt;=3,"Short Stay",J493&lt;=7,"Extended Stay",J493&gt;=8,"Long Stay")</f>
        <v>Long Stay</v>
      </c>
      <c r="L493" t="s">
        <v>196</v>
      </c>
      <c r="M493" s="10" t="str">
        <f t="shared" si="36"/>
        <v>Suite</v>
      </c>
      <c r="N493" t="s">
        <v>26</v>
      </c>
      <c r="O493" t="s">
        <v>71</v>
      </c>
      <c r="P493">
        <f>IFERROR(VLOOKUP(TRIM(M493),Room!D:H,5,FALSE),5000)</f>
        <v>12500</v>
      </c>
      <c r="Q493">
        <f t="shared" si="37"/>
        <v>150000</v>
      </c>
      <c r="R493" s="11" t="str">
        <f t="shared" si="38"/>
        <v>Business</v>
      </c>
      <c r="S493" s="11">
        <f t="shared" si="39"/>
        <v>5</v>
      </c>
    </row>
    <row r="494" spans="1:19">
      <c r="A494" t="s">
        <v>2718</v>
      </c>
      <c r="B494" t="s">
        <v>2719</v>
      </c>
      <c r="C494" t="s">
        <v>2720</v>
      </c>
      <c r="D494" t="s">
        <v>2721</v>
      </c>
      <c r="E494" t="s">
        <v>2722</v>
      </c>
      <c r="F494" t="s">
        <v>2723</v>
      </c>
      <c r="G494" s="4">
        <v>45431</v>
      </c>
      <c r="H494" s="4">
        <v>45446</v>
      </c>
      <c r="I494" s="4">
        <v>45455</v>
      </c>
      <c r="J494">
        <f t="shared" si="35"/>
        <v>9</v>
      </c>
      <c r="K494" t="str">
        <f t="array" ref="K494">_xlfn.IFS(J494=1,"Day Use",J494&lt;=3,"Short Stay",J494&lt;=7,"Extended Stay",J494&gt;=8,"Long Stay")</f>
        <v>Long Stay</v>
      </c>
      <c r="L494" t="s">
        <v>84</v>
      </c>
      <c r="M494" s="10" t="str">
        <f t="shared" si="36"/>
        <v>Premium</v>
      </c>
      <c r="N494" t="s">
        <v>26</v>
      </c>
      <c r="O494" t="s">
        <v>42</v>
      </c>
      <c r="P494">
        <f>IFERROR(VLOOKUP(TRIM(M494),Room!D:H,5,FALSE),5000)</f>
        <v>9500</v>
      </c>
      <c r="Q494">
        <f t="shared" si="37"/>
        <v>85500</v>
      </c>
      <c r="R494" s="11" t="str">
        <f t="shared" si="38"/>
        <v>Conference</v>
      </c>
      <c r="S494" s="11">
        <f t="shared" si="39"/>
        <v>4</v>
      </c>
    </row>
    <row r="495" spans="1:19">
      <c r="A495" t="s">
        <v>2724</v>
      </c>
      <c r="B495" t="s">
        <v>2725</v>
      </c>
      <c r="C495" t="s">
        <v>2726</v>
      </c>
      <c r="D495" t="s">
        <v>2727</v>
      </c>
      <c r="E495" t="s">
        <v>2728</v>
      </c>
      <c r="F495" t="s">
        <v>2729</v>
      </c>
      <c r="G495" s="4">
        <v>45458</v>
      </c>
      <c r="H495" s="4">
        <v>45682</v>
      </c>
      <c r="I495" s="4">
        <v>45695</v>
      </c>
      <c r="J495">
        <f t="shared" si="35"/>
        <v>13</v>
      </c>
      <c r="K495" t="str">
        <f t="array" ref="K495">_xlfn.IFS(J495=1,"Day Use",J495&lt;=3,"Short Stay",J495&lt;=7,"Extended Stay",J495&gt;=8,"Long Stay")</f>
        <v>Long Stay</v>
      </c>
      <c r="L495" t="s">
        <v>56</v>
      </c>
      <c r="M495" s="10" t="str">
        <f t="shared" si="36"/>
        <v>Suite</v>
      </c>
      <c r="N495" t="s">
        <v>26</v>
      </c>
      <c r="O495" t="s">
        <v>71</v>
      </c>
      <c r="P495">
        <f>IFERROR(VLOOKUP(TRIM(M495),Room!D:H,5,FALSE),5000)</f>
        <v>12500</v>
      </c>
      <c r="Q495">
        <f t="shared" si="37"/>
        <v>162500</v>
      </c>
      <c r="R495" s="11" t="str">
        <f t="shared" si="38"/>
        <v>Business</v>
      </c>
      <c r="S495" s="11">
        <f t="shared" si="39"/>
        <v>5</v>
      </c>
    </row>
    <row r="496" spans="1:19">
      <c r="A496" t="s">
        <v>2730</v>
      </c>
      <c r="B496" t="s">
        <v>2731</v>
      </c>
      <c r="C496" t="s">
        <v>351</v>
      </c>
      <c r="D496" t="s">
        <v>2732</v>
      </c>
      <c r="E496" t="s">
        <v>2733</v>
      </c>
      <c r="F496" t="s">
        <v>2734</v>
      </c>
      <c r="G496" s="4">
        <v>45581</v>
      </c>
      <c r="H496" s="4">
        <v>45839</v>
      </c>
      <c r="I496" s="4">
        <v>45847</v>
      </c>
      <c r="J496">
        <f t="shared" si="35"/>
        <v>8</v>
      </c>
      <c r="K496" t="str">
        <f t="array" ref="K496">_xlfn.IFS(J496=1,"Day Use",J496&lt;=3,"Short Stay",J496&lt;=7,"Extended Stay",J496&gt;=8,"Long Stay")</f>
        <v>Long Stay</v>
      </c>
      <c r="L496" t="s">
        <v>91</v>
      </c>
      <c r="M496" s="10" t="str">
        <f t="shared" si="36"/>
        <v>Premium</v>
      </c>
      <c r="N496" t="s">
        <v>26</v>
      </c>
      <c r="O496" t="s">
        <v>27</v>
      </c>
      <c r="P496">
        <f>IFERROR(VLOOKUP(TRIM(M496),Room!D:H,5,FALSE),5000)</f>
        <v>9500</v>
      </c>
      <c r="Q496">
        <f t="shared" si="37"/>
        <v>76000</v>
      </c>
      <c r="R496" s="11" t="str">
        <f t="shared" si="38"/>
        <v>Conference</v>
      </c>
      <c r="S496" s="11">
        <f t="shared" si="39"/>
        <v>4</v>
      </c>
    </row>
    <row r="497" spans="1:19">
      <c r="A497" t="s">
        <v>2735</v>
      </c>
      <c r="B497" t="s">
        <v>2736</v>
      </c>
      <c r="C497" t="s">
        <v>1164</v>
      </c>
      <c r="D497" t="s">
        <v>2737</v>
      </c>
      <c r="E497" t="s">
        <v>2738</v>
      </c>
      <c r="F497" t="s">
        <v>2739</v>
      </c>
      <c r="G497" s="4">
        <v>45662</v>
      </c>
      <c r="H497" s="4">
        <v>45918</v>
      </c>
      <c r="I497" s="4">
        <v>45926</v>
      </c>
      <c r="J497">
        <f t="shared" si="35"/>
        <v>8</v>
      </c>
      <c r="K497" t="str">
        <f t="array" ref="K497">_xlfn.IFS(J497=1,"Day Use",J497&lt;=3,"Short Stay",J497&lt;=7,"Extended Stay",J497&gt;=8,"Long Stay")</f>
        <v>Long Stay</v>
      </c>
      <c r="L497" t="s">
        <v>49</v>
      </c>
      <c r="M497" s="10" t="str">
        <f t="shared" si="36"/>
        <v>Premium</v>
      </c>
      <c r="N497" t="s">
        <v>372</v>
      </c>
      <c r="O497" t="s">
        <v>42</v>
      </c>
      <c r="P497">
        <f>IFERROR(VLOOKUP(TRIM(M497),Room!D:H,5,FALSE),5000)</f>
        <v>9500</v>
      </c>
      <c r="Q497">
        <f t="shared" si="37"/>
        <v>76000</v>
      </c>
      <c r="R497" s="11" t="str">
        <f t="shared" si="38"/>
        <v>Conference</v>
      </c>
      <c r="S497" s="11">
        <f t="shared" si="39"/>
        <v>4</v>
      </c>
    </row>
    <row r="498" spans="1:19">
      <c r="A498" t="s">
        <v>2740</v>
      </c>
      <c r="B498" t="s">
        <v>2741</v>
      </c>
      <c r="C498" t="s">
        <v>2742</v>
      </c>
      <c r="D498" t="s">
        <v>2743</v>
      </c>
      <c r="E498" t="s">
        <v>2744</v>
      </c>
      <c r="F498" t="s">
        <v>2745</v>
      </c>
      <c r="G498" s="4">
        <v>45438</v>
      </c>
      <c r="H498" s="4">
        <v>45523</v>
      </c>
      <c r="I498" s="4">
        <v>45536</v>
      </c>
      <c r="J498">
        <f t="shared" si="35"/>
        <v>13</v>
      </c>
      <c r="K498" t="str">
        <f t="array" ref="K498">_xlfn.IFS(J498=1,"Day Use",J498&lt;=3,"Short Stay",J498&lt;=7,"Extended Stay",J498&gt;=8,"Long Stay")</f>
        <v>Long Stay</v>
      </c>
      <c r="L498" t="s">
        <v>84</v>
      </c>
      <c r="M498" s="10" t="str">
        <f t="shared" si="36"/>
        <v>Suite</v>
      </c>
      <c r="N498" t="s">
        <v>148</v>
      </c>
      <c r="O498" t="s">
        <v>35</v>
      </c>
      <c r="P498">
        <f>IFERROR(VLOOKUP(TRIM(M498),Room!D:H,5,FALSE),5000)</f>
        <v>12500</v>
      </c>
      <c r="Q498">
        <f t="shared" si="37"/>
        <v>162500</v>
      </c>
      <c r="R498" s="11" t="str">
        <f t="shared" si="38"/>
        <v>Business</v>
      </c>
      <c r="S498" s="11">
        <f t="shared" si="39"/>
        <v>5</v>
      </c>
    </row>
    <row r="499" spans="1:19">
      <c r="A499" t="s">
        <v>2746</v>
      </c>
      <c r="B499" t="s">
        <v>2747</v>
      </c>
      <c r="C499" t="s">
        <v>484</v>
      </c>
      <c r="D499" t="s">
        <v>2748</v>
      </c>
      <c r="E499" t="s">
        <v>2749</v>
      </c>
      <c r="F499" t="s">
        <v>2750</v>
      </c>
      <c r="G499" s="4">
        <v>45606</v>
      </c>
      <c r="H499" s="4">
        <v>45667</v>
      </c>
      <c r="I499" s="4">
        <v>45680</v>
      </c>
      <c r="J499">
        <f t="shared" si="35"/>
        <v>13</v>
      </c>
      <c r="K499" t="str">
        <f t="array" ref="K499">_xlfn.IFS(J499=1,"Day Use",J499&lt;=3,"Short Stay",J499&lt;=7,"Extended Stay",J499&gt;=8,"Long Stay")</f>
        <v>Long Stay</v>
      </c>
      <c r="L499" t="s">
        <v>49</v>
      </c>
      <c r="M499" s="10" t="str">
        <f t="shared" si="36"/>
        <v>Suite</v>
      </c>
      <c r="N499" t="s">
        <v>26</v>
      </c>
      <c r="O499" t="s">
        <v>27</v>
      </c>
      <c r="P499">
        <f>IFERROR(VLOOKUP(TRIM(M499),Room!D:H,5,FALSE),5000)</f>
        <v>12500</v>
      </c>
      <c r="Q499">
        <f t="shared" si="37"/>
        <v>162500</v>
      </c>
      <c r="R499" s="11" t="str">
        <f t="shared" si="38"/>
        <v>Business</v>
      </c>
      <c r="S499" s="11">
        <f t="shared" si="39"/>
        <v>5</v>
      </c>
    </row>
    <row r="500" spans="1:19">
      <c r="A500" t="s">
        <v>2751</v>
      </c>
      <c r="B500" t="s">
        <v>2752</v>
      </c>
      <c r="C500" t="s">
        <v>982</v>
      </c>
      <c r="D500" t="s">
        <v>2753</v>
      </c>
      <c r="E500" t="s">
        <v>2754</v>
      </c>
      <c r="F500" t="s">
        <v>2755</v>
      </c>
      <c r="G500" s="4">
        <v>45756</v>
      </c>
      <c r="H500" s="4">
        <v>45768</v>
      </c>
      <c r="I500" s="4">
        <v>45771</v>
      </c>
      <c r="J500">
        <f t="shared" si="35"/>
        <v>3</v>
      </c>
      <c r="K500" t="str">
        <f t="array" ref="K500">_xlfn.IFS(J500=1,"Day Use",J500&lt;=3,"Short Stay",J500&lt;=7,"Extended Stay",J500&gt;=8,"Long Stay")</f>
        <v>Short Stay</v>
      </c>
      <c r="L500" t="s">
        <v>56</v>
      </c>
      <c r="M500" s="10" t="str">
        <f t="shared" si="36"/>
        <v>Standard</v>
      </c>
      <c r="N500" t="s">
        <v>26</v>
      </c>
      <c r="O500" t="s">
        <v>58</v>
      </c>
      <c r="P500">
        <f>IFERROR(VLOOKUP(TRIM(M500),Room!D:H,5,FALSE),5000)</f>
        <v>3200</v>
      </c>
      <c r="Q500">
        <f t="shared" si="37"/>
        <v>9600</v>
      </c>
      <c r="R500" s="11" t="str">
        <f t="shared" si="38"/>
        <v>Other</v>
      </c>
      <c r="S500" s="11">
        <f t="shared" si="39"/>
        <v>2</v>
      </c>
    </row>
    <row r="501" spans="1:19">
      <c r="A501" t="s">
        <v>2756</v>
      </c>
      <c r="B501" t="s">
        <v>2757</v>
      </c>
      <c r="C501" t="s">
        <v>2642</v>
      </c>
      <c r="D501" t="s">
        <v>2758</v>
      </c>
      <c r="E501" t="s">
        <v>2759</v>
      </c>
      <c r="F501" t="s">
        <v>2760</v>
      </c>
      <c r="G501" s="4">
        <v>45219</v>
      </c>
      <c r="H501" s="4">
        <v>45655</v>
      </c>
      <c r="I501" s="4">
        <v>45659</v>
      </c>
      <c r="J501">
        <f t="shared" si="35"/>
        <v>4</v>
      </c>
      <c r="K501" t="str">
        <f t="array" ref="K501">_xlfn.IFS(J501=1,"Day Use",J501&lt;=3,"Short Stay",J501&lt;=7,"Extended Stay",J501&gt;=8,"Long Stay")</f>
        <v>Extended Stay</v>
      </c>
      <c r="L501" t="s">
        <v>84</v>
      </c>
      <c r="M501" s="10" t="str">
        <f t="shared" si="36"/>
        <v>Deluxe</v>
      </c>
      <c r="N501" t="s">
        <v>26</v>
      </c>
      <c r="O501" t="s">
        <v>42</v>
      </c>
      <c r="P501">
        <f>IFERROR(VLOOKUP(TRIM(M501),Room!D:H,5,FALSE),5000)</f>
        <v>5400</v>
      </c>
      <c r="Q501">
        <f t="shared" si="37"/>
        <v>21600</v>
      </c>
      <c r="R501" s="11" t="str">
        <f t="shared" si="38"/>
        <v>Conference</v>
      </c>
      <c r="S501" s="11">
        <f t="shared" si="39"/>
        <v>3</v>
      </c>
    </row>
    <row r="502" spans="1:19">
      <c r="A502" t="s">
        <v>2761</v>
      </c>
      <c r="B502" t="s">
        <v>2762</v>
      </c>
      <c r="C502" t="s">
        <v>1383</v>
      </c>
      <c r="D502" t="s">
        <v>2763</v>
      </c>
      <c r="E502" t="s">
        <v>2764</v>
      </c>
      <c r="F502" t="s">
        <v>2765</v>
      </c>
      <c r="G502" s="4">
        <v>45336</v>
      </c>
      <c r="H502" s="4">
        <v>45599</v>
      </c>
      <c r="I502" s="4">
        <v>45600</v>
      </c>
      <c r="J502">
        <f t="shared" si="35"/>
        <v>1</v>
      </c>
      <c r="K502" t="str">
        <f t="array" ref="K502">_xlfn.IFS(J502=1,"Day Use",J502&lt;=3,"Short Stay",J502&lt;=7,"Extended Stay",J502&gt;=8,"Long Stay")</f>
        <v>Day Use</v>
      </c>
      <c r="L502" t="s">
        <v>49</v>
      </c>
      <c r="M502" s="10" t="str">
        <f t="shared" si="36"/>
        <v>Standard</v>
      </c>
      <c r="N502" t="s">
        <v>57</v>
      </c>
      <c r="O502" t="s">
        <v>27</v>
      </c>
      <c r="P502">
        <f>IFERROR(VLOOKUP(TRIM(M502),Room!D:H,5,FALSE),5000)</f>
        <v>3200</v>
      </c>
      <c r="Q502">
        <f t="shared" si="37"/>
        <v>3200</v>
      </c>
      <c r="R502" s="11" t="str">
        <f t="shared" si="38"/>
        <v>Other</v>
      </c>
      <c r="S502" s="11">
        <f t="shared" si="39"/>
        <v>1</v>
      </c>
    </row>
    <row r="503" spans="1:19">
      <c r="A503" t="s">
        <v>2766</v>
      </c>
      <c r="B503" t="s">
        <v>2767</v>
      </c>
      <c r="C503" t="s">
        <v>130</v>
      </c>
      <c r="D503" t="s">
        <v>2768</v>
      </c>
      <c r="E503" t="s">
        <v>2769</v>
      </c>
      <c r="F503" t="s">
        <v>2770</v>
      </c>
      <c r="G503" s="4">
        <v>45853</v>
      </c>
      <c r="H503" s="4">
        <v>45876</v>
      </c>
      <c r="I503" s="4">
        <v>45890</v>
      </c>
      <c r="J503">
        <f t="shared" si="35"/>
        <v>14</v>
      </c>
      <c r="K503" t="str">
        <f t="array" ref="K503">_xlfn.IFS(J503=1,"Day Use",J503&lt;=3,"Short Stay",J503&lt;=7,"Extended Stay",J503&gt;=8,"Long Stay")</f>
        <v>Long Stay</v>
      </c>
      <c r="L503" t="s">
        <v>196</v>
      </c>
      <c r="M503" s="10" t="str">
        <f t="shared" si="36"/>
        <v>Suite</v>
      </c>
      <c r="N503" t="s">
        <v>26</v>
      </c>
      <c r="O503" t="s">
        <v>42</v>
      </c>
      <c r="P503">
        <f>IFERROR(VLOOKUP(TRIM(M503),Room!D:H,5,FALSE),5000)</f>
        <v>12500</v>
      </c>
      <c r="Q503">
        <f t="shared" si="37"/>
        <v>175000</v>
      </c>
      <c r="R503" s="11" t="str">
        <f t="shared" si="38"/>
        <v>Business</v>
      </c>
      <c r="S503" s="11">
        <f t="shared" si="39"/>
        <v>5</v>
      </c>
    </row>
    <row r="504" spans="1:19">
      <c r="A504" t="s">
        <v>2771</v>
      </c>
      <c r="B504" t="s">
        <v>2772</v>
      </c>
      <c r="C504" t="s">
        <v>432</v>
      </c>
      <c r="D504" t="s">
        <v>2773</v>
      </c>
      <c r="E504" t="s">
        <v>2774</v>
      </c>
      <c r="F504" t="s">
        <v>2775</v>
      </c>
      <c r="G504" s="4">
        <v>45624</v>
      </c>
      <c r="H504" s="4">
        <v>45976</v>
      </c>
      <c r="I504" s="4">
        <v>45979</v>
      </c>
      <c r="J504">
        <f t="shared" si="35"/>
        <v>3</v>
      </c>
      <c r="K504" t="str">
        <f t="array" ref="K504">_xlfn.IFS(J504=1,"Day Use",J504&lt;=3,"Short Stay",J504&lt;=7,"Extended Stay",J504&gt;=8,"Long Stay")</f>
        <v>Short Stay</v>
      </c>
      <c r="L504" t="s">
        <v>34</v>
      </c>
      <c r="M504" s="10" t="str">
        <f t="shared" si="36"/>
        <v>Standard</v>
      </c>
      <c r="N504" t="s">
        <v>148</v>
      </c>
      <c r="O504" t="s">
        <v>35</v>
      </c>
      <c r="P504">
        <f>IFERROR(VLOOKUP(TRIM(M504),Room!D:H,5,FALSE),5000)</f>
        <v>3200</v>
      </c>
      <c r="Q504">
        <f t="shared" si="37"/>
        <v>9600</v>
      </c>
      <c r="R504" s="11" t="str">
        <f t="shared" si="38"/>
        <v>Other</v>
      </c>
      <c r="S504" s="11">
        <f t="shared" si="39"/>
        <v>2</v>
      </c>
    </row>
    <row r="505" spans="1:19">
      <c r="A505" t="s">
        <v>2776</v>
      </c>
      <c r="B505" t="s">
        <v>2777</v>
      </c>
      <c r="C505" t="s">
        <v>2778</v>
      </c>
      <c r="D505" t="s">
        <v>2779</v>
      </c>
      <c r="E505" t="s">
        <v>2780</v>
      </c>
      <c r="F505" t="s">
        <v>2781</v>
      </c>
      <c r="G505" s="4">
        <v>45343</v>
      </c>
      <c r="H505" s="4">
        <v>45509</v>
      </c>
      <c r="I505" s="4">
        <v>45514</v>
      </c>
      <c r="J505">
        <f t="shared" si="35"/>
        <v>5</v>
      </c>
      <c r="K505" t="str">
        <f t="array" ref="K505">_xlfn.IFS(J505=1,"Day Use",J505&lt;=3,"Short Stay",J505&lt;=7,"Extended Stay",J505&gt;=8,"Long Stay")</f>
        <v>Extended Stay</v>
      </c>
      <c r="L505" t="s">
        <v>84</v>
      </c>
      <c r="M505" s="10" t="str">
        <f t="shared" si="36"/>
        <v>Deluxe</v>
      </c>
      <c r="N505" t="s">
        <v>148</v>
      </c>
      <c r="O505" t="s">
        <v>27</v>
      </c>
      <c r="P505">
        <f>IFERROR(VLOOKUP(TRIM(M505),Room!D:H,5,FALSE),5000)</f>
        <v>5400</v>
      </c>
      <c r="Q505">
        <f t="shared" si="37"/>
        <v>27000</v>
      </c>
      <c r="R505" s="11" t="str">
        <f t="shared" si="38"/>
        <v>Conference</v>
      </c>
      <c r="S505" s="11">
        <f t="shared" si="39"/>
        <v>3</v>
      </c>
    </row>
    <row r="506" spans="1:19">
      <c r="A506" t="s">
        <v>2782</v>
      </c>
      <c r="B506" t="s">
        <v>2783</v>
      </c>
      <c r="C506" t="s">
        <v>106</v>
      </c>
      <c r="D506" t="s">
        <v>2784</v>
      </c>
      <c r="E506" t="s">
        <v>2785</v>
      </c>
      <c r="F506" t="s">
        <v>2786</v>
      </c>
      <c r="G506" s="4">
        <v>45377</v>
      </c>
      <c r="H506" s="4">
        <v>45738</v>
      </c>
      <c r="I506" s="4">
        <v>45743</v>
      </c>
      <c r="J506">
        <f t="shared" si="35"/>
        <v>5</v>
      </c>
      <c r="K506" t="str">
        <f t="array" ref="K506">_xlfn.IFS(J506=1,"Day Use",J506&lt;=3,"Short Stay",J506&lt;=7,"Extended Stay",J506&gt;=8,"Long Stay")</f>
        <v>Extended Stay</v>
      </c>
      <c r="L506" t="s">
        <v>49</v>
      </c>
      <c r="M506" s="10" t="str">
        <f t="shared" si="36"/>
        <v>Deluxe</v>
      </c>
      <c r="N506" t="s">
        <v>26</v>
      </c>
      <c r="O506" t="s">
        <v>71</v>
      </c>
      <c r="P506">
        <f>IFERROR(VLOOKUP(TRIM(M506),Room!D:H,5,FALSE),5000)</f>
        <v>5400</v>
      </c>
      <c r="Q506">
        <f t="shared" si="37"/>
        <v>27000</v>
      </c>
      <c r="R506" s="11" t="str">
        <f t="shared" si="38"/>
        <v>Conference</v>
      </c>
      <c r="S506" s="11">
        <f t="shared" si="39"/>
        <v>3</v>
      </c>
    </row>
    <row r="507" spans="1:19">
      <c r="A507" t="s">
        <v>2787</v>
      </c>
      <c r="B507" t="s">
        <v>2788</v>
      </c>
      <c r="C507" t="s">
        <v>751</v>
      </c>
      <c r="D507" t="s">
        <v>2789</v>
      </c>
      <c r="E507" t="s">
        <v>2790</v>
      </c>
      <c r="F507" t="s">
        <v>2791</v>
      </c>
      <c r="G507" s="4">
        <v>45534</v>
      </c>
      <c r="H507" s="4">
        <v>45560</v>
      </c>
      <c r="I507" s="4">
        <v>45563</v>
      </c>
      <c r="J507">
        <f t="shared" si="35"/>
        <v>3</v>
      </c>
      <c r="K507" t="str">
        <f t="array" ref="K507">_xlfn.IFS(J507=1,"Day Use",J507&lt;=3,"Short Stay",J507&lt;=7,"Extended Stay",J507&gt;=8,"Long Stay")</f>
        <v>Short Stay</v>
      </c>
      <c r="L507" t="s">
        <v>34</v>
      </c>
      <c r="M507" s="10" t="str">
        <f t="shared" si="36"/>
        <v>Standard</v>
      </c>
      <c r="N507" t="s">
        <v>26</v>
      </c>
      <c r="O507" t="s">
        <v>42</v>
      </c>
      <c r="P507">
        <f>IFERROR(VLOOKUP(TRIM(M507),Room!D:H,5,FALSE),5000)</f>
        <v>3200</v>
      </c>
      <c r="Q507">
        <f t="shared" si="37"/>
        <v>9600</v>
      </c>
      <c r="R507" s="11" t="str">
        <f t="shared" si="38"/>
        <v>Other</v>
      </c>
      <c r="S507" s="11">
        <f t="shared" si="39"/>
        <v>2</v>
      </c>
    </row>
    <row r="508" spans="1:19">
      <c r="A508" t="s">
        <v>2792</v>
      </c>
      <c r="B508" t="s">
        <v>2793</v>
      </c>
      <c r="C508" t="s">
        <v>2778</v>
      </c>
      <c r="D508" t="s">
        <v>2794</v>
      </c>
      <c r="E508" t="s">
        <v>2795</v>
      </c>
      <c r="F508" t="s">
        <v>2796</v>
      </c>
      <c r="G508" s="4">
        <v>45732</v>
      </c>
      <c r="H508" s="4">
        <v>45757</v>
      </c>
      <c r="I508" s="4">
        <v>45763</v>
      </c>
      <c r="J508">
        <f t="shared" si="35"/>
        <v>6</v>
      </c>
      <c r="K508" t="str">
        <f t="array" ref="K508">_xlfn.IFS(J508=1,"Day Use",J508&lt;=3,"Short Stay",J508&lt;=7,"Extended Stay",J508&gt;=8,"Long Stay")</f>
        <v>Extended Stay</v>
      </c>
      <c r="L508" t="s">
        <v>141</v>
      </c>
      <c r="M508" s="10" t="str">
        <f t="shared" si="36"/>
        <v>Deluxe</v>
      </c>
      <c r="N508" t="s">
        <v>148</v>
      </c>
      <c r="O508" t="s">
        <v>35</v>
      </c>
      <c r="P508">
        <f>IFERROR(VLOOKUP(TRIM(M508),Room!D:H,5,FALSE),5000)</f>
        <v>5400</v>
      </c>
      <c r="Q508">
        <f t="shared" si="37"/>
        <v>32400</v>
      </c>
      <c r="R508" s="11" t="str">
        <f t="shared" si="38"/>
        <v>Conference</v>
      </c>
      <c r="S508" s="11">
        <f t="shared" si="39"/>
        <v>3</v>
      </c>
    </row>
    <row r="509" spans="1:19">
      <c r="A509" t="s">
        <v>2797</v>
      </c>
      <c r="B509" t="s">
        <v>2798</v>
      </c>
      <c r="C509" t="s">
        <v>1464</v>
      </c>
      <c r="D509" t="s">
        <v>2799</v>
      </c>
      <c r="E509" t="s">
        <v>2800</v>
      </c>
      <c r="F509" t="s">
        <v>2801</v>
      </c>
      <c r="G509" s="4">
        <v>45321</v>
      </c>
      <c r="H509" s="4">
        <v>45345</v>
      </c>
      <c r="I509" s="4">
        <v>45351</v>
      </c>
      <c r="J509">
        <f t="shared" si="35"/>
        <v>6</v>
      </c>
      <c r="K509" t="str">
        <f t="array" ref="K509">_xlfn.IFS(J509=1,"Day Use",J509&lt;=3,"Short Stay",J509&lt;=7,"Extended Stay",J509&gt;=8,"Long Stay")</f>
        <v>Extended Stay</v>
      </c>
      <c r="L509" t="s">
        <v>34</v>
      </c>
      <c r="M509" s="10" t="str">
        <f t="shared" si="36"/>
        <v>Deluxe</v>
      </c>
      <c r="N509" t="s">
        <v>26</v>
      </c>
      <c r="O509" t="s">
        <v>58</v>
      </c>
      <c r="P509">
        <f>IFERROR(VLOOKUP(TRIM(M509),Room!D:H,5,FALSE),5000)</f>
        <v>5400</v>
      </c>
      <c r="Q509">
        <f t="shared" si="37"/>
        <v>32400</v>
      </c>
      <c r="R509" s="11" t="str">
        <f t="shared" si="38"/>
        <v>Conference</v>
      </c>
      <c r="S509" s="11">
        <f t="shared" si="39"/>
        <v>3</v>
      </c>
    </row>
    <row r="510" spans="1:19">
      <c r="A510" t="s">
        <v>2802</v>
      </c>
      <c r="B510" t="s">
        <v>2803</v>
      </c>
      <c r="C510" t="s">
        <v>2804</v>
      </c>
      <c r="D510" t="s">
        <v>2805</v>
      </c>
      <c r="E510" t="s">
        <v>2806</v>
      </c>
      <c r="F510" t="s">
        <v>2807</v>
      </c>
      <c r="G510" s="4">
        <v>45423</v>
      </c>
      <c r="H510" s="4">
        <v>45946</v>
      </c>
      <c r="I510" s="4">
        <v>45954</v>
      </c>
      <c r="J510">
        <f t="shared" si="35"/>
        <v>8</v>
      </c>
      <c r="K510" t="str">
        <f t="array" ref="K510">_xlfn.IFS(J510=1,"Day Use",J510&lt;=3,"Short Stay",J510&lt;=7,"Extended Stay",J510&gt;=8,"Long Stay")</f>
        <v>Long Stay</v>
      </c>
      <c r="L510" t="s">
        <v>25</v>
      </c>
      <c r="M510" s="10" t="str">
        <f t="shared" si="36"/>
        <v>Premium</v>
      </c>
      <c r="N510" t="s">
        <v>26</v>
      </c>
      <c r="O510" t="s">
        <v>35</v>
      </c>
      <c r="P510">
        <f>IFERROR(VLOOKUP(TRIM(M510),Room!D:H,5,FALSE),5000)</f>
        <v>9500</v>
      </c>
      <c r="Q510">
        <f t="shared" si="37"/>
        <v>76000</v>
      </c>
      <c r="R510" s="11" t="str">
        <f t="shared" si="38"/>
        <v>Conference</v>
      </c>
      <c r="S510" s="11">
        <f t="shared" si="39"/>
        <v>4</v>
      </c>
    </row>
    <row r="511" spans="1:19">
      <c r="A511" t="s">
        <v>2808</v>
      </c>
      <c r="B511" t="s">
        <v>2809</v>
      </c>
      <c r="C511" t="s">
        <v>265</v>
      </c>
      <c r="D511" t="s">
        <v>2810</v>
      </c>
      <c r="E511" t="s">
        <v>2811</v>
      </c>
      <c r="F511" t="s">
        <v>2812</v>
      </c>
      <c r="G511" s="4">
        <v>45612</v>
      </c>
      <c r="H511" s="4">
        <v>45620</v>
      </c>
      <c r="I511" s="4">
        <v>45631</v>
      </c>
      <c r="J511">
        <f t="shared" si="35"/>
        <v>11</v>
      </c>
      <c r="K511" t="str">
        <f t="array" ref="K511">_xlfn.IFS(J511=1,"Day Use",J511&lt;=3,"Short Stay",J511&lt;=7,"Extended Stay",J511&gt;=8,"Long Stay")</f>
        <v>Long Stay</v>
      </c>
      <c r="L511" t="s">
        <v>56</v>
      </c>
      <c r="M511" s="10" t="str">
        <f t="shared" si="36"/>
        <v>Suite</v>
      </c>
      <c r="N511" t="s">
        <v>26</v>
      </c>
      <c r="O511" t="s">
        <v>58</v>
      </c>
      <c r="P511">
        <f>IFERROR(VLOOKUP(TRIM(M511),Room!D:H,5,FALSE),5000)</f>
        <v>12500</v>
      </c>
      <c r="Q511">
        <f t="shared" si="37"/>
        <v>137500</v>
      </c>
      <c r="R511" s="11" t="str">
        <f t="shared" si="38"/>
        <v>Business</v>
      </c>
      <c r="S511" s="11">
        <f t="shared" si="39"/>
        <v>5</v>
      </c>
    </row>
    <row r="512" spans="1:19">
      <c r="A512" t="s">
        <v>2813</v>
      </c>
      <c r="B512" t="s">
        <v>2814</v>
      </c>
      <c r="C512" t="s">
        <v>2815</v>
      </c>
      <c r="D512" t="s">
        <v>2816</v>
      </c>
      <c r="E512" t="s">
        <v>2817</v>
      </c>
      <c r="F512" t="s">
        <v>2818</v>
      </c>
      <c r="G512" s="4">
        <v>45227</v>
      </c>
      <c r="H512" s="4">
        <v>45330</v>
      </c>
      <c r="I512" s="4">
        <v>45334</v>
      </c>
      <c r="J512">
        <f t="shared" si="35"/>
        <v>4</v>
      </c>
      <c r="K512" t="str">
        <f t="array" ref="K512">_xlfn.IFS(J512=1,"Day Use",J512&lt;=3,"Short Stay",J512&lt;=7,"Extended Stay",J512&gt;=8,"Long Stay")</f>
        <v>Extended Stay</v>
      </c>
      <c r="L512" t="s">
        <v>49</v>
      </c>
      <c r="M512" s="10" t="str">
        <f t="shared" si="36"/>
        <v>Deluxe</v>
      </c>
      <c r="N512" t="s">
        <v>57</v>
      </c>
      <c r="O512" t="s">
        <v>58</v>
      </c>
      <c r="P512">
        <f>IFERROR(VLOOKUP(TRIM(M512),Room!D:H,5,FALSE),5000)</f>
        <v>5400</v>
      </c>
      <c r="Q512">
        <f t="shared" si="37"/>
        <v>21600</v>
      </c>
      <c r="R512" s="11" t="str">
        <f t="shared" si="38"/>
        <v>Conference</v>
      </c>
      <c r="S512" s="11">
        <f t="shared" si="39"/>
        <v>3</v>
      </c>
    </row>
    <row r="513" spans="1:19">
      <c r="A513" t="s">
        <v>2819</v>
      </c>
      <c r="B513" t="s">
        <v>2820</v>
      </c>
      <c r="C513" t="s">
        <v>67</v>
      </c>
      <c r="D513" t="s">
        <v>2821</v>
      </c>
      <c r="E513" t="s">
        <v>2822</v>
      </c>
      <c r="F513" t="s">
        <v>2823</v>
      </c>
      <c r="G513" s="4">
        <v>45351</v>
      </c>
      <c r="H513" s="4">
        <v>45809</v>
      </c>
      <c r="I513" s="4">
        <v>45814</v>
      </c>
      <c r="J513">
        <f t="shared" si="35"/>
        <v>5</v>
      </c>
      <c r="K513" t="str">
        <f t="array" ref="K513">_xlfn.IFS(J513=1,"Day Use",J513&lt;=3,"Short Stay",J513&lt;=7,"Extended Stay",J513&gt;=8,"Long Stay")</f>
        <v>Extended Stay</v>
      </c>
      <c r="L513" t="s">
        <v>91</v>
      </c>
      <c r="M513" s="10" t="str">
        <f t="shared" si="36"/>
        <v>Deluxe</v>
      </c>
      <c r="N513" t="s">
        <v>26</v>
      </c>
      <c r="O513" t="s">
        <v>42</v>
      </c>
      <c r="P513">
        <f>IFERROR(VLOOKUP(TRIM(M513),Room!D:H,5,FALSE),5000)</f>
        <v>5400</v>
      </c>
      <c r="Q513">
        <f t="shared" si="37"/>
        <v>27000</v>
      </c>
      <c r="R513" s="11" t="str">
        <f t="shared" si="38"/>
        <v>Conference</v>
      </c>
      <c r="S513" s="11">
        <f t="shared" si="39"/>
        <v>3</v>
      </c>
    </row>
    <row r="514" spans="1:19">
      <c r="A514" t="s">
        <v>2824</v>
      </c>
      <c r="B514" t="s">
        <v>2825</v>
      </c>
      <c r="C514" t="s">
        <v>333</v>
      </c>
      <c r="D514" t="s">
        <v>2826</v>
      </c>
      <c r="E514" t="s">
        <v>2827</v>
      </c>
      <c r="F514" t="s">
        <v>2828</v>
      </c>
      <c r="G514" s="4">
        <v>45356</v>
      </c>
      <c r="H514" s="4">
        <v>45373</v>
      </c>
      <c r="I514" s="4">
        <v>45382</v>
      </c>
      <c r="J514">
        <f t="shared" ref="J514:J577" si="40">I514-H514</f>
        <v>9</v>
      </c>
      <c r="K514" t="str">
        <f t="array" ref="K514">_xlfn.IFS(J514=1,"Day Use",J514&lt;=3,"Short Stay",J514&lt;=7,"Extended Stay",J514&gt;=8,"Long Stay")</f>
        <v>Long Stay</v>
      </c>
      <c r="L514" t="s">
        <v>34</v>
      </c>
      <c r="M514" s="10" t="str">
        <f t="shared" ref="M514:M577" si="41">IF($J514&lt;=3,"Standard",IF($J514&lt;=6,"Deluxe",IF($J514&lt;=10,"Premium","Suite")))</f>
        <v>Premium</v>
      </c>
      <c r="N514" t="s">
        <v>26</v>
      </c>
      <c r="O514" t="s">
        <v>58</v>
      </c>
      <c r="P514">
        <f>IFERROR(VLOOKUP(TRIM(M514),Room!D:H,5,FALSE),5000)</f>
        <v>9500</v>
      </c>
      <c r="Q514">
        <f t="shared" si="37"/>
        <v>85500</v>
      </c>
      <c r="R514" s="11" t="str">
        <f t="shared" si="38"/>
        <v>Conference</v>
      </c>
      <c r="S514" s="11">
        <f t="shared" si="39"/>
        <v>4</v>
      </c>
    </row>
    <row r="515" spans="1:19">
      <c r="A515" t="s">
        <v>2829</v>
      </c>
      <c r="B515" t="s">
        <v>2830</v>
      </c>
      <c r="C515" t="s">
        <v>2831</v>
      </c>
      <c r="D515" t="s">
        <v>2832</v>
      </c>
      <c r="E515" t="s">
        <v>2833</v>
      </c>
      <c r="F515" t="s">
        <v>2834</v>
      </c>
      <c r="G515" s="4">
        <v>45656</v>
      </c>
      <c r="H515" s="4">
        <v>45822</v>
      </c>
      <c r="I515" s="4">
        <v>45826</v>
      </c>
      <c r="J515">
        <f t="shared" si="40"/>
        <v>4</v>
      </c>
      <c r="K515" t="str">
        <f t="array" ref="K515">_xlfn.IFS(J515=1,"Day Use",J515&lt;=3,"Short Stay",J515&lt;=7,"Extended Stay",J515&gt;=8,"Long Stay")</f>
        <v>Extended Stay</v>
      </c>
      <c r="L515" t="s">
        <v>56</v>
      </c>
      <c r="M515" s="10" t="str">
        <f t="shared" si="41"/>
        <v>Deluxe</v>
      </c>
      <c r="N515" t="s">
        <v>26</v>
      </c>
      <c r="O515" t="s">
        <v>27</v>
      </c>
      <c r="P515">
        <f>IFERROR(VLOOKUP(TRIM(M515),Room!D:H,5,FALSE),5000)</f>
        <v>5400</v>
      </c>
      <c r="Q515">
        <f t="shared" ref="Q515:Q578" si="42">P515*J515</f>
        <v>21600</v>
      </c>
      <c r="R515" s="11" t="str">
        <f t="shared" ref="R515:R578" si="43">IF(ISNUMBER(SEARCH("Suite",D515)),"Honeymoon",IF(P515&gt;10000,"Business",IF(P515&gt;5000,"Conference",IF(J515&gt;=8,"Family Vacation","Other"))))</f>
        <v>Conference</v>
      </c>
      <c r="S515" s="11">
        <f t="shared" ref="S515:S578" si="44">IF(M515="Suite",5,IF(M515="Premium",IF(Q515&gt;20000,4,3),IF(M515="Deluxe",IF(Q515&gt;=10000,3,2),IF(M515="Standard",IF(Q515&gt;=5000,2,1),1))))</f>
        <v>3</v>
      </c>
    </row>
    <row r="516" spans="1:19">
      <c r="A516" t="s">
        <v>2835</v>
      </c>
      <c r="B516" t="s">
        <v>2836</v>
      </c>
      <c r="C516" t="s">
        <v>2837</v>
      </c>
      <c r="D516" t="s">
        <v>2838</v>
      </c>
      <c r="E516" t="s">
        <v>2839</v>
      </c>
      <c r="F516" t="s">
        <v>2840</v>
      </c>
      <c r="G516" s="4">
        <v>45499</v>
      </c>
      <c r="H516" s="4">
        <v>45641</v>
      </c>
      <c r="I516" s="4">
        <v>45655</v>
      </c>
      <c r="J516">
        <f t="shared" si="40"/>
        <v>14</v>
      </c>
      <c r="K516" t="str">
        <f t="array" ref="K516">_xlfn.IFS(J516=1,"Day Use",J516&lt;=3,"Short Stay",J516&lt;=7,"Extended Stay",J516&gt;=8,"Long Stay")</f>
        <v>Long Stay</v>
      </c>
      <c r="L516" t="s">
        <v>84</v>
      </c>
      <c r="M516" s="10" t="str">
        <f t="shared" si="41"/>
        <v>Suite</v>
      </c>
      <c r="N516" t="s">
        <v>26</v>
      </c>
      <c r="O516" t="s">
        <v>42</v>
      </c>
      <c r="P516">
        <f>IFERROR(VLOOKUP(TRIM(M516),Room!D:H,5,FALSE),5000)</f>
        <v>12500</v>
      </c>
      <c r="Q516">
        <f t="shared" si="42"/>
        <v>175000</v>
      </c>
      <c r="R516" s="11" t="str">
        <f t="shared" si="43"/>
        <v>Business</v>
      </c>
      <c r="S516" s="11">
        <f t="shared" si="44"/>
        <v>5</v>
      </c>
    </row>
    <row r="517" spans="1:19">
      <c r="A517" t="s">
        <v>2841</v>
      </c>
      <c r="B517" t="s">
        <v>2842</v>
      </c>
      <c r="C517" t="s">
        <v>500</v>
      </c>
      <c r="D517" t="s">
        <v>2843</v>
      </c>
      <c r="E517" t="s">
        <v>2844</v>
      </c>
      <c r="F517" t="s">
        <v>2845</v>
      </c>
      <c r="G517" s="4">
        <v>45321</v>
      </c>
      <c r="H517" s="4">
        <v>45346</v>
      </c>
      <c r="I517" s="4">
        <v>45356</v>
      </c>
      <c r="J517">
        <f t="shared" si="40"/>
        <v>10</v>
      </c>
      <c r="K517" t="str">
        <f t="array" ref="K517">_xlfn.IFS(J517=1,"Day Use",J517&lt;=3,"Short Stay",J517&lt;=7,"Extended Stay",J517&gt;=8,"Long Stay")</f>
        <v>Long Stay</v>
      </c>
      <c r="L517" t="s">
        <v>56</v>
      </c>
      <c r="M517" s="10" t="str">
        <f t="shared" si="41"/>
        <v>Premium</v>
      </c>
      <c r="N517" t="s">
        <v>26</v>
      </c>
      <c r="O517" t="s">
        <v>58</v>
      </c>
      <c r="P517">
        <f>IFERROR(VLOOKUP(TRIM(M517),Room!D:H,5,FALSE),5000)</f>
        <v>9500</v>
      </c>
      <c r="Q517">
        <f t="shared" si="42"/>
        <v>95000</v>
      </c>
      <c r="R517" s="11" t="str">
        <f t="shared" si="43"/>
        <v>Conference</v>
      </c>
      <c r="S517" s="11">
        <f t="shared" si="44"/>
        <v>4</v>
      </c>
    </row>
    <row r="518" spans="1:19">
      <c r="A518" t="s">
        <v>2846</v>
      </c>
      <c r="B518" t="s">
        <v>2847</v>
      </c>
      <c r="C518" t="s">
        <v>587</v>
      </c>
      <c r="D518" t="s">
        <v>2848</v>
      </c>
      <c r="E518" t="s">
        <v>2849</v>
      </c>
      <c r="F518" t="s">
        <v>2850</v>
      </c>
      <c r="G518" s="4">
        <v>45465</v>
      </c>
      <c r="H518" s="4">
        <v>45837</v>
      </c>
      <c r="I518" s="4">
        <v>45842</v>
      </c>
      <c r="J518">
        <f t="shared" si="40"/>
        <v>5</v>
      </c>
      <c r="K518" t="str">
        <f t="array" ref="K518">_xlfn.IFS(J518=1,"Day Use",J518&lt;=3,"Short Stay",J518&lt;=7,"Extended Stay",J518&gt;=8,"Long Stay")</f>
        <v>Extended Stay</v>
      </c>
      <c r="L518" t="s">
        <v>91</v>
      </c>
      <c r="M518" s="10" t="str">
        <f t="shared" si="41"/>
        <v>Deluxe</v>
      </c>
      <c r="N518" t="s">
        <v>26</v>
      </c>
      <c r="O518" t="s">
        <v>58</v>
      </c>
      <c r="P518">
        <f>IFERROR(VLOOKUP(TRIM(M518),Room!D:H,5,FALSE),5000)</f>
        <v>5400</v>
      </c>
      <c r="Q518">
        <f t="shared" si="42"/>
        <v>27000</v>
      </c>
      <c r="R518" s="11" t="str">
        <f t="shared" si="43"/>
        <v>Conference</v>
      </c>
      <c r="S518" s="11">
        <f t="shared" si="44"/>
        <v>3</v>
      </c>
    </row>
    <row r="519" spans="1:19">
      <c r="A519" t="s">
        <v>2851</v>
      </c>
      <c r="B519" t="s">
        <v>2852</v>
      </c>
      <c r="C519" t="s">
        <v>345</v>
      </c>
      <c r="D519" t="s">
        <v>2853</v>
      </c>
      <c r="E519" t="s">
        <v>2854</v>
      </c>
      <c r="F519" t="s">
        <v>2855</v>
      </c>
      <c r="G519" s="4">
        <v>45754</v>
      </c>
      <c r="H519" s="4">
        <v>45960</v>
      </c>
      <c r="I519" s="4">
        <v>45970</v>
      </c>
      <c r="J519">
        <f t="shared" si="40"/>
        <v>10</v>
      </c>
      <c r="K519" t="str">
        <f t="array" ref="K519">_xlfn.IFS(J519=1,"Day Use",J519&lt;=3,"Short Stay",J519&lt;=7,"Extended Stay",J519&gt;=8,"Long Stay")</f>
        <v>Long Stay</v>
      </c>
      <c r="L519" t="s">
        <v>56</v>
      </c>
      <c r="M519" s="10" t="str">
        <f t="shared" si="41"/>
        <v>Premium</v>
      </c>
      <c r="N519" t="s">
        <v>26</v>
      </c>
      <c r="O519" t="s">
        <v>58</v>
      </c>
      <c r="P519">
        <f>IFERROR(VLOOKUP(TRIM(M519),Room!D:H,5,FALSE),5000)</f>
        <v>9500</v>
      </c>
      <c r="Q519">
        <f t="shared" si="42"/>
        <v>95000</v>
      </c>
      <c r="R519" s="11" t="str">
        <f t="shared" si="43"/>
        <v>Conference</v>
      </c>
      <c r="S519" s="11">
        <f t="shared" si="44"/>
        <v>4</v>
      </c>
    </row>
    <row r="520" spans="1:19">
      <c r="A520" t="s">
        <v>2856</v>
      </c>
      <c r="B520" t="s">
        <v>2857</v>
      </c>
      <c r="C520" t="s">
        <v>130</v>
      </c>
      <c r="D520" t="s">
        <v>2858</v>
      </c>
      <c r="E520" t="s">
        <v>2859</v>
      </c>
      <c r="F520" t="s">
        <v>2860</v>
      </c>
      <c r="G520" s="4">
        <v>45356</v>
      </c>
      <c r="H520" s="4">
        <v>45376</v>
      </c>
      <c r="I520" s="4">
        <v>45389</v>
      </c>
      <c r="J520">
        <f t="shared" si="40"/>
        <v>13</v>
      </c>
      <c r="K520" t="str">
        <f t="array" ref="K520">_xlfn.IFS(J520=1,"Day Use",J520&lt;=3,"Short Stay",J520&lt;=7,"Extended Stay",J520&gt;=8,"Long Stay")</f>
        <v>Long Stay</v>
      </c>
      <c r="L520" t="s">
        <v>84</v>
      </c>
      <c r="M520" s="10" t="str">
        <f t="shared" si="41"/>
        <v>Suite</v>
      </c>
      <c r="N520" t="s">
        <v>26</v>
      </c>
      <c r="O520" t="s">
        <v>35</v>
      </c>
      <c r="P520">
        <f>IFERROR(VLOOKUP(TRIM(M520),Room!D:H,5,FALSE),5000)</f>
        <v>12500</v>
      </c>
      <c r="Q520">
        <f t="shared" si="42"/>
        <v>162500</v>
      </c>
      <c r="R520" s="11" t="str">
        <f t="shared" si="43"/>
        <v>Business</v>
      </c>
      <c r="S520" s="11">
        <f t="shared" si="44"/>
        <v>5</v>
      </c>
    </row>
    <row r="521" spans="1:19">
      <c r="A521" t="s">
        <v>2861</v>
      </c>
      <c r="B521" t="s">
        <v>2862</v>
      </c>
      <c r="C521" t="s">
        <v>2863</v>
      </c>
      <c r="D521" t="s">
        <v>2864</v>
      </c>
      <c r="E521" t="s">
        <v>2865</v>
      </c>
      <c r="F521" t="s">
        <v>2866</v>
      </c>
      <c r="G521" s="4">
        <v>45370</v>
      </c>
      <c r="H521" s="4">
        <v>45400</v>
      </c>
      <c r="I521" s="4">
        <v>45411</v>
      </c>
      <c r="J521">
        <f t="shared" si="40"/>
        <v>11</v>
      </c>
      <c r="K521" t="str">
        <f t="array" ref="K521">_xlfn.IFS(J521=1,"Day Use",J521&lt;=3,"Short Stay",J521&lt;=7,"Extended Stay",J521&gt;=8,"Long Stay")</f>
        <v>Long Stay</v>
      </c>
      <c r="L521" t="s">
        <v>196</v>
      </c>
      <c r="M521" s="10" t="str">
        <f t="shared" si="41"/>
        <v>Suite</v>
      </c>
      <c r="N521" t="s">
        <v>26</v>
      </c>
      <c r="O521" t="s">
        <v>42</v>
      </c>
      <c r="P521">
        <f>IFERROR(VLOOKUP(TRIM(M521),Room!D:H,5,FALSE),5000)</f>
        <v>12500</v>
      </c>
      <c r="Q521">
        <f t="shared" si="42"/>
        <v>137500</v>
      </c>
      <c r="R521" s="11" t="str">
        <f t="shared" si="43"/>
        <v>Business</v>
      </c>
      <c r="S521" s="11">
        <f t="shared" si="44"/>
        <v>5</v>
      </c>
    </row>
    <row r="522" spans="1:19">
      <c r="A522" t="s">
        <v>2867</v>
      </c>
      <c r="B522" t="s">
        <v>2868</v>
      </c>
      <c r="C522" t="s">
        <v>118</v>
      </c>
      <c r="D522" t="s">
        <v>2869</v>
      </c>
      <c r="E522" t="s">
        <v>2870</v>
      </c>
      <c r="F522" t="s">
        <v>2871</v>
      </c>
      <c r="G522" s="4">
        <v>45271</v>
      </c>
      <c r="H522" s="4">
        <v>45684</v>
      </c>
      <c r="I522" s="4">
        <v>45691</v>
      </c>
      <c r="J522">
        <f t="shared" si="40"/>
        <v>7</v>
      </c>
      <c r="K522" t="str">
        <f t="array" ref="K522">_xlfn.IFS(J522=1,"Day Use",J522&lt;=3,"Short Stay",J522&lt;=7,"Extended Stay",J522&gt;=8,"Long Stay")</f>
        <v>Extended Stay</v>
      </c>
      <c r="L522" t="s">
        <v>49</v>
      </c>
      <c r="M522" s="10" t="str">
        <f t="shared" si="41"/>
        <v>Premium</v>
      </c>
      <c r="N522" t="s">
        <v>57</v>
      </c>
      <c r="O522" t="s">
        <v>35</v>
      </c>
      <c r="P522">
        <f>IFERROR(VLOOKUP(TRIM(M522),Room!D:H,5,FALSE),5000)</f>
        <v>9500</v>
      </c>
      <c r="Q522">
        <f t="shared" si="42"/>
        <v>66500</v>
      </c>
      <c r="R522" s="11" t="str">
        <f t="shared" si="43"/>
        <v>Conference</v>
      </c>
      <c r="S522" s="11">
        <f t="shared" si="44"/>
        <v>4</v>
      </c>
    </row>
    <row r="523" spans="1:19">
      <c r="A523" t="s">
        <v>2872</v>
      </c>
      <c r="B523" t="s">
        <v>2873</v>
      </c>
      <c r="C523" t="s">
        <v>472</v>
      </c>
      <c r="D523" t="s">
        <v>2874</v>
      </c>
      <c r="E523" t="s">
        <v>2875</v>
      </c>
      <c r="F523" t="s">
        <v>2876</v>
      </c>
      <c r="G523" s="4">
        <v>45542</v>
      </c>
      <c r="H523" s="4">
        <v>45550</v>
      </c>
      <c r="I523" s="4">
        <v>45558</v>
      </c>
      <c r="J523">
        <f t="shared" si="40"/>
        <v>8</v>
      </c>
      <c r="K523" t="str">
        <f t="array" ref="K523">_xlfn.IFS(J523=1,"Day Use",J523&lt;=3,"Short Stay",J523&lt;=7,"Extended Stay",J523&gt;=8,"Long Stay")</f>
        <v>Long Stay</v>
      </c>
      <c r="L523" t="s">
        <v>141</v>
      </c>
      <c r="M523" s="10" t="str">
        <f t="shared" si="41"/>
        <v>Premium</v>
      </c>
      <c r="N523" t="s">
        <v>26</v>
      </c>
      <c r="O523" t="s">
        <v>35</v>
      </c>
      <c r="P523">
        <f>IFERROR(VLOOKUP(TRIM(M523),Room!D:H,5,FALSE),5000)</f>
        <v>9500</v>
      </c>
      <c r="Q523">
        <f t="shared" si="42"/>
        <v>76000</v>
      </c>
      <c r="R523" s="11" t="str">
        <f t="shared" si="43"/>
        <v>Conference</v>
      </c>
      <c r="S523" s="11">
        <f t="shared" si="44"/>
        <v>4</v>
      </c>
    </row>
    <row r="524" spans="1:19">
      <c r="A524" t="s">
        <v>2877</v>
      </c>
      <c r="B524" t="s">
        <v>2878</v>
      </c>
      <c r="C524" t="s">
        <v>247</v>
      </c>
      <c r="D524" t="s">
        <v>2879</v>
      </c>
      <c r="E524" t="s">
        <v>2880</v>
      </c>
      <c r="F524" t="s">
        <v>2881</v>
      </c>
      <c r="G524" s="4">
        <v>45240</v>
      </c>
      <c r="H524" s="4">
        <v>45353</v>
      </c>
      <c r="I524" s="4">
        <v>45361</v>
      </c>
      <c r="J524">
        <f t="shared" si="40"/>
        <v>8</v>
      </c>
      <c r="K524" t="str">
        <f t="array" ref="K524">_xlfn.IFS(J524=1,"Day Use",J524&lt;=3,"Short Stay",J524&lt;=7,"Extended Stay",J524&gt;=8,"Long Stay")</f>
        <v>Long Stay</v>
      </c>
      <c r="L524" t="s">
        <v>25</v>
      </c>
      <c r="M524" s="10" t="str">
        <f t="shared" si="41"/>
        <v>Premium</v>
      </c>
      <c r="N524" t="s">
        <v>26</v>
      </c>
      <c r="O524" t="s">
        <v>42</v>
      </c>
      <c r="P524">
        <f>IFERROR(VLOOKUP(TRIM(M524),Room!D:H,5,FALSE),5000)</f>
        <v>9500</v>
      </c>
      <c r="Q524">
        <f t="shared" si="42"/>
        <v>76000</v>
      </c>
      <c r="R524" s="11" t="str">
        <f t="shared" si="43"/>
        <v>Conference</v>
      </c>
      <c r="S524" s="11">
        <f t="shared" si="44"/>
        <v>4</v>
      </c>
    </row>
    <row r="525" spans="1:19">
      <c r="A525" t="s">
        <v>2882</v>
      </c>
      <c r="B525" t="s">
        <v>2883</v>
      </c>
      <c r="C525" t="s">
        <v>1626</v>
      </c>
      <c r="D525" t="s">
        <v>2884</v>
      </c>
      <c r="E525" t="s">
        <v>2885</v>
      </c>
      <c r="F525" t="s">
        <v>2886</v>
      </c>
      <c r="G525" s="4">
        <v>45676</v>
      </c>
      <c r="H525" s="4">
        <v>45945</v>
      </c>
      <c r="I525" s="4">
        <v>45959</v>
      </c>
      <c r="J525">
        <f t="shared" si="40"/>
        <v>14</v>
      </c>
      <c r="K525" t="str">
        <f t="array" ref="K525">_xlfn.IFS(J525=1,"Day Use",J525&lt;=3,"Short Stay",J525&lt;=7,"Extended Stay",J525&gt;=8,"Long Stay")</f>
        <v>Long Stay</v>
      </c>
      <c r="L525" t="s">
        <v>84</v>
      </c>
      <c r="M525" s="10" t="str">
        <f t="shared" si="41"/>
        <v>Suite</v>
      </c>
      <c r="N525" t="s">
        <v>26</v>
      </c>
      <c r="O525" t="s">
        <v>27</v>
      </c>
      <c r="P525">
        <f>IFERROR(VLOOKUP(TRIM(M525),Room!D:H,5,FALSE),5000)</f>
        <v>12500</v>
      </c>
      <c r="Q525">
        <f t="shared" si="42"/>
        <v>175000</v>
      </c>
      <c r="R525" s="11" t="str">
        <f t="shared" si="43"/>
        <v>Business</v>
      </c>
      <c r="S525" s="11">
        <f t="shared" si="44"/>
        <v>5</v>
      </c>
    </row>
    <row r="526" spans="1:19">
      <c r="A526" t="s">
        <v>2887</v>
      </c>
      <c r="B526" t="s">
        <v>2888</v>
      </c>
      <c r="C526" t="s">
        <v>893</v>
      </c>
      <c r="D526" t="s">
        <v>2889</v>
      </c>
      <c r="E526" t="s">
        <v>2890</v>
      </c>
      <c r="F526" t="s">
        <v>2891</v>
      </c>
      <c r="G526" s="4">
        <v>45486</v>
      </c>
      <c r="H526" s="4">
        <v>45792</v>
      </c>
      <c r="I526" s="4">
        <v>45802</v>
      </c>
      <c r="J526">
        <f t="shared" si="40"/>
        <v>10</v>
      </c>
      <c r="K526" t="str">
        <f t="array" ref="K526">_xlfn.IFS(J526=1,"Day Use",J526&lt;=3,"Short Stay",J526&lt;=7,"Extended Stay",J526&gt;=8,"Long Stay")</f>
        <v>Long Stay</v>
      </c>
      <c r="L526" t="s">
        <v>141</v>
      </c>
      <c r="M526" s="10" t="str">
        <f t="shared" si="41"/>
        <v>Premium</v>
      </c>
      <c r="N526" t="s">
        <v>372</v>
      </c>
      <c r="O526" t="s">
        <v>71</v>
      </c>
      <c r="P526">
        <f>IFERROR(VLOOKUP(TRIM(M526),Room!D:H,5,FALSE),5000)</f>
        <v>9500</v>
      </c>
      <c r="Q526">
        <f t="shared" si="42"/>
        <v>95000</v>
      </c>
      <c r="R526" s="11" t="str">
        <f t="shared" si="43"/>
        <v>Conference</v>
      </c>
      <c r="S526" s="11">
        <f t="shared" si="44"/>
        <v>4</v>
      </c>
    </row>
    <row r="527" spans="1:19">
      <c r="A527" t="s">
        <v>2892</v>
      </c>
      <c r="B527" t="s">
        <v>2893</v>
      </c>
      <c r="C527" t="s">
        <v>253</v>
      </c>
      <c r="D527" t="s">
        <v>2894</v>
      </c>
      <c r="E527" t="s">
        <v>2895</v>
      </c>
      <c r="F527" t="s">
        <v>2896</v>
      </c>
      <c r="G527" s="4">
        <v>45244</v>
      </c>
      <c r="H527" s="4">
        <v>45842</v>
      </c>
      <c r="I527" s="4">
        <v>45843</v>
      </c>
      <c r="J527">
        <f t="shared" si="40"/>
        <v>1</v>
      </c>
      <c r="K527" t="str">
        <f t="array" ref="K527">_xlfn.IFS(J527=1,"Day Use",J527&lt;=3,"Short Stay",J527&lt;=7,"Extended Stay",J527&gt;=8,"Long Stay")</f>
        <v>Day Use</v>
      </c>
      <c r="L527" t="s">
        <v>49</v>
      </c>
      <c r="M527" s="10" t="str">
        <f t="shared" si="41"/>
        <v>Standard</v>
      </c>
      <c r="N527" t="s">
        <v>57</v>
      </c>
      <c r="O527" t="s">
        <v>58</v>
      </c>
      <c r="P527">
        <f>IFERROR(VLOOKUP(TRIM(M527),Room!D:H,5,FALSE),5000)</f>
        <v>3200</v>
      </c>
      <c r="Q527">
        <f t="shared" si="42"/>
        <v>3200</v>
      </c>
      <c r="R527" s="11" t="str">
        <f t="shared" si="43"/>
        <v>Other</v>
      </c>
      <c r="S527" s="11">
        <f t="shared" si="44"/>
        <v>1</v>
      </c>
    </row>
    <row r="528" spans="1:19">
      <c r="A528" t="s">
        <v>2897</v>
      </c>
      <c r="B528" t="s">
        <v>2898</v>
      </c>
      <c r="C528" t="s">
        <v>1014</v>
      </c>
      <c r="D528" t="s">
        <v>2899</v>
      </c>
      <c r="E528" t="s">
        <v>2900</v>
      </c>
      <c r="F528" t="s">
        <v>2901</v>
      </c>
      <c r="G528" s="4">
        <v>45557</v>
      </c>
      <c r="H528" s="4">
        <v>45637</v>
      </c>
      <c r="I528" s="4">
        <v>45642</v>
      </c>
      <c r="J528">
        <f t="shared" si="40"/>
        <v>5</v>
      </c>
      <c r="K528" t="str">
        <f t="array" ref="K528">_xlfn.IFS(J528=1,"Day Use",J528&lt;=3,"Short Stay",J528&lt;=7,"Extended Stay",J528&gt;=8,"Long Stay")</f>
        <v>Extended Stay</v>
      </c>
      <c r="L528" t="s">
        <v>91</v>
      </c>
      <c r="M528" s="10" t="str">
        <f t="shared" si="41"/>
        <v>Deluxe</v>
      </c>
      <c r="N528" t="s">
        <v>26</v>
      </c>
      <c r="O528" t="s">
        <v>71</v>
      </c>
      <c r="P528">
        <f>IFERROR(VLOOKUP(TRIM(M528),Room!D:H,5,FALSE),5000)</f>
        <v>5400</v>
      </c>
      <c r="Q528">
        <f t="shared" si="42"/>
        <v>27000</v>
      </c>
      <c r="R528" s="11" t="str">
        <f t="shared" si="43"/>
        <v>Conference</v>
      </c>
      <c r="S528" s="11">
        <f t="shared" si="44"/>
        <v>3</v>
      </c>
    </row>
    <row r="529" spans="1:19">
      <c r="A529" t="s">
        <v>2902</v>
      </c>
      <c r="B529" t="s">
        <v>2903</v>
      </c>
      <c r="C529" t="s">
        <v>294</v>
      </c>
      <c r="D529" t="s">
        <v>2904</v>
      </c>
      <c r="E529" t="s">
        <v>2905</v>
      </c>
      <c r="F529" t="s">
        <v>2906</v>
      </c>
      <c r="G529" s="4">
        <v>45498</v>
      </c>
      <c r="H529" s="4">
        <v>45499</v>
      </c>
      <c r="I529" s="4">
        <v>45503</v>
      </c>
      <c r="J529">
        <f t="shared" si="40"/>
        <v>4</v>
      </c>
      <c r="K529" t="str">
        <f t="array" ref="K529">_xlfn.IFS(J529=1,"Day Use",J529&lt;=3,"Short Stay",J529&lt;=7,"Extended Stay",J529&gt;=8,"Long Stay")</f>
        <v>Extended Stay</v>
      </c>
      <c r="L529" t="s">
        <v>34</v>
      </c>
      <c r="M529" s="10" t="str">
        <f t="shared" si="41"/>
        <v>Deluxe</v>
      </c>
      <c r="N529" t="s">
        <v>26</v>
      </c>
      <c r="O529" t="s">
        <v>58</v>
      </c>
      <c r="P529">
        <f>IFERROR(VLOOKUP(TRIM(M529),Room!D:H,5,FALSE),5000)</f>
        <v>5400</v>
      </c>
      <c r="Q529">
        <f t="shared" si="42"/>
        <v>21600</v>
      </c>
      <c r="R529" s="11" t="str">
        <f t="shared" si="43"/>
        <v>Conference</v>
      </c>
      <c r="S529" s="11">
        <f t="shared" si="44"/>
        <v>3</v>
      </c>
    </row>
    <row r="530" spans="1:19">
      <c r="A530" t="s">
        <v>2907</v>
      </c>
      <c r="B530" t="s">
        <v>2908</v>
      </c>
      <c r="C530" t="s">
        <v>961</v>
      </c>
      <c r="D530" t="s">
        <v>2909</v>
      </c>
      <c r="E530" t="s">
        <v>2910</v>
      </c>
      <c r="F530" t="s">
        <v>2911</v>
      </c>
      <c r="G530" s="4">
        <v>45852</v>
      </c>
      <c r="H530" s="4">
        <v>45945</v>
      </c>
      <c r="I530" s="4">
        <v>45946</v>
      </c>
      <c r="J530">
        <f t="shared" si="40"/>
        <v>1</v>
      </c>
      <c r="K530" t="str">
        <f t="array" ref="K530">_xlfn.IFS(J530=1,"Day Use",J530&lt;=3,"Short Stay",J530&lt;=7,"Extended Stay",J530&gt;=8,"Long Stay")</f>
        <v>Day Use</v>
      </c>
      <c r="L530" t="s">
        <v>84</v>
      </c>
      <c r="M530" s="10" t="str">
        <f t="shared" si="41"/>
        <v>Standard</v>
      </c>
      <c r="N530" t="s">
        <v>26</v>
      </c>
      <c r="O530" t="s">
        <v>71</v>
      </c>
      <c r="P530">
        <f>IFERROR(VLOOKUP(TRIM(M530),Room!D:H,5,FALSE),5000)</f>
        <v>3200</v>
      </c>
      <c r="Q530">
        <f t="shared" si="42"/>
        <v>3200</v>
      </c>
      <c r="R530" s="11" t="str">
        <f t="shared" si="43"/>
        <v>Other</v>
      </c>
      <c r="S530" s="11">
        <f t="shared" si="44"/>
        <v>1</v>
      </c>
    </row>
    <row r="531" spans="1:19">
      <c r="A531" t="s">
        <v>2912</v>
      </c>
      <c r="B531" t="s">
        <v>2913</v>
      </c>
      <c r="C531" t="s">
        <v>1826</v>
      </c>
      <c r="D531" t="s">
        <v>2914</v>
      </c>
      <c r="E531" t="s">
        <v>2915</v>
      </c>
      <c r="F531" t="s">
        <v>2916</v>
      </c>
      <c r="G531" s="4">
        <v>45302</v>
      </c>
      <c r="H531" s="4">
        <v>45428</v>
      </c>
      <c r="I531" s="4">
        <v>45436</v>
      </c>
      <c r="J531">
        <f t="shared" si="40"/>
        <v>8</v>
      </c>
      <c r="K531" t="str">
        <f t="array" ref="K531">_xlfn.IFS(J531=1,"Day Use",J531&lt;=3,"Short Stay",J531&lt;=7,"Extended Stay",J531&gt;=8,"Long Stay")</f>
        <v>Long Stay</v>
      </c>
      <c r="L531" t="s">
        <v>141</v>
      </c>
      <c r="M531" s="10" t="str">
        <f t="shared" si="41"/>
        <v>Premium</v>
      </c>
      <c r="N531" t="s">
        <v>26</v>
      </c>
      <c r="O531" t="s">
        <v>71</v>
      </c>
      <c r="P531">
        <f>IFERROR(VLOOKUP(TRIM(M531),Room!D:H,5,FALSE),5000)</f>
        <v>9500</v>
      </c>
      <c r="Q531">
        <f t="shared" si="42"/>
        <v>76000</v>
      </c>
      <c r="R531" s="11" t="str">
        <f t="shared" si="43"/>
        <v>Conference</v>
      </c>
      <c r="S531" s="11">
        <f t="shared" si="44"/>
        <v>4</v>
      </c>
    </row>
    <row r="532" spans="1:19">
      <c r="A532" t="s">
        <v>2917</v>
      </c>
      <c r="B532" t="s">
        <v>2918</v>
      </c>
      <c r="C532" t="s">
        <v>1008</v>
      </c>
      <c r="D532" t="s">
        <v>2919</v>
      </c>
      <c r="E532" t="s">
        <v>2920</v>
      </c>
      <c r="F532" t="s">
        <v>2921</v>
      </c>
      <c r="G532" s="4">
        <v>45418</v>
      </c>
      <c r="H532" s="4">
        <v>45447</v>
      </c>
      <c r="I532" s="4">
        <v>45454</v>
      </c>
      <c r="J532">
        <f t="shared" si="40"/>
        <v>7</v>
      </c>
      <c r="K532" t="str">
        <f t="array" ref="K532">_xlfn.IFS(J532=1,"Day Use",J532&lt;=3,"Short Stay",J532&lt;=7,"Extended Stay",J532&gt;=8,"Long Stay")</f>
        <v>Extended Stay</v>
      </c>
      <c r="L532" t="s">
        <v>91</v>
      </c>
      <c r="M532" s="10" t="str">
        <f t="shared" si="41"/>
        <v>Premium</v>
      </c>
      <c r="N532" t="s">
        <v>372</v>
      </c>
      <c r="O532" t="s">
        <v>35</v>
      </c>
      <c r="P532">
        <f>IFERROR(VLOOKUP(TRIM(M532),Room!D:H,5,FALSE),5000)</f>
        <v>9500</v>
      </c>
      <c r="Q532">
        <f t="shared" si="42"/>
        <v>66500</v>
      </c>
      <c r="R532" s="11" t="str">
        <f t="shared" si="43"/>
        <v>Conference</v>
      </c>
      <c r="S532" s="11">
        <f t="shared" si="44"/>
        <v>4</v>
      </c>
    </row>
    <row r="533" spans="1:19">
      <c r="A533" t="s">
        <v>2922</v>
      </c>
      <c r="B533" t="s">
        <v>2923</v>
      </c>
      <c r="C533" t="s">
        <v>2924</v>
      </c>
      <c r="D533" t="s">
        <v>2925</v>
      </c>
      <c r="E533" t="s">
        <v>2926</v>
      </c>
      <c r="F533" t="s">
        <v>2927</v>
      </c>
      <c r="G533" s="4">
        <v>45497</v>
      </c>
      <c r="H533" s="4">
        <v>45776</v>
      </c>
      <c r="I533" s="4">
        <v>45780</v>
      </c>
      <c r="J533">
        <f t="shared" si="40"/>
        <v>4</v>
      </c>
      <c r="K533" t="str">
        <f t="array" ref="K533">_xlfn.IFS(J533=1,"Day Use",J533&lt;=3,"Short Stay",J533&lt;=7,"Extended Stay",J533&gt;=8,"Long Stay")</f>
        <v>Extended Stay</v>
      </c>
      <c r="L533" t="s">
        <v>34</v>
      </c>
      <c r="M533" s="10" t="str">
        <f t="shared" si="41"/>
        <v>Deluxe</v>
      </c>
      <c r="N533" t="s">
        <v>57</v>
      </c>
      <c r="O533" t="s">
        <v>71</v>
      </c>
      <c r="P533">
        <f>IFERROR(VLOOKUP(TRIM(M533),Room!D:H,5,FALSE),5000)</f>
        <v>5400</v>
      </c>
      <c r="Q533">
        <f t="shared" si="42"/>
        <v>21600</v>
      </c>
      <c r="R533" s="11" t="str">
        <f t="shared" si="43"/>
        <v>Conference</v>
      </c>
      <c r="S533" s="11">
        <f t="shared" si="44"/>
        <v>3</v>
      </c>
    </row>
    <row r="534" spans="1:19">
      <c r="A534" t="s">
        <v>2928</v>
      </c>
      <c r="B534" t="s">
        <v>2929</v>
      </c>
      <c r="C534" t="s">
        <v>2202</v>
      </c>
      <c r="D534" t="s">
        <v>2930</v>
      </c>
      <c r="E534" t="s">
        <v>2931</v>
      </c>
      <c r="F534" t="s">
        <v>2932</v>
      </c>
      <c r="G534" s="4">
        <v>45855</v>
      </c>
      <c r="H534" s="4">
        <v>46003</v>
      </c>
      <c r="I534" s="4">
        <v>46011</v>
      </c>
      <c r="J534">
        <f t="shared" si="40"/>
        <v>8</v>
      </c>
      <c r="K534" t="str">
        <f t="array" ref="K534">_xlfn.IFS(J534=1,"Day Use",J534&lt;=3,"Short Stay",J534&lt;=7,"Extended Stay",J534&gt;=8,"Long Stay")</f>
        <v>Long Stay</v>
      </c>
      <c r="L534" t="s">
        <v>91</v>
      </c>
      <c r="M534" s="10" t="str">
        <f t="shared" si="41"/>
        <v>Premium</v>
      </c>
      <c r="N534" t="s">
        <v>26</v>
      </c>
      <c r="O534" t="s">
        <v>35</v>
      </c>
      <c r="P534">
        <f>IFERROR(VLOOKUP(TRIM(M534),Room!D:H,5,FALSE),5000)</f>
        <v>9500</v>
      </c>
      <c r="Q534">
        <f t="shared" si="42"/>
        <v>76000</v>
      </c>
      <c r="R534" s="11" t="str">
        <f t="shared" si="43"/>
        <v>Conference</v>
      </c>
      <c r="S534" s="11">
        <f t="shared" si="44"/>
        <v>4</v>
      </c>
    </row>
    <row r="535" spans="1:19">
      <c r="A535" t="s">
        <v>2933</v>
      </c>
      <c r="B535" t="s">
        <v>2934</v>
      </c>
      <c r="C535" t="s">
        <v>835</v>
      </c>
      <c r="D535" t="s">
        <v>2935</v>
      </c>
      <c r="E535" t="s">
        <v>2936</v>
      </c>
      <c r="F535" t="s">
        <v>2937</v>
      </c>
      <c r="G535" s="4">
        <v>45471</v>
      </c>
      <c r="H535" s="4">
        <v>45984</v>
      </c>
      <c r="I535" s="4">
        <v>45996</v>
      </c>
      <c r="J535">
        <f t="shared" si="40"/>
        <v>12</v>
      </c>
      <c r="K535" t="str">
        <f t="array" ref="K535">_xlfn.IFS(J535=1,"Day Use",J535&lt;=3,"Short Stay",J535&lt;=7,"Extended Stay",J535&gt;=8,"Long Stay")</f>
        <v>Long Stay</v>
      </c>
      <c r="L535" t="s">
        <v>56</v>
      </c>
      <c r="M535" s="10" t="str">
        <f t="shared" si="41"/>
        <v>Suite</v>
      </c>
      <c r="N535" t="s">
        <v>26</v>
      </c>
      <c r="O535" t="s">
        <v>35</v>
      </c>
      <c r="P535">
        <f>IFERROR(VLOOKUP(TRIM(M535),Room!D:H,5,FALSE),5000)</f>
        <v>12500</v>
      </c>
      <c r="Q535">
        <f t="shared" si="42"/>
        <v>150000</v>
      </c>
      <c r="R535" s="11" t="str">
        <f t="shared" si="43"/>
        <v>Business</v>
      </c>
      <c r="S535" s="11">
        <f t="shared" si="44"/>
        <v>5</v>
      </c>
    </row>
    <row r="536" spans="1:19">
      <c r="A536" t="s">
        <v>2938</v>
      </c>
      <c r="B536" t="s">
        <v>2939</v>
      </c>
      <c r="C536" t="s">
        <v>1757</v>
      </c>
      <c r="D536" t="s">
        <v>2940</v>
      </c>
      <c r="E536" t="s">
        <v>2941</v>
      </c>
      <c r="F536" t="s">
        <v>2942</v>
      </c>
      <c r="G536" s="4">
        <v>45515</v>
      </c>
      <c r="H536" s="4">
        <v>45519</v>
      </c>
      <c r="I536" s="4">
        <v>45523</v>
      </c>
      <c r="J536">
        <f t="shared" si="40"/>
        <v>4</v>
      </c>
      <c r="K536" t="str">
        <f t="array" ref="K536">_xlfn.IFS(J536=1,"Day Use",J536&lt;=3,"Short Stay",J536&lt;=7,"Extended Stay",J536&gt;=8,"Long Stay")</f>
        <v>Extended Stay</v>
      </c>
      <c r="L536" t="s">
        <v>56</v>
      </c>
      <c r="M536" s="10" t="str">
        <f t="shared" si="41"/>
        <v>Deluxe</v>
      </c>
      <c r="N536" t="s">
        <v>26</v>
      </c>
      <c r="O536" t="s">
        <v>27</v>
      </c>
      <c r="P536">
        <f>IFERROR(VLOOKUP(TRIM(M536),Room!D:H,5,FALSE),5000)</f>
        <v>5400</v>
      </c>
      <c r="Q536">
        <f t="shared" si="42"/>
        <v>21600</v>
      </c>
      <c r="R536" s="11" t="str">
        <f t="shared" si="43"/>
        <v>Conference</v>
      </c>
      <c r="S536" s="11">
        <f t="shared" si="44"/>
        <v>3</v>
      </c>
    </row>
    <row r="537" spans="1:19">
      <c r="A537" t="s">
        <v>2943</v>
      </c>
      <c r="B537" t="s">
        <v>2944</v>
      </c>
      <c r="C537" t="s">
        <v>2945</v>
      </c>
      <c r="D537" t="s">
        <v>2946</v>
      </c>
      <c r="E537" t="s">
        <v>2947</v>
      </c>
      <c r="F537" t="s">
        <v>2948</v>
      </c>
      <c r="G537" s="4">
        <v>45435</v>
      </c>
      <c r="H537" s="4">
        <v>45527</v>
      </c>
      <c r="I537" s="4">
        <v>45540</v>
      </c>
      <c r="J537">
        <f t="shared" si="40"/>
        <v>13</v>
      </c>
      <c r="K537" t="str">
        <f t="array" ref="K537">_xlfn.IFS(J537=1,"Day Use",J537&lt;=3,"Short Stay",J537&lt;=7,"Extended Stay",J537&gt;=8,"Long Stay")</f>
        <v>Long Stay</v>
      </c>
      <c r="L537" t="s">
        <v>49</v>
      </c>
      <c r="M537" s="10" t="str">
        <f t="shared" si="41"/>
        <v>Suite</v>
      </c>
      <c r="N537" t="s">
        <v>26</v>
      </c>
      <c r="O537" t="s">
        <v>71</v>
      </c>
      <c r="P537">
        <f>IFERROR(VLOOKUP(TRIM(M537),Room!D:H,5,FALSE),5000)</f>
        <v>12500</v>
      </c>
      <c r="Q537">
        <f t="shared" si="42"/>
        <v>162500</v>
      </c>
      <c r="R537" s="11" t="str">
        <f t="shared" si="43"/>
        <v>Business</v>
      </c>
      <c r="S537" s="11">
        <f t="shared" si="44"/>
        <v>5</v>
      </c>
    </row>
    <row r="538" spans="1:19">
      <c r="A538" t="s">
        <v>2949</v>
      </c>
      <c r="B538" t="s">
        <v>2950</v>
      </c>
      <c r="C538" t="s">
        <v>1545</v>
      </c>
      <c r="D538" t="s">
        <v>2951</v>
      </c>
      <c r="E538" t="s">
        <v>2952</v>
      </c>
      <c r="F538" t="s">
        <v>2953</v>
      </c>
      <c r="G538" s="4">
        <v>45325</v>
      </c>
      <c r="H538" s="4">
        <v>45346</v>
      </c>
      <c r="I538" s="4">
        <v>45360</v>
      </c>
      <c r="J538">
        <f t="shared" si="40"/>
        <v>14</v>
      </c>
      <c r="K538" t="str">
        <f t="array" ref="K538">_xlfn.IFS(J538=1,"Day Use",J538&lt;=3,"Short Stay",J538&lt;=7,"Extended Stay",J538&gt;=8,"Long Stay")</f>
        <v>Long Stay</v>
      </c>
      <c r="L538" t="s">
        <v>196</v>
      </c>
      <c r="M538" s="10" t="str">
        <f t="shared" si="41"/>
        <v>Suite</v>
      </c>
      <c r="N538" t="s">
        <v>134</v>
      </c>
      <c r="O538" t="s">
        <v>35</v>
      </c>
      <c r="P538">
        <f>IFERROR(VLOOKUP(TRIM(M538),Room!D:H,5,FALSE),5000)</f>
        <v>12500</v>
      </c>
      <c r="Q538">
        <f t="shared" si="42"/>
        <v>175000</v>
      </c>
      <c r="R538" s="11" t="str">
        <f t="shared" si="43"/>
        <v>Business</v>
      </c>
      <c r="S538" s="11">
        <f t="shared" si="44"/>
        <v>5</v>
      </c>
    </row>
    <row r="539" spans="1:19">
      <c r="A539" t="s">
        <v>2954</v>
      </c>
      <c r="B539" t="s">
        <v>2955</v>
      </c>
      <c r="C539" t="s">
        <v>1074</v>
      </c>
      <c r="D539" t="s">
        <v>2956</v>
      </c>
      <c r="E539" t="s">
        <v>2957</v>
      </c>
      <c r="F539" t="s">
        <v>2958</v>
      </c>
      <c r="G539" s="4">
        <v>45262</v>
      </c>
      <c r="H539" s="4">
        <v>46001</v>
      </c>
      <c r="I539" s="4">
        <v>46010</v>
      </c>
      <c r="J539">
        <f t="shared" si="40"/>
        <v>9</v>
      </c>
      <c r="K539" t="str">
        <f t="array" ref="K539">_xlfn.IFS(J539=1,"Day Use",J539&lt;=3,"Short Stay",J539&lt;=7,"Extended Stay",J539&gt;=8,"Long Stay")</f>
        <v>Long Stay</v>
      </c>
      <c r="L539" t="s">
        <v>91</v>
      </c>
      <c r="M539" s="10" t="str">
        <f t="shared" si="41"/>
        <v>Premium</v>
      </c>
      <c r="N539" t="s">
        <v>26</v>
      </c>
      <c r="O539" t="s">
        <v>58</v>
      </c>
      <c r="P539">
        <f>IFERROR(VLOOKUP(TRIM(M539),Room!D:H,5,FALSE),5000)</f>
        <v>9500</v>
      </c>
      <c r="Q539">
        <f t="shared" si="42"/>
        <v>85500</v>
      </c>
      <c r="R539" s="11" t="str">
        <f t="shared" si="43"/>
        <v>Conference</v>
      </c>
      <c r="S539" s="11">
        <f t="shared" si="44"/>
        <v>4</v>
      </c>
    </row>
    <row r="540" spans="1:19">
      <c r="A540" t="s">
        <v>2959</v>
      </c>
      <c r="B540" t="s">
        <v>2960</v>
      </c>
      <c r="C540" t="s">
        <v>484</v>
      </c>
      <c r="D540" t="s">
        <v>2961</v>
      </c>
      <c r="E540" t="s">
        <v>2962</v>
      </c>
      <c r="F540" t="s">
        <v>2963</v>
      </c>
      <c r="G540" s="4">
        <v>45497</v>
      </c>
      <c r="H540" s="4">
        <v>45539</v>
      </c>
      <c r="I540" s="4">
        <v>45540</v>
      </c>
      <c r="J540">
        <f t="shared" si="40"/>
        <v>1</v>
      </c>
      <c r="K540" t="str">
        <f t="array" ref="K540">_xlfn.IFS(J540=1,"Day Use",J540&lt;=3,"Short Stay",J540&lt;=7,"Extended Stay",J540&gt;=8,"Long Stay")</f>
        <v>Day Use</v>
      </c>
      <c r="L540" t="s">
        <v>84</v>
      </c>
      <c r="M540" s="10" t="str">
        <f t="shared" si="41"/>
        <v>Standard</v>
      </c>
      <c r="N540" t="s">
        <v>26</v>
      </c>
      <c r="O540" t="s">
        <v>58</v>
      </c>
      <c r="P540">
        <f>IFERROR(VLOOKUP(TRIM(M540),Room!D:H,5,FALSE),5000)</f>
        <v>3200</v>
      </c>
      <c r="Q540">
        <f t="shared" si="42"/>
        <v>3200</v>
      </c>
      <c r="R540" s="11" t="str">
        <f t="shared" si="43"/>
        <v>Other</v>
      </c>
      <c r="S540" s="11">
        <f t="shared" si="44"/>
        <v>1</v>
      </c>
    </row>
    <row r="541" spans="1:19">
      <c r="A541" t="s">
        <v>2964</v>
      </c>
      <c r="B541" t="s">
        <v>2965</v>
      </c>
      <c r="C541" t="s">
        <v>1453</v>
      </c>
      <c r="D541" t="s">
        <v>2966</v>
      </c>
      <c r="E541" t="s">
        <v>2967</v>
      </c>
      <c r="F541" t="s">
        <v>2968</v>
      </c>
      <c r="G541" s="4">
        <v>45630</v>
      </c>
      <c r="H541" s="4">
        <v>45980</v>
      </c>
      <c r="I541" s="4">
        <v>45983</v>
      </c>
      <c r="J541">
        <f t="shared" si="40"/>
        <v>3</v>
      </c>
      <c r="K541" t="str">
        <f t="array" ref="K541">_xlfn.IFS(J541=1,"Day Use",J541&lt;=3,"Short Stay",J541&lt;=7,"Extended Stay",J541&gt;=8,"Long Stay")</f>
        <v>Short Stay</v>
      </c>
      <c r="L541" t="s">
        <v>56</v>
      </c>
      <c r="M541" s="10" t="str">
        <f t="shared" si="41"/>
        <v>Standard</v>
      </c>
      <c r="N541" t="s">
        <v>26</v>
      </c>
      <c r="O541" t="s">
        <v>58</v>
      </c>
      <c r="P541">
        <f>IFERROR(VLOOKUP(TRIM(M541),Room!D:H,5,FALSE),5000)</f>
        <v>3200</v>
      </c>
      <c r="Q541">
        <f t="shared" si="42"/>
        <v>9600</v>
      </c>
      <c r="R541" s="11" t="str">
        <f t="shared" si="43"/>
        <v>Other</v>
      </c>
      <c r="S541" s="11">
        <f t="shared" si="44"/>
        <v>2</v>
      </c>
    </row>
    <row r="542" spans="1:19">
      <c r="A542" t="s">
        <v>2969</v>
      </c>
      <c r="B542" t="s">
        <v>2970</v>
      </c>
      <c r="C542" t="s">
        <v>1030</v>
      </c>
      <c r="D542" t="s">
        <v>2971</v>
      </c>
      <c r="E542" t="s">
        <v>2972</v>
      </c>
      <c r="F542" t="s">
        <v>2973</v>
      </c>
      <c r="G542" s="4">
        <v>45756</v>
      </c>
      <c r="H542" s="4">
        <v>45768</v>
      </c>
      <c r="I542" s="4">
        <v>45775</v>
      </c>
      <c r="J542">
        <f t="shared" si="40"/>
        <v>7</v>
      </c>
      <c r="K542" t="str">
        <f t="array" ref="K542">_xlfn.IFS(J542=1,"Day Use",J542&lt;=3,"Short Stay",J542&lt;=7,"Extended Stay",J542&gt;=8,"Long Stay")</f>
        <v>Extended Stay</v>
      </c>
      <c r="L542" t="s">
        <v>196</v>
      </c>
      <c r="M542" s="10" t="str">
        <f t="shared" si="41"/>
        <v>Premium</v>
      </c>
      <c r="N542" t="s">
        <v>26</v>
      </c>
      <c r="O542" t="s">
        <v>71</v>
      </c>
      <c r="P542">
        <f>IFERROR(VLOOKUP(TRIM(M542),Room!D:H,5,FALSE),5000)</f>
        <v>9500</v>
      </c>
      <c r="Q542">
        <f t="shared" si="42"/>
        <v>66500</v>
      </c>
      <c r="R542" s="11" t="str">
        <f t="shared" si="43"/>
        <v>Conference</v>
      </c>
      <c r="S542" s="11">
        <f t="shared" si="44"/>
        <v>4</v>
      </c>
    </row>
    <row r="543" spans="1:19">
      <c r="A543" t="s">
        <v>2974</v>
      </c>
      <c r="B543" t="s">
        <v>2975</v>
      </c>
      <c r="C543" t="s">
        <v>163</v>
      </c>
      <c r="D543" t="s">
        <v>2976</v>
      </c>
      <c r="E543" t="s">
        <v>2977</v>
      </c>
      <c r="F543" t="s">
        <v>2978</v>
      </c>
      <c r="G543" s="4">
        <v>45686</v>
      </c>
      <c r="H543" s="4">
        <v>45702</v>
      </c>
      <c r="I543" s="4">
        <v>45715</v>
      </c>
      <c r="J543">
        <f t="shared" si="40"/>
        <v>13</v>
      </c>
      <c r="K543" t="str">
        <f t="array" ref="K543">_xlfn.IFS(J543=1,"Day Use",J543&lt;=3,"Short Stay",J543&lt;=7,"Extended Stay",J543&gt;=8,"Long Stay")</f>
        <v>Long Stay</v>
      </c>
      <c r="L543" t="s">
        <v>34</v>
      </c>
      <c r="M543" s="10" t="str">
        <f t="shared" si="41"/>
        <v>Suite</v>
      </c>
      <c r="N543" t="s">
        <v>26</v>
      </c>
      <c r="O543" t="s">
        <v>42</v>
      </c>
      <c r="P543">
        <f>IFERROR(VLOOKUP(TRIM(M543),Room!D:H,5,FALSE),5000)</f>
        <v>12500</v>
      </c>
      <c r="Q543">
        <f t="shared" si="42"/>
        <v>162500</v>
      </c>
      <c r="R543" s="11" t="str">
        <f t="shared" si="43"/>
        <v>Business</v>
      </c>
      <c r="S543" s="11">
        <f t="shared" si="44"/>
        <v>5</v>
      </c>
    </row>
    <row r="544" spans="1:19">
      <c r="A544" t="s">
        <v>2979</v>
      </c>
      <c r="B544" t="s">
        <v>2980</v>
      </c>
      <c r="C544" t="s">
        <v>853</v>
      </c>
      <c r="D544" t="s">
        <v>2981</v>
      </c>
      <c r="E544" t="s">
        <v>2982</v>
      </c>
      <c r="F544" t="s">
        <v>2983</v>
      </c>
      <c r="G544" s="4">
        <v>45626</v>
      </c>
      <c r="H544" s="4">
        <v>45626</v>
      </c>
      <c r="I544" s="4">
        <v>45637</v>
      </c>
      <c r="J544">
        <f t="shared" si="40"/>
        <v>11</v>
      </c>
      <c r="K544" t="str">
        <f t="array" ref="K544">_xlfn.IFS(J544=1,"Day Use",J544&lt;=3,"Short Stay",J544&lt;=7,"Extended Stay",J544&gt;=8,"Long Stay")</f>
        <v>Long Stay</v>
      </c>
      <c r="L544" t="s">
        <v>56</v>
      </c>
      <c r="M544" s="10" t="str">
        <f t="shared" si="41"/>
        <v>Suite</v>
      </c>
      <c r="N544" t="s">
        <v>372</v>
      </c>
      <c r="O544" t="s">
        <v>27</v>
      </c>
      <c r="P544">
        <f>IFERROR(VLOOKUP(TRIM(M544),Room!D:H,5,FALSE),5000)</f>
        <v>12500</v>
      </c>
      <c r="Q544">
        <f t="shared" si="42"/>
        <v>137500</v>
      </c>
      <c r="R544" s="11" t="str">
        <f t="shared" si="43"/>
        <v>Business</v>
      </c>
      <c r="S544" s="11">
        <f t="shared" si="44"/>
        <v>5</v>
      </c>
    </row>
    <row r="545" spans="1:19">
      <c r="A545" t="s">
        <v>2984</v>
      </c>
      <c r="B545" t="s">
        <v>2985</v>
      </c>
      <c r="C545" t="s">
        <v>1096</v>
      </c>
      <c r="D545" t="s">
        <v>2986</v>
      </c>
      <c r="E545" t="s">
        <v>2987</v>
      </c>
      <c r="F545" t="s">
        <v>2988</v>
      </c>
      <c r="G545" s="4">
        <v>45383</v>
      </c>
      <c r="H545" s="4">
        <v>45759</v>
      </c>
      <c r="I545" s="4">
        <v>45766</v>
      </c>
      <c r="J545">
        <f t="shared" si="40"/>
        <v>7</v>
      </c>
      <c r="K545" t="str">
        <f t="array" ref="K545">_xlfn.IFS(J545=1,"Day Use",J545&lt;=3,"Short Stay",J545&lt;=7,"Extended Stay",J545&gt;=8,"Long Stay")</f>
        <v>Extended Stay</v>
      </c>
      <c r="L545" t="s">
        <v>56</v>
      </c>
      <c r="M545" s="10" t="str">
        <f t="shared" si="41"/>
        <v>Premium</v>
      </c>
      <c r="N545" t="s">
        <v>26</v>
      </c>
      <c r="O545" t="s">
        <v>27</v>
      </c>
      <c r="P545">
        <f>IFERROR(VLOOKUP(TRIM(M545),Room!D:H,5,FALSE),5000)</f>
        <v>9500</v>
      </c>
      <c r="Q545">
        <f t="shared" si="42"/>
        <v>66500</v>
      </c>
      <c r="R545" s="11" t="str">
        <f t="shared" si="43"/>
        <v>Conference</v>
      </c>
      <c r="S545" s="11">
        <f t="shared" si="44"/>
        <v>4</v>
      </c>
    </row>
    <row r="546" spans="1:19">
      <c r="A546" t="s">
        <v>2989</v>
      </c>
      <c r="B546" t="s">
        <v>2990</v>
      </c>
      <c r="C546" t="s">
        <v>1090</v>
      </c>
      <c r="D546" t="s">
        <v>2991</v>
      </c>
      <c r="E546" t="s">
        <v>2992</v>
      </c>
      <c r="F546" t="s">
        <v>2993</v>
      </c>
      <c r="G546" s="4">
        <v>45754</v>
      </c>
      <c r="H546" s="4">
        <v>45841</v>
      </c>
      <c r="I546" s="4">
        <v>45843</v>
      </c>
      <c r="J546">
        <f t="shared" si="40"/>
        <v>2</v>
      </c>
      <c r="K546" t="str">
        <f t="array" ref="K546">_xlfn.IFS(J546=1,"Day Use",J546&lt;=3,"Short Stay",J546&lt;=7,"Extended Stay",J546&gt;=8,"Long Stay")</f>
        <v>Short Stay</v>
      </c>
      <c r="L546" t="s">
        <v>84</v>
      </c>
      <c r="M546" s="10" t="str">
        <f t="shared" si="41"/>
        <v>Standard</v>
      </c>
      <c r="N546" t="s">
        <v>26</v>
      </c>
      <c r="O546" t="s">
        <v>58</v>
      </c>
      <c r="P546">
        <f>IFERROR(VLOOKUP(TRIM(M546),Room!D:H,5,FALSE),5000)</f>
        <v>3200</v>
      </c>
      <c r="Q546">
        <f t="shared" si="42"/>
        <v>6400</v>
      </c>
      <c r="R546" s="11" t="str">
        <f t="shared" si="43"/>
        <v>Other</v>
      </c>
      <c r="S546" s="11">
        <f t="shared" si="44"/>
        <v>2</v>
      </c>
    </row>
    <row r="547" spans="1:19">
      <c r="A547" t="s">
        <v>2994</v>
      </c>
      <c r="B547" t="s">
        <v>2995</v>
      </c>
      <c r="C547" t="s">
        <v>1666</v>
      </c>
      <c r="D547" t="s">
        <v>2996</v>
      </c>
      <c r="E547" t="s">
        <v>2997</v>
      </c>
      <c r="F547" t="s">
        <v>2998</v>
      </c>
      <c r="G547" s="4">
        <v>45311</v>
      </c>
      <c r="H547" s="4">
        <v>45325</v>
      </c>
      <c r="I547" s="4">
        <v>45336</v>
      </c>
      <c r="J547">
        <f t="shared" si="40"/>
        <v>11</v>
      </c>
      <c r="K547" t="str">
        <f t="array" ref="K547">_xlfn.IFS(J547=1,"Day Use",J547&lt;=3,"Short Stay",J547&lt;=7,"Extended Stay",J547&gt;=8,"Long Stay")</f>
        <v>Long Stay</v>
      </c>
      <c r="L547" t="s">
        <v>141</v>
      </c>
      <c r="M547" s="10" t="str">
        <f t="shared" si="41"/>
        <v>Suite</v>
      </c>
      <c r="N547" t="s">
        <v>26</v>
      </c>
      <c r="O547" t="s">
        <v>58</v>
      </c>
      <c r="P547">
        <f>IFERROR(VLOOKUP(TRIM(M547),Room!D:H,5,FALSE),5000)</f>
        <v>12500</v>
      </c>
      <c r="Q547">
        <f t="shared" si="42"/>
        <v>137500</v>
      </c>
      <c r="R547" s="11" t="str">
        <f t="shared" si="43"/>
        <v>Business</v>
      </c>
      <c r="S547" s="11">
        <f t="shared" si="44"/>
        <v>5</v>
      </c>
    </row>
    <row r="548" spans="1:19">
      <c r="A548" t="s">
        <v>2999</v>
      </c>
      <c r="B548" t="s">
        <v>3000</v>
      </c>
      <c r="C548" t="s">
        <v>2831</v>
      </c>
      <c r="D548" t="s">
        <v>3001</v>
      </c>
      <c r="E548" t="s">
        <v>3002</v>
      </c>
      <c r="F548" t="s">
        <v>3003</v>
      </c>
      <c r="G548" s="4">
        <v>45456</v>
      </c>
      <c r="H548" s="4">
        <v>45580</v>
      </c>
      <c r="I548" s="4">
        <v>45589</v>
      </c>
      <c r="J548">
        <f t="shared" si="40"/>
        <v>9</v>
      </c>
      <c r="K548" t="str">
        <f t="array" ref="K548">_xlfn.IFS(J548=1,"Day Use",J548&lt;=3,"Short Stay",J548&lt;=7,"Extended Stay",J548&gt;=8,"Long Stay")</f>
        <v>Long Stay</v>
      </c>
      <c r="L548" t="s">
        <v>56</v>
      </c>
      <c r="M548" s="10" t="str">
        <f t="shared" si="41"/>
        <v>Premium</v>
      </c>
      <c r="N548" t="s">
        <v>26</v>
      </c>
      <c r="O548" t="s">
        <v>58</v>
      </c>
      <c r="P548">
        <f>IFERROR(VLOOKUP(TRIM(M548),Room!D:H,5,FALSE),5000)</f>
        <v>9500</v>
      </c>
      <c r="Q548">
        <f t="shared" si="42"/>
        <v>85500</v>
      </c>
      <c r="R548" s="11" t="str">
        <f t="shared" si="43"/>
        <v>Conference</v>
      </c>
      <c r="S548" s="11">
        <f t="shared" si="44"/>
        <v>4</v>
      </c>
    </row>
    <row r="549" spans="1:19">
      <c r="A549" t="s">
        <v>3004</v>
      </c>
      <c r="B549" t="s">
        <v>3005</v>
      </c>
      <c r="C549" t="s">
        <v>1447</v>
      </c>
      <c r="D549" t="s">
        <v>3006</v>
      </c>
      <c r="E549" t="s">
        <v>3007</v>
      </c>
      <c r="F549" t="s">
        <v>3008</v>
      </c>
      <c r="G549" s="4">
        <v>45369</v>
      </c>
      <c r="H549" s="4">
        <v>45390</v>
      </c>
      <c r="I549" s="4">
        <v>45398</v>
      </c>
      <c r="J549">
        <f t="shared" si="40"/>
        <v>8</v>
      </c>
      <c r="K549" t="str">
        <f t="array" ref="K549">_xlfn.IFS(J549=1,"Day Use",J549&lt;=3,"Short Stay",J549&lt;=7,"Extended Stay",J549&gt;=8,"Long Stay")</f>
        <v>Long Stay</v>
      </c>
      <c r="L549" t="s">
        <v>49</v>
      </c>
      <c r="M549" s="10" t="str">
        <f t="shared" si="41"/>
        <v>Premium</v>
      </c>
      <c r="N549" t="s">
        <v>26</v>
      </c>
      <c r="O549" t="s">
        <v>27</v>
      </c>
      <c r="P549">
        <f>IFERROR(VLOOKUP(TRIM(M549),Room!D:H,5,FALSE),5000)</f>
        <v>9500</v>
      </c>
      <c r="Q549">
        <f t="shared" si="42"/>
        <v>76000</v>
      </c>
      <c r="R549" s="11" t="str">
        <f t="shared" si="43"/>
        <v>Conference</v>
      </c>
      <c r="S549" s="11">
        <f t="shared" si="44"/>
        <v>4</v>
      </c>
    </row>
    <row r="550" spans="1:19">
      <c r="A550" t="s">
        <v>3009</v>
      </c>
      <c r="B550" t="s">
        <v>3010</v>
      </c>
      <c r="C550" t="s">
        <v>835</v>
      </c>
      <c r="D550" t="s">
        <v>3011</v>
      </c>
      <c r="E550" t="s">
        <v>3012</v>
      </c>
      <c r="F550" t="s">
        <v>3013</v>
      </c>
      <c r="G550" s="4">
        <v>45310</v>
      </c>
      <c r="H550" s="4">
        <v>45337</v>
      </c>
      <c r="I550" s="4">
        <v>45344</v>
      </c>
      <c r="J550">
        <f t="shared" si="40"/>
        <v>7</v>
      </c>
      <c r="K550" t="str">
        <f t="array" ref="K550">_xlfn.IFS(J550=1,"Day Use",J550&lt;=3,"Short Stay",J550&lt;=7,"Extended Stay",J550&gt;=8,"Long Stay")</f>
        <v>Extended Stay</v>
      </c>
      <c r="L550" t="s">
        <v>49</v>
      </c>
      <c r="M550" s="10" t="str">
        <f t="shared" si="41"/>
        <v>Premium</v>
      </c>
      <c r="N550" t="s">
        <v>26</v>
      </c>
      <c r="O550" t="s">
        <v>27</v>
      </c>
      <c r="P550">
        <f>IFERROR(VLOOKUP(TRIM(M550),Room!D:H,5,FALSE),5000)</f>
        <v>9500</v>
      </c>
      <c r="Q550">
        <f t="shared" si="42"/>
        <v>66500</v>
      </c>
      <c r="R550" s="11" t="str">
        <f t="shared" si="43"/>
        <v>Conference</v>
      </c>
      <c r="S550" s="11">
        <f t="shared" si="44"/>
        <v>4</v>
      </c>
    </row>
    <row r="551" spans="1:19">
      <c r="A551" t="s">
        <v>3014</v>
      </c>
      <c r="B551" t="s">
        <v>3015</v>
      </c>
      <c r="C551" t="s">
        <v>1030</v>
      </c>
      <c r="D551" t="s">
        <v>3016</v>
      </c>
      <c r="E551" t="s">
        <v>3017</v>
      </c>
      <c r="F551" t="s">
        <v>3018</v>
      </c>
      <c r="G551" s="4">
        <v>45408</v>
      </c>
      <c r="H551" s="4">
        <v>45424</v>
      </c>
      <c r="I551" s="4">
        <v>45425</v>
      </c>
      <c r="J551">
        <f t="shared" si="40"/>
        <v>1</v>
      </c>
      <c r="K551" t="str">
        <f t="array" ref="K551">_xlfn.IFS(J551=1,"Day Use",J551&lt;=3,"Short Stay",J551&lt;=7,"Extended Stay",J551&gt;=8,"Long Stay")</f>
        <v>Day Use</v>
      </c>
      <c r="L551" t="s">
        <v>25</v>
      </c>
      <c r="M551" s="10" t="str">
        <f t="shared" si="41"/>
        <v>Standard</v>
      </c>
      <c r="N551" t="s">
        <v>26</v>
      </c>
      <c r="O551" t="s">
        <v>42</v>
      </c>
      <c r="P551">
        <f>IFERROR(VLOOKUP(TRIM(M551),Room!D:H,5,FALSE),5000)</f>
        <v>3200</v>
      </c>
      <c r="Q551">
        <f t="shared" si="42"/>
        <v>3200</v>
      </c>
      <c r="R551" s="11" t="str">
        <f t="shared" si="43"/>
        <v>Other</v>
      </c>
      <c r="S551" s="11">
        <f t="shared" si="44"/>
        <v>1</v>
      </c>
    </row>
    <row r="552" spans="1:19">
      <c r="A552" t="s">
        <v>3019</v>
      </c>
      <c r="B552" t="s">
        <v>3020</v>
      </c>
      <c r="C552" t="s">
        <v>1036</v>
      </c>
      <c r="D552" t="s">
        <v>3021</v>
      </c>
      <c r="E552" t="s">
        <v>3022</v>
      </c>
      <c r="F552" t="s">
        <v>3023</v>
      </c>
      <c r="G552" s="4">
        <v>45764</v>
      </c>
      <c r="H552" s="4">
        <v>45815</v>
      </c>
      <c r="I552" s="4">
        <v>45816</v>
      </c>
      <c r="J552">
        <f t="shared" si="40"/>
        <v>1</v>
      </c>
      <c r="K552" t="str">
        <f t="array" ref="K552">_xlfn.IFS(J552=1,"Day Use",J552&lt;=3,"Short Stay",J552&lt;=7,"Extended Stay",J552&gt;=8,"Long Stay")</f>
        <v>Day Use</v>
      </c>
      <c r="L552" t="s">
        <v>56</v>
      </c>
      <c r="M552" s="10" t="str">
        <f t="shared" si="41"/>
        <v>Standard</v>
      </c>
      <c r="N552" t="s">
        <v>26</v>
      </c>
      <c r="O552" t="s">
        <v>58</v>
      </c>
      <c r="P552">
        <f>IFERROR(VLOOKUP(TRIM(M552),Room!D:H,5,FALSE),5000)</f>
        <v>3200</v>
      </c>
      <c r="Q552">
        <f t="shared" si="42"/>
        <v>3200</v>
      </c>
      <c r="R552" s="11" t="str">
        <f t="shared" si="43"/>
        <v>Other</v>
      </c>
      <c r="S552" s="11">
        <f t="shared" si="44"/>
        <v>1</v>
      </c>
    </row>
    <row r="553" spans="1:19">
      <c r="A553" t="s">
        <v>3024</v>
      </c>
      <c r="B553" t="s">
        <v>3025</v>
      </c>
      <c r="C553" t="s">
        <v>2073</v>
      </c>
      <c r="D553" t="s">
        <v>3026</v>
      </c>
      <c r="E553" t="s">
        <v>3027</v>
      </c>
      <c r="F553" t="s">
        <v>3028</v>
      </c>
      <c r="G553" s="4">
        <v>45252</v>
      </c>
      <c r="H553" s="4">
        <v>45487</v>
      </c>
      <c r="I553" s="4">
        <v>45488</v>
      </c>
      <c r="J553">
        <f t="shared" si="40"/>
        <v>1</v>
      </c>
      <c r="K553" t="str">
        <f t="array" ref="K553">_xlfn.IFS(J553=1,"Day Use",J553&lt;=3,"Short Stay",J553&lt;=7,"Extended Stay",J553&gt;=8,"Long Stay")</f>
        <v>Day Use</v>
      </c>
      <c r="L553" t="s">
        <v>91</v>
      </c>
      <c r="M553" s="10" t="str">
        <f t="shared" si="41"/>
        <v>Standard</v>
      </c>
      <c r="N553" t="s">
        <v>26</v>
      </c>
      <c r="O553" t="s">
        <v>35</v>
      </c>
      <c r="P553">
        <f>IFERROR(VLOOKUP(TRIM(M553),Room!D:H,5,FALSE),5000)</f>
        <v>3200</v>
      </c>
      <c r="Q553">
        <f t="shared" si="42"/>
        <v>3200</v>
      </c>
      <c r="R553" s="11" t="str">
        <f t="shared" si="43"/>
        <v>Other</v>
      </c>
      <c r="S553" s="11">
        <f t="shared" si="44"/>
        <v>1</v>
      </c>
    </row>
    <row r="554" spans="1:19">
      <c r="A554" t="s">
        <v>3029</v>
      </c>
      <c r="B554" t="s">
        <v>3030</v>
      </c>
      <c r="C554" t="s">
        <v>163</v>
      </c>
      <c r="D554" t="s">
        <v>3031</v>
      </c>
      <c r="E554" t="s">
        <v>3032</v>
      </c>
      <c r="F554" t="s">
        <v>3033</v>
      </c>
      <c r="G554" s="4">
        <v>45315</v>
      </c>
      <c r="H554" s="4">
        <v>45667</v>
      </c>
      <c r="I554" s="4">
        <v>45672</v>
      </c>
      <c r="J554">
        <f t="shared" si="40"/>
        <v>5</v>
      </c>
      <c r="K554" t="str">
        <f t="array" ref="K554">_xlfn.IFS(J554=1,"Day Use",J554&lt;=3,"Short Stay",J554&lt;=7,"Extended Stay",J554&gt;=8,"Long Stay")</f>
        <v>Extended Stay</v>
      </c>
      <c r="L554" t="s">
        <v>141</v>
      </c>
      <c r="M554" s="10" t="str">
        <f t="shared" si="41"/>
        <v>Deluxe</v>
      </c>
      <c r="N554" t="s">
        <v>57</v>
      </c>
      <c r="O554" t="s">
        <v>71</v>
      </c>
      <c r="P554">
        <f>IFERROR(VLOOKUP(TRIM(M554),Room!D:H,5,FALSE),5000)</f>
        <v>5400</v>
      </c>
      <c r="Q554">
        <f t="shared" si="42"/>
        <v>27000</v>
      </c>
      <c r="R554" s="11" t="str">
        <f t="shared" si="43"/>
        <v>Conference</v>
      </c>
      <c r="S554" s="11">
        <f t="shared" si="44"/>
        <v>3</v>
      </c>
    </row>
    <row r="555" spans="1:19">
      <c r="A555" t="s">
        <v>3034</v>
      </c>
      <c r="B555" t="s">
        <v>3035</v>
      </c>
      <c r="C555" t="s">
        <v>300</v>
      </c>
      <c r="D555" t="s">
        <v>3036</v>
      </c>
      <c r="E555" t="s">
        <v>3037</v>
      </c>
      <c r="F555" t="s">
        <v>3038</v>
      </c>
      <c r="G555" s="4">
        <v>45891</v>
      </c>
      <c r="H555" s="4">
        <v>45900</v>
      </c>
      <c r="I555" s="4">
        <v>45914</v>
      </c>
      <c r="J555">
        <f t="shared" si="40"/>
        <v>14</v>
      </c>
      <c r="K555" t="str">
        <f t="array" ref="K555">_xlfn.IFS(J555=1,"Day Use",J555&lt;=3,"Short Stay",J555&lt;=7,"Extended Stay",J555&gt;=8,"Long Stay")</f>
        <v>Long Stay</v>
      </c>
      <c r="L555" t="s">
        <v>25</v>
      </c>
      <c r="M555" s="10" t="str">
        <f t="shared" si="41"/>
        <v>Suite</v>
      </c>
      <c r="N555" t="s">
        <v>26</v>
      </c>
      <c r="O555" t="s">
        <v>58</v>
      </c>
      <c r="P555">
        <f>IFERROR(VLOOKUP(TRIM(M555),Room!D:H,5,FALSE),5000)</f>
        <v>12500</v>
      </c>
      <c r="Q555">
        <f t="shared" si="42"/>
        <v>175000</v>
      </c>
      <c r="R555" s="11" t="str">
        <f t="shared" si="43"/>
        <v>Business</v>
      </c>
      <c r="S555" s="11">
        <f t="shared" si="44"/>
        <v>5</v>
      </c>
    </row>
    <row r="556" spans="1:19">
      <c r="A556" t="s">
        <v>3039</v>
      </c>
      <c r="B556" t="s">
        <v>3040</v>
      </c>
      <c r="C556" t="s">
        <v>2474</v>
      </c>
      <c r="D556" t="s">
        <v>3041</v>
      </c>
      <c r="E556" t="s">
        <v>3042</v>
      </c>
      <c r="F556" t="s">
        <v>3043</v>
      </c>
      <c r="G556" s="4">
        <v>45612</v>
      </c>
      <c r="H556" s="4">
        <v>45623</v>
      </c>
      <c r="I556" s="4">
        <v>45633</v>
      </c>
      <c r="J556">
        <f t="shared" si="40"/>
        <v>10</v>
      </c>
      <c r="K556" t="str">
        <f t="array" ref="K556">_xlfn.IFS(J556=1,"Day Use",J556&lt;=3,"Short Stay",J556&lt;=7,"Extended Stay",J556&gt;=8,"Long Stay")</f>
        <v>Long Stay</v>
      </c>
      <c r="L556" t="s">
        <v>141</v>
      </c>
      <c r="M556" s="10" t="str">
        <f t="shared" si="41"/>
        <v>Premium</v>
      </c>
      <c r="N556" t="s">
        <v>26</v>
      </c>
      <c r="O556" t="s">
        <v>58</v>
      </c>
      <c r="P556">
        <f>IFERROR(VLOOKUP(TRIM(M556),Room!D:H,5,FALSE),5000)</f>
        <v>9500</v>
      </c>
      <c r="Q556">
        <f t="shared" si="42"/>
        <v>95000</v>
      </c>
      <c r="R556" s="11" t="str">
        <f t="shared" si="43"/>
        <v>Conference</v>
      </c>
      <c r="S556" s="11">
        <f t="shared" si="44"/>
        <v>4</v>
      </c>
    </row>
    <row r="557" spans="1:19">
      <c r="A557" t="s">
        <v>3044</v>
      </c>
      <c r="B557" t="s">
        <v>3045</v>
      </c>
      <c r="C557" t="s">
        <v>1660</v>
      </c>
      <c r="D557" t="s">
        <v>3046</v>
      </c>
      <c r="E557" t="s">
        <v>3047</v>
      </c>
      <c r="F557" t="s">
        <v>3048</v>
      </c>
      <c r="G557" s="4">
        <v>45492</v>
      </c>
      <c r="H557" s="4">
        <v>45512</v>
      </c>
      <c r="I557" s="4">
        <v>45521</v>
      </c>
      <c r="J557">
        <f t="shared" si="40"/>
        <v>9</v>
      </c>
      <c r="K557" t="str">
        <f t="array" ref="K557">_xlfn.IFS(J557=1,"Day Use",J557&lt;=3,"Short Stay",J557&lt;=7,"Extended Stay",J557&gt;=8,"Long Stay")</f>
        <v>Long Stay</v>
      </c>
      <c r="L557" t="s">
        <v>141</v>
      </c>
      <c r="M557" s="10" t="str">
        <f t="shared" si="41"/>
        <v>Premium</v>
      </c>
      <c r="N557" t="s">
        <v>26</v>
      </c>
      <c r="O557" t="s">
        <v>27</v>
      </c>
      <c r="P557">
        <f>IFERROR(VLOOKUP(TRIM(M557),Room!D:H,5,FALSE),5000)</f>
        <v>9500</v>
      </c>
      <c r="Q557">
        <f t="shared" si="42"/>
        <v>85500</v>
      </c>
      <c r="R557" s="11" t="str">
        <f t="shared" si="43"/>
        <v>Conference</v>
      </c>
      <c r="S557" s="11">
        <f t="shared" si="44"/>
        <v>4</v>
      </c>
    </row>
    <row r="558" spans="1:19">
      <c r="A558" t="s">
        <v>3049</v>
      </c>
      <c r="B558" t="s">
        <v>3050</v>
      </c>
      <c r="C558" t="s">
        <v>835</v>
      </c>
      <c r="D558" t="s">
        <v>3051</v>
      </c>
      <c r="E558" t="s">
        <v>3052</v>
      </c>
      <c r="F558" t="s">
        <v>3053</v>
      </c>
      <c r="G558" s="4">
        <v>45325</v>
      </c>
      <c r="H558" s="4">
        <v>45350</v>
      </c>
      <c r="I558" s="4">
        <v>45361</v>
      </c>
      <c r="J558">
        <f t="shared" si="40"/>
        <v>11</v>
      </c>
      <c r="K558" t="str">
        <f t="array" ref="K558">_xlfn.IFS(J558=1,"Day Use",J558&lt;=3,"Short Stay",J558&lt;=7,"Extended Stay",J558&gt;=8,"Long Stay")</f>
        <v>Long Stay</v>
      </c>
      <c r="L558" t="s">
        <v>49</v>
      </c>
      <c r="M558" s="10" t="str">
        <f t="shared" si="41"/>
        <v>Suite</v>
      </c>
      <c r="N558" t="s">
        <v>26</v>
      </c>
      <c r="O558" t="s">
        <v>58</v>
      </c>
      <c r="P558">
        <f>IFERROR(VLOOKUP(TRIM(M558),Room!D:H,5,FALSE),5000)</f>
        <v>12500</v>
      </c>
      <c r="Q558">
        <f t="shared" si="42"/>
        <v>137500</v>
      </c>
      <c r="R558" s="11" t="str">
        <f t="shared" si="43"/>
        <v>Business</v>
      </c>
      <c r="S558" s="11">
        <f t="shared" si="44"/>
        <v>5</v>
      </c>
    </row>
    <row r="559" spans="1:19">
      <c r="A559" t="s">
        <v>3054</v>
      </c>
      <c r="B559" t="s">
        <v>3055</v>
      </c>
      <c r="C559" t="s">
        <v>667</v>
      </c>
      <c r="D559" t="s">
        <v>3056</v>
      </c>
      <c r="E559" t="s">
        <v>3057</v>
      </c>
      <c r="F559" t="s">
        <v>3058</v>
      </c>
      <c r="G559" s="4">
        <v>45349</v>
      </c>
      <c r="H559" s="4">
        <v>45374</v>
      </c>
      <c r="I559" s="4">
        <v>45376</v>
      </c>
      <c r="J559">
        <f t="shared" si="40"/>
        <v>2</v>
      </c>
      <c r="K559" t="str">
        <f t="array" ref="K559">_xlfn.IFS(J559=1,"Day Use",J559&lt;=3,"Short Stay",J559&lt;=7,"Extended Stay",J559&gt;=8,"Long Stay")</f>
        <v>Short Stay</v>
      </c>
      <c r="L559" t="s">
        <v>141</v>
      </c>
      <c r="M559" s="10" t="str">
        <f t="shared" si="41"/>
        <v>Standard</v>
      </c>
      <c r="N559" t="s">
        <v>26</v>
      </c>
      <c r="O559" t="s">
        <v>27</v>
      </c>
      <c r="P559">
        <f>IFERROR(VLOOKUP(TRIM(M559),Room!D:H,5,FALSE),5000)</f>
        <v>3200</v>
      </c>
      <c r="Q559">
        <f t="shared" si="42"/>
        <v>6400</v>
      </c>
      <c r="R559" s="11" t="str">
        <f t="shared" si="43"/>
        <v>Other</v>
      </c>
      <c r="S559" s="11">
        <f t="shared" si="44"/>
        <v>2</v>
      </c>
    </row>
    <row r="560" spans="1:19">
      <c r="A560" t="s">
        <v>3059</v>
      </c>
      <c r="B560" t="s">
        <v>3060</v>
      </c>
      <c r="C560" t="s">
        <v>3061</v>
      </c>
      <c r="D560" t="s">
        <v>3062</v>
      </c>
      <c r="E560" t="s">
        <v>3063</v>
      </c>
      <c r="F560" t="s">
        <v>3064</v>
      </c>
      <c r="G560" s="4">
        <v>45809</v>
      </c>
      <c r="H560" s="4">
        <v>45821</v>
      </c>
      <c r="I560" s="4">
        <v>45827</v>
      </c>
      <c r="J560">
        <f t="shared" si="40"/>
        <v>6</v>
      </c>
      <c r="K560" t="str">
        <f t="array" ref="K560">_xlfn.IFS(J560=1,"Day Use",J560&lt;=3,"Short Stay",J560&lt;=7,"Extended Stay",J560&gt;=8,"Long Stay")</f>
        <v>Extended Stay</v>
      </c>
      <c r="L560" t="s">
        <v>56</v>
      </c>
      <c r="M560" s="10" t="str">
        <f t="shared" si="41"/>
        <v>Deluxe</v>
      </c>
      <c r="N560" t="s">
        <v>26</v>
      </c>
      <c r="O560" t="s">
        <v>35</v>
      </c>
      <c r="P560">
        <f>IFERROR(VLOOKUP(TRIM(M560),Room!D:H,5,FALSE),5000)</f>
        <v>5400</v>
      </c>
      <c r="Q560">
        <f t="shared" si="42"/>
        <v>32400</v>
      </c>
      <c r="R560" s="11" t="str">
        <f t="shared" si="43"/>
        <v>Conference</v>
      </c>
      <c r="S560" s="11">
        <f t="shared" si="44"/>
        <v>3</v>
      </c>
    </row>
    <row r="561" spans="1:19">
      <c r="A561" t="s">
        <v>3065</v>
      </c>
      <c r="B561" t="s">
        <v>3066</v>
      </c>
      <c r="C561" t="s">
        <v>74</v>
      </c>
      <c r="D561" t="s">
        <v>3067</v>
      </c>
      <c r="E561" t="s">
        <v>3068</v>
      </c>
      <c r="F561" t="s">
        <v>3069</v>
      </c>
      <c r="G561" s="4">
        <v>45607</v>
      </c>
      <c r="H561" s="4">
        <v>45621</v>
      </c>
      <c r="I561" s="4">
        <v>45627</v>
      </c>
      <c r="J561">
        <f t="shared" si="40"/>
        <v>6</v>
      </c>
      <c r="K561" t="str">
        <f t="array" ref="K561">_xlfn.IFS(J561=1,"Day Use",J561&lt;=3,"Short Stay",J561&lt;=7,"Extended Stay",J561&gt;=8,"Long Stay")</f>
        <v>Extended Stay</v>
      </c>
      <c r="L561" t="s">
        <v>25</v>
      </c>
      <c r="M561" s="10" t="str">
        <f t="shared" si="41"/>
        <v>Deluxe</v>
      </c>
      <c r="N561" t="s">
        <v>26</v>
      </c>
      <c r="O561" t="s">
        <v>27</v>
      </c>
      <c r="P561">
        <f>IFERROR(VLOOKUP(TRIM(M561),Room!D:H,5,FALSE),5000)</f>
        <v>5400</v>
      </c>
      <c r="Q561">
        <f t="shared" si="42"/>
        <v>32400</v>
      </c>
      <c r="R561" s="11" t="str">
        <f t="shared" si="43"/>
        <v>Conference</v>
      </c>
      <c r="S561" s="11">
        <f t="shared" si="44"/>
        <v>3</v>
      </c>
    </row>
    <row r="562" spans="1:19">
      <c r="A562" t="s">
        <v>3070</v>
      </c>
      <c r="B562" t="s">
        <v>3071</v>
      </c>
      <c r="C562" t="s">
        <v>751</v>
      </c>
      <c r="D562" t="s">
        <v>3072</v>
      </c>
      <c r="E562" t="s">
        <v>3073</v>
      </c>
      <c r="F562" t="s">
        <v>3074</v>
      </c>
      <c r="G562" s="4">
        <v>45864</v>
      </c>
      <c r="H562" s="4">
        <v>45867</v>
      </c>
      <c r="I562" s="4">
        <v>45870</v>
      </c>
      <c r="J562">
        <f t="shared" si="40"/>
        <v>3</v>
      </c>
      <c r="K562" t="str">
        <f t="array" ref="K562">_xlfn.IFS(J562=1,"Day Use",J562&lt;=3,"Short Stay",J562&lt;=7,"Extended Stay",J562&gt;=8,"Long Stay")</f>
        <v>Short Stay</v>
      </c>
      <c r="L562" t="s">
        <v>196</v>
      </c>
      <c r="M562" s="10" t="str">
        <f t="shared" si="41"/>
        <v>Standard</v>
      </c>
      <c r="N562" t="s">
        <v>57</v>
      </c>
      <c r="O562" t="s">
        <v>58</v>
      </c>
      <c r="P562">
        <f>IFERROR(VLOOKUP(TRIM(M562),Room!D:H,5,FALSE),5000)</f>
        <v>3200</v>
      </c>
      <c r="Q562">
        <f t="shared" si="42"/>
        <v>9600</v>
      </c>
      <c r="R562" s="11" t="str">
        <f t="shared" si="43"/>
        <v>Other</v>
      </c>
      <c r="S562" s="11">
        <f t="shared" si="44"/>
        <v>2</v>
      </c>
    </row>
    <row r="563" spans="1:19">
      <c r="A563" t="s">
        <v>3075</v>
      </c>
      <c r="B563" t="s">
        <v>3076</v>
      </c>
      <c r="C563" t="s">
        <v>363</v>
      </c>
      <c r="D563" t="s">
        <v>3077</v>
      </c>
      <c r="E563" t="s">
        <v>3078</v>
      </c>
      <c r="F563" t="s">
        <v>3079</v>
      </c>
      <c r="G563" s="4">
        <v>45240</v>
      </c>
      <c r="H563" s="4">
        <v>45694</v>
      </c>
      <c r="I563" s="4">
        <v>45705</v>
      </c>
      <c r="J563">
        <f t="shared" si="40"/>
        <v>11</v>
      </c>
      <c r="K563" t="str">
        <f t="array" ref="K563">_xlfn.IFS(J563=1,"Day Use",J563&lt;=3,"Short Stay",J563&lt;=7,"Extended Stay",J563&gt;=8,"Long Stay")</f>
        <v>Long Stay</v>
      </c>
      <c r="L563" t="s">
        <v>91</v>
      </c>
      <c r="M563" s="10" t="str">
        <f t="shared" si="41"/>
        <v>Suite</v>
      </c>
      <c r="N563" t="s">
        <v>26</v>
      </c>
      <c r="O563" t="s">
        <v>42</v>
      </c>
      <c r="P563">
        <f>IFERROR(VLOOKUP(TRIM(M563),Room!D:H,5,FALSE),5000)</f>
        <v>12500</v>
      </c>
      <c r="Q563">
        <f t="shared" si="42"/>
        <v>137500</v>
      </c>
      <c r="R563" s="11" t="str">
        <f t="shared" si="43"/>
        <v>Business</v>
      </c>
      <c r="S563" s="11">
        <f t="shared" si="44"/>
        <v>5</v>
      </c>
    </row>
    <row r="564" spans="1:19">
      <c r="A564" t="s">
        <v>3080</v>
      </c>
      <c r="B564" t="s">
        <v>3081</v>
      </c>
      <c r="C564" t="s">
        <v>1810</v>
      </c>
      <c r="D564" t="s">
        <v>3082</v>
      </c>
      <c r="E564" t="s">
        <v>3083</v>
      </c>
      <c r="F564" t="s">
        <v>3084</v>
      </c>
      <c r="G564" s="4">
        <v>45510</v>
      </c>
      <c r="H564" s="4">
        <v>45540</v>
      </c>
      <c r="I564" s="4">
        <v>45541</v>
      </c>
      <c r="J564">
        <f t="shared" si="40"/>
        <v>1</v>
      </c>
      <c r="K564" t="str">
        <f t="array" ref="K564">_xlfn.IFS(J564=1,"Day Use",J564&lt;=3,"Short Stay",J564&lt;=7,"Extended Stay",J564&gt;=8,"Long Stay")</f>
        <v>Day Use</v>
      </c>
      <c r="L564" t="s">
        <v>196</v>
      </c>
      <c r="M564" s="10" t="str">
        <f t="shared" si="41"/>
        <v>Standard</v>
      </c>
      <c r="N564" t="s">
        <v>26</v>
      </c>
      <c r="O564" t="s">
        <v>71</v>
      </c>
      <c r="P564">
        <f>IFERROR(VLOOKUP(TRIM(M564),Room!D:H,5,FALSE),5000)</f>
        <v>3200</v>
      </c>
      <c r="Q564">
        <f t="shared" si="42"/>
        <v>3200</v>
      </c>
      <c r="R564" s="11" t="str">
        <f t="shared" si="43"/>
        <v>Other</v>
      </c>
      <c r="S564" s="11">
        <f t="shared" si="44"/>
        <v>1</v>
      </c>
    </row>
    <row r="565" spans="1:19">
      <c r="A565" t="s">
        <v>3085</v>
      </c>
      <c r="B565" t="s">
        <v>3086</v>
      </c>
      <c r="C565" t="s">
        <v>1431</v>
      </c>
      <c r="D565" t="s">
        <v>3087</v>
      </c>
      <c r="E565" t="s">
        <v>3088</v>
      </c>
      <c r="F565" t="s">
        <v>3089</v>
      </c>
      <c r="G565" s="4">
        <v>45842</v>
      </c>
      <c r="H565" s="4">
        <v>45983</v>
      </c>
      <c r="I565" s="4">
        <v>45985</v>
      </c>
      <c r="J565">
        <f t="shared" si="40"/>
        <v>2</v>
      </c>
      <c r="K565" t="str">
        <f t="array" ref="K565">_xlfn.IFS(J565=1,"Day Use",J565&lt;=3,"Short Stay",J565&lt;=7,"Extended Stay",J565&gt;=8,"Long Stay")</f>
        <v>Short Stay</v>
      </c>
      <c r="L565" t="s">
        <v>56</v>
      </c>
      <c r="M565" s="10" t="str">
        <f t="shared" si="41"/>
        <v>Standard</v>
      </c>
      <c r="N565" t="s">
        <v>57</v>
      </c>
      <c r="O565" t="s">
        <v>58</v>
      </c>
      <c r="P565">
        <f>IFERROR(VLOOKUP(TRIM(M565),Room!D:H,5,FALSE),5000)</f>
        <v>3200</v>
      </c>
      <c r="Q565">
        <f t="shared" si="42"/>
        <v>6400</v>
      </c>
      <c r="R565" s="11" t="str">
        <f t="shared" si="43"/>
        <v>Other</v>
      </c>
      <c r="S565" s="11">
        <f t="shared" si="44"/>
        <v>2</v>
      </c>
    </row>
    <row r="566" spans="1:19">
      <c r="A566" t="s">
        <v>3090</v>
      </c>
      <c r="B566" t="s">
        <v>3091</v>
      </c>
      <c r="C566" t="s">
        <v>882</v>
      </c>
      <c r="D566" t="s">
        <v>3092</v>
      </c>
      <c r="E566" t="s">
        <v>3093</v>
      </c>
      <c r="F566" t="s">
        <v>3094</v>
      </c>
      <c r="G566" s="4">
        <v>45936</v>
      </c>
      <c r="H566" s="4">
        <v>45960</v>
      </c>
      <c r="I566" s="4">
        <v>45963</v>
      </c>
      <c r="J566">
        <f t="shared" si="40"/>
        <v>3</v>
      </c>
      <c r="K566" t="str">
        <f t="array" ref="K566">_xlfn.IFS(J566=1,"Day Use",J566&lt;=3,"Short Stay",J566&lt;=7,"Extended Stay",J566&gt;=8,"Long Stay")</f>
        <v>Short Stay</v>
      </c>
      <c r="L566" t="s">
        <v>91</v>
      </c>
      <c r="M566" s="10" t="str">
        <f t="shared" si="41"/>
        <v>Standard</v>
      </c>
      <c r="N566" t="s">
        <v>26</v>
      </c>
      <c r="O566" t="s">
        <v>27</v>
      </c>
      <c r="P566">
        <f>IFERROR(VLOOKUP(TRIM(M566),Room!D:H,5,FALSE),5000)</f>
        <v>3200</v>
      </c>
      <c r="Q566">
        <f t="shared" si="42"/>
        <v>9600</v>
      </c>
      <c r="R566" s="11" t="str">
        <f t="shared" si="43"/>
        <v>Other</v>
      </c>
      <c r="S566" s="11">
        <f t="shared" si="44"/>
        <v>2</v>
      </c>
    </row>
    <row r="567" spans="1:19">
      <c r="A567" t="s">
        <v>3095</v>
      </c>
      <c r="B567" t="s">
        <v>3096</v>
      </c>
      <c r="C567" t="s">
        <v>1470</v>
      </c>
      <c r="D567" t="s">
        <v>3097</v>
      </c>
      <c r="E567" t="s">
        <v>3098</v>
      </c>
      <c r="F567" t="s">
        <v>3099</v>
      </c>
      <c r="G567" s="4">
        <v>45473</v>
      </c>
      <c r="H567" s="4">
        <v>45804</v>
      </c>
      <c r="I567" s="4">
        <v>45812</v>
      </c>
      <c r="J567">
        <f t="shared" si="40"/>
        <v>8</v>
      </c>
      <c r="K567" t="str">
        <f t="array" ref="K567">_xlfn.IFS(J567=1,"Day Use",J567&lt;=3,"Short Stay",J567&lt;=7,"Extended Stay",J567&gt;=8,"Long Stay")</f>
        <v>Long Stay</v>
      </c>
      <c r="L567" t="s">
        <v>25</v>
      </c>
      <c r="M567" s="10" t="str">
        <f t="shared" si="41"/>
        <v>Premium</v>
      </c>
      <c r="N567" t="s">
        <v>26</v>
      </c>
      <c r="O567" t="s">
        <v>42</v>
      </c>
      <c r="P567">
        <f>IFERROR(VLOOKUP(TRIM(M567),Room!D:H,5,FALSE),5000)</f>
        <v>9500</v>
      </c>
      <c r="Q567">
        <f t="shared" si="42"/>
        <v>76000</v>
      </c>
      <c r="R567" s="11" t="str">
        <f t="shared" si="43"/>
        <v>Conference</v>
      </c>
      <c r="S567" s="11">
        <f t="shared" si="44"/>
        <v>4</v>
      </c>
    </row>
    <row r="568" spans="1:19">
      <c r="A568" t="s">
        <v>3100</v>
      </c>
      <c r="B568" t="s">
        <v>3101</v>
      </c>
      <c r="C568" t="s">
        <v>1074</v>
      </c>
      <c r="D568" t="s">
        <v>3102</v>
      </c>
      <c r="E568" t="s">
        <v>3103</v>
      </c>
      <c r="F568" t="s">
        <v>3104</v>
      </c>
      <c r="G568" s="4">
        <v>45802</v>
      </c>
      <c r="H568" s="4">
        <v>45813</v>
      </c>
      <c r="I568" s="4">
        <v>45816</v>
      </c>
      <c r="J568">
        <f t="shared" si="40"/>
        <v>3</v>
      </c>
      <c r="K568" t="str">
        <f t="array" ref="K568">_xlfn.IFS(J568=1,"Day Use",J568&lt;=3,"Short Stay",J568&lt;=7,"Extended Stay",J568&gt;=8,"Long Stay")</f>
        <v>Short Stay</v>
      </c>
      <c r="L568" t="s">
        <v>49</v>
      </c>
      <c r="M568" s="10" t="str">
        <f t="shared" si="41"/>
        <v>Standard</v>
      </c>
      <c r="N568" t="s">
        <v>26</v>
      </c>
      <c r="O568" t="s">
        <v>27</v>
      </c>
      <c r="P568">
        <f>IFERROR(VLOOKUP(TRIM(M568),Room!D:H,5,FALSE),5000)</f>
        <v>3200</v>
      </c>
      <c r="Q568">
        <f t="shared" si="42"/>
        <v>9600</v>
      </c>
      <c r="R568" s="11" t="str">
        <f t="shared" si="43"/>
        <v>Other</v>
      </c>
      <c r="S568" s="11">
        <f t="shared" si="44"/>
        <v>2</v>
      </c>
    </row>
    <row r="569" spans="1:19">
      <c r="A569" t="s">
        <v>3105</v>
      </c>
      <c r="B569" t="s">
        <v>3106</v>
      </c>
      <c r="C569" t="s">
        <v>2143</v>
      </c>
      <c r="D569" t="s">
        <v>3107</v>
      </c>
      <c r="E569" t="s">
        <v>3108</v>
      </c>
      <c r="F569" t="s">
        <v>3109</v>
      </c>
      <c r="G569" s="4">
        <v>45542</v>
      </c>
      <c r="H569" s="4">
        <v>45956</v>
      </c>
      <c r="I569" s="4">
        <v>45958</v>
      </c>
      <c r="J569">
        <f t="shared" si="40"/>
        <v>2</v>
      </c>
      <c r="K569" t="str">
        <f t="array" ref="K569">_xlfn.IFS(J569=1,"Day Use",J569&lt;=3,"Short Stay",J569&lt;=7,"Extended Stay",J569&gt;=8,"Long Stay")</f>
        <v>Short Stay</v>
      </c>
      <c r="L569" t="s">
        <v>141</v>
      </c>
      <c r="M569" s="10" t="str">
        <f t="shared" si="41"/>
        <v>Standard</v>
      </c>
      <c r="N569" t="s">
        <v>26</v>
      </c>
      <c r="O569" t="s">
        <v>35</v>
      </c>
      <c r="P569">
        <f>IFERROR(VLOOKUP(TRIM(M569),Room!D:H,5,FALSE),5000)</f>
        <v>3200</v>
      </c>
      <c r="Q569">
        <f t="shared" si="42"/>
        <v>6400</v>
      </c>
      <c r="R569" s="11" t="str">
        <f t="shared" si="43"/>
        <v>Other</v>
      </c>
      <c r="S569" s="11">
        <f t="shared" si="44"/>
        <v>2</v>
      </c>
    </row>
    <row r="570" spans="1:19">
      <c r="A570" t="s">
        <v>3110</v>
      </c>
      <c r="B570" t="s">
        <v>3111</v>
      </c>
      <c r="C570" t="s">
        <v>3112</v>
      </c>
      <c r="D570" t="s">
        <v>3113</v>
      </c>
      <c r="E570" t="s">
        <v>3114</v>
      </c>
      <c r="F570" t="s">
        <v>3115</v>
      </c>
      <c r="G570" s="4">
        <v>45305</v>
      </c>
      <c r="H570" s="4">
        <v>45973</v>
      </c>
      <c r="I570" s="4">
        <v>45977</v>
      </c>
      <c r="J570">
        <f t="shared" si="40"/>
        <v>4</v>
      </c>
      <c r="K570" t="str">
        <f t="array" ref="K570">_xlfn.IFS(J570=1,"Day Use",J570&lt;=3,"Short Stay",J570&lt;=7,"Extended Stay",J570&gt;=8,"Long Stay")</f>
        <v>Extended Stay</v>
      </c>
      <c r="L570" t="s">
        <v>196</v>
      </c>
      <c r="M570" s="10" t="str">
        <f t="shared" si="41"/>
        <v>Deluxe</v>
      </c>
      <c r="N570" t="s">
        <v>26</v>
      </c>
      <c r="O570" t="s">
        <v>71</v>
      </c>
      <c r="P570">
        <f>IFERROR(VLOOKUP(TRIM(M570),Room!D:H,5,FALSE),5000)</f>
        <v>5400</v>
      </c>
      <c r="Q570">
        <f t="shared" si="42"/>
        <v>21600</v>
      </c>
      <c r="R570" s="11" t="str">
        <f t="shared" si="43"/>
        <v>Conference</v>
      </c>
      <c r="S570" s="11">
        <f t="shared" si="44"/>
        <v>3</v>
      </c>
    </row>
    <row r="571" spans="1:19">
      <c r="A571" t="s">
        <v>3116</v>
      </c>
      <c r="B571" t="s">
        <v>3117</v>
      </c>
      <c r="C571" t="s">
        <v>3118</v>
      </c>
      <c r="D571" t="s">
        <v>3119</v>
      </c>
      <c r="E571" t="s">
        <v>3120</v>
      </c>
      <c r="F571" t="s">
        <v>3121</v>
      </c>
      <c r="G571" s="4">
        <v>45563</v>
      </c>
      <c r="H571" s="4">
        <v>45593</v>
      </c>
      <c r="I571" s="4">
        <v>45607</v>
      </c>
      <c r="J571">
        <f t="shared" si="40"/>
        <v>14</v>
      </c>
      <c r="K571" t="str">
        <f t="array" ref="K571">_xlfn.IFS(J571=1,"Day Use",J571&lt;=3,"Short Stay",J571&lt;=7,"Extended Stay",J571&gt;=8,"Long Stay")</f>
        <v>Long Stay</v>
      </c>
      <c r="L571" t="s">
        <v>196</v>
      </c>
      <c r="M571" s="10" t="str">
        <f t="shared" si="41"/>
        <v>Suite</v>
      </c>
      <c r="N571" t="s">
        <v>26</v>
      </c>
      <c r="O571" t="s">
        <v>71</v>
      </c>
      <c r="P571">
        <f>IFERROR(VLOOKUP(TRIM(M571),Room!D:H,5,FALSE),5000)</f>
        <v>12500</v>
      </c>
      <c r="Q571">
        <f t="shared" si="42"/>
        <v>175000</v>
      </c>
      <c r="R571" s="11" t="str">
        <f t="shared" si="43"/>
        <v>Business</v>
      </c>
      <c r="S571" s="11">
        <f t="shared" si="44"/>
        <v>5</v>
      </c>
    </row>
    <row r="572" spans="1:19">
      <c r="A572" t="s">
        <v>3122</v>
      </c>
      <c r="B572" t="s">
        <v>3123</v>
      </c>
      <c r="C572" t="s">
        <v>3124</v>
      </c>
      <c r="D572" t="s">
        <v>3125</v>
      </c>
      <c r="E572" t="s">
        <v>3126</v>
      </c>
      <c r="F572" t="s">
        <v>3127</v>
      </c>
      <c r="G572" s="4">
        <v>45531</v>
      </c>
      <c r="H572" s="4">
        <v>45550</v>
      </c>
      <c r="I572" s="4">
        <v>45554</v>
      </c>
      <c r="J572">
        <f t="shared" si="40"/>
        <v>4</v>
      </c>
      <c r="K572" t="str">
        <f t="array" ref="K572">_xlfn.IFS(J572=1,"Day Use",J572&lt;=3,"Short Stay",J572&lt;=7,"Extended Stay",J572&gt;=8,"Long Stay")</f>
        <v>Extended Stay</v>
      </c>
      <c r="L572" t="s">
        <v>49</v>
      </c>
      <c r="M572" s="10" t="str">
        <f t="shared" si="41"/>
        <v>Deluxe</v>
      </c>
      <c r="N572" t="s">
        <v>26</v>
      </c>
      <c r="O572" t="s">
        <v>71</v>
      </c>
      <c r="P572">
        <f>IFERROR(VLOOKUP(TRIM(M572),Room!D:H,5,FALSE),5000)</f>
        <v>5400</v>
      </c>
      <c r="Q572">
        <f t="shared" si="42"/>
        <v>21600</v>
      </c>
      <c r="R572" s="11" t="str">
        <f t="shared" si="43"/>
        <v>Conference</v>
      </c>
      <c r="S572" s="11">
        <f t="shared" si="44"/>
        <v>3</v>
      </c>
    </row>
    <row r="573" spans="1:19">
      <c r="A573" t="s">
        <v>3128</v>
      </c>
      <c r="B573" t="s">
        <v>3129</v>
      </c>
      <c r="C573" t="s">
        <v>2642</v>
      </c>
      <c r="D573" t="s">
        <v>3130</v>
      </c>
      <c r="E573" t="s">
        <v>3131</v>
      </c>
      <c r="F573" t="s">
        <v>3132</v>
      </c>
      <c r="G573" s="4">
        <v>45514</v>
      </c>
      <c r="H573" s="4">
        <v>45615</v>
      </c>
      <c r="I573" s="4">
        <v>45624</v>
      </c>
      <c r="J573">
        <f t="shared" si="40"/>
        <v>9</v>
      </c>
      <c r="K573" t="str">
        <f t="array" ref="K573">_xlfn.IFS(J573=1,"Day Use",J573&lt;=3,"Short Stay",J573&lt;=7,"Extended Stay",J573&gt;=8,"Long Stay")</f>
        <v>Long Stay</v>
      </c>
      <c r="L573" t="s">
        <v>56</v>
      </c>
      <c r="M573" s="10" t="str">
        <f t="shared" si="41"/>
        <v>Premium</v>
      </c>
      <c r="N573" t="s">
        <v>26</v>
      </c>
      <c r="O573" t="s">
        <v>71</v>
      </c>
      <c r="P573">
        <f>IFERROR(VLOOKUP(TRIM(M573),Room!D:H,5,FALSE),5000)</f>
        <v>9500</v>
      </c>
      <c r="Q573">
        <f t="shared" si="42"/>
        <v>85500</v>
      </c>
      <c r="R573" s="11" t="str">
        <f t="shared" si="43"/>
        <v>Conference</v>
      </c>
      <c r="S573" s="11">
        <f t="shared" si="44"/>
        <v>4</v>
      </c>
    </row>
    <row r="574" spans="1:19">
      <c r="A574" t="s">
        <v>3133</v>
      </c>
      <c r="B574" t="s">
        <v>3134</v>
      </c>
      <c r="C574" t="s">
        <v>2041</v>
      </c>
      <c r="D574" t="s">
        <v>3135</v>
      </c>
      <c r="E574" t="s">
        <v>3136</v>
      </c>
      <c r="F574" t="s">
        <v>3137</v>
      </c>
      <c r="G574" s="4">
        <v>45398</v>
      </c>
      <c r="H574" s="4">
        <v>45971</v>
      </c>
      <c r="I574" s="4">
        <v>45973</v>
      </c>
      <c r="J574">
        <f t="shared" si="40"/>
        <v>2</v>
      </c>
      <c r="K574" t="str">
        <f t="array" ref="K574">_xlfn.IFS(J574=1,"Day Use",J574&lt;=3,"Short Stay",J574&lt;=7,"Extended Stay",J574&gt;=8,"Long Stay")</f>
        <v>Short Stay</v>
      </c>
      <c r="L574" t="s">
        <v>25</v>
      </c>
      <c r="M574" s="10" t="str">
        <f t="shared" si="41"/>
        <v>Standard</v>
      </c>
      <c r="N574" t="s">
        <v>26</v>
      </c>
      <c r="O574" t="s">
        <v>42</v>
      </c>
      <c r="P574">
        <f>IFERROR(VLOOKUP(TRIM(M574),Room!D:H,5,FALSE),5000)</f>
        <v>3200</v>
      </c>
      <c r="Q574">
        <f t="shared" si="42"/>
        <v>6400</v>
      </c>
      <c r="R574" s="11" t="str">
        <f t="shared" si="43"/>
        <v>Other</v>
      </c>
      <c r="S574" s="11">
        <f t="shared" si="44"/>
        <v>2</v>
      </c>
    </row>
    <row r="575" spans="1:19">
      <c r="A575" t="s">
        <v>3138</v>
      </c>
      <c r="B575" t="s">
        <v>3139</v>
      </c>
      <c r="C575" t="s">
        <v>74</v>
      </c>
      <c r="D575" t="s">
        <v>3140</v>
      </c>
      <c r="E575" t="s">
        <v>3141</v>
      </c>
      <c r="F575" t="s">
        <v>3142</v>
      </c>
      <c r="G575" s="4">
        <v>45652</v>
      </c>
      <c r="H575" s="4">
        <v>45725</v>
      </c>
      <c r="I575" s="4">
        <v>45735</v>
      </c>
      <c r="J575">
        <f t="shared" si="40"/>
        <v>10</v>
      </c>
      <c r="K575" t="str">
        <f t="array" ref="K575">_xlfn.IFS(J575=1,"Day Use",J575&lt;=3,"Short Stay",J575&lt;=7,"Extended Stay",J575&gt;=8,"Long Stay")</f>
        <v>Long Stay</v>
      </c>
      <c r="L575" t="s">
        <v>34</v>
      </c>
      <c r="M575" s="10" t="str">
        <f t="shared" si="41"/>
        <v>Premium</v>
      </c>
      <c r="N575" t="s">
        <v>26</v>
      </c>
      <c r="O575" t="s">
        <v>58</v>
      </c>
      <c r="P575">
        <f>IFERROR(VLOOKUP(TRIM(M575),Room!D:H,5,FALSE),5000)</f>
        <v>9500</v>
      </c>
      <c r="Q575">
        <f t="shared" si="42"/>
        <v>95000</v>
      </c>
      <c r="R575" s="11" t="str">
        <f t="shared" si="43"/>
        <v>Conference</v>
      </c>
      <c r="S575" s="11">
        <f t="shared" si="44"/>
        <v>4</v>
      </c>
    </row>
    <row r="576" spans="1:19">
      <c r="A576" t="s">
        <v>3143</v>
      </c>
      <c r="B576" t="s">
        <v>3144</v>
      </c>
      <c r="C576" t="s">
        <v>1036</v>
      </c>
      <c r="D576" t="s">
        <v>3145</v>
      </c>
      <c r="E576" t="s">
        <v>3146</v>
      </c>
      <c r="F576" t="s">
        <v>3147</v>
      </c>
      <c r="G576" s="4">
        <v>45603</v>
      </c>
      <c r="H576" s="4">
        <v>45606</v>
      </c>
      <c r="I576" s="4">
        <v>45609</v>
      </c>
      <c r="J576">
        <f t="shared" si="40"/>
        <v>3</v>
      </c>
      <c r="K576" t="str">
        <f t="array" ref="K576">_xlfn.IFS(J576=1,"Day Use",J576&lt;=3,"Short Stay",J576&lt;=7,"Extended Stay",J576&gt;=8,"Long Stay")</f>
        <v>Short Stay</v>
      </c>
      <c r="L576" t="s">
        <v>196</v>
      </c>
      <c r="M576" s="10" t="str">
        <f t="shared" si="41"/>
        <v>Standard</v>
      </c>
      <c r="N576" t="s">
        <v>26</v>
      </c>
      <c r="O576" t="s">
        <v>58</v>
      </c>
      <c r="P576">
        <f>IFERROR(VLOOKUP(TRIM(M576),Room!D:H,5,FALSE),5000)</f>
        <v>3200</v>
      </c>
      <c r="Q576">
        <f t="shared" si="42"/>
        <v>9600</v>
      </c>
      <c r="R576" s="11" t="str">
        <f t="shared" si="43"/>
        <v>Other</v>
      </c>
      <c r="S576" s="11">
        <f t="shared" si="44"/>
        <v>2</v>
      </c>
    </row>
    <row r="577" spans="1:19">
      <c r="A577" t="s">
        <v>3148</v>
      </c>
      <c r="B577" t="s">
        <v>3149</v>
      </c>
      <c r="C577" t="s">
        <v>2837</v>
      </c>
      <c r="D577" t="s">
        <v>3150</v>
      </c>
      <c r="E577" t="s">
        <v>3151</v>
      </c>
      <c r="F577" t="s">
        <v>3152</v>
      </c>
      <c r="G577" s="4">
        <v>45450</v>
      </c>
      <c r="H577" s="4">
        <v>45475</v>
      </c>
      <c r="I577" s="4">
        <v>45487</v>
      </c>
      <c r="J577">
        <f t="shared" si="40"/>
        <v>12</v>
      </c>
      <c r="K577" t="str">
        <f t="array" ref="K577">_xlfn.IFS(J577=1,"Day Use",J577&lt;=3,"Short Stay",J577&lt;=7,"Extended Stay",J577&gt;=8,"Long Stay")</f>
        <v>Long Stay</v>
      </c>
      <c r="L577" t="s">
        <v>91</v>
      </c>
      <c r="M577" s="10" t="str">
        <f t="shared" si="41"/>
        <v>Suite</v>
      </c>
      <c r="N577" t="s">
        <v>148</v>
      </c>
      <c r="O577" t="s">
        <v>27</v>
      </c>
      <c r="P577">
        <f>IFERROR(VLOOKUP(TRIM(M577),Room!D:H,5,FALSE),5000)</f>
        <v>12500</v>
      </c>
      <c r="Q577">
        <f t="shared" si="42"/>
        <v>150000</v>
      </c>
      <c r="R577" s="11" t="str">
        <f t="shared" si="43"/>
        <v>Business</v>
      </c>
      <c r="S577" s="11">
        <f t="shared" si="44"/>
        <v>5</v>
      </c>
    </row>
    <row r="578" spans="1:19">
      <c r="A578" t="s">
        <v>3153</v>
      </c>
      <c r="B578" t="s">
        <v>3154</v>
      </c>
      <c r="C578" t="s">
        <v>2457</v>
      </c>
      <c r="D578" t="s">
        <v>3155</v>
      </c>
      <c r="E578" t="s">
        <v>3156</v>
      </c>
      <c r="F578" t="s">
        <v>3157</v>
      </c>
      <c r="G578" s="4">
        <v>45234</v>
      </c>
      <c r="H578" s="4">
        <v>45424</v>
      </c>
      <c r="I578" s="4">
        <v>45433</v>
      </c>
      <c r="J578">
        <f t="shared" ref="J578:J641" si="45">I578-H578</f>
        <v>9</v>
      </c>
      <c r="K578" t="str">
        <f t="array" ref="K578">_xlfn.IFS(J578=1,"Day Use",J578&lt;=3,"Short Stay",J578&lt;=7,"Extended Stay",J578&gt;=8,"Long Stay")</f>
        <v>Long Stay</v>
      </c>
      <c r="L578" t="s">
        <v>141</v>
      </c>
      <c r="M578" s="10" t="str">
        <f t="shared" ref="M578:M641" si="46">IF($J578&lt;=3,"Standard",IF($J578&lt;=6,"Deluxe",IF($J578&lt;=10,"Premium","Suite")))</f>
        <v>Premium</v>
      </c>
      <c r="N578" t="s">
        <v>134</v>
      </c>
      <c r="O578" t="s">
        <v>42</v>
      </c>
      <c r="P578">
        <f>IFERROR(VLOOKUP(TRIM(M578),Room!D:H,5,FALSE),5000)</f>
        <v>9500</v>
      </c>
      <c r="Q578">
        <f t="shared" si="42"/>
        <v>85500</v>
      </c>
      <c r="R578" s="11" t="str">
        <f t="shared" si="43"/>
        <v>Conference</v>
      </c>
      <c r="S578" s="11">
        <f t="shared" si="44"/>
        <v>4</v>
      </c>
    </row>
    <row r="579" spans="1:19">
      <c r="A579" t="s">
        <v>3158</v>
      </c>
      <c r="B579" t="s">
        <v>3159</v>
      </c>
      <c r="C579" t="s">
        <v>2510</v>
      </c>
      <c r="D579" t="s">
        <v>3160</v>
      </c>
      <c r="E579" t="s">
        <v>3161</v>
      </c>
      <c r="F579" t="s">
        <v>3162</v>
      </c>
      <c r="G579" s="4">
        <v>45413</v>
      </c>
      <c r="H579" s="4">
        <v>45543</v>
      </c>
      <c r="I579" s="4">
        <v>45555</v>
      </c>
      <c r="J579">
        <f t="shared" si="45"/>
        <v>12</v>
      </c>
      <c r="K579" t="str">
        <f t="array" ref="K579">_xlfn.IFS(J579=1,"Day Use",J579&lt;=3,"Short Stay",J579&lt;=7,"Extended Stay",J579&gt;=8,"Long Stay")</f>
        <v>Long Stay</v>
      </c>
      <c r="L579" t="s">
        <v>34</v>
      </c>
      <c r="M579" s="10" t="str">
        <f t="shared" si="46"/>
        <v>Suite</v>
      </c>
      <c r="N579" t="s">
        <v>26</v>
      </c>
      <c r="O579" t="s">
        <v>58</v>
      </c>
      <c r="P579">
        <f>IFERROR(VLOOKUP(TRIM(M579),Room!D:H,5,FALSE),5000)</f>
        <v>12500</v>
      </c>
      <c r="Q579">
        <f t="shared" ref="Q579:Q642" si="47">P579*J579</f>
        <v>150000</v>
      </c>
      <c r="R579" s="11" t="str">
        <f t="shared" ref="R579:R642" si="48">IF(ISNUMBER(SEARCH("Suite",D579)),"Honeymoon",IF(P579&gt;10000,"Business",IF(P579&gt;5000,"Conference",IF(J579&gt;=8,"Family Vacation","Other"))))</f>
        <v>Business</v>
      </c>
      <c r="S579" s="11">
        <f t="shared" ref="S579:S642" si="49">IF(M579="Suite",5,IF(M579="Premium",IF(Q579&gt;20000,4,3),IF(M579="Deluxe",IF(Q579&gt;=10000,3,2),IF(M579="Standard",IF(Q579&gt;=5000,2,1),1))))</f>
        <v>5</v>
      </c>
    </row>
    <row r="580" spans="1:19">
      <c r="A580" t="s">
        <v>3163</v>
      </c>
      <c r="B580" t="s">
        <v>3164</v>
      </c>
      <c r="C580" t="s">
        <v>2720</v>
      </c>
      <c r="D580" t="s">
        <v>3165</v>
      </c>
      <c r="E580" t="s">
        <v>3166</v>
      </c>
      <c r="F580" t="s">
        <v>3167</v>
      </c>
      <c r="G580" s="4">
        <v>45894</v>
      </c>
      <c r="H580" s="4">
        <v>45947</v>
      </c>
      <c r="I580" s="4">
        <v>45959</v>
      </c>
      <c r="J580">
        <f t="shared" si="45"/>
        <v>12</v>
      </c>
      <c r="K580" t="str">
        <f t="array" ref="K580">_xlfn.IFS(J580=1,"Day Use",J580&lt;=3,"Short Stay",J580&lt;=7,"Extended Stay",J580&gt;=8,"Long Stay")</f>
        <v>Long Stay</v>
      </c>
      <c r="L580" t="s">
        <v>196</v>
      </c>
      <c r="M580" s="10" t="str">
        <f t="shared" si="46"/>
        <v>Suite</v>
      </c>
      <c r="N580" t="s">
        <v>57</v>
      </c>
      <c r="O580" t="s">
        <v>58</v>
      </c>
      <c r="P580">
        <f>IFERROR(VLOOKUP(TRIM(M580),Room!D:H,5,FALSE),5000)</f>
        <v>12500</v>
      </c>
      <c r="Q580">
        <f t="shared" si="47"/>
        <v>150000</v>
      </c>
      <c r="R580" s="11" t="str">
        <f t="shared" si="48"/>
        <v>Business</v>
      </c>
      <c r="S580" s="11">
        <f t="shared" si="49"/>
        <v>5</v>
      </c>
    </row>
    <row r="581" spans="1:19">
      <c r="A581" t="s">
        <v>3168</v>
      </c>
      <c r="B581" t="s">
        <v>3169</v>
      </c>
      <c r="C581" t="s">
        <v>186</v>
      </c>
      <c r="D581" t="s">
        <v>3170</v>
      </c>
      <c r="E581" t="s">
        <v>3171</v>
      </c>
      <c r="F581" t="s">
        <v>3172</v>
      </c>
      <c r="G581" s="4">
        <v>45252</v>
      </c>
      <c r="H581" s="4">
        <v>45940</v>
      </c>
      <c r="I581" s="4">
        <v>45953</v>
      </c>
      <c r="J581">
        <f t="shared" si="45"/>
        <v>13</v>
      </c>
      <c r="K581" t="str">
        <f t="array" ref="K581">_xlfn.IFS(J581=1,"Day Use",J581&lt;=3,"Short Stay",J581&lt;=7,"Extended Stay",J581&gt;=8,"Long Stay")</f>
        <v>Long Stay</v>
      </c>
      <c r="L581" t="s">
        <v>25</v>
      </c>
      <c r="M581" s="10" t="str">
        <f t="shared" si="46"/>
        <v>Suite</v>
      </c>
      <c r="N581" t="s">
        <v>26</v>
      </c>
      <c r="O581" t="s">
        <v>58</v>
      </c>
      <c r="P581">
        <f>IFERROR(VLOOKUP(TRIM(M581),Room!D:H,5,FALSE),5000)</f>
        <v>12500</v>
      </c>
      <c r="Q581">
        <f t="shared" si="47"/>
        <v>162500</v>
      </c>
      <c r="R581" s="11" t="str">
        <f t="shared" si="48"/>
        <v>Business</v>
      </c>
      <c r="S581" s="11">
        <f t="shared" si="49"/>
        <v>5</v>
      </c>
    </row>
    <row r="582" spans="1:19">
      <c r="A582" t="s">
        <v>3173</v>
      </c>
      <c r="B582" t="s">
        <v>3174</v>
      </c>
      <c r="C582" t="s">
        <v>460</v>
      </c>
      <c r="D582" t="s">
        <v>3175</v>
      </c>
      <c r="E582" t="s">
        <v>3176</v>
      </c>
      <c r="F582" t="s">
        <v>3177</v>
      </c>
      <c r="G582" s="4">
        <v>45278</v>
      </c>
      <c r="H582" s="4">
        <v>45410</v>
      </c>
      <c r="I582" s="4">
        <v>45414</v>
      </c>
      <c r="J582">
        <f t="shared" si="45"/>
        <v>4</v>
      </c>
      <c r="K582" t="str">
        <f t="array" ref="K582">_xlfn.IFS(J582=1,"Day Use",J582&lt;=3,"Short Stay",J582&lt;=7,"Extended Stay",J582&gt;=8,"Long Stay")</f>
        <v>Extended Stay</v>
      </c>
      <c r="L582" t="s">
        <v>56</v>
      </c>
      <c r="M582" s="10" t="str">
        <f t="shared" si="46"/>
        <v>Deluxe</v>
      </c>
      <c r="N582" t="s">
        <v>26</v>
      </c>
      <c r="O582" t="s">
        <v>71</v>
      </c>
      <c r="P582">
        <f>IFERROR(VLOOKUP(TRIM(M582),Room!D:H,5,FALSE),5000)</f>
        <v>5400</v>
      </c>
      <c r="Q582">
        <f t="shared" si="47"/>
        <v>21600</v>
      </c>
      <c r="R582" s="11" t="str">
        <f t="shared" si="48"/>
        <v>Conference</v>
      </c>
      <c r="S582" s="11">
        <f t="shared" si="49"/>
        <v>3</v>
      </c>
    </row>
    <row r="583" spans="1:19">
      <c r="A583" t="s">
        <v>3178</v>
      </c>
      <c r="B583" t="s">
        <v>3179</v>
      </c>
      <c r="C583" t="s">
        <v>21</v>
      </c>
      <c r="D583" t="s">
        <v>3180</v>
      </c>
      <c r="E583" t="s">
        <v>3181</v>
      </c>
      <c r="F583" t="s">
        <v>3182</v>
      </c>
      <c r="G583" s="4">
        <v>45515</v>
      </c>
      <c r="H583" s="4">
        <v>45522</v>
      </c>
      <c r="I583" s="4">
        <v>45528</v>
      </c>
      <c r="J583">
        <f t="shared" si="45"/>
        <v>6</v>
      </c>
      <c r="K583" t="str">
        <f t="array" ref="K583">_xlfn.IFS(J583=1,"Day Use",J583&lt;=3,"Short Stay",J583&lt;=7,"Extended Stay",J583&gt;=8,"Long Stay")</f>
        <v>Extended Stay</v>
      </c>
      <c r="L583" t="s">
        <v>34</v>
      </c>
      <c r="M583" s="10" t="str">
        <f t="shared" si="46"/>
        <v>Deluxe</v>
      </c>
      <c r="N583" t="s">
        <v>26</v>
      </c>
      <c r="O583" t="s">
        <v>71</v>
      </c>
      <c r="P583">
        <f>IFERROR(VLOOKUP(TRIM(M583),Room!D:H,5,FALSE),5000)</f>
        <v>5400</v>
      </c>
      <c r="Q583">
        <f t="shared" si="47"/>
        <v>32400</v>
      </c>
      <c r="R583" s="11" t="str">
        <f t="shared" si="48"/>
        <v>Conference</v>
      </c>
      <c r="S583" s="11">
        <f t="shared" si="49"/>
        <v>3</v>
      </c>
    </row>
    <row r="584" spans="1:19">
      <c r="A584" t="s">
        <v>3183</v>
      </c>
      <c r="B584" t="s">
        <v>3184</v>
      </c>
      <c r="C584" t="s">
        <v>524</v>
      </c>
      <c r="D584" t="s">
        <v>3185</v>
      </c>
      <c r="E584" t="s">
        <v>3186</v>
      </c>
      <c r="F584" t="s">
        <v>3187</v>
      </c>
      <c r="G584" s="4">
        <v>45334</v>
      </c>
      <c r="H584" s="4">
        <v>45335</v>
      </c>
      <c r="I584" s="4">
        <v>45349</v>
      </c>
      <c r="J584">
        <f t="shared" si="45"/>
        <v>14</v>
      </c>
      <c r="K584" t="str">
        <f t="array" ref="K584">_xlfn.IFS(J584=1,"Day Use",J584&lt;=3,"Short Stay",J584&lt;=7,"Extended Stay",J584&gt;=8,"Long Stay")</f>
        <v>Long Stay</v>
      </c>
      <c r="L584" t="s">
        <v>34</v>
      </c>
      <c r="M584" s="10" t="str">
        <f t="shared" si="46"/>
        <v>Suite</v>
      </c>
      <c r="N584" t="s">
        <v>26</v>
      </c>
      <c r="O584" t="s">
        <v>58</v>
      </c>
      <c r="P584">
        <f>IFERROR(VLOOKUP(TRIM(M584),Room!D:H,5,FALSE),5000)</f>
        <v>12500</v>
      </c>
      <c r="Q584">
        <f t="shared" si="47"/>
        <v>175000</v>
      </c>
      <c r="R584" s="11" t="str">
        <f t="shared" si="48"/>
        <v>Business</v>
      </c>
      <c r="S584" s="11">
        <f t="shared" si="49"/>
        <v>5</v>
      </c>
    </row>
    <row r="585" spans="1:19">
      <c r="A585" t="s">
        <v>3188</v>
      </c>
      <c r="B585" t="s">
        <v>3189</v>
      </c>
      <c r="C585" t="s">
        <v>404</v>
      </c>
      <c r="D585" t="s">
        <v>3190</v>
      </c>
      <c r="E585" t="s">
        <v>3191</v>
      </c>
      <c r="F585" t="s">
        <v>3192</v>
      </c>
      <c r="G585" s="4">
        <v>45457</v>
      </c>
      <c r="H585" s="4">
        <v>45758</v>
      </c>
      <c r="I585" s="4">
        <v>45764</v>
      </c>
      <c r="J585">
        <f t="shared" si="45"/>
        <v>6</v>
      </c>
      <c r="K585" t="str">
        <f t="array" ref="K585">_xlfn.IFS(J585=1,"Day Use",J585&lt;=3,"Short Stay",J585&lt;=7,"Extended Stay",J585&gt;=8,"Long Stay")</f>
        <v>Extended Stay</v>
      </c>
      <c r="L585" t="s">
        <v>56</v>
      </c>
      <c r="M585" s="10" t="str">
        <f t="shared" si="46"/>
        <v>Deluxe</v>
      </c>
      <c r="N585" t="s">
        <v>26</v>
      </c>
      <c r="O585" t="s">
        <v>27</v>
      </c>
      <c r="P585">
        <f>IFERROR(VLOOKUP(TRIM(M585),Room!D:H,5,FALSE),5000)</f>
        <v>5400</v>
      </c>
      <c r="Q585">
        <f t="shared" si="47"/>
        <v>32400</v>
      </c>
      <c r="R585" s="11" t="str">
        <f t="shared" si="48"/>
        <v>Conference</v>
      </c>
      <c r="S585" s="11">
        <f t="shared" si="49"/>
        <v>3</v>
      </c>
    </row>
    <row r="586" spans="1:19">
      <c r="A586" t="s">
        <v>3193</v>
      </c>
      <c r="B586" t="s">
        <v>3194</v>
      </c>
      <c r="C586" t="s">
        <v>253</v>
      </c>
      <c r="D586" t="s">
        <v>3195</v>
      </c>
      <c r="E586" t="s">
        <v>3196</v>
      </c>
      <c r="F586" t="s">
        <v>3197</v>
      </c>
      <c r="G586" s="4">
        <v>45671</v>
      </c>
      <c r="H586" s="4">
        <v>45698</v>
      </c>
      <c r="I586" s="4">
        <v>45708</v>
      </c>
      <c r="J586">
        <f t="shared" si="45"/>
        <v>10</v>
      </c>
      <c r="K586" t="str">
        <f t="array" ref="K586">_xlfn.IFS(J586=1,"Day Use",J586&lt;=3,"Short Stay",J586&lt;=7,"Extended Stay",J586&gt;=8,"Long Stay")</f>
        <v>Long Stay</v>
      </c>
      <c r="L586" t="s">
        <v>91</v>
      </c>
      <c r="M586" s="10" t="str">
        <f t="shared" si="46"/>
        <v>Premium</v>
      </c>
      <c r="N586" t="s">
        <v>26</v>
      </c>
      <c r="O586" t="s">
        <v>58</v>
      </c>
      <c r="P586">
        <f>IFERROR(VLOOKUP(TRIM(M586),Room!D:H,5,FALSE),5000)</f>
        <v>9500</v>
      </c>
      <c r="Q586">
        <f t="shared" si="47"/>
        <v>95000</v>
      </c>
      <c r="R586" s="11" t="str">
        <f t="shared" si="48"/>
        <v>Conference</v>
      </c>
      <c r="S586" s="11">
        <f t="shared" si="49"/>
        <v>4</v>
      </c>
    </row>
    <row r="587" spans="1:19">
      <c r="A587" t="s">
        <v>3198</v>
      </c>
      <c r="B587" t="s">
        <v>3199</v>
      </c>
      <c r="C587" t="s">
        <v>1498</v>
      </c>
      <c r="D587" t="s">
        <v>3200</v>
      </c>
      <c r="E587" t="s">
        <v>3201</v>
      </c>
      <c r="F587" t="s">
        <v>3202</v>
      </c>
      <c r="G587" s="4">
        <v>45303</v>
      </c>
      <c r="H587" s="4">
        <v>45544</v>
      </c>
      <c r="I587" s="4">
        <v>45551</v>
      </c>
      <c r="J587">
        <f t="shared" si="45"/>
        <v>7</v>
      </c>
      <c r="K587" t="str">
        <f t="array" ref="K587">_xlfn.IFS(J587=1,"Day Use",J587&lt;=3,"Short Stay",J587&lt;=7,"Extended Stay",J587&gt;=8,"Long Stay")</f>
        <v>Extended Stay</v>
      </c>
      <c r="L587" t="s">
        <v>196</v>
      </c>
      <c r="M587" s="10" t="str">
        <f t="shared" si="46"/>
        <v>Premium</v>
      </c>
      <c r="N587" t="s">
        <v>26</v>
      </c>
      <c r="O587" t="s">
        <v>35</v>
      </c>
      <c r="P587">
        <f>IFERROR(VLOOKUP(TRIM(M587),Room!D:H,5,FALSE),5000)</f>
        <v>9500</v>
      </c>
      <c r="Q587">
        <f t="shared" si="47"/>
        <v>66500</v>
      </c>
      <c r="R587" s="11" t="str">
        <f t="shared" si="48"/>
        <v>Conference</v>
      </c>
      <c r="S587" s="11">
        <f t="shared" si="49"/>
        <v>4</v>
      </c>
    </row>
    <row r="588" spans="1:19">
      <c r="A588" t="s">
        <v>3203</v>
      </c>
      <c r="B588" t="s">
        <v>3204</v>
      </c>
      <c r="C588" t="s">
        <v>3112</v>
      </c>
      <c r="D588" t="s">
        <v>3205</v>
      </c>
      <c r="E588" t="s">
        <v>3206</v>
      </c>
      <c r="F588" t="s">
        <v>3207</v>
      </c>
      <c r="G588" s="4">
        <v>45692</v>
      </c>
      <c r="H588" s="4">
        <v>45713</v>
      </c>
      <c r="I588" s="4">
        <v>45727</v>
      </c>
      <c r="J588">
        <f t="shared" si="45"/>
        <v>14</v>
      </c>
      <c r="K588" t="str">
        <f t="array" ref="K588">_xlfn.IFS(J588=1,"Day Use",J588&lt;=3,"Short Stay",J588&lt;=7,"Extended Stay",J588&gt;=8,"Long Stay")</f>
        <v>Long Stay</v>
      </c>
      <c r="L588" t="s">
        <v>141</v>
      </c>
      <c r="M588" s="10" t="str">
        <f t="shared" si="46"/>
        <v>Suite</v>
      </c>
      <c r="N588" t="s">
        <v>26</v>
      </c>
      <c r="O588" t="s">
        <v>27</v>
      </c>
      <c r="P588">
        <f>IFERROR(VLOOKUP(TRIM(M588),Room!D:H,5,FALSE),5000)</f>
        <v>12500</v>
      </c>
      <c r="Q588">
        <f t="shared" si="47"/>
        <v>175000</v>
      </c>
      <c r="R588" s="11" t="str">
        <f t="shared" si="48"/>
        <v>Business</v>
      </c>
      <c r="S588" s="11">
        <f t="shared" si="49"/>
        <v>5</v>
      </c>
    </row>
    <row r="589" spans="1:19">
      <c r="A589" t="s">
        <v>3208</v>
      </c>
      <c r="B589" t="s">
        <v>3209</v>
      </c>
      <c r="C589" t="s">
        <v>3210</v>
      </c>
      <c r="D589" t="s">
        <v>3211</v>
      </c>
      <c r="E589" t="s">
        <v>3212</v>
      </c>
      <c r="F589" t="s">
        <v>3213</v>
      </c>
      <c r="G589" s="4">
        <v>45349</v>
      </c>
      <c r="H589" s="4">
        <v>45349</v>
      </c>
      <c r="I589" s="4">
        <v>45350</v>
      </c>
      <c r="J589">
        <f t="shared" si="45"/>
        <v>1</v>
      </c>
      <c r="K589" t="str">
        <f t="array" ref="K589">_xlfn.IFS(J589=1,"Day Use",J589&lt;=3,"Short Stay",J589&lt;=7,"Extended Stay",J589&gt;=8,"Long Stay")</f>
        <v>Day Use</v>
      </c>
      <c r="L589" t="s">
        <v>141</v>
      </c>
      <c r="M589" s="10" t="str">
        <f t="shared" si="46"/>
        <v>Standard</v>
      </c>
      <c r="N589" t="s">
        <v>26</v>
      </c>
      <c r="O589" t="s">
        <v>71</v>
      </c>
      <c r="P589">
        <f>IFERROR(VLOOKUP(TRIM(M589),Room!D:H,5,FALSE),5000)</f>
        <v>3200</v>
      </c>
      <c r="Q589">
        <f t="shared" si="47"/>
        <v>3200</v>
      </c>
      <c r="R589" s="11" t="str">
        <f t="shared" si="48"/>
        <v>Other</v>
      </c>
      <c r="S589" s="11">
        <f t="shared" si="49"/>
        <v>1</v>
      </c>
    </row>
    <row r="590" spans="1:19">
      <c r="A590" t="s">
        <v>3214</v>
      </c>
      <c r="B590" t="s">
        <v>3215</v>
      </c>
      <c r="C590" t="s">
        <v>3216</v>
      </c>
      <c r="D590" t="s">
        <v>3217</v>
      </c>
      <c r="E590" t="s">
        <v>3218</v>
      </c>
      <c r="F590" t="s">
        <v>3219</v>
      </c>
      <c r="G590" s="4">
        <v>45438</v>
      </c>
      <c r="H590" s="4">
        <v>45635</v>
      </c>
      <c r="I590" s="4">
        <v>45639</v>
      </c>
      <c r="J590">
        <f t="shared" si="45"/>
        <v>4</v>
      </c>
      <c r="K590" t="str">
        <f t="array" ref="K590">_xlfn.IFS(J590=1,"Day Use",J590&lt;=3,"Short Stay",J590&lt;=7,"Extended Stay",J590&gt;=8,"Long Stay")</f>
        <v>Extended Stay</v>
      </c>
      <c r="L590" t="s">
        <v>25</v>
      </c>
      <c r="M590" s="10" t="str">
        <f t="shared" si="46"/>
        <v>Deluxe</v>
      </c>
      <c r="N590" t="s">
        <v>26</v>
      </c>
      <c r="O590" t="s">
        <v>42</v>
      </c>
      <c r="P590">
        <f>IFERROR(VLOOKUP(TRIM(M590),Room!D:H,5,FALSE),5000)</f>
        <v>5400</v>
      </c>
      <c r="Q590">
        <f t="shared" si="47"/>
        <v>21600</v>
      </c>
      <c r="R590" s="11" t="str">
        <f t="shared" si="48"/>
        <v>Conference</v>
      </c>
      <c r="S590" s="11">
        <f t="shared" si="49"/>
        <v>3</v>
      </c>
    </row>
    <row r="591" spans="1:19">
      <c r="A591" t="s">
        <v>3220</v>
      </c>
      <c r="B591" t="s">
        <v>3221</v>
      </c>
      <c r="C591" t="s">
        <v>564</v>
      </c>
      <c r="D591" t="s">
        <v>3222</v>
      </c>
      <c r="E591" t="s">
        <v>3223</v>
      </c>
      <c r="F591" t="s">
        <v>3224</v>
      </c>
      <c r="G591" s="4">
        <v>45818</v>
      </c>
      <c r="H591" s="4">
        <v>45842</v>
      </c>
      <c r="I591" s="4">
        <v>45856</v>
      </c>
      <c r="J591">
        <f t="shared" si="45"/>
        <v>14</v>
      </c>
      <c r="K591" t="str">
        <f t="array" ref="K591">_xlfn.IFS(J591=1,"Day Use",J591&lt;=3,"Short Stay",J591&lt;=7,"Extended Stay",J591&gt;=8,"Long Stay")</f>
        <v>Long Stay</v>
      </c>
      <c r="L591" t="s">
        <v>91</v>
      </c>
      <c r="M591" s="10" t="str">
        <f t="shared" si="46"/>
        <v>Suite</v>
      </c>
      <c r="N591" t="s">
        <v>26</v>
      </c>
      <c r="O591" t="s">
        <v>42</v>
      </c>
      <c r="P591">
        <f>IFERROR(VLOOKUP(TRIM(M591),Room!D:H,5,FALSE),5000)</f>
        <v>12500</v>
      </c>
      <c r="Q591">
        <f t="shared" si="47"/>
        <v>175000</v>
      </c>
      <c r="R591" s="11" t="str">
        <f t="shared" si="48"/>
        <v>Business</v>
      </c>
      <c r="S591" s="11">
        <f t="shared" si="49"/>
        <v>5</v>
      </c>
    </row>
    <row r="592" spans="1:19">
      <c r="A592" t="s">
        <v>3225</v>
      </c>
      <c r="B592" t="s">
        <v>3226</v>
      </c>
      <c r="C592" t="s">
        <v>506</v>
      </c>
      <c r="D592" t="s">
        <v>3227</v>
      </c>
      <c r="E592" t="s">
        <v>3228</v>
      </c>
      <c r="F592" t="s">
        <v>3229</v>
      </c>
      <c r="G592" s="4">
        <v>45256</v>
      </c>
      <c r="H592" s="4">
        <v>45423</v>
      </c>
      <c r="I592" s="4">
        <v>45431</v>
      </c>
      <c r="J592">
        <f t="shared" si="45"/>
        <v>8</v>
      </c>
      <c r="K592" t="str">
        <f t="array" ref="K592">_xlfn.IFS(J592=1,"Day Use",J592&lt;=3,"Short Stay",J592&lt;=7,"Extended Stay",J592&gt;=8,"Long Stay")</f>
        <v>Long Stay</v>
      </c>
      <c r="L592" t="s">
        <v>196</v>
      </c>
      <c r="M592" s="10" t="str">
        <f t="shared" si="46"/>
        <v>Premium</v>
      </c>
      <c r="N592" t="s">
        <v>148</v>
      </c>
      <c r="O592" t="s">
        <v>42</v>
      </c>
      <c r="P592">
        <f>IFERROR(VLOOKUP(TRIM(M592),Room!D:H,5,FALSE),5000)</f>
        <v>9500</v>
      </c>
      <c r="Q592">
        <f t="shared" si="47"/>
        <v>76000</v>
      </c>
      <c r="R592" s="11" t="str">
        <f t="shared" si="48"/>
        <v>Conference</v>
      </c>
      <c r="S592" s="11">
        <f t="shared" si="49"/>
        <v>4</v>
      </c>
    </row>
    <row r="593" spans="1:19">
      <c r="A593" t="s">
        <v>3230</v>
      </c>
      <c r="B593" t="s">
        <v>3231</v>
      </c>
      <c r="C593" t="s">
        <v>558</v>
      </c>
      <c r="D593" t="s">
        <v>3232</v>
      </c>
      <c r="E593" t="s">
        <v>3233</v>
      </c>
      <c r="F593" t="s">
        <v>3234</v>
      </c>
      <c r="G593" s="4">
        <v>45812</v>
      </c>
      <c r="H593" s="4">
        <v>45976</v>
      </c>
      <c r="I593" s="4">
        <v>45985</v>
      </c>
      <c r="J593">
        <f t="shared" si="45"/>
        <v>9</v>
      </c>
      <c r="K593" t="str">
        <f t="array" ref="K593">_xlfn.IFS(J593=1,"Day Use",J593&lt;=3,"Short Stay",J593&lt;=7,"Extended Stay",J593&gt;=8,"Long Stay")</f>
        <v>Long Stay</v>
      </c>
      <c r="L593" t="s">
        <v>91</v>
      </c>
      <c r="M593" s="10" t="str">
        <f t="shared" si="46"/>
        <v>Premium</v>
      </c>
      <c r="N593" t="s">
        <v>57</v>
      </c>
      <c r="O593" t="s">
        <v>58</v>
      </c>
      <c r="P593">
        <f>IFERROR(VLOOKUP(TRIM(M593),Room!D:H,5,FALSE),5000)</f>
        <v>9500</v>
      </c>
      <c r="Q593">
        <f t="shared" si="47"/>
        <v>85500</v>
      </c>
      <c r="R593" s="11" t="str">
        <f t="shared" si="48"/>
        <v>Conference</v>
      </c>
      <c r="S593" s="11">
        <f t="shared" si="49"/>
        <v>4</v>
      </c>
    </row>
    <row r="594" spans="1:19">
      <c r="A594" t="s">
        <v>3235</v>
      </c>
      <c r="B594" t="s">
        <v>3236</v>
      </c>
      <c r="C594" t="s">
        <v>327</v>
      </c>
      <c r="D594" t="s">
        <v>3237</v>
      </c>
      <c r="E594" t="s">
        <v>3238</v>
      </c>
      <c r="F594" t="s">
        <v>3239</v>
      </c>
      <c r="G594" s="4">
        <v>45428</v>
      </c>
      <c r="H594" s="4">
        <v>45493</v>
      </c>
      <c r="I594" s="4">
        <v>45502</v>
      </c>
      <c r="J594">
        <f t="shared" si="45"/>
        <v>9</v>
      </c>
      <c r="K594" t="str">
        <f t="array" ref="K594">_xlfn.IFS(J594=1,"Day Use",J594&lt;=3,"Short Stay",J594&lt;=7,"Extended Stay",J594&gt;=8,"Long Stay")</f>
        <v>Long Stay</v>
      </c>
      <c r="L594" t="s">
        <v>141</v>
      </c>
      <c r="M594" s="10" t="str">
        <f t="shared" si="46"/>
        <v>Premium</v>
      </c>
      <c r="N594" t="s">
        <v>26</v>
      </c>
      <c r="O594" t="s">
        <v>58</v>
      </c>
      <c r="P594">
        <f>IFERROR(VLOOKUP(TRIM(M594),Room!D:H,5,FALSE),5000)</f>
        <v>9500</v>
      </c>
      <c r="Q594">
        <f t="shared" si="47"/>
        <v>85500</v>
      </c>
      <c r="R594" s="11" t="str">
        <f t="shared" si="48"/>
        <v>Conference</v>
      </c>
      <c r="S594" s="11">
        <f t="shared" si="49"/>
        <v>4</v>
      </c>
    </row>
    <row r="595" spans="1:19">
      <c r="A595" t="s">
        <v>3240</v>
      </c>
      <c r="B595" t="s">
        <v>3241</v>
      </c>
      <c r="C595" t="s">
        <v>751</v>
      </c>
      <c r="D595" t="s">
        <v>3242</v>
      </c>
      <c r="E595" t="s">
        <v>3243</v>
      </c>
      <c r="F595" t="s">
        <v>3244</v>
      </c>
      <c r="G595" s="4">
        <v>45243</v>
      </c>
      <c r="H595" s="4">
        <v>45995</v>
      </c>
      <c r="I595" s="4">
        <v>45997</v>
      </c>
      <c r="J595">
        <f t="shared" si="45"/>
        <v>2</v>
      </c>
      <c r="K595" t="str">
        <f t="array" ref="K595">_xlfn.IFS(J595=1,"Day Use",J595&lt;=3,"Short Stay",J595&lt;=7,"Extended Stay",J595&gt;=8,"Long Stay")</f>
        <v>Short Stay</v>
      </c>
      <c r="L595" t="s">
        <v>49</v>
      </c>
      <c r="M595" s="10" t="str">
        <f t="shared" si="46"/>
        <v>Standard</v>
      </c>
      <c r="N595" t="s">
        <v>26</v>
      </c>
      <c r="O595" t="s">
        <v>58</v>
      </c>
      <c r="P595">
        <f>IFERROR(VLOOKUP(TRIM(M595),Room!D:H,5,FALSE),5000)</f>
        <v>3200</v>
      </c>
      <c r="Q595">
        <f t="shared" si="47"/>
        <v>6400</v>
      </c>
      <c r="R595" s="11" t="str">
        <f t="shared" si="48"/>
        <v>Other</v>
      </c>
      <c r="S595" s="11">
        <f t="shared" si="49"/>
        <v>2</v>
      </c>
    </row>
    <row r="596" spans="1:19">
      <c r="A596" t="s">
        <v>3245</v>
      </c>
      <c r="B596" t="s">
        <v>3246</v>
      </c>
      <c r="C596" t="s">
        <v>265</v>
      </c>
      <c r="D596" t="s">
        <v>3247</v>
      </c>
      <c r="E596" t="s">
        <v>3248</v>
      </c>
      <c r="F596" t="s">
        <v>3249</v>
      </c>
      <c r="G596" s="4">
        <v>45496</v>
      </c>
      <c r="H596" s="4">
        <v>45524</v>
      </c>
      <c r="I596" s="4">
        <v>45538</v>
      </c>
      <c r="J596">
        <f t="shared" si="45"/>
        <v>14</v>
      </c>
      <c r="K596" t="str">
        <f t="array" ref="K596">_xlfn.IFS(J596=1,"Day Use",J596&lt;=3,"Short Stay",J596&lt;=7,"Extended Stay",J596&gt;=8,"Long Stay")</f>
        <v>Long Stay</v>
      </c>
      <c r="L596" t="s">
        <v>34</v>
      </c>
      <c r="M596" s="10" t="str">
        <f t="shared" si="46"/>
        <v>Suite</v>
      </c>
      <c r="N596" t="s">
        <v>26</v>
      </c>
      <c r="O596" t="s">
        <v>71</v>
      </c>
      <c r="P596">
        <f>IFERROR(VLOOKUP(TRIM(M596),Room!D:H,5,FALSE),5000)</f>
        <v>12500</v>
      </c>
      <c r="Q596">
        <f t="shared" si="47"/>
        <v>175000</v>
      </c>
      <c r="R596" s="11" t="str">
        <f t="shared" si="48"/>
        <v>Business</v>
      </c>
      <c r="S596" s="11">
        <f t="shared" si="49"/>
        <v>5</v>
      </c>
    </row>
    <row r="597" spans="1:19">
      <c r="A597" t="s">
        <v>3250</v>
      </c>
      <c r="B597" t="s">
        <v>3251</v>
      </c>
      <c r="C597" t="s">
        <v>500</v>
      </c>
      <c r="D597" t="s">
        <v>3252</v>
      </c>
      <c r="E597" t="s">
        <v>3253</v>
      </c>
      <c r="F597" t="s">
        <v>3254</v>
      </c>
      <c r="G597" s="4">
        <v>45439</v>
      </c>
      <c r="H597" s="4">
        <v>45504</v>
      </c>
      <c r="I597" s="4">
        <v>45516</v>
      </c>
      <c r="J597">
        <f t="shared" si="45"/>
        <v>12</v>
      </c>
      <c r="K597" t="str">
        <f t="array" ref="K597">_xlfn.IFS(J597=1,"Day Use",J597&lt;=3,"Short Stay",J597&lt;=7,"Extended Stay",J597&gt;=8,"Long Stay")</f>
        <v>Long Stay</v>
      </c>
      <c r="L597" t="s">
        <v>91</v>
      </c>
      <c r="M597" s="10" t="str">
        <f t="shared" si="46"/>
        <v>Suite</v>
      </c>
      <c r="N597" t="s">
        <v>26</v>
      </c>
      <c r="O597" t="s">
        <v>71</v>
      </c>
      <c r="P597">
        <f>IFERROR(VLOOKUP(TRIM(M597),Room!D:H,5,FALSE),5000)</f>
        <v>12500</v>
      </c>
      <c r="Q597">
        <f t="shared" si="47"/>
        <v>150000</v>
      </c>
      <c r="R597" s="11" t="str">
        <f t="shared" si="48"/>
        <v>Business</v>
      </c>
      <c r="S597" s="11">
        <f t="shared" si="49"/>
        <v>5</v>
      </c>
    </row>
    <row r="598" spans="1:19">
      <c r="A598" t="s">
        <v>3255</v>
      </c>
      <c r="B598" t="s">
        <v>3256</v>
      </c>
      <c r="C598" t="s">
        <v>3257</v>
      </c>
      <c r="D598" t="s">
        <v>3258</v>
      </c>
      <c r="E598" t="s">
        <v>3259</v>
      </c>
      <c r="F598" t="s">
        <v>3260</v>
      </c>
      <c r="G598" s="4">
        <v>45570</v>
      </c>
      <c r="H598" s="4">
        <v>45876</v>
      </c>
      <c r="I598" s="4">
        <v>45882</v>
      </c>
      <c r="J598">
        <f t="shared" si="45"/>
        <v>6</v>
      </c>
      <c r="K598" t="str">
        <f t="array" ref="K598">_xlfn.IFS(J598=1,"Day Use",J598&lt;=3,"Short Stay",J598&lt;=7,"Extended Stay",J598&gt;=8,"Long Stay")</f>
        <v>Extended Stay</v>
      </c>
      <c r="L598" t="s">
        <v>56</v>
      </c>
      <c r="M598" s="10" t="str">
        <f t="shared" si="46"/>
        <v>Deluxe</v>
      </c>
      <c r="N598" t="s">
        <v>26</v>
      </c>
      <c r="O598" t="s">
        <v>42</v>
      </c>
      <c r="P598">
        <f>IFERROR(VLOOKUP(TRIM(M598),Room!D:H,5,FALSE),5000)</f>
        <v>5400</v>
      </c>
      <c r="Q598">
        <f t="shared" si="47"/>
        <v>32400</v>
      </c>
      <c r="R598" s="11" t="str">
        <f t="shared" si="48"/>
        <v>Conference</v>
      </c>
      <c r="S598" s="11">
        <f t="shared" si="49"/>
        <v>3</v>
      </c>
    </row>
    <row r="599" spans="1:19">
      <c r="A599" t="s">
        <v>3261</v>
      </c>
      <c r="B599" t="s">
        <v>3262</v>
      </c>
      <c r="C599" t="s">
        <v>67</v>
      </c>
      <c r="D599" t="s">
        <v>3263</v>
      </c>
      <c r="E599" t="s">
        <v>3264</v>
      </c>
      <c r="F599" t="s">
        <v>3265</v>
      </c>
      <c r="G599" s="4">
        <v>45586</v>
      </c>
      <c r="H599" s="4">
        <v>45602</v>
      </c>
      <c r="I599" s="4">
        <v>45616</v>
      </c>
      <c r="J599">
        <f t="shared" si="45"/>
        <v>14</v>
      </c>
      <c r="K599" t="str">
        <f t="array" ref="K599">_xlfn.IFS(J599=1,"Day Use",J599&lt;=3,"Short Stay",J599&lt;=7,"Extended Stay",J599&gt;=8,"Long Stay")</f>
        <v>Long Stay</v>
      </c>
      <c r="L599" t="s">
        <v>49</v>
      </c>
      <c r="M599" s="10" t="str">
        <f t="shared" si="46"/>
        <v>Suite</v>
      </c>
      <c r="N599" t="s">
        <v>26</v>
      </c>
      <c r="O599" t="s">
        <v>27</v>
      </c>
      <c r="P599">
        <f>IFERROR(VLOOKUP(TRIM(M599),Room!D:H,5,FALSE),5000)</f>
        <v>12500</v>
      </c>
      <c r="Q599">
        <f t="shared" si="47"/>
        <v>175000</v>
      </c>
      <c r="R599" s="11" t="str">
        <f t="shared" si="48"/>
        <v>Business</v>
      </c>
      <c r="S599" s="11">
        <f t="shared" si="49"/>
        <v>5</v>
      </c>
    </row>
    <row r="600" spans="1:19">
      <c r="A600" t="s">
        <v>3266</v>
      </c>
      <c r="B600" t="s">
        <v>3267</v>
      </c>
      <c r="C600" t="s">
        <v>2837</v>
      </c>
      <c r="D600" t="s">
        <v>3268</v>
      </c>
      <c r="E600" t="s">
        <v>3269</v>
      </c>
      <c r="F600" t="s">
        <v>3270</v>
      </c>
      <c r="G600" s="4">
        <v>45590</v>
      </c>
      <c r="H600" s="4">
        <v>45877</v>
      </c>
      <c r="I600" s="4">
        <v>45880</v>
      </c>
      <c r="J600">
        <f t="shared" si="45"/>
        <v>3</v>
      </c>
      <c r="K600" t="str">
        <f t="array" ref="K600">_xlfn.IFS(J600=1,"Day Use",J600&lt;=3,"Short Stay",J600&lt;=7,"Extended Stay",J600&gt;=8,"Long Stay")</f>
        <v>Short Stay</v>
      </c>
      <c r="L600" t="s">
        <v>25</v>
      </c>
      <c r="M600" s="10" t="str">
        <f t="shared" si="46"/>
        <v>Standard</v>
      </c>
      <c r="N600" t="s">
        <v>57</v>
      </c>
      <c r="O600" t="s">
        <v>35</v>
      </c>
      <c r="P600">
        <f>IFERROR(VLOOKUP(TRIM(M600),Room!D:H,5,FALSE),5000)</f>
        <v>3200</v>
      </c>
      <c r="Q600">
        <f t="shared" si="47"/>
        <v>9600</v>
      </c>
      <c r="R600" s="11" t="str">
        <f t="shared" si="48"/>
        <v>Other</v>
      </c>
      <c r="S600" s="11">
        <f t="shared" si="49"/>
        <v>2</v>
      </c>
    </row>
    <row r="601" spans="1:19">
      <c r="A601" t="s">
        <v>3271</v>
      </c>
      <c r="B601" t="s">
        <v>3272</v>
      </c>
      <c r="C601" t="s">
        <v>2474</v>
      </c>
      <c r="D601" t="s">
        <v>3273</v>
      </c>
      <c r="E601" t="s">
        <v>3274</v>
      </c>
      <c r="F601" t="s">
        <v>3275</v>
      </c>
      <c r="G601" s="4">
        <v>45313</v>
      </c>
      <c r="H601" s="4">
        <v>45975</v>
      </c>
      <c r="I601" s="4">
        <v>45976</v>
      </c>
      <c r="J601">
        <f t="shared" si="45"/>
        <v>1</v>
      </c>
      <c r="K601" t="str">
        <f t="array" ref="K601">_xlfn.IFS(J601=1,"Day Use",J601&lt;=3,"Short Stay",J601&lt;=7,"Extended Stay",J601&gt;=8,"Long Stay")</f>
        <v>Day Use</v>
      </c>
      <c r="L601" t="s">
        <v>34</v>
      </c>
      <c r="M601" s="10" t="str">
        <f t="shared" si="46"/>
        <v>Standard</v>
      </c>
      <c r="N601" t="s">
        <v>148</v>
      </c>
      <c r="O601" t="s">
        <v>27</v>
      </c>
      <c r="P601">
        <f>IFERROR(VLOOKUP(TRIM(M601),Room!D:H,5,FALSE),5000)</f>
        <v>3200</v>
      </c>
      <c r="Q601">
        <f t="shared" si="47"/>
        <v>3200</v>
      </c>
      <c r="R601" s="11" t="str">
        <f t="shared" si="48"/>
        <v>Other</v>
      </c>
      <c r="S601" s="11">
        <f t="shared" si="49"/>
        <v>1</v>
      </c>
    </row>
    <row r="602" spans="1:19">
      <c r="A602" t="s">
        <v>3276</v>
      </c>
      <c r="B602" t="s">
        <v>3277</v>
      </c>
      <c r="C602" t="s">
        <v>186</v>
      </c>
      <c r="D602" t="s">
        <v>3278</v>
      </c>
      <c r="E602" t="s">
        <v>3279</v>
      </c>
      <c r="F602" t="s">
        <v>3280</v>
      </c>
      <c r="G602" s="4">
        <v>45250</v>
      </c>
      <c r="H602" s="4">
        <v>45612</v>
      </c>
      <c r="I602" s="4">
        <v>45622</v>
      </c>
      <c r="J602">
        <f t="shared" si="45"/>
        <v>10</v>
      </c>
      <c r="K602" t="str">
        <f t="array" ref="K602">_xlfn.IFS(J602=1,"Day Use",J602&lt;=3,"Short Stay",J602&lt;=7,"Extended Stay",J602&gt;=8,"Long Stay")</f>
        <v>Long Stay</v>
      </c>
      <c r="L602" t="s">
        <v>84</v>
      </c>
      <c r="M602" s="10" t="str">
        <f t="shared" si="46"/>
        <v>Premium</v>
      </c>
      <c r="N602" t="s">
        <v>26</v>
      </c>
      <c r="O602" t="s">
        <v>42</v>
      </c>
      <c r="P602">
        <f>IFERROR(VLOOKUP(TRIM(M602),Room!D:H,5,FALSE),5000)</f>
        <v>9500</v>
      </c>
      <c r="Q602">
        <f t="shared" si="47"/>
        <v>95000</v>
      </c>
      <c r="R602" s="11" t="str">
        <f t="shared" si="48"/>
        <v>Conference</v>
      </c>
      <c r="S602" s="11">
        <f t="shared" si="49"/>
        <v>4</v>
      </c>
    </row>
    <row r="603" spans="1:19">
      <c r="A603" t="s">
        <v>3281</v>
      </c>
      <c r="B603" t="s">
        <v>3282</v>
      </c>
      <c r="C603" t="s">
        <v>130</v>
      </c>
      <c r="D603" t="s">
        <v>3283</v>
      </c>
      <c r="E603" t="s">
        <v>3284</v>
      </c>
      <c r="F603" t="s">
        <v>3285</v>
      </c>
      <c r="G603" s="4">
        <v>45518</v>
      </c>
      <c r="H603" s="4">
        <v>45522</v>
      </c>
      <c r="I603" s="4">
        <v>45529</v>
      </c>
      <c r="J603">
        <f t="shared" si="45"/>
        <v>7</v>
      </c>
      <c r="K603" t="str">
        <f t="array" ref="K603">_xlfn.IFS(J603=1,"Day Use",J603&lt;=3,"Short Stay",J603&lt;=7,"Extended Stay",J603&gt;=8,"Long Stay")</f>
        <v>Extended Stay</v>
      </c>
      <c r="L603" t="s">
        <v>141</v>
      </c>
      <c r="M603" s="10" t="str">
        <f t="shared" si="46"/>
        <v>Premium</v>
      </c>
      <c r="N603" t="s">
        <v>134</v>
      </c>
      <c r="O603" t="s">
        <v>35</v>
      </c>
      <c r="P603">
        <f>IFERROR(VLOOKUP(TRIM(M603),Room!D:H,5,FALSE),5000)</f>
        <v>9500</v>
      </c>
      <c r="Q603">
        <f t="shared" si="47"/>
        <v>66500</v>
      </c>
      <c r="R603" s="11" t="str">
        <f t="shared" si="48"/>
        <v>Conference</v>
      </c>
      <c r="S603" s="11">
        <f t="shared" si="49"/>
        <v>4</v>
      </c>
    </row>
    <row r="604" spans="1:19">
      <c r="A604" t="s">
        <v>3286</v>
      </c>
      <c r="B604" t="s">
        <v>3287</v>
      </c>
      <c r="C604" t="s">
        <v>118</v>
      </c>
      <c r="D604" t="s">
        <v>3288</v>
      </c>
      <c r="E604" t="s">
        <v>3289</v>
      </c>
      <c r="F604" t="s">
        <v>3290</v>
      </c>
      <c r="G604" s="4">
        <v>45322</v>
      </c>
      <c r="H604" s="4">
        <v>45336</v>
      </c>
      <c r="I604" s="4">
        <v>45346</v>
      </c>
      <c r="J604">
        <f t="shared" si="45"/>
        <v>10</v>
      </c>
      <c r="K604" t="str">
        <f t="array" ref="K604">_xlfn.IFS(J604=1,"Day Use",J604&lt;=3,"Short Stay",J604&lt;=7,"Extended Stay",J604&gt;=8,"Long Stay")</f>
        <v>Long Stay</v>
      </c>
      <c r="L604" t="s">
        <v>141</v>
      </c>
      <c r="M604" s="10" t="str">
        <f t="shared" si="46"/>
        <v>Premium</v>
      </c>
      <c r="N604" t="s">
        <v>26</v>
      </c>
      <c r="O604" t="s">
        <v>71</v>
      </c>
      <c r="P604">
        <f>IFERROR(VLOOKUP(TRIM(M604),Room!D:H,5,FALSE),5000)</f>
        <v>9500</v>
      </c>
      <c r="Q604">
        <f t="shared" si="47"/>
        <v>95000</v>
      </c>
      <c r="R604" s="11" t="str">
        <f t="shared" si="48"/>
        <v>Conference</v>
      </c>
      <c r="S604" s="11">
        <f t="shared" si="49"/>
        <v>4</v>
      </c>
    </row>
    <row r="605" spans="1:19">
      <c r="A605" t="s">
        <v>3291</v>
      </c>
      <c r="B605" t="s">
        <v>3292</v>
      </c>
      <c r="C605" t="s">
        <v>1271</v>
      </c>
      <c r="D605" t="s">
        <v>3293</v>
      </c>
      <c r="E605" t="s">
        <v>3294</v>
      </c>
      <c r="F605" t="s">
        <v>3295</v>
      </c>
      <c r="G605" s="4">
        <v>45436</v>
      </c>
      <c r="H605" s="4">
        <v>45459</v>
      </c>
      <c r="I605" s="4">
        <v>45473</v>
      </c>
      <c r="J605">
        <f t="shared" si="45"/>
        <v>14</v>
      </c>
      <c r="K605" t="str">
        <f t="array" ref="K605">_xlfn.IFS(J605=1,"Day Use",J605&lt;=3,"Short Stay",J605&lt;=7,"Extended Stay",J605&gt;=8,"Long Stay")</f>
        <v>Long Stay</v>
      </c>
      <c r="L605" t="s">
        <v>84</v>
      </c>
      <c r="M605" s="10" t="str">
        <f t="shared" si="46"/>
        <v>Suite</v>
      </c>
      <c r="N605" t="s">
        <v>26</v>
      </c>
      <c r="O605" t="s">
        <v>71</v>
      </c>
      <c r="P605">
        <f>IFERROR(VLOOKUP(TRIM(M605),Room!D:H,5,FALSE),5000)</f>
        <v>12500</v>
      </c>
      <c r="Q605">
        <f t="shared" si="47"/>
        <v>175000</v>
      </c>
      <c r="R605" s="11" t="str">
        <f t="shared" si="48"/>
        <v>Business</v>
      </c>
      <c r="S605" s="11">
        <f t="shared" si="49"/>
        <v>5</v>
      </c>
    </row>
    <row r="606" spans="1:19">
      <c r="A606" t="s">
        <v>3296</v>
      </c>
      <c r="B606" t="s">
        <v>3297</v>
      </c>
      <c r="C606" t="s">
        <v>1983</v>
      </c>
      <c r="D606" t="s">
        <v>3298</v>
      </c>
      <c r="E606" t="s">
        <v>3299</v>
      </c>
      <c r="F606" t="s">
        <v>3300</v>
      </c>
      <c r="G606" s="4">
        <v>45677</v>
      </c>
      <c r="H606" s="4">
        <v>45966</v>
      </c>
      <c r="I606" s="4">
        <v>45978</v>
      </c>
      <c r="J606">
        <f t="shared" si="45"/>
        <v>12</v>
      </c>
      <c r="K606" t="str">
        <f t="array" ref="K606">_xlfn.IFS(J606=1,"Day Use",J606&lt;=3,"Short Stay",J606&lt;=7,"Extended Stay",J606&gt;=8,"Long Stay")</f>
        <v>Long Stay</v>
      </c>
      <c r="L606" t="s">
        <v>56</v>
      </c>
      <c r="M606" s="10" t="str">
        <f t="shared" si="46"/>
        <v>Suite</v>
      </c>
      <c r="N606" t="s">
        <v>26</v>
      </c>
      <c r="O606" t="s">
        <v>35</v>
      </c>
      <c r="P606">
        <f>IFERROR(VLOOKUP(TRIM(M606),Room!D:H,5,FALSE),5000)</f>
        <v>12500</v>
      </c>
      <c r="Q606">
        <f t="shared" si="47"/>
        <v>150000</v>
      </c>
      <c r="R606" s="11" t="str">
        <f t="shared" si="48"/>
        <v>Business</v>
      </c>
      <c r="S606" s="11">
        <f t="shared" si="49"/>
        <v>5</v>
      </c>
    </row>
    <row r="607" spans="1:19">
      <c r="A607" t="s">
        <v>3301</v>
      </c>
      <c r="B607" t="s">
        <v>3302</v>
      </c>
      <c r="C607" t="s">
        <v>2154</v>
      </c>
      <c r="D607" t="s">
        <v>3303</v>
      </c>
      <c r="E607" t="s">
        <v>3304</v>
      </c>
      <c r="F607" t="s">
        <v>3305</v>
      </c>
      <c r="G607" s="4">
        <v>45331</v>
      </c>
      <c r="H607" s="4">
        <v>45399</v>
      </c>
      <c r="I607" s="4">
        <v>45401</v>
      </c>
      <c r="J607">
        <f t="shared" si="45"/>
        <v>2</v>
      </c>
      <c r="K607" t="str">
        <f t="array" ref="K607">_xlfn.IFS(J607=1,"Day Use",J607&lt;=3,"Short Stay",J607&lt;=7,"Extended Stay",J607&gt;=8,"Long Stay")</f>
        <v>Short Stay</v>
      </c>
      <c r="L607" t="s">
        <v>91</v>
      </c>
      <c r="M607" s="10" t="str">
        <f t="shared" si="46"/>
        <v>Standard</v>
      </c>
      <c r="N607" t="s">
        <v>148</v>
      </c>
      <c r="O607" t="s">
        <v>35</v>
      </c>
      <c r="P607">
        <f>IFERROR(VLOOKUP(TRIM(M607),Room!D:H,5,FALSE),5000)</f>
        <v>3200</v>
      </c>
      <c r="Q607">
        <f t="shared" si="47"/>
        <v>6400</v>
      </c>
      <c r="R607" s="11" t="str">
        <f t="shared" si="48"/>
        <v>Other</v>
      </c>
      <c r="S607" s="11">
        <f t="shared" si="49"/>
        <v>2</v>
      </c>
    </row>
    <row r="608" spans="1:19">
      <c r="A608" t="s">
        <v>3306</v>
      </c>
      <c r="B608" t="s">
        <v>3307</v>
      </c>
      <c r="C608" t="s">
        <v>691</v>
      </c>
      <c r="D608" t="s">
        <v>3308</v>
      </c>
      <c r="E608" t="s">
        <v>3309</v>
      </c>
      <c r="F608" t="s">
        <v>3310</v>
      </c>
      <c r="G608" s="4">
        <v>45500</v>
      </c>
      <c r="H608" s="4">
        <v>45875</v>
      </c>
      <c r="I608" s="4">
        <v>45878</v>
      </c>
      <c r="J608">
        <f t="shared" si="45"/>
        <v>3</v>
      </c>
      <c r="K608" t="str">
        <f t="array" ref="K608">_xlfn.IFS(J608=1,"Day Use",J608&lt;=3,"Short Stay",J608&lt;=7,"Extended Stay",J608&gt;=8,"Long Stay")</f>
        <v>Short Stay</v>
      </c>
      <c r="L608" t="s">
        <v>56</v>
      </c>
      <c r="M608" s="10" t="str">
        <f t="shared" si="46"/>
        <v>Standard</v>
      </c>
      <c r="N608" t="s">
        <v>26</v>
      </c>
      <c r="O608" t="s">
        <v>42</v>
      </c>
      <c r="P608">
        <f>IFERROR(VLOOKUP(TRIM(M608),Room!D:H,5,FALSE),5000)</f>
        <v>3200</v>
      </c>
      <c r="Q608">
        <f t="shared" si="47"/>
        <v>9600</v>
      </c>
      <c r="R608" s="11" t="str">
        <f t="shared" si="48"/>
        <v>Other</v>
      </c>
      <c r="S608" s="11">
        <f t="shared" si="49"/>
        <v>2</v>
      </c>
    </row>
    <row r="609" spans="1:19">
      <c r="A609" t="s">
        <v>3311</v>
      </c>
      <c r="B609" t="s">
        <v>3312</v>
      </c>
      <c r="C609" t="s">
        <v>217</v>
      </c>
      <c r="D609" t="s">
        <v>3313</v>
      </c>
      <c r="E609" t="s">
        <v>3314</v>
      </c>
      <c r="F609" t="s">
        <v>3315</v>
      </c>
      <c r="G609" s="4">
        <v>45556</v>
      </c>
      <c r="H609" s="4">
        <v>45671</v>
      </c>
      <c r="I609" s="4">
        <v>45684</v>
      </c>
      <c r="J609">
        <f t="shared" si="45"/>
        <v>13</v>
      </c>
      <c r="K609" t="str">
        <f t="array" ref="K609">_xlfn.IFS(J609=1,"Day Use",J609&lt;=3,"Short Stay",J609&lt;=7,"Extended Stay",J609&gt;=8,"Long Stay")</f>
        <v>Long Stay</v>
      </c>
      <c r="L609" t="s">
        <v>56</v>
      </c>
      <c r="M609" s="10" t="str">
        <f t="shared" si="46"/>
        <v>Suite</v>
      </c>
      <c r="N609" t="s">
        <v>26</v>
      </c>
      <c r="O609" t="s">
        <v>71</v>
      </c>
      <c r="P609">
        <f>IFERROR(VLOOKUP(TRIM(M609),Room!D:H,5,FALSE),5000)</f>
        <v>12500</v>
      </c>
      <c r="Q609">
        <f t="shared" si="47"/>
        <v>162500</v>
      </c>
      <c r="R609" s="11" t="str">
        <f t="shared" si="48"/>
        <v>Business</v>
      </c>
      <c r="S609" s="11">
        <f t="shared" si="49"/>
        <v>5</v>
      </c>
    </row>
    <row r="610" spans="1:19">
      <c r="A610" t="s">
        <v>3316</v>
      </c>
      <c r="B610" t="s">
        <v>3317</v>
      </c>
      <c r="C610" t="s">
        <v>3216</v>
      </c>
      <c r="D610" t="s">
        <v>3318</v>
      </c>
      <c r="E610" t="s">
        <v>3319</v>
      </c>
      <c r="F610" t="s">
        <v>3320</v>
      </c>
      <c r="G610" s="4">
        <v>45514</v>
      </c>
      <c r="H610" s="4">
        <v>45525</v>
      </c>
      <c r="I610" s="4">
        <v>45527</v>
      </c>
      <c r="J610">
        <f t="shared" si="45"/>
        <v>2</v>
      </c>
      <c r="K610" t="str">
        <f t="array" ref="K610">_xlfn.IFS(J610=1,"Day Use",J610&lt;=3,"Short Stay",J610&lt;=7,"Extended Stay",J610&gt;=8,"Long Stay")</f>
        <v>Short Stay</v>
      </c>
      <c r="L610" t="s">
        <v>34</v>
      </c>
      <c r="M610" s="10" t="str">
        <f t="shared" si="46"/>
        <v>Standard</v>
      </c>
      <c r="N610" t="s">
        <v>26</v>
      </c>
      <c r="O610" t="s">
        <v>27</v>
      </c>
      <c r="P610">
        <f>IFERROR(VLOOKUP(TRIM(M610),Room!D:H,5,FALSE),5000)</f>
        <v>3200</v>
      </c>
      <c r="Q610">
        <f t="shared" si="47"/>
        <v>6400</v>
      </c>
      <c r="R610" s="11" t="str">
        <f t="shared" si="48"/>
        <v>Other</v>
      </c>
      <c r="S610" s="11">
        <f t="shared" si="49"/>
        <v>2</v>
      </c>
    </row>
    <row r="611" spans="1:19">
      <c r="A611" t="s">
        <v>3321</v>
      </c>
      <c r="B611" t="s">
        <v>3322</v>
      </c>
      <c r="C611" t="s">
        <v>865</v>
      </c>
      <c r="D611" t="s">
        <v>3323</v>
      </c>
      <c r="E611" t="s">
        <v>3324</v>
      </c>
      <c r="F611" t="s">
        <v>3325</v>
      </c>
      <c r="G611" s="4">
        <v>45325</v>
      </c>
      <c r="H611" s="4">
        <v>45412</v>
      </c>
      <c r="I611" s="4">
        <v>45414</v>
      </c>
      <c r="J611">
        <f t="shared" si="45"/>
        <v>2</v>
      </c>
      <c r="K611" t="str">
        <f t="array" ref="K611">_xlfn.IFS(J611=1,"Day Use",J611&lt;=3,"Short Stay",J611&lt;=7,"Extended Stay",J611&gt;=8,"Long Stay")</f>
        <v>Short Stay</v>
      </c>
      <c r="L611" t="s">
        <v>84</v>
      </c>
      <c r="M611" s="10" t="str">
        <f t="shared" si="46"/>
        <v>Standard</v>
      </c>
      <c r="N611" t="s">
        <v>57</v>
      </c>
      <c r="O611" t="s">
        <v>35</v>
      </c>
      <c r="P611">
        <f>IFERROR(VLOOKUP(TRIM(M611),Room!D:H,5,FALSE),5000)</f>
        <v>3200</v>
      </c>
      <c r="Q611">
        <f t="shared" si="47"/>
        <v>6400</v>
      </c>
      <c r="R611" s="11" t="str">
        <f t="shared" si="48"/>
        <v>Other</v>
      </c>
      <c r="S611" s="11">
        <f t="shared" si="49"/>
        <v>2</v>
      </c>
    </row>
    <row r="612" spans="1:19">
      <c r="A612" t="s">
        <v>3326</v>
      </c>
      <c r="B612" t="s">
        <v>3327</v>
      </c>
      <c r="C612" t="s">
        <v>1036</v>
      </c>
      <c r="D612" t="s">
        <v>3328</v>
      </c>
      <c r="E612" t="s">
        <v>3329</v>
      </c>
      <c r="F612" t="s">
        <v>3330</v>
      </c>
      <c r="G612" s="4">
        <v>45460</v>
      </c>
      <c r="H612" s="4">
        <v>46006</v>
      </c>
      <c r="I612" s="4">
        <v>46020</v>
      </c>
      <c r="J612">
        <f t="shared" si="45"/>
        <v>14</v>
      </c>
      <c r="K612" t="str">
        <f t="array" ref="K612">_xlfn.IFS(J612=1,"Day Use",J612&lt;=3,"Short Stay",J612&lt;=7,"Extended Stay",J612&gt;=8,"Long Stay")</f>
        <v>Long Stay</v>
      </c>
      <c r="L612" t="s">
        <v>91</v>
      </c>
      <c r="M612" s="10" t="str">
        <f t="shared" si="46"/>
        <v>Suite</v>
      </c>
      <c r="N612" t="s">
        <v>57</v>
      </c>
      <c r="O612" t="s">
        <v>35</v>
      </c>
      <c r="P612">
        <f>IFERROR(VLOOKUP(TRIM(M612),Room!D:H,5,FALSE),5000)</f>
        <v>12500</v>
      </c>
      <c r="Q612">
        <f t="shared" si="47"/>
        <v>175000</v>
      </c>
      <c r="R612" s="11" t="str">
        <f t="shared" si="48"/>
        <v>Business</v>
      </c>
      <c r="S612" s="11">
        <f t="shared" si="49"/>
        <v>5</v>
      </c>
    </row>
    <row r="613" spans="1:19">
      <c r="A613" t="s">
        <v>3331</v>
      </c>
      <c r="B613" t="s">
        <v>3332</v>
      </c>
      <c r="C613" t="s">
        <v>1699</v>
      </c>
      <c r="D613" t="s">
        <v>3333</v>
      </c>
      <c r="E613" t="s">
        <v>3334</v>
      </c>
      <c r="F613" t="s">
        <v>3335</v>
      </c>
      <c r="G613" s="4">
        <v>45513</v>
      </c>
      <c r="H613" s="4">
        <v>45620</v>
      </c>
      <c r="I613" s="4">
        <v>45634</v>
      </c>
      <c r="J613">
        <f t="shared" si="45"/>
        <v>14</v>
      </c>
      <c r="K613" t="str">
        <f t="array" ref="K613">_xlfn.IFS(J613=1,"Day Use",J613&lt;=3,"Short Stay",J613&lt;=7,"Extended Stay",J613&gt;=8,"Long Stay")</f>
        <v>Long Stay</v>
      </c>
      <c r="L613" t="s">
        <v>25</v>
      </c>
      <c r="M613" s="10" t="str">
        <f t="shared" si="46"/>
        <v>Suite</v>
      </c>
      <c r="N613" t="s">
        <v>57</v>
      </c>
      <c r="O613" t="s">
        <v>42</v>
      </c>
      <c r="P613">
        <f>IFERROR(VLOOKUP(TRIM(M613),Room!D:H,5,FALSE),5000)</f>
        <v>12500</v>
      </c>
      <c r="Q613">
        <f t="shared" si="47"/>
        <v>175000</v>
      </c>
      <c r="R613" s="11" t="str">
        <f t="shared" si="48"/>
        <v>Business</v>
      </c>
      <c r="S613" s="11">
        <f t="shared" si="49"/>
        <v>5</v>
      </c>
    </row>
    <row r="614" spans="1:19">
      <c r="A614" t="s">
        <v>3336</v>
      </c>
      <c r="B614" t="s">
        <v>3337</v>
      </c>
      <c r="C614" t="s">
        <v>1757</v>
      </c>
      <c r="D614" t="s">
        <v>3338</v>
      </c>
      <c r="E614" t="s">
        <v>3339</v>
      </c>
      <c r="F614" t="s">
        <v>3340</v>
      </c>
      <c r="G614" s="4">
        <v>45278</v>
      </c>
      <c r="H614" s="4">
        <v>45307</v>
      </c>
      <c r="I614" s="4">
        <v>45317</v>
      </c>
      <c r="J614">
        <f t="shared" si="45"/>
        <v>10</v>
      </c>
      <c r="K614" t="str">
        <f t="array" ref="K614">_xlfn.IFS(J614=1,"Day Use",J614&lt;=3,"Short Stay",J614&lt;=7,"Extended Stay",J614&gt;=8,"Long Stay")</f>
        <v>Long Stay</v>
      </c>
      <c r="L614" t="s">
        <v>196</v>
      </c>
      <c r="M614" s="10" t="str">
        <f t="shared" si="46"/>
        <v>Premium</v>
      </c>
      <c r="N614" t="s">
        <v>57</v>
      </c>
      <c r="O614" t="s">
        <v>35</v>
      </c>
      <c r="P614">
        <f>IFERROR(VLOOKUP(TRIM(M614),Room!D:H,5,FALSE),5000)</f>
        <v>9500</v>
      </c>
      <c r="Q614">
        <f t="shared" si="47"/>
        <v>95000</v>
      </c>
      <c r="R614" s="11" t="str">
        <f t="shared" si="48"/>
        <v>Conference</v>
      </c>
      <c r="S614" s="11">
        <f t="shared" si="49"/>
        <v>4</v>
      </c>
    </row>
    <row r="615" spans="1:19">
      <c r="A615" t="s">
        <v>3341</v>
      </c>
      <c r="B615" t="s">
        <v>3342</v>
      </c>
      <c r="C615" t="s">
        <v>639</v>
      </c>
      <c r="D615" t="s">
        <v>3343</v>
      </c>
      <c r="E615" t="s">
        <v>3344</v>
      </c>
      <c r="F615" t="s">
        <v>3345</v>
      </c>
      <c r="G615" s="4">
        <v>45724</v>
      </c>
      <c r="H615" s="4">
        <v>45754</v>
      </c>
      <c r="I615" s="4">
        <v>45766</v>
      </c>
      <c r="J615">
        <f t="shared" si="45"/>
        <v>12</v>
      </c>
      <c r="K615" t="str">
        <f t="array" ref="K615">_xlfn.IFS(J615=1,"Day Use",J615&lt;=3,"Short Stay",J615&lt;=7,"Extended Stay",J615&gt;=8,"Long Stay")</f>
        <v>Long Stay</v>
      </c>
      <c r="L615" t="s">
        <v>141</v>
      </c>
      <c r="M615" s="10" t="str">
        <f t="shared" si="46"/>
        <v>Suite</v>
      </c>
      <c r="N615" t="s">
        <v>26</v>
      </c>
      <c r="O615" t="s">
        <v>58</v>
      </c>
      <c r="P615">
        <f>IFERROR(VLOOKUP(TRIM(M615),Room!D:H,5,FALSE),5000)</f>
        <v>12500</v>
      </c>
      <c r="Q615">
        <f t="shared" si="47"/>
        <v>150000</v>
      </c>
      <c r="R615" s="11" t="str">
        <f t="shared" si="48"/>
        <v>Business</v>
      </c>
      <c r="S615" s="11">
        <f t="shared" si="49"/>
        <v>5</v>
      </c>
    </row>
    <row r="616" spans="1:19">
      <c r="A616" t="s">
        <v>3346</v>
      </c>
      <c r="B616" t="s">
        <v>3347</v>
      </c>
      <c r="C616" t="s">
        <v>217</v>
      </c>
      <c r="D616" t="s">
        <v>3348</v>
      </c>
      <c r="E616" t="s">
        <v>3349</v>
      </c>
      <c r="F616" t="s">
        <v>3350</v>
      </c>
      <c r="G616" s="4">
        <v>45471</v>
      </c>
      <c r="H616" s="4">
        <v>45943</v>
      </c>
      <c r="I616" s="4">
        <v>45947</v>
      </c>
      <c r="J616">
        <f t="shared" si="45"/>
        <v>4</v>
      </c>
      <c r="K616" t="str">
        <f t="array" ref="K616">_xlfn.IFS(J616=1,"Day Use",J616&lt;=3,"Short Stay",J616&lt;=7,"Extended Stay",J616&gt;=8,"Long Stay")</f>
        <v>Extended Stay</v>
      </c>
      <c r="L616" t="s">
        <v>49</v>
      </c>
      <c r="M616" s="10" t="str">
        <f t="shared" si="46"/>
        <v>Deluxe</v>
      </c>
      <c r="N616" t="s">
        <v>372</v>
      </c>
      <c r="O616" t="s">
        <v>42</v>
      </c>
      <c r="P616">
        <f>IFERROR(VLOOKUP(TRIM(M616),Room!D:H,5,FALSE),5000)</f>
        <v>5400</v>
      </c>
      <c r="Q616">
        <f t="shared" si="47"/>
        <v>21600</v>
      </c>
      <c r="R616" s="11" t="str">
        <f t="shared" si="48"/>
        <v>Conference</v>
      </c>
      <c r="S616" s="11">
        <f t="shared" si="49"/>
        <v>3</v>
      </c>
    </row>
    <row r="617" spans="1:19">
      <c r="A617" t="s">
        <v>3351</v>
      </c>
      <c r="B617" t="s">
        <v>3352</v>
      </c>
      <c r="C617" t="s">
        <v>899</v>
      </c>
      <c r="D617" t="s">
        <v>3353</v>
      </c>
      <c r="E617" t="s">
        <v>3354</v>
      </c>
      <c r="F617" t="s">
        <v>3355</v>
      </c>
      <c r="G617" s="4">
        <v>45264</v>
      </c>
      <c r="H617" s="4">
        <v>45377</v>
      </c>
      <c r="I617" s="4">
        <v>45378</v>
      </c>
      <c r="J617">
        <f t="shared" si="45"/>
        <v>1</v>
      </c>
      <c r="K617" t="str">
        <f t="array" ref="K617">_xlfn.IFS(J617=1,"Day Use",J617&lt;=3,"Short Stay",J617&lt;=7,"Extended Stay",J617&gt;=8,"Long Stay")</f>
        <v>Day Use</v>
      </c>
      <c r="L617" t="s">
        <v>34</v>
      </c>
      <c r="M617" s="10" t="str">
        <f t="shared" si="46"/>
        <v>Standard</v>
      </c>
      <c r="N617" t="s">
        <v>57</v>
      </c>
      <c r="O617" t="s">
        <v>58</v>
      </c>
      <c r="P617">
        <f>IFERROR(VLOOKUP(TRIM(M617),Room!D:H,5,FALSE),5000)</f>
        <v>3200</v>
      </c>
      <c r="Q617">
        <f t="shared" si="47"/>
        <v>3200</v>
      </c>
      <c r="R617" s="11" t="str">
        <f t="shared" si="48"/>
        <v>Other</v>
      </c>
      <c r="S617" s="11">
        <f t="shared" si="49"/>
        <v>1</v>
      </c>
    </row>
    <row r="618" spans="1:19">
      <c r="A618" t="s">
        <v>3356</v>
      </c>
      <c r="B618" t="s">
        <v>3357</v>
      </c>
      <c r="C618" t="s">
        <v>899</v>
      </c>
      <c r="D618" t="s">
        <v>3358</v>
      </c>
      <c r="E618" t="s">
        <v>3359</v>
      </c>
      <c r="F618" t="s">
        <v>3360</v>
      </c>
      <c r="G618" s="4">
        <v>45666</v>
      </c>
      <c r="H618" s="4">
        <v>45761</v>
      </c>
      <c r="I618" s="4">
        <v>45770</v>
      </c>
      <c r="J618">
        <f t="shared" si="45"/>
        <v>9</v>
      </c>
      <c r="K618" t="str">
        <f t="array" ref="K618">_xlfn.IFS(J618=1,"Day Use",J618&lt;=3,"Short Stay",J618&lt;=7,"Extended Stay",J618&gt;=8,"Long Stay")</f>
        <v>Long Stay</v>
      </c>
      <c r="L618" t="s">
        <v>141</v>
      </c>
      <c r="M618" s="10" t="str">
        <f t="shared" si="46"/>
        <v>Premium</v>
      </c>
      <c r="N618" t="s">
        <v>26</v>
      </c>
      <c r="O618" t="s">
        <v>58</v>
      </c>
      <c r="P618">
        <f>IFERROR(VLOOKUP(TRIM(M618),Room!D:H,5,FALSE),5000)</f>
        <v>9500</v>
      </c>
      <c r="Q618">
        <f t="shared" si="47"/>
        <v>85500</v>
      </c>
      <c r="R618" s="11" t="str">
        <f t="shared" si="48"/>
        <v>Conference</v>
      </c>
      <c r="S618" s="11">
        <f t="shared" si="49"/>
        <v>4</v>
      </c>
    </row>
    <row r="619" spans="1:19">
      <c r="A619" t="s">
        <v>3361</v>
      </c>
      <c r="B619" t="s">
        <v>3362</v>
      </c>
      <c r="C619" t="s">
        <v>106</v>
      </c>
      <c r="D619" t="s">
        <v>3363</v>
      </c>
      <c r="E619" t="s">
        <v>3364</v>
      </c>
      <c r="F619" t="s">
        <v>3365</v>
      </c>
      <c r="G619" s="4">
        <v>45299</v>
      </c>
      <c r="H619" s="4">
        <v>45655</v>
      </c>
      <c r="I619" s="4">
        <v>45663</v>
      </c>
      <c r="J619">
        <f t="shared" si="45"/>
        <v>8</v>
      </c>
      <c r="K619" t="str">
        <f t="array" ref="K619">_xlfn.IFS(J619=1,"Day Use",J619&lt;=3,"Short Stay",J619&lt;=7,"Extended Stay",J619&gt;=8,"Long Stay")</f>
        <v>Long Stay</v>
      </c>
      <c r="L619" t="s">
        <v>25</v>
      </c>
      <c r="M619" s="10" t="str">
        <f t="shared" si="46"/>
        <v>Premium</v>
      </c>
      <c r="N619" t="s">
        <v>26</v>
      </c>
      <c r="O619" t="s">
        <v>42</v>
      </c>
      <c r="P619">
        <f>IFERROR(VLOOKUP(TRIM(M619),Room!D:H,5,FALSE),5000)</f>
        <v>9500</v>
      </c>
      <c r="Q619">
        <f t="shared" si="47"/>
        <v>76000</v>
      </c>
      <c r="R619" s="11" t="str">
        <f t="shared" si="48"/>
        <v>Conference</v>
      </c>
      <c r="S619" s="11">
        <f t="shared" si="49"/>
        <v>4</v>
      </c>
    </row>
    <row r="620" spans="1:19">
      <c r="A620" t="s">
        <v>3366</v>
      </c>
      <c r="B620" t="s">
        <v>3367</v>
      </c>
      <c r="C620" t="s">
        <v>1794</v>
      </c>
      <c r="D620" t="s">
        <v>3368</v>
      </c>
      <c r="E620" t="s">
        <v>3369</v>
      </c>
      <c r="F620" t="s">
        <v>3370</v>
      </c>
      <c r="G620" s="4">
        <v>45390</v>
      </c>
      <c r="H620" s="4">
        <v>45411</v>
      </c>
      <c r="I620" s="4">
        <v>45414</v>
      </c>
      <c r="J620">
        <f t="shared" si="45"/>
        <v>3</v>
      </c>
      <c r="K620" t="str">
        <f t="array" ref="K620">_xlfn.IFS(J620=1,"Day Use",J620&lt;=3,"Short Stay",J620&lt;=7,"Extended Stay",J620&gt;=8,"Long Stay")</f>
        <v>Short Stay</v>
      </c>
      <c r="L620" t="s">
        <v>84</v>
      </c>
      <c r="M620" s="10" t="str">
        <f t="shared" si="46"/>
        <v>Standard</v>
      </c>
      <c r="N620" t="s">
        <v>26</v>
      </c>
      <c r="O620" t="s">
        <v>42</v>
      </c>
      <c r="P620">
        <f>IFERROR(VLOOKUP(TRIM(M620),Room!D:H,5,FALSE),5000)</f>
        <v>3200</v>
      </c>
      <c r="Q620">
        <f t="shared" si="47"/>
        <v>9600</v>
      </c>
      <c r="R620" s="11" t="str">
        <f t="shared" si="48"/>
        <v>Other</v>
      </c>
      <c r="S620" s="11">
        <f t="shared" si="49"/>
        <v>2</v>
      </c>
    </row>
    <row r="621" spans="1:19">
      <c r="A621" t="s">
        <v>3371</v>
      </c>
      <c r="B621" t="s">
        <v>3372</v>
      </c>
      <c r="C621" t="s">
        <v>1282</v>
      </c>
      <c r="D621" t="s">
        <v>3373</v>
      </c>
      <c r="E621" t="s">
        <v>3374</v>
      </c>
      <c r="F621" t="s">
        <v>3375</v>
      </c>
      <c r="G621" s="4">
        <v>45455</v>
      </c>
      <c r="H621" s="4">
        <v>45476</v>
      </c>
      <c r="I621" s="4">
        <v>45487</v>
      </c>
      <c r="J621">
        <f t="shared" si="45"/>
        <v>11</v>
      </c>
      <c r="K621" t="str">
        <f t="array" ref="K621">_xlfn.IFS(J621=1,"Day Use",J621&lt;=3,"Short Stay",J621&lt;=7,"Extended Stay",J621&gt;=8,"Long Stay")</f>
        <v>Long Stay</v>
      </c>
      <c r="L621" t="s">
        <v>91</v>
      </c>
      <c r="M621" s="10" t="str">
        <f t="shared" si="46"/>
        <v>Suite</v>
      </c>
      <c r="N621" t="s">
        <v>57</v>
      </c>
      <c r="O621" t="s">
        <v>42</v>
      </c>
      <c r="P621">
        <f>IFERROR(VLOOKUP(TRIM(M621),Room!D:H,5,FALSE),5000)</f>
        <v>12500</v>
      </c>
      <c r="Q621">
        <f t="shared" si="47"/>
        <v>137500</v>
      </c>
      <c r="R621" s="11" t="str">
        <f t="shared" si="48"/>
        <v>Business</v>
      </c>
      <c r="S621" s="11">
        <f t="shared" si="49"/>
        <v>5</v>
      </c>
    </row>
    <row r="622" spans="1:19">
      <c r="A622" t="s">
        <v>3376</v>
      </c>
      <c r="B622" t="s">
        <v>3377</v>
      </c>
      <c r="C622" t="s">
        <v>163</v>
      </c>
      <c r="D622" t="s">
        <v>3378</v>
      </c>
      <c r="E622" t="s">
        <v>3379</v>
      </c>
      <c r="F622" t="s">
        <v>3380</v>
      </c>
      <c r="G622" s="4">
        <v>45686</v>
      </c>
      <c r="H622" s="4">
        <v>45706</v>
      </c>
      <c r="I622" s="4">
        <v>45714</v>
      </c>
      <c r="J622">
        <f t="shared" si="45"/>
        <v>8</v>
      </c>
      <c r="K622" t="str">
        <f t="array" ref="K622">_xlfn.IFS(J622=1,"Day Use",J622&lt;=3,"Short Stay",J622&lt;=7,"Extended Stay",J622&gt;=8,"Long Stay")</f>
        <v>Long Stay</v>
      </c>
      <c r="L622" t="s">
        <v>84</v>
      </c>
      <c r="M622" s="10" t="str">
        <f t="shared" si="46"/>
        <v>Premium</v>
      </c>
      <c r="N622" t="s">
        <v>148</v>
      </c>
      <c r="O622" t="s">
        <v>35</v>
      </c>
      <c r="P622">
        <f>IFERROR(VLOOKUP(TRIM(M622),Room!D:H,5,FALSE),5000)</f>
        <v>9500</v>
      </c>
      <c r="Q622">
        <f t="shared" si="47"/>
        <v>76000</v>
      </c>
      <c r="R622" s="11" t="str">
        <f t="shared" si="48"/>
        <v>Conference</v>
      </c>
      <c r="S622" s="11">
        <f t="shared" si="49"/>
        <v>4</v>
      </c>
    </row>
    <row r="623" spans="1:19">
      <c r="A623" t="s">
        <v>3381</v>
      </c>
      <c r="B623" t="s">
        <v>3382</v>
      </c>
      <c r="C623" t="s">
        <v>199</v>
      </c>
      <c r="D623" t="s">
        <v>3383</v>
      </c>
      <c r="E623" t="s">
        <v>3384</v>
      </c>
      <c r="F623" t="s">
        <v>3385</v>
      </c>
      <c r="G623" s="4">
        <v>45391</v>
      </c>
      <c r="H623" s="4">
        <v>45661</v>
      </c>
      <c r="I623" s="4">
        <v>45662</v>
      </c>
      <c r="J623">
        <f t="shared" si="45"/>
        <v>1</v>
      </c>
      <c r="K623" t="str">
        <f t="array" ref="K623">_xlfn.IFS(J623=1,"Day Use",J623&lt;=3,"Short Stay",J623&lt;=7,"Extended Stay",J623&gt;=8,"Long Stay")</f>
        <v>Day Use</v>
      </c>
      <c r="L623" t="s">
        <v>56</v>
      </c>
      <c r="M623" s="10" t="str">
        <f t="shared" si="46"/>
        <v>Standard</v>
      </c>
      <c r="N623" t="s">
        <v>134</v>
      </c>
      <c r="O623" t="s">
        <v>42</v>
      </c>
      <c r="P623">
        <f>IFERROR(VLOOKUP(TRIM(M623),Room!D:H,5,FALSE),5000)</f>
        <v>3200</v>
      </c>
      <c r="Q623">
        <f t="shared" si="47"/>
        <v>3200</v>
      </c>
      <c r="R623" s="11" t="str">
        <f t="shared" si="48"/>
        <v>Other</v>
      </c>
      <c r="S623" s="11">
        <f t="shared" si="49"/>
        <v>1</v>
      </c>
    </row>
    <row r="624" spans="1:19">
      <c r="A624" t="s">
        <v>3386</v>
      </c>
      <c r="B624" t="s">
        <v>3387</v>
      </c>
      <c r="C624" t="s">
        <v>2112</v>
      </c>
      <c r="D624" t="s">
        <v>3388</v>
      </c>
      <c r="E624" t="s">
        <v>3389</v>
      </c>
      <c r="F624" t="s">
        <v>3390</v>
      </c>
      <c r="G624" s="4">
        <v>45249</v>
      </c>
      <c r="H624" s="4">
        <v>45672</v>
      </c>
      <c r="I624" s="4">
        <v>45673</v>
      </c>
      <c r="J624">
        <f t="shared" si="45"/>
        <v>1</v>
      </c>
      <c r="K624" t="str">
        <f t="array" ref="K624">_xlfn.IFS(J624=1,"Day Use",J624&lt;=3,"Short Stay",J624&lt;=7,"Extended Stay",J624&gt;=8,"Long Stay")</f>
        <v>Day Use</v>
      </c>
      <c r="L624" t="s">
        <v>25</v>
      </c>
      <c r="M624" s="10" t="str">
        <f t="shared" si="46"/>
        <v>Standard</v>
      </c>
      <c r="N624" t="s">
        <v>26</v>
      </c>
      <c r="O624" t="s">
        <v>71</v>
      </c>
      <c r="P624">
        <f>IFERROR(VLOOKUP(TRIM(M624),Room!D:H,5,FALSE),5000)</f>
        <v>3200</v>
      </c>
      <c r="Q624">
        <f t="shared" si="47"/>
        <v>3200</v>
      </c>
      <c r="R624" s="11" t="str">
        <f t="shared" si="48"/>
        <v>Other</v>
      </c>
      <c r="S624" s="11">
        <f t="shared" si="49"/>
        <v>1</v>
      </c>
    </row>
    <row r="625" spans="1:19">
      <c r="A625" t="s">
        <v>3391</v>
      </c>
      <c r="B625" t="s">
        <v>3392</v>
      </c>
      <c r="C625" t="s">
        <v>449</v>
      </c>
      <c r="D625" t="s">
        <v>3393</v>
      </c>
      <c r="E625" t="s">
        <v>3394</v>
      </c>
      <c r="F625" t="s">
        <v>3395</v>
      </c>
      <c r="G625" s="4">
        <v>45415</v>
      </c>
      <c r="H625" s="4">
        <v>45714</v>
      </c>
      <c r="I625" s="4">
        <v>45722</v>
      </c>
      <c r="J625">
        <f t="shared" si="45"/>
        <v>8</v>
      </c>
      <c r="K625" t="str">
        <f t="array" ref="K625">_xlfn.IFS(J625=1,"Day Use",J625&lt;=3,"Short Stay",J625&lt;=7,"Extended Stay",J625&gt;=8,"Long Stay")</f>
        <v>Long Stay</v>
      </c>
      <c r="L625" t="s">
        <v>49</v>
      </c>
      <c r="M625" s="10" t="str">
        <f t="shared" si="46"/>
        <v>Premium</v>
      </c>
      <c r="N625" t="s">
        <v>26</v>
      </c>
      <c r="O625" t="s">
        <v>35</v>
      </c>
      <c r="P625">
        <f>IFERROR(VLOOKUP(TRIM(M625),Room!D:H,5,FALSE),5000)</f>
        <v>9500</v>
      </c>
      <c r="Q625">
        <f t="shared" si="47"/>
        <v>76000</v>
      </c>
      <c r="R625" s="11" t="str">
        <f t="shared" si="48"/>
        <v>Conference</v>
      </c>
      <c r="S625" s="11">
        <f t="shared" si="49"/>
        <v>4</v>
      </c>
    </row>
    <row r="626" spans="1:19">
      <c r="A626" t="s">
        <v>3396</v>
      </c>
      <c r="B626" t="s">
        <v>3397</v>
      </c>
      <c r="C626" t="s">
        <v>294</v>
      </c>
      <c r="D626" t="s">
        <v>3398</v>
      </c>
      <c r="E626" t="s">
        <v>3399</v>
      </c>
      <c r="F626" t="s">
        <v>3400</v>
      </c>
      <c r="G626" s="4">
        <v>45909</v>
      </c>
      <c r="H626" s="4">
        <v>45975</v>
      </c>
      <c r="I626" s="4">
        <v>45988</v>
      </c>
      <c r="J626">
        <f t="shared" si="45"/>
        <v>13</v>
      </c>
      <c r="K626" t="str">
        <f t="array" ref="K626">_xlfn.IFS(J626=1,"Day Use",J626&lt;=3,"Short Stay",J626&lt;=7,"Extended Stay",J626&gt;=8,"Long Stay")</f>
        <v>Long Stay</v>
      </c>
      <c r="L626" t="s">
        <v>56</v>
      </c>
      <c r="M626" s="10" t="str">
        <f t="shared" si="46"/>
        <v>Suite</v>
      </c>
      <c r="N626" t="s">
        <v>26</v>
      </c>
      <c r="O626" t="s">
        <v>58</v>
      </c>
      <c r="P626">
        <f>IFERROR(VLOOKUP(TRIM(M626),Room!D:H,5,FALSE),5000)</f>
        <v>12500</v>
      </c>
      <c r="Q626">
        <f t="shared" si="47"/>
        <v>162500</v>
      </c>
      <c r="R626" s="11" t="str">
        <f t="shared" si="48"/>
        <v>Business</v>
      </c>
      <c r="S626" s="11">
        <f t="shared" si="49"/>
        <v>5</v>
      </c>
    </row>
    <row r="627" spans="1:19">
      <c r="A627" t="s">
        <v>3401</v>
      </c>
      <c r="B627" t="s">
        <v>3402</v>
      </c>
      <c r="C627" t="s">
        <v>1074</v>
      </c>
      <c r="D627" t="s">
        <v>3403</v>
      </c>
      <c r="E627" t="s">
        <v>3404</v>
      </c>
      <c r="F627" t="s">
        <v>3405</v>
      </c>
      <c r="G627" s="4">
        <v>45519</v>
      </c>
      <c r="H627" s="4">
        <v>45545</v>
      </c>
      <c r="I627" s="4">
        <v>45554</v>
      </c>
      <c r="J627">
        <f t="shared" si="45"/>
        <v>9</v>
      </c>
      <c r="K627" t="str">
        <f t="array" ref="K627">_xlfn.IFS(J627=1,"Day Use",J627&lt;=3,"Short Stay",J627&lt;=7,"Extended Stay",J627&gt;=8,"Long Stay")</f>
        <v>Long Stay</v>
      </c>
      <c r="L627" t="s">
        <v>84</v>
      </c>
      <c r="M627" s="10" t="str">
        <f t="shared" si="46"/>
        <v>Premium</v>
      </c>
      <c r="N627" t="s">
        <v>57</v>
      </c>
      <c r="O627" t="s">
        <v>35</v>
      </c>
      <c r="P627">
        <f>IFERROR(VLOOKUP(TRIM(M627),Room!D:H,5,FALSE),5000)</f>
        <v>9500</v>
      </c>
      <c r="Q627">
        <f t="shared" si="47"/>
        <v>85500</v>
      </c>
      <c r="R627" s="11" t="str">
        <f t="shared" si="48"/>
        <v>Conference</v>
      </c>
      <c r="S627" s="11">
        <f t="shared" si="49"/>
        <v>4</v>
      </c>
    </row>
    <row r="628" spans="1:19">
      <c r="A628" t="s">
        <v>3406</v>
      </c>
      <c r="B628" t="s">
        <v>3407</v>
      </c>
      <c r="C628" t="s">
        <v>1757</v>
      </c>
      <c r="D628" t="s">
        <v>3408</v>
      </c>
      <c r="E628" t="s">
        <v>3409</v>
      </c>
      <c r="F628" t="s">
        <v>3410</v>
      </c>
      <c r="G628" s="4">
        <v>45340</v>
      </c>
      <c r="H628" s="4">
        <v>45368</v>
      </c>
      <c r="I628" s="4">
        <v>45374</v>
      </c>
      <c r="J628">
        <f t="shared" si="45"/>
        <v>6</v>
      </c>
      <c r="K628" t="str">
        <f t="array" ref="K628">_xlfn.IFS(J628=1,"Day Use",J628&lt;=3,"Short Stay",J628&lt;=7,"Extended Stay",J628&gt;=8,"Long Stay")</f>
        <v>Extended Stay</v>
      </c>
      <c r="L628" t="s">
        <v>196</v>
      </c>
      <c r="M628" s="10" t="str">
        <f t="shared" si="46"/>
        <v>Deluxe</v>
      </c>
      <c r="N628" t="s">
        <v>26</v>
      </c>
      <c r="O628" t="s">
        <v>42</v>
      </c>
      <c r="P628">
        <f>IFERROR(VLOOKUP(TRIM(M628),Room!D:H,5,FALSE),5000)</f>
        <v>5400</v>
      </c>
      <c r="Q628">
        <f t="shared" si="47"/>
        <v>32400</v>
      </c>
      <c r="R628" s="11" t="str">
        <f t="shared" si="48"/>
        <v>Conference</v>
      </c>
      <c r="S628" s="11">
        <f t="shared" si="49"/>
        <v>3</v>
      </c>
    </row>
    <row r="629" spans="1:19">
      <c r="A629" t="s">
        <v>3411</v>
      </c>
      <c r="B629" t="s">
        <v>3412</v>
      </c>
      <c r="C629" t="s">
        <v>604</v>
      </c>
      <c r="D629" t="s">
        <v>3413</v>
      </c>
      <c r="E629" t="s">
        <v>3414</v>
      </c>
      <c r="F629" t="s">
        <v>3415</v>
      </c>
      <c r="G629" s="4">
        <v>45412</v>
      </c>
      <c r="H629" s="4">
        <v>45796</v>
      </c>
      <c r="I629" s="4">
        <v>45805</v>
      </c>
      <c r="J629">
        <f t="shared" si="45"/>
        <v>9</v>
      </c>
      <c r="K629" t="str">
        <f t="array" ref="K629">_xlfn.IFS(J629=1,"Day Use",J629&lt;=3,"Short Stay",J629&lt;=7,"Extended Stay",J629&gt;=8,"Long Stay")</f>
        <v>Long Stay</v>
      </c>
      <c r="L629" t="s">
        <v>141</v>
      </c>
      <c r="M629" s="10" t="str">
        <f t="shared" si="46"/>
        <v>Premium</v>
      </c>
      <c r="N629" t="s">
        <v>26</v>
      </c>
      <c r="O629" t="s">
        <v>58</v>
      </c>
      <c r="P629">
        <f>IFERROR(VLOOKUP(TRIM(M629),Room!D:H,5,FALSE),5000)</f>
        <v>9500</v>
      </c>
      <c r="Q629">
        <f t="shared" si="47"/>
        <v>85500</v>
      </c>
      <c r="R629" s="11" t="str">
        <f t="shared" si="48"/>
        <v>Conference</v>
      </c>
      <c r="S629" s="11">
        <f t="shared" si="49"/>
        <v>4</v>
      </c>
    </row>
    <row r="630" spans="1:19">
      <c r="A630" t="s">
        <v>3416</v>
      </c>
      <c r="B630" t="s">
        <v>3417</v>
      </c>
      <c r="C630" t="s">
        <v>500</v>
      </c>
      <c r="D630" t="s">
        <v>3418</v>
      </c>
      <c r="E630" t="s">
        <v>3419</v>
      </c>
      <c r="F630" t="s">
        <v>3420</v>
      </c>
      <c r="G630" s="4">
        <v>45756</v>
      </c>
      <c r="H630" s="4">
        <v>45767</v>
      </c>
      <c r="I630" s="4">
        <v>45775</v>
      </c>
      <c r="J630">
        <f t="shared" si="45"/>
        <v>8</v>
      </c>
      <c r="K630" t="str">
        <f t="array" ref="K630">_xlfn.IFS(J630=1,"Day Use",J630&lt;=3,"Short Stay",J630&lt;=7,"Extended Stay",J630&gt;=8,"Long Stay")</f>
        <v>Long Stay</v>
      </c>
      <c r="L630" t="s">
        <v>34</v>
      </c>
      <c r="M630" s="10" t="str">
        <f t="shared" si="46"/>
        <v>Premium</v>
      </c>
      <c r="N630" t="s">
        <v>57</v>
      </c>
      <c r="O630" t="s">
        <v>71</v>
      </c>
      <c r="P630">
        <f>IFERROR(VLOOKUP(TRIM(M630),Room!D:H,5,FALSE),5000)</f>
        <v>9500</v>
      </c>
      <c r="Q630">
        <f t="shared" si="47"/>
        <v>76000</v>
      </c>
      <c r="R630" s="11" t="str">
        <f t="shared" si="48"/>
        <v>Conference</v>
      </c>
      <c r="S630" s="11">
        <f t="shared" si="49"/>
        <v>4</v>
      </c>
    </row>
    <row r="631" spans="1:19">
      <c r="A631" t="s">
        <v>3421</v>
      </c>
      <c r="B631" t="s">
        <v>3422</v>
      </c>
      <c r="C631" t="s">
        <v>157</v>
      </c>
      <c r="D631" t="s">
        <v>3423</v>
      </c>
      <c r="E631" t="s">
        <v>3424</v>
      </c>
      <c r="F631" t="s">
        <v>3425</v>
      </c>
      <c r="G631" s="4">
        <v>45355</v>
      </c>
      <c r="H631" s="4">
        <v>45368</v>
      </c>
      <c r="I631" s="4">
        <v>45379</v>
      </c>
      <c r="J631">
        <f t="shared" si="45"/>
        <v>11</v>
      </c>
      <c r="K631" t="str">
        <f t="array" ref="K631">_xlfn.IFS(J631=1,"Day Use",J631&lt;=3,"Short Stay",J631&lt;=7,"Extended Stay",J631&gt;=8,"Long Stay")</f>
        <v>Long Stay</v>
      </c>
      <c r="L631" t="s">
        <v>25</v>
      </c>
      <c r="M631" s="10" t="str">
        <f t="shared" si="46"/>
        <v>Suite</v>
      </c>
      <c r="N631" t="s">
        <v>26</v>
      </c>
      <c r="O631" t="s">
        <v>42</v>
      </c>
      <c r="P631">
        <f>IFERROR(VLOOKUP(TRIM(M631),Room!D:H,5,FALSE),5000)</f>
        <v>12500</v>
      </c>
      <c r="Q631">
        <f t="shared" si="47"/>
        <v>137500</v>
      </c>
      <c r="R631" s="11" t="str">
        <f t="shared" si="48"/>
        <v>Business</v>
      </c>
      <c r="S631" s="11">
        <f t="shared" si="49"/>
        <v>5</v>
      </c>
    </row>
    <row r="632" spans="1:19">
      <c r="A632" t="s">
        <v>3426</v>
      </c>
      <c r="B632" t="s">
        <v>3427</v>
      </c>
      <c r="C632" t="s">
        <v>1710</v>
      </c>
      <c r="D632" t="s">
        <v>3428</v>
      </c>
      <c r="E632" t="s">
        <v>3429</v>
      </c>
      <c r="F632" t="s">
        <v>3430</v>
      </c>
      <c r="G632" s="4">
        <v>45384</v>
      </c>
      <c r="H632" s="4">
        <v>45827</v>
      </c>
      <c r="I632" s="4">
        <v>45838</v>
      </c>
      <c r="J632">
        <f t="shared" si="45"/>
        <v>11</v>
      </c>
      <c r="K632" t="str">
        <f t="array" ref="K632">_xlfn.IFS(J632=1,"Day Use",J632&lt;=3,"Short Stay",J632&lt;=7,"Extended Stay",J632&gt;=8,"Long Stay")</f>
        <v>Long Stay</v>
      </c>
      <c r="L632" t="s">
        <v>49</v>
      </c>
      <c r="M632" s="10" t="str">
        <f t="shared" si="46"/>
        <v>Suite</v>
      </c>
      <c r="N632" t="s">
        <v>26</v>
      </c>
      <c r="O632" t="s">
        <v>58</v>
      </c>
      <c r="P632">
        <f>IFERROR(VLOOKUP(TRIM(M632),Room!D:H,5,FALSE),5000)</f>
        <v>12500</v>
      </c>
      <c r="Q632">
        <f t="shared" si="47"/>
        <v>137500</v>
      </c>
      <c r="R632" s="11" t="str">
        <f t="shared" si="48"/>
        <v>Business</v>
      </c>
      <c r="S632" s="11">
        <f t="shared" si="49"/>
        <v>5</v>
      </c>
    </row>
    <row r="633" spans="1:19">
      <c r="A633" t="s">
        <v>3431</v>
      </c>
      <c r="B633" t="s">
        <v>3432</v>
      </c>
      <c r="C633" t="s">
        <v>1710</v>
      </c>
      <c r="D633" t="s">
        <v>3433</v>
      </c>
      <c r="E633" t="s">
        <v>3434</v>
      </c>
      <c r="F633" t="s">
        <v>3435</v>
      </c>
      <c r="G633" s="4">
        <v>45422</v>
      </c>
      <c r="H633" s="4">
        <v>45488</v>
      </c>
      <c r="I633" s="4">
        <v>45499</v>
      </c>
      <c r="J633">
        <f t="shared" si="45"/>
        <v>11</v>
      </c>
      <c r="K633" t="str">
        <f t="array" ref="K633">_xlfn.IFS(J633=1,"Day Use",J633&lt;=3,"Short Stay",J633&lt;=7,"Extended Stay",J633&gt;=8,"Long Stay")</f>
        <v>Long Stay</v>
      </c>
      <c r="L633" t="s">
        <v>91</v>
      </c>
      <c r="M633" s="10" t="str">
        <f t="shared" si="46"/>
        <v>Suite</v>
      </c>
      <c r="N633" t="s">
        <v>26</v>
      </c>
      <c r="O633" t="s">
        <v>35</v>
      </c>
      <c r="P633">
        <f>IFERROR(VLOOKUP(TRIM(M633),Room!D:H,5,FALSE),5000)</f>
        <v>12500</v>
      </c>
      <c r="Q633">
        <f t="shared" si="47"/>
        <v>137500</v>
      </c>
      <c r="R633" s="11" t="str">
        <f t="shared" si="48"/>
        <v>Business</v>
      </c>
      <c r="S633" s="11">
        <f t="shared" si="49"/>
        <v>5</v>
      </c>
    </row>
    <row r="634" spans="1:19">
      <c r="A634" t="s">
        <v>3436</v>
      </c>
      <c r="B634" t="s">
        <v>3437</v>
      </c>
      <c r="C634" t="s">
        <v>282</v>
      </c>
      <c r="D634" t="s">
        <v>3438</v>
      </c>
      <c r="E634" t="s">
        <v>3439</v>
      </c>
      <c r="F634" t="s">
        <v>3440</v>
      </c>
      <c r="G634" s="4">
        <v>45429</v>
      </c>
      <c r="H634" s="4">
        <v>45977</v>
      </c>
      <c r="I634" s="4">
        <v>45988</v>
      </c>
      <c r="J634">
        <f t="shared" si="45"/>
        <v>11</v>
      </c>
      <c r="K634" t="str">
        <f t="array" ref="K634">_xlfn.IFS(J634=1,"Day Use",J634&lt;=3,"Short Stay",J634&lt;=7,"Extended Stay",J634&gt;=8,"Long Stay")</f>
        <v>Long Stay</v>
      </c>
      <c r="L634" t="s">
        <v>91</v>
      </c>
      <c r="M634" s="10" t="str">
        <f t="shared" si="46"/>
        <v>Suite</v>
      </c>
      <c r="N634" t="s">
        <v>26</v>
      </c>
      <c r="O634" t="s">
        <v>35</v>
      </c>
      <c r="P634">
        <f>IFERROR(VLOOKUP(TRIM(M634),Room!D:H,5,FALSE),5000)</f>
        <v>12500</v>
      </c>
      <c r="Q634">
        <f t="shared" si="47"/>
        <v>137500</v>
      </c>
      <c r="R634" s="11" t="str">
        <f t="shared" si="48"/>
        <v>Business</v>
      </c>
      <c r="S634" s="11">
        <f t="shared" si="49"/>
        <v>5</v>
      </c>
    </row>
    <row r="635" spans="1:19">
      <c r="A635" t="s">
        <v>3441</v>
      </c>
      <c r="B635" t="s">
        <v>3442</v>
      </c>
      <c r="C635" t="s">
        <v>333</v>
      </c>
      <c r="D635" t="s">
        <v>3443</v>
      </c>
      <c r="E635" t="s">
        <v>3444</v>
      </c>
      <c r="F635" t="s">
        <v>3445</v>
      </c>
      <c r="G635" s="4">
        <v>45307</v>
      </c>
      <c r="H635" s="4">
        <v>45833</v>
      </c>
      <c r="I635" s="4">
        <v>45845</v>
      </c>
      <c r="J635">
        <f t="shared" si="45"/>
        <v>12</v>
      </c>
      <c r="K635" t="str">
        <f t="array" ref="K635">_xlfn.IFS(J635=1,"Day Use",J635&lt;=3,"Short Stay",J635&lt;=7,"Extended Stay",J635&gt;=8,"Long Stay")</f>
        <v>Long Stay</v>
      </c>
      <c r="L635" t="s">
        <v>196</v>
      </c>
      <c r="M635" s="10" t="str">
        <f t="shared" si="46"/>
        <v>Suite</v>
      </c>
      <c r="N635" t="s">
        <v>26</v>
      </c>
      <c r="O635" t="s">
        <v>35</v>
      </c>
      <c r="P635">
        <f>IFERROR(VLOOKUP(TRIM(M635),Room!D:H,5,FALSE),5000)</f>
        <v>12500</v>
      </c>
      <c r="Q635">
        <f t="shared" si="47"/>
        <v>150000</v>
      </c>
      <c r="R635" s="11" t="str">
        <f t="shared" si="48"/>
        <v>Business</v>
      </c>
      <c r="S635" s="11">
        <f t="shared" si="49"/>
        <v>5</v>
      </c>
    </row>
    <row r="636" spans="1:19">
      <c r="A636" t="s">
        <v>3446</v>
      </c>
      <c r="B636" t="s">
        <v>3447</v>
      </c>
      <c r="C636" t="s">
        <v>3448</v>
      </c>
      <c r="D636" t="s">
        <v>3449</v>
      </c>
      <c r="E636" t="s">
        <v>3450</v>
      </c>
      <c r="F636" t="s">
        <v>3451</v>
      </c>
      <c r="G636" s="4">
        <v>45362</v>
      </c>
      <c r="H636" s="4">
        <v>45372</v>
      </c>
      <c r="I636" s="4">
        <v>45374</v>
      </c>
      <c r="J636">
        <f t="shared" si="45"/>
        <v>2</v>
      </c>
      <c r="K636" t="str">
        <f t="array" ref="K636">_xlfn.IFS(J636=1,"Day Use",J636&lt;=3,"Short Stay",J636&lt;=7,"Extended Stay",J636&gt;=8,"Long Stay")</f>
        <v>Short Stay</v>
      </c>
      <c r="L636" t="s">
        <v>25</v>
      </c>
      <c r="M636" s="10" t="str">
        <f t="shared" si="46"/>
        <v>Standard</v>
      </c>
      <c r="N636" t="s">
        <v>148</v>
      </c>
      <c r="O636" t="s">
        <v>42</v>
      </c>
      <c r="P636">
        <f>IFERROR(VLOOKUP(TRIM(M636),Room!D:H,5,FALSE),5000)</f>
        <v>3200</v>
      </c>
      <c r="Q636">
        <f t="shared" si="47"/>
        <v>6400</v>
      </c>
      <c r="R636" s="11" t="str">
        <f t="shared" si="48"/>
        <v>Other</v>
      </c>
      <c r="S636" s="11">
        <f t="shared" si="49"/>
        <v>2</v>
      </c>
    </row>
    <row r="637" spans="1:19">
      <c r="A637" t="s">
        <v>3452</v>
      </c>
      <c r="B637" t="s">
        <v>3453</v>
      </c>
      <c r="C637" t="s">
        <v>137</v>
      </c>
      <c r="D637" t="s">
        <v>3454</v>
      </c>
      <c r="E637" t="s">
        <v>3455</v>
      </c>
      <c r="F637" t="s">
        <v>3456</v>
      </c>
      <c r="G637" s="4">
        <v>45732</v>
      </c>
      <c r="H637" s="4">
        <v>45748</v>
      </c>
      <c r="I637" s="4">
        <v>45759</v>
      </c>
      <c r="J637">
        <f t="shared" si="45"/>
        <v>11</v>
      </c>
      <c r="K637" t="str">
        <f t="array" ref="K637">_xlfn.IFS(J637=1,"Day Use",J637&lt;=3,"Short Stay",J637&lt;=7,"Extended Stay",J637&gt;=8,"Long Stay")</f>
        <v>Long Stay</v>
      </c>
      <c r="L637" t="s">
        <v>25</v>
      </c>
      <c r="M637" s="10" t="str">
        <f t="shared" si="46"/>
        <v>Suite</v>
      </c>
      <c r="N637" t="s">
        <v>26</v>
      </c>
      <c r="O637" t="s">
        <v>42</v>
      </c>
      <c r="P637">
        <f>IFERROR(VLOOKUP(TRIM(M637),Room!D:H,5,FALSE),5000)</f>
        <v>12500</v>
      </c>
      <c r="Q637">
        <f t="shared" si="47"/>
        <v>137500</v>
      </c>
      <c r="R637" s="11" t="str">
        <f t="shared" si="48"/>
        <v>Business</v>
      </c>
      <c r="S637" s="11">
        <f t="shared" si="49"/>
        <v>5</v>
      </c>
    </row>
    <row r="638" spans="1:19">
      <c r="A638" t="s">
        <v>3457</v>
      </c>
      <c r="B638" t="s">
        <v>3458</v>
      </c>
      <c r="C638" t="s">
        <v>466</v>
      </c>
      <c r="D638" t="s">
        <v>3459</v>
      </c>
      <c r="E638" t="s">
        <v>3460</v>
      </c>
      <c r="F638" t="s">
        <v>3461</v>
      </c>
      <c r="G638" s="4">
        <v>45501</v>
      </c>
      <c r="H638" s="4">
        <v>45933</v>
      </c>
      <c r="I638" s="4">
        <v>45939</v>
      </c>
      <c r="J638">
        <f t="shared" si="45"/>
        <v>6</v>
      </c>
      <c r="K638" t="str">
        <f t="array" ref="K638">_xlfn.IFS(J638=1,"Day Use",J638&lt;=3,"Short Stay",J638&lt;=7,"Extended Stay",J638&gt;=8,"Long Stay")</f>
        <v>Extended Stay</v>
      </c>
      <c r="L638" t="s">
        <v>56</v>
      </c>
      <c r="M638" s="10" t="str">
        <f t="shared" si="46"/>
        <v>Deluxe</v>
      </c>
      <c r="N638" t="s">
        <v>57</v>
      </c>
      <c r="O638" t="s">
        <v>58</v>
      </c>
      <c r="P638">
        <f>IFERROR(VLOOKUP(TRIM(M638),Room!D:H,5,FALSE),5000)</f>
        <v>5400</v>
      </c>
      <c r="Q638">
        <f t="shared" si="47"/>
        <v>32400</v>
      </c>
      <c r="R638" s="11" t="str">
        <f t="shared" si="48"/>
        <v>Conference</v>
      </c>
      <c r="S638" s="11">
        <f t="shared" si="49"/>
        <v>3</v>
      </c>
    </row>
    <row r="639" spans="1:19">
      <c r="A639" t="s">
        <v>3462</v>
      </c>
      <c r="B639" t="s">
        <v>3463</v>
      </c>
      <c r="C639" t="s">
        <v>1637</v>
      </c>
      <c r="D639" t="s">
        <v>3464</v>
      </c>
      <c r="E639" t="s">
        <v>3465</v>
      </c>
      <c r="F639" t="s">
        <v>3466</v>
      </c>
      <c r="G639" s="4">
        <v>45821</v>
      </c>
      <c r="H639" s="4">
        <v>45835</v>
      </c>
      <c r="I639" s="4">
        <v>45842</v>
      </c>
      <c r="J639">
        <f t="shared" si="45"/>
        <v>7</v>
      </c>
      <c r="K639" t="str">
        <f t="array" ref="K639">_xlfn.IFS(J639=1,"Day Use",J639&lt;=3,"Short Stay",J639&lt;=7,"Extended Stay",J639&gt;=8,"Long Stay")</f>
        <v>Extended Stay</v>
      </c>
      <c r="L639" t="s">
        <v>56</v>
      </c>
      <c r="M639" s="10" t="str">
        <f t="shared" si="46"/>
        <v>Premium</v>
      </c>
      <c r="N639" t="s">
        <v>26</v>
      </c>
      <c r="O639" t="s">
        <v>27</v>
      </c>
      <c r="P639">
        <f>IFERROR(VLOOKUP(TRIM(M639),Room!D:H,5,FALSE),5000)</f>
        <v>9500</v>
      </c>
      <c r="Q639">
        <f t="shared" si="47"/>
        <v>66500</v>
      </c>
      <c r="R639" s="11" t="str">
        <f t="shared" si="48"/>
        <v>Conference</v>
      </c>
      <c r="S639" s="11">
        <f t="shared" si="49"/>
        <v>4</v>
      </c>
    </row>
    <row r="640" spans="1:19">
      <c r="A640" t="s">
        <v>3467</v>
      </c>
      <c r="B640" t="s">
        <v>3468</v>
      </c>
      <c r="C640" t="s">
        <v>506</v>
      </c>
      <c r="D640" t="s">
        <v>3469</v>
      </c>
      <c r="E640" t="s">
        <v>3470</v>
      </c>
      <c r="F640" t="s">
        <v>3471</v>
      </c>
      <c r="G640" s="4">
        <v>45379</v>
      </c>
      <c r="H640" s="4">
        <v>45398</v>
      </c>
      <c r="I640" s="4">
        <v>45399</v>
      </c>
      <c r="J640">
        <f t="shared" si="45"/>
        <v>1</v>
      </c>
      <c r="K640" t="str">
        <f t="array" ref="K640">_xlfn.IFS(J640=1,"Day Use",J640&lt;=3,"Short Stay",J640&lt;=7,"Extended Stay",J640&gt;=8,"Long Stay")</f>
        <v>Day Use</v>
      </c>
      <c r="L640" t="s">
        <v>49</v>
      </c>
      <c r="M640" s="10" t="str">
        <f t="shared" si="46"/>
        <v>Standard</v>
      </c>
      <c r="N640" t="s">
        <v>26</v>
      </c>
      <c r="O640" t="s">
        <v>35</v>
      </c>
      <c r="P640">
        <f>IFERROR(VLOOKUP(TRIM(M640),Room!D:H,5,FALSE),5000)</f>
        <v>3200</v>
      </c>
      <c r="Q640">
        <f t="shared" si="47"/>
        <v>3200</v>
      </c>
      <c r="R640" s="11" t="str">
        <f t="shared" si="48"/>
        <v>Other</v>
      </c>
      <c r="S640" s="11">
        <f t="shared" si="49"/>
        <v>1</v>
      </c>
    </row>
    <row r="641" spans="1:19">
      <c r="A641" t="s">
        <v>3472</v>
      </c>
      <c r="B641" t="s">
        <v>3473</v>
      </c>
      <c r="C641" t="s">
        <v>1108</v>
      </c>
      <c r="D641" t="s">
        <v>3474</v>
      </c>
      <c r="E641" t="s">
        <v>3475</v>
      </c>
      <c r="F641" t="s">
        <v>3476</v>
      </c>
      <c r="G641" s="4">
        <v>45383</v>
      </c>
      <c r="H641" s="4">
        <v>45912</v>
      </c>
      <c r="I641" s="4">
        <v>45921</v>
      </c>
      <c r="J641">
        <f t="shared" si="45"/>
        <v>9</v>
      </c>
      <c r="K641" t="str">
        <f t="array" ref="K641">_xlfn.IFS(J641=1,"Day Use",J641&lt;=3,"Short Stay",J641&lt;=7,"Extended Stay",J641&gt;=8,"Long Stay")</f>
        <v>Long Stay</v>
      </c>
      <c r="L641" t="s">
        <v>25</v>
      </c>
      <c r="M641" s="10" t="str">
        <f t="shared" si="46"/>
        <v>Premium</v>
      </c>
      <c r="N641" t="s">
        <v>134</v>
      </c>
      <c r="O641" t="s">
        <v>27</v>
      </c>
      <c r="P641">
        <f>IFERROR(VLOOKUP(TRIM(M641),Room!D:H,5,FALSE),5000)</f>
        <v>9500</v>
      </c>
      <c r="Q641">
        <f t="shared" si="47"/>
        <v>85500</v>
      </c>
      <c r="R641" s="11" t="str">
        <f t="shared" si="48"/>
        <v>Conference</v>
      </c>
      <c r="S641" s="11">
        <f t="shared" si="49"/>
        <v>4</v>
      </c>
    </row>
    <row r="642" spans="1:19">
      <c r="A642" t="s">
        <v>3477</v>
      </c>
      <c r="B642" t="s">
        <v>3478</v>
      </c>
      <c r="C642" t="s">
        <v>882</v>
      </c>
      <c r="D642" t="s">
        <v>3479</v>
      </c>
      <c r="E642" t="s">
        <v>3480</v>
      </c>
      <c r="F642" t="s">
        <v>3481</v>
      </c>
      <c r="G642" s="4">
        <v>45348</v>
      </c>
      <c r="H642" s="4">
        <v>45650</v>
      </c>
      <c r="I642" s="4">
        <v>45651</v>
      </c>
      <c r="J642">
        <f t="shared" ref="J642:J705" si="50">I642-H642</f>
        <v>1</v>
      </c>
      <c r="K642" t="str">
        <f t="array" ref="K642">_xlfn.IFS(J642=1,"Day Use",J642&lt;=3,"Short Stay",J642&lt;=7,"Extended Stay",J642&gt;=8,"Long Stay")</f>
        <v>Day Use</v>
      </c>
      <c r="L642" t="s">
        <v>91</v>
      </c>
      <c r="M642" s="10" t="str">
        <f t="shared" ref="M642:M705" si="51">IF($J642&lt;=3,"Standard",IF($J642&lt;=6,"Deluxe",IF($J642&lt;=10,"Premium","Suite")))</f>
        <v>Standard</v>
      </c>
      <c r="N642" t="s">
        <v>26</v>
      </c>
      <c r="O642" t="s">
        <v>35</v>
      </c>
      <c r="P642">
        <f>IFERROR(VLOOKUP(TRIM(M642),Room!D:H,5,FALSE),5000)</f>
        <v>3200</v>
      </c>
      <c r="Q642">
        <f t="shared" si="47"/>
        <v>3200</v>
      </c>
      <c r="R642" s="11" t="str">
        <f t="shared" si="48"/>
        <v>Other</v>
      </c>
      <c r="S642" s="11">
        <f t="shared" si="49"/>
        <v>1</v>
      </c>
    </row>
    <row r="643" spans="1:19">
      <c r="A643" t="s">
        <v>3482</v>
      </c>
      <c r="B643" t="s">
        <v>3483</v>
      </c>
      <c r="C643" t="s">
        <v>639</v>
      </c>
      <c r="D643" t="s">
        <v>3484</v>
      </c>
      <c r="E643" t="s">
        <v>3485</v>
      </c>
      <c r="F643" t="s">
        <v>3486</v>
      </c>
      <c r="G643" s="4">
        <v>45291</v>
      </c>
      <c r="H643" s="4">
        <v>45292</v>
      </c>
      <c r="I643" s="4">
        <v>45305</v>
      </c>
      <c r="J643">
        <f t="shared" si="50"/>
        <v>13</v>
      </c>
      <c r="K643" t="str">
        <f t="array" ref="K643">_xlfn.IFS(J643=1,"Day Use",J643&lt;=3,"Short Stay",J643&lt;=7,"Extended Stay",J643&gt;=8,"Long Stay")</f>
        <v>Long Stay</v>
      </c>
      <c r="L643" t="s">
        <v>34</v>
      </c>
      <c r="M643" s="10" t="str">
        <f t="shared" si="51"/>
        <v>Suite</v>
      </c>
      <c r="N643" t="s">
        <v>134</v>
      </c>
      <c r="O643" t="s">
        <v>42</v>
      </c>
      <c r="P643">
        <f>IFERROR(VLOOKUP(TRIM(M643),Room!D:H,5,FALSE),5000)</f>
        <v>12500</v>
      </c>
      <c r="Q643">
        <f t="shared" ref="Q643:Q706" si="52">P643*J643</f>
        <v>162500</v>
      </c>
      <c r="R643" s="11" t="str">
        <f t="shared" ref="R643:R706" si="53">IF(ISNUMBER(SEARCH("Suite",D643)),"Honeymoon",IF(P643&gt;10000,"Business",IF(P643&gt;5000,"Conference",IF(J643&gt;=8,"Family Vacation","Other"))))</f>
        <v>Business</v>
      </c>
      <c r="S643" s="11">
        <f t="shared" ref="S643:S706" si="54">IF(M643="Suite",5,IF(M643="Premium",IF(Q643&gt;20000,4,3),IF(M643="Deluxe",IF(Q643&gt;=10000,3,2),IF(M643="Standard",IF(Q643&gt;=5000,2,1),1))))</f>
        <v>5</v>
      </c>
    </row>
    <row r="644" spans="1:19">
      <c r="A644" t="s">
        <v>3487</v>
      </c>
      <c r="B644" t="s">
        <v>3488</v>
      </c>
      <c r="C644" t="s">
        <v>910</v>
      </c>
      <c r="D644" t="s">
        <v>3489</v>
      </c>
      <c r="E644" t="s">
        <v>3490</v>
      </c>
      <c r="F644" t="s">
        <v>3491</v>
      </c>
      <c r="G644" s="4">
        <v>45286</v>
      </c>
      <c r="H644" s="4">
        <v>45656</v>
      </c>
      <c r="I644" s="4">
        <v>45669</v>
      </c>
      <c r="J644">
        <f t="shared" si="50"/>
        <v>13</v>
      </c>
      <c r="K644" t="str">
        <f t="array" ref="K644">_xlfn.IFS(J644=1,"Day Use",J644&lt;=3,"Short Stay",J644&lt;=7,"Extended Stay",J644&gt;=8,"Long Stay")</f>
        <v>Long Stay</v>
      </c>
      <c r="L644" t="s">
        <v>141</v>
      </c>
      <c r="M644" s="10" t="str">
        <f t="shared" si="51"/>
        <v>Suite</v>
      </c>
      <c r="N644" t="s">
        <v>148</v>
      </c>
      <c r="O644" t="s">
        <v>27</v>
      </c>
      <c r="P644">
        <f>IFERROR(VLOOKUP(TRIM(M644),Room!D:H,5,FALSE),5000)</f>
        <v>12500</v>
      </c>
      <c r="Q644">
        <f t="shared" si="52"/>
        <v>162500</v>
      </c>
      <c r="R644" s="11" t="str">
        <f t="shared" si="53"/>
        <v>Business</v>
      </c>
      <c r="S644" s="11">
        <f t="shared" si="54"/>
        <v>5</v>
      </c>
    </row>
    <row r="645" spans="1:19">
      <c r="A645" t="s">
        <v>3492</v>
      </c>
      <c r="B645" t="s">
        <v>3493</v>
      </c>
      <c r="C645" t="s">
        <v>3494</v>
      </c>
      <c r="D645" t="s">
        <v>3495</v>
      </c>
      <c r="E645" t="s">
        <v>3496</v>
      </c>
      <c r="F645" t="s">
        <v>3497</v>
      </c>
      <c r="G645" s="4">
        <v>45583</v>
      </c>
      <c r="H645" s="4">
        <v>45600</v>
      </c>
      <c r="I645" s="4">
        <v>45606</v>
      </c>
      <c r="J645">
        <f t="shared" si="50"/>
        <v>6</v>
      </c>
      <c r="K645" t="str">
        <f t="array" ref="K645">_xlfn.IFS(J645=1,"Day Use",J645&lt;=3,"Short Stay",J645&lt;=7,"Extended Stay",J645&gt;=8,"Long Stay")</f>
        <v>Extended Stay</v>
      </c>
      <c r="L645" t="s">
        <v>141</v>
      </c>
      <c r="M645" s="10" t="str">
        <f t="shared" si="51"/>
        <v>Deluxe</v>
      </c>
      <c r="N645" t="s">
        <v>26</v>
      </c>
      <c r="O645" t="s">
        <v>27</v>
      </c>
      <c r="P645">
        <f>IFERROR(VLOOKUP(TRIM(M645),Room!D:H,5,FALSE),5000)</f>
        <v>5400</v>
      </c>
      <c r="Q645">
        <f t="shared" si="52"/>
        <v>32400</v>
      </c>
      <c r="R645" s="11" t="str">
        <f t="shared" si="53"/>
        <v>Conference</v>
      </c>
      <c r="S645" s="11">
        <f t="shared" si="54"/>
        <v>3</v>
      </c>
    </row>
    <row r="646" spans="1:19">
      <c r="A646" t="s">
        <v>3498</v>
      </c>
      <c r="B646" t="s">
        <v>3499</v>
      </c>
      <c r="C646" t="s">
        <v>500</v>
      </c>
      <c r="D646" t="s">
        <v>3500</v>
      </c>
      <c r="E646" t="s">
        <v>3501</v>
      </c>
      <c r="F646" t="s">
        <v>3502</v>
      </c>
      <c r="G646" s="4">
        <v>45288</v>
      </c>
      <c r="H646" s="4">
        <v>45901</v>
      </c>
      <c r="I646" s="4">
        <v>45908</v>
      </c>
      <c r="J646">
        <f t="shared" si="50"/>
        <v>7</v>
      </c>
      <c r="K646" t="str">
        <f t="array" ref="K646">_xlfn.IFS(J646=1,"Day Use",J646&lt;=3,"Short Stay",J646&lt;=7,"Extended Stay",J646&gt;=8,"Long Stay")</f>
        <v>Extended Stay</v>
      </c>
      <c r="L646" t="s">
        <v>49</v>
      </c>
      <c r="M646" s="10" t="str">
        <f t="shared" si="51"/>
        <v>Premium</v>
      </c>
      <c r="N646" t="s">
        <v>57</v>
      </c>
      <c r="O646" t="s">
        <v>71</v>
      </c>
      <c r="P646">
        <f>IFERROR(VLOOKUP(TRIM(M646),Room!D:H,5,FALSE),5000)</f>
        <v>9500</v>
      </c>
      <c r="Q646">
        <f t="shared" si="52"/>
        <v>66500</v>
      </c>
      <c r="R646" s="11" t="str">
        <f t="shared" si="53"/>
        <v>Conference</v>
      </c>
      <c r="S646" s="11">
        <f t="shared" si="54"/>
        <v>4</v>
      </c>
    </row>
    <row r="647" spans="1:19">
      <c r="A647" t="s">
        <v>3503</v>
      </c>
      <c r="B647" t="s">
        <v>3504</v>
      </c>
      <c r="C647" t="s">
        <v>282</v>
      </c>
      <c r="D647" t="s">
        <v>3505</v>
      </c>
      <c r="E647" t="s">
        <v>3506</v>
      </c>
      <c r="F647" t="s">
        <v>3507</v>
      </c>
      <c r="G647" s="4">
        <v>45656</v>
      </c>
      <c r="H647" s="4">
        <v>45824</v>
      </c>
      <c r="I647" s="4">
        <v>45828</v>
      </c>
      <c r="J647">
        <f t="shared" si="50"/>
        <v>4</v>
      </c>
      <c r="K647" t="str">
        <f t="array" ref="K647">_xlfn.IFS(J647=1,"Day Use",J647&lt;=3,"Short Stay",J647&lt;=7,"Extended Stay",J647&gt;=8,"Long Stay")</f>
        <v>Extended Stay</v>
      </c>
      <c r="L647" t="s">
        <v>91</v>
      </c>
      <c r="M647" s="10" t="str">
        <f t="shared" si="51"/>
        <v>Deluxe</v>
      </c>
      <c r="N647" t="s">
        <v>26</v>
      </c>
      <c r="O647" t="s">
        <v>35</v>
      </c>
      <c r="P647">
        <f>IFERROR(VLOOKUP(TRIM(M647),Room!D:H,5,FALSE),5000)</f>
        <v>5400</v>
      </c>
      <c r="Q647">
        <f t="shared" si="52"/>
        <v>21600</v>
      </c>
      <c r="R647" s="11" t="str">
        <f t="shared" si="53"/>
        <v>Conference</v>
      </c>
      <c r="S647" s="11">
        <f t="shared" si="54"/>
        <v>3</v>
      </c>
    </row>
    <row r="648" spans="1:19">
      <c r="A648" t="s">
        <v>3508</v>
      </c>
      <c r="B648" t="s">
        <v>3509</v>
      </c>
      <c r="C648" t="s">
        <v>593</v>
      </c>
      <c r="D648" t="s">
        <v>3510</v>
      </c>
      <c r="E648" t="s">
        <v>3511</v>
      </c>
      <c r="F648" t="s">
        <v>3512</v>
      </c>
      <c r="G648" s="4">
        <v>45405</v>
      </c>
      <c r="H648" s="4">
        <v>45422</v>
      </c>
      <c r="I648" s="4">
        <v>45433</v>
      </c>
      <c r="J648">
        <f t="shared" si="50"/>
        <v>11</v>
      </c>
      <c r="K648" t="str">
        <f t="array" ref="K648">_xlfn.IFS(J648=1,"Day Use",J648&lt;=3,"Short Stay",J648&lt;=7,"Extended Stay",J648&gt;=8,"Long Stay")</f>
        <v>Long Stay</v>
      </c>
      <c r="L648" t="s">
        <v>25</v>
      </c>
      <c r="M648" s="10" t="str">
        <f t="shared" si="51"/>
        <v>Suite</v>
      </c>
      <c r="N648" t="s">
        <v>372</v>
      </c>
      <c r="O648" t="s">
        <v>42</v>
      </c>
      <c r="P648">
        <f>IFERROR(VLOOKUP(TRIM(M648),Room!D:H,5,FALSE),5000)</f>
        <v>12500</v>
      </c>
      <c r="Q648">
        <f t="shared" si="52"/>
        <v>137500</v>
      </c>
      <c r="R648" s="11" t="str">
        <f t="shared" si="53"/>
        <v>Business</v>
      </c>
      <c r="S648" s="11">
        <f t="shared" si="54"/>
        <v>5</v>
      </c>
    </row>
    <row r="649" spans="1:19">
      <c r="A649" t="s">
        <v>3513</v>
      </c>
      <c r="B649" t="s">
        <v>3514</v>
      </c>
      <c r="C649" t="s">
        <v>823</v>
      </c>
      <c r="D649" t="s">
        <v>3515</v>
      </c>
      <c r="E649" t="s">
        <v>3516</v>
      </c>
      <c r="F649" t="s">
        <v>3517</v>
      </c>
      <c r="G649" s="4">
        <v>45299</v>
      </c>
      <c r="H649" s="4">
        <v>45306</v>
      </c>
      <c r="I649" s="4">
        <v>45319</v>
      </c>
      <c r="J649">
        <f t="shared" si="50"/>
        <v>13</v>
      </c>
      <c r="K649" t="str">
        <f t="array" ref="K649">_xlfn.IFS(J649=1,"Day Use",J649&lt;=3,"Short Stay",J649&lt;=7,"Extended Stay",J649&gt;=8,"Long Stay")</f>
        <v>Long Stay</v>
      </c>
      <c r="L649" t="s">
        <v>49</v>
      </c>
      <c r="M649" s="10" t="str">
        <f t="shared" si="51"/>
        <v>Suite</v>
      </c>
      <c r="N649" t="s">
        <v>26</v>
      </c>
      <c r="O649" t="s">
        <v>71</v>
      </c>
      <c r="P649">
        <f>IFERROR(VLOOKUP(TRIM(M649),Room!D:H,5,FALSE),5000)</f>
        <v>12500</v>
      </c>
      <c r="Q649">
        <f t="shared" si="52"/>
        <v>162500</v>
      </c>
      <c r="R649" s="11" t="str">
        <f t="shared" si="53"/>
        <v>Business</v>
      </c>
      <c r="S649" s="11">
        <f t="shared" si="54"/>
        <v>5</v>
      </c>
    </row>
    <row r="650" spans="1:19">
      <c r="A650" t="s">
        <v>3518</v>
      </c>
      <c r="B650" t="s">
        <v>3519</v>
      </c>
      <c r="C650" t="s">
        <v>1826</v>
      </c>
      <c r="D650" t="s">
        <v>3520</v>
      </c>
      <c r="E650" t="s">
        <v>3521</v>
      </c>
      <c r="F650" t="s">
        <v>3522</v>
      </c>
      <c r="G650" s="4">
        <v>45546</v>
      </c>
      <c r="H650" s="4">
        <v>45560</v>
      </c>
      <c r="I650" s="4">
        <v>45561</v>
      </c>
      <c r="J650">
        <f t="shared" si="50"/>
        <v>1</v>
      </c>
      <c r="K650" t="str">
        <f t="array" ref="K650">_xlfn.IFS(J650=1,"Day Use",J650&lt;=3,"Short Stay",J650&lt;=7,"Extended Stay",J650&gt;=8,"Long Stay")</f>
        <v>Day Use</v>
      </c>
      <c r="L650" t="s">
        <v>34</v>
      </c>
      <c r="M650" s="10" t="str">
        <f t="shared" si="51"/>
        <v>Standard</v>
      </c>
      <c r="N650" t="s">
        <v>57</v>
      </c>
      <c r="O650" t="s">
        <v>42</v>
      </c>
      <c r="P650">
        <f>IFERROR(VLOOKUP(TRIM(M650),Room!D:H,5,FALSE),5000)</f>
        <v>3200</v>
      </c>
      <c r="Q650">
        <f t="shared" si="52"/>
        <v>3200</v>
      </c>
      <c r="R650" s="11" t="str">
        <f t="shared" si="53"/>
        <v>Other</v>
      </c>
      <c r="S650" s="11">
        <f t="shared" si="54"/>
        <v>1</v>
      </c>
    </row>
    <row r="651" spans="1:19">
      <c r="A651" t="s">
        <v>3523</v>
      </c>
      <c r="B651" t="s">
        <v>3524</v>
      </c>
      <c r="C651" t="s">
        <v>3525</v>
      </c>
      <c r="D651" t="s">
        <v>3526</v>
      </c>
      <c r="E651" t="s">
        <v>3527</v>
      </c>
      <c r="F651" t="s">
        <v>3528</v>
      </c>
      <c r="G651" s="4">
        <v>45759</v>
      </c>
      <c r="H651" s="4">
        <v>45771</v>
      </c>
      <c r="I651" s="4">
        <v>45784</v>
      </c>
      <c r="J651">
        <f t="shared" si="50"/>
        <v>13</v>
      </c>
      <c r="K651" t="str">
        <f t="array" ref="K651">_xlfn.IFS(J651=1,"Day Use",J651&lt;=3,"Short Stay",J651&lt;=7,"Extended Stay",J651&gt;=8,"Long Stay")</f>
        <v>Long Stay</v>
      </c>
      <c r="L651" t="s">
        <v>25</v>
      </c>
      <c r="M651" s="10" t="str">
        <f t="shared" si="51"/>
        <v>Suite</v>
      </c>
      <c r="N651" t="s">
        <v>26</v>
      </c>
      <c r="O651" t="s">
        <v>71</v>
      </c>
      <c r="P651">
        <f>IFERROR(VLOOKUP(TRIM(M651),Room!D:H,5,FALSE),5000)</f>
        <v>12500</v>
      </c>
      <c r="Q651">
        <f t="shared" si="52"/>
        <v>162500</v>
      </c>
      <c r="R651" s="11" t="str">
        <f t="shared" si="53"/>
        <v>Business</v>
      </c>
      <c r="S651" s="11">
        <f t="shared" si="54"/>
        <v>5</v>
      </c>
    </row>
    <row r="652" spans="1:19">
      <c r="A652" t="s">
        <v>3529</v>
      </c>
      <c r="B652" t="s">
        <v>3530</v>
      </c>
      <c r="C652" t="s">
        <v>2073</v>
      </c>
      <c r="D652" t="s">
        <v>3531</v>
      </c>
      <c r="E652" t="s">
        <v>3532</v>
      </c>
      <c r="F652" t="s">
        <v>3533</v>
      </c>
      <c r="G652" s="4">
        <v>45867</v>
      </c>
      <c r="H652" s="4">
        <v>45956</v>
      </c>
      <c r="I652" s="4">
        <v>45969</v>
      </c>
      <c r="J652">
        <f t="shared" si="50"/>
        <v>13</v>
      </c>
      <c r="K652" t="str">
        <f t="array" ref="K652">_xlfn.IFS(J652=1,"Day Use",J652&lt;=3,"Short Stay",J652&lt;=7,"Extended Stay",J652&gt;=8,"Long Stay")</f>
        <v>Long Stay</v>
      </c>
      <c r="L652" t="s">
        <v>49</v>
      </c>
      <c r="M652" s="10" t="str">
        <f t="shared" si="51"/>
        <v>Suite</v>
      </c>
      <c r="N652" t="s">
        <v>26</v>
      </c>
      <c r="O652" t="s">
        <v>71</v>
      </c>
      <c r="P652">
        <f>IFERROR(VLOOKUP(TRIM(M652),Room!D:H,5,FALSE),5000)</f>
        <v>12500</v>
      </c>
      <c r="Q652">
        <f t="shared" si="52"/>
        <v>162500</v>
      </c>
      <c r="R652" s="11" t="str">
        <f t="shared" si="53"/>
        <v>Business</v>
      </c>
      <c r="S652" s="11">
        <f t="shared" si="54"/>
        <v>5</v>
      </c>
    </row>
    <row r="653" spans="1:19">
      <c r="A653" t="s">
        <v>3534</v>
      </c>
      <c r="B653" t="s">
        <v>3535</v>
      </c>
      <c r="C653" t="s">
        <v>506</v>
      </c>
      <c r="D653" t="s">
        <v>3536</v>
      </c>
      <c r="E653" t="s">
        <v>3537</v>
      </c>
      <c r="F653" t="s">
        <v>3538</v>
      </c>
      <c r="G653" s="4">
        <v>45531</v>
      </c>
      <c r="H653" s="4">
        <v>45557</v>
      </c>
      <c r="I653" s="4">
        <v>45566</v>
      </c>
      <c r="J653">
        <f t="shared" si="50"/>
        <v>9</v>
      </c>
      <c r="K653" t="str">
        <f t="array" ref="K653">_xlfn.IFS(J653=1,"Day Use",J653&lt;=3,"Short Stay",J653&lt;=7,"Extended Stay",J653&gt;=8,"Long Stay")</f>
        <v>Long Stay</v>
      </c>
      <c r="L653" t="s">
        <v>56</v>
      </c>
      <c r="M653" s="10" t="str">
        <f t="shared" si="51"/>
        <v>Premium</v>
      </c>
      <c r="N653" t="s">
        <v>26</v>
      </c>
      <c r="O653" t="s">
        <v>42</v>
      </c>
      <c r="P653">
        <f>IFERROR(VLOOKUP(TRIM(M653),Room!D:H,5,FALSE),5000)</f>
        <v>9500</v>
      </c>
      <c r="Q653">
        <f t="shared" si="52"/>
        <v>85500</v>
      </c>
      <c r="R653" s="11" t="str">
        <f t="shared" si="53"/>
        <v>Conference</v>
      </c>
      <c r="S653" s="11">
        <f t="shared" si="54"/>
        <v>4</v>
      </c>
    </row>
    <row r="654" spans="1:19">
      <c r="A654" t="s">
        <v>3539</v>
      </c>
      <c r="B654" t="s">
        <v>3540</v>
      </c>
      <c r="C654" t="s">
        <v>500</v>
      </c>
      <c r="D654" t="s">
        <v>3541</v>
      </c>
      <c r="E654" t="s">
        <v>3542</v>
      </c>
      <c r="F654" t="s">
        <v>3543</v>
      </c>
      <c r="G654" s="4">
        <v>45461</v>
      </c>
      <c r="H654" s="4">
        <v>45964</v>
      </c>
      <c r="I654" s="4">
        <v>45967</v>
      </c>
      <c r="J654">
        <f t="shared" si="50"/>
        <v>3</v>
      </c>
      <c r="K654" t="str">
        <f t="array" ref="K654">_xlfn.IFS(J654=1,"Day Use",J654&lt;=3,"Short Stay",J654&lt;=7,"Extended Stay",J654&gt;=8,"Long Stay")</f>
        <v>Short Stay</v>
      </c>
      <c r="L654" t="s">
        <v>91</v>
      </c>
      <c r="M654" s="10" t="str">
        <f t="shared" si="51"/>
        <v>Standard</v>
      </c>
      <c r="N654" t="s">
        <v>26</v>
      </c>
      <c r="O654" t="s">
        <v>35</v>
      </c>
      <c r="P654">
        <f>IFERROR(VLOOKUP(TRIM(M654),Room!D:H,5,FALSE),5000)</f>
        <v>3200</v>
      </c>
      <c r="Q654">
        <f t="shared" si="52"/>
        <v>9600</v>
      </c>
      <c r="R654" s="11" t="str">
        <f t="shared" si="53"/>
        <v>Other</v>
      </c>
      <c r="S654" s="11">
        <f t="shared" si="54"/>
        <v>2</v>
      </c>
    </row>
    <row r="655" spans="1:19">
      <c r="A655" t="s">
        <v>3544</v>
      </c>
      <c r="B655" t="s">
        <v>3545</v>
      </c>
      <c r="C655" t="s">
        <v>604</v>
      </c>
      <c r="D655" t="s">
        <v>3546</v>
      </c>
      <c r="E655" t="s">
        <v>3547</v>
      </c>
      <c r="F655" t="s">
        <v>3548</v>
      </c>
      <c r="G655" s="4">
        <v>45335</v>
      </c>
      <c r="H655" s="4">
        <v>45358</v>
      </c>
      <c r="I655" s="4">
        <v>45366</v>
      </c>
      <c r="J655">
        <f t="shared" si="50"/>
        <v>8</v>
      </c>
      <c r="K655" t="str">
        <f t="array" ref="K655">_xlfn.IFS(J655=1,"Day Use",J655&lt;=3,"Short Stay",J655&lt;=7,"Extended Stay",J655&gt;=8,"Long Stay")</f>
        <v>Long Stay</v>
      </c>
      <c r="L655" t="s">
        <v>196</v>
      </c>
      <c r="M655" s="10" t="str">
        <f t="shared" si="51"/>
        <v>Premium</v>
      </c>
      <c r="N655" t="s">
        <v>57</v>
      </c>
      <c r="O655" t="s">
        <v>58</v>
      </c>
      <c r="P655">
        <f>IFERROR(VLOOKUP(TRIM(M655),Room!D:H,5,FALSE),5000)</f>
        <v>9500</v>
      </c>
      <c r="Q655">
        <f t="shared" si="52"/>
        <v>76000</v>
      </c>
      <c r="R655" s="11" t="str">
        <f t="shared" si="53"/>
        <v>Conference</v>
      </c>
      <c r="S655" s="11">
        <f t="shared" si="54"/>
        <v>4</v>
      </c>
    </row>
    <row r="656" spans="1:19">
      <c r="A656" t="s">
        <v>3549</v>
      </c>
      <c r="B656" t="s">
        <v>3550</v>
      </c>
      <c r="C656" t="s">
        <v>1102</v>
      </c>
      <c r="D656" t="s">
        <v>3551</v>
      </c>
      <c r="E656" t="s">
        <v>3552</v>
      </c>
      <c r="F656" t="s">
        <v>3553</v>
      </c>
      <c r="G656" s="4">
        <v>45607</v>
      </c>
      <c r="H656" s="4">
        <v>45727</v>
      </c>
      <c r="I656" s="4">
        <v>45734</v>
      </c>
      <c r="J656">
        <f t="shared" si="50"/>
        <v>7</v>
      </c>
      <c r="K656" t="str">
        <f t="array" ref="K656">_xlfn.IFS(J656=1,"Day Use",J656&lt;=3,"Short Stay",J656&lt;=7,"Extended Stay",J656&gt;=8,"Long Stay")</f>
        <v>Extended Stay</v>
      </c>
      <c r="L656" t="s">
        <v>141</v>
      </c>
      <c r="M656" s="10" t="str">
        <f t="shared" si="51"/>
        <v>Premium</v>
      </c>
      <c r="N656" t="s">
        <v>26</v>
      </c>
      <c r="O656" t="s">
        <v>42</v>
      </c>
      <c r="P656">
        <f>IFERROR(VLOOKUP(TRIM(M656),Room!D:H,5,FALSE),5000)</f>
        <v>9500</v>
      </c>
      <c r="Q656">
        <f t="shared" si="52"/>
        <v>66500</v>
      </c>
      <c r="R656" s="11" t="str">
        <f t="shared" si="53"/>
        <v>Conference</v>
      </c>
      <c r="S656" s="11">
        <f t="shared" si="54"/>
        <v>4</v>
      </c>
    </row>
    <row r="657" spans="1:19">
      <c r="A657" t="s">
        <v>3554</v>
      </c>
      <c r="B657" t="s">
        <v>3555</v>
      </c>
      <c r="C657" t="s">
        <v>639</v>
      </c>
      <c r="D657" t="s">
        <v>3556</v>
      </c>
      <c r="E657" t="s">
        <v>3557</v>
      </c>
      <c r="F657" t="s">
        <v>3558</v>
      </c>
      <c r="G657" s="4">
        <v>45341</v>
      </c>
      <c r="H657" s="4">
        <v>45476</v>
      </c>
      <c r="I657" s="4">
        <v>45481</v>
      </c>
      <c r="J657">
        <f t="shared" si="50"/>
        <v>5</v>
      </c>
      <c r="K657" t="str">
        <f t="array" ref="K657">_xlfn.IFS(J657=1,"Day Use",J657&lt;=3,"Short Stay",J657&lt;=7,"Extended Stay",J657&gt;=8,"Long Stay")</f>
        <v>Extended Stay</v>
      </c>
      <c r="L657" t="s">
        <v>91</v>
      </c>
      <c r="M657" s="10" t="str">
        <f t="shared" si="51"/>
        <v>Deluxe</v>
      </c>
      <c r="N657" t="s">
        <v>134</v>
      </c>
      <c r="O657" t="s">
        <v>58</v>
      </c>
      <c r="P657">
        <f>IFERROR(VLOOKUP(TRIM(M657),Room!D:H,5,FALSE),5000)</f>
        <v>5400</v>
      </c>
      <c r="Q657">
        <f t="shared" si="52"/>
        <v>27000</v>
      </c>
      <c r="R657" s="11" t="str">
        <f t="shared" si="53"/>
        <v>Conference</v>
      </c>
      <c r="S657" s="11">
        <f t="shared" si="54"/>
        <v>3</v>
      </c>
    </row>
    <row r="658" spans="1:19">
      <c r="A658" t="s">
        <v>3559</v>
      </c>
      <c r="B658" t="s">
        <v>3560</v>
      </c>
      <c r="C658" t="s">
        <v>679</v>
      </c>
      <c r="D658" t="s">
        <v>3561</v>
      </c>
      <c r="E658" t="s">
        <v>3562</v>
      </c>
      <c r="F658" t="s">
        <v>3563</v>
      </c>
      <c r="G658" s="4">
        <v>45294</v>
      </c>
      <c r="H658" s="4">
        <v>45945</v>
      </c>
      <c r="I658" s="4">
        <v>45950</v>
      </c>
      <c r="J658">
        <f t="shared" si="50"/>
        <v>5</v>
      </c>
      <c r="K658" t="str">
        <f t="array" ref="K658">_xlfn.IFS(J658=1,"Day Use",J658&lt;=3,"Short Stay",J658&lt;=7,"Extended Stay",J658&gt;=8,"Long Stay")</f>
        <v>Extended Stay</v>
      </c>
      <c r="L658" t="s">
        <v>34</v>
      </c>
      <c r="M658" s="10" t="str">
        <f t="shared" si="51"/>
        <v>Deluxe</v>
      </c>
      <c r="N658" t="s">
        <v>26</v>
      </c>
      <c r="O658" t="s">
        <v>71</v>
      </c>
      <c r="P658">
        <f>IFERROR(VLOOKUP(TRIM(M658),Room!D:H,5,FALSE),5000)</f>
        <v>5400</v>
      </c>
      <c r="Q658">
        <f t="shared" si="52"/>
        <v>27000</v>
      </c>
      <c r="R658" s="11" t="str">
        <f t="shared" si="53"/>
        <v>Conference</v>
      </c>
      <c r="S658" s="11">
        <f t="shared" si="54"/>
        <v>3</v>
      </c>
    </row>
    <row r="659" spans="1:19">
      <c r="A659" t="s">
        <v>3564</v>
      </c>
      <c r="B659" t="s">
        <v>3565</v>
      </c>
      <c r="C659" t="s">
        <v>398</v>
      </c>
      <c r="D659" t="s">
        <v>3566</v>
      </c>
      <c r="E659" t="s">
        <v>3567</v>
      </c>
      <c r="F659" t="s">
        <v>3568</v>
      </c>
      <c r="G659" s="4">
        <v>45356</v>
      </c>
      <c r="H659" s="4">
        <v>45363</v>
      </c>
      <c r="I659" s="4">
        <v>45376</v>
      </c>
      <c r="J659">
        <f t="shared" si="50"/>
        <v>13</v>
      </c>
      <c r="K659" t="str">
        <f t="array" ref="K659">_xlfn.IFS(J659=1,"Day Use",J659&lt;=3,"Short Stay",J659&lt;=7,"Extended Stay",J659&gt;=8,"Long Stay")</f>
        <v>Long Stay</v>
      </c>
      <c r="L659" t="s">
        <v>91</v>
      </c>
      <c r="M659" s="10" t="str">
        <f t="shared" si="51"/>
        <v>Suite</v>
      </c>
      <c r="N659" t="s">
        <v>26</v>
      </c>
      <c r="O659" t="s">
        <v>27</v>
      </c>
      <c r="P659">
        <f>IFERROR(VLOOKUP(TRIM(M659),Room!D:H,5,FALSE),5000)</f>
        <v>12500</v>
      </c>
      <c r="Q659">
        <f t="shared" si="52"/>
        <v>162500</v>
      </c>
      <c r="R659" s="11" t="str">
        <f t="shared" si="53"/>
        <v>Business</v>
      </c>
      <c r="S659" s="11">
        <f t="shared" si="54"/>
        <v>5</v>
      </c>
    </row>
    <row r="660" spans="1:19">
      <c r="A660" t="s">
        <v>3569</v>
      </c>
      <c r="B660" t="s">
        <v>3570</v>
      </c>
      <c r="C660" t="s">
        <v>2297</v>
      </c>
      <c r="D660" t="s">
        <v>3571</v>
      </c>
      <c r="E660" t="s">
        <v>3572</v>
      </c>
      <c r="F660" t="s">
        <v>3573</v>
      </c>
      <c r="G660" s="4">
        <v>45381</v>
      </c>
      <c r="H660" s="4">
        <v>45407</v>
      </c>
      <c r="I660" s="4">
        <v>45417</v>
      </c>
      <c r="J660">
        <f t="shared" si="50"/>
        <v>10</v>
      </c>
      <c r="K660" t="str">
        <f t="array" ref="K660">_xlfn.IFS(J660=1,"Day Use",J660&lt;=3,"Short Stay",J660&lt;=7,"Extended Stay",J660&gt;=8,"Long Stay")</f>
        <v>Long Stay</v>
      </c>
      <c r="L660" t="s">
        <v>34</v>
      </c>
      <c r="M660" s="10" t="str">
        <f t="shared" si="51"/>
        <v>Premium</v>
      </c>
      <c r="N660" t="s">
        <v>26</v>
      </c>
      <c r="O660" t="s">
        <v>35</v>
      </c>
      <c r="P660">
        <f>IFERROR(VLOOKUP(TRIM(M660),Room!D:H,5,FALSE),5000)</f>
        <v>9500</v>
      </c>
      <c r="Q660">
        <f t="shared" si="52"/>
        <v>95000</v>
      </c>
      <c r="R660" s="11" t="str">
        <f t="shared" si="53"/>
        <v>Conference</v>
      </c>
      <c r="S660" s="11">
        <f t="shared" si="54"/>
        <v>4</v>
      </c>
    </row>
    <row r="661" spans="1:19">
      <c r="A661" t="s">
        <v>3574</v>
      </c>
      <c r="B661" t="s">
        <v>3575</v>
      </c>
      <c r="C661" t="s">
        <v>3118</v>
      </c>
      <c r="D661" t="s">
        <v>3576</v>
      </c>
      <c r="E661" t="s">
        <v>3577</v>
      </c>
      <c r="F661" t="s">
        <v>3578</v>
      </c>
      <c r="G661" s="4">
        <v>45586</v>
      </c>
      <c r="H661" s="4">
        <v>45596</v>
      </c>
      <c r="I661" s="4">
        <v>45600</v>
      </c>
      <c r="J661">
        <f t="shared" si="50"/>
        <v>4</v>
      </c>
      <c r="K661" t="str">
        <f t="array" ref="K661">_xlfn.IFS(J661=1,"Day Use",J661&lt;=3,"Short Stay",J661&lt;=7,"Extended Stay",J661&gt;=8,"Long Stay")</f>
        <v>Extended Stay</v>
      </c>
      <c r="L661" t="s">
        <v>196</v>
      </c>
      <c r="M661" s="10" t="str">
        <f t="shared" si="51"/>
        <v>Deluxe</v>
      </c>
      <c r="N661" t="s">
        <v>26</v>
      </c>
      <c r="O661" t="s">
        <v>27</v>
      </c>
      <c r="P661">
        <f>IFERROR(VLOOKUP(TRIM(M661),Room!D:H,5,FALSE),5000)</f>
        <v>5400</v>
      </c>
      <c r="Q661">
        <f t="shared" si="52"/>
        <v>21600</v>
      </c>
      <c r="R661" s="11" t="str">
        <f t="shared" si="53"/>
        <v>Conference</v>
      </c>
      <c r="S661" s="11">
        <f t="shared" si="54"/>
        <v>3</v>
      </c>
    </row>
    <row r="662" spans="1:19">
      <c r="A662" t="s">
        <v>3579</v>
      </c>
      <c r="B662" t="s">
        <v>3580</v>
      </c>
      <c r="C662" t="s">
        <v>3061</v>
      </c>
      <c r="D662" t="s">
        <v>3581</v>
      </c>
      <c r="E662" t="s">
        <v>3582</v>
      </c>
      <c r="F662" t="s">
        <v>3583</v>
      </c>
      <c r="G662" s="4">
        <v>45290</v>
      </c>
      <c r="H662" s="4">
        <v>45325</v>
      </c>
      <c r="I662" s="4">
        <v>45327</v>
      </c>
      <c r="J662">
        <f t="shared" si="50"/>
        <v>2</v>
      </c>
      <c r="K662" t="str">
        <f t="array" ref="K662">_xlfn.IFS(J662=1,"Day Use",J662&lt;=3,"Short Stay",J662&lt;=7,"Extended Stay",J662&gt;=8,"Long Stay")</f>
        <v>Short Stay</v>
      </c>
      <c r="L662" t="s">
        <v>25</v>
      </c>
      <c r="M662" s="10" t="str">
        <f t="shared" si="51"/>
        <v>Standard</v>
      </c>
      <c r="N662" t="s">
        <v>57</v>
      </c>
      <c r="O662" t="s">
        <v>42</v>
      </c>
      <c r="P662">
        <f>IFERROR(VLOOKUP(TRIM(M662),Room!D:H,5,FALSE),5000)</f>
        <v>3200</v>
      </c>
      <c r="Q662">
        <f t="shared" si="52"/>
        <v>6400</v>
      </c>
      <c r="R662" s="11" t="str">
        <f t="shared" si="53"/>
        <v>Other</v>
      </c>
      <c r="S662" s="11">
        <f t="shared" si="54"/>
        <v>2</v>
      </c>
    </row>
    <row r="663" spans="1:19">
      <c r="A663" t="s">
        <v>3584</v>
      </c>
      <c r="B663" t="s">
        <v>3585</v>
      </c>
      <c r="C663" t="s">
        <v>3586</v>
      </c>
      <c r="D663" t="s">
        <v>3587</v>
      </c>
      <c r="E663" t="s">
        <v>3588</v>
      </c>
      <c r="F663" t="s">
        <v>3589</v>
      </c>
      <c r="G663" s="4">
        <v>45243</v>
      </c>
      <c r="H663" s="4">
        <v>45530</v>
      </c>
      <c r="I663" s="4">
        <v>45532</v>
      </c>
      <c r="J663">
        <f t="shared" si="50"/>
        <v>2</v>
      </c>
      <c r="K663" t="str">
        <f t="array" ref="K663">_xlfn.IFS(J663=1,"Day Use",J663&lt;=3,"Short Stay",J663&lt;=7,"Extended Stay",J663&gt;=8,"Long Stay")</f>
        <v>Short Stay</v>
      </c>
      <c r="L663" t="s">
        <v>91</v>
      </c>
      <c r="M663" s="10" t="str">
        <f t="shared" si="51"/>
        <v>Standard</v>
      </c>
      <c r="N663" t="s">
        <v>26</v>
      </c>
      <c r="O663" t="s">
        <v>58</v>
      </c>
      <c r="P663">
        <f>IFERROR(VLOOKUP(TRIM(M663),Room!D:H,5,FALSE),5000)</f>
        <v>3200</v>
      </c>
      <c r="Q663">
        <f t="shared" si="52"/>
        <v>6400</v>
      </c>
      <c r="R663" s="11" t="str">
        <f t="shared" si="53"/>
        <v>Other</v>
      </c>
      <c r="S663" s="11">
        <f t="shared" si="54"/>
        <v>2</v>
      </c>
    </row>
    <row r="664" spans="1:19">
      <c r="A664" t="s">
        <v>3590</v>
      </c>
      <c r="B664" t="s">
        <v>3591</v>
      </c>
      <c r="C664" t="s">
        <v>253</v>
      </c>
      <c r="D664" t="s">
        <v>3592</v>
      </c>
      <c r="E664" t="s">
        <v>3593</v>
      </c>
      <c r="F664" t="s">
        <v>3594</v>
      </c>
      <c r="G664" s="4">
        <v>45397</v>
      </c>
      <c r="H664" s="4">
        <v>45697</v>
      </c>
      <c r="I664" s="4">
        <v>45711</v>
      </c>
      <c r="J664">
        <f t="shared" si="50"/>
        <v>14</v>
      </c>
      <c r="K664" t="str">
        <f t="array" ref="K664">_xlfn.IFS(J664=1,"Day Use",J664&lt;=3,"Short Stay",J664&lt;=7,"Extended Stay",J664&gt;=8,"Long Stay")</f>
        <v>Long Stay</v>
      </c>
      <c r="L664" t="s">
        <v>91</v>
      </c>
      <c r="M664" s="10" t="str">
        <f t="shared" si="51"/>
        <v>Suite</v>
      </c>
      <c r="N664" t="s">
        <v>26</v>
      </c>
      <c r="O664" t="s">
        <v>58</v>
      </c>
      <c r="P664">
        <f>IFERROR(VLOOKUP(TRIM(M664),Room!D:H,5,FALSE),5000)</f>
        <v>12500</v>
      </c>
      <c r="Q664">
        <f t="shared" si="52"/>
        <v>175000</v>
      </c>
      <c r="R664" s="11" t="str">
        <f t="shared" si="53"/>
        <v>Business</v>
      </c>
      <c r="S664" s="11">
        <f t="shared" si="54"/>
        <v>5</v>
      </c>
    </row>
    <row r="665" spans="1:19">
      <c r="A665" t="s">
        <v>3595</v>
      </c>
      <c r="B665" t="s">
        <v>3596</v>
      </c>
      <c r="C665" t="s">
        <v>2863</v>
      </c>
      <c r="D665" t="s">
        <v>3597</v>
      </c>
      <c r="E665" t="s">
        <v>3598</v>
      </c>
      <c r="F665" t="s">
        <v>3599</v>
      </c>
      <c r="G665" s="4">
        <v>45319</v>
      </c>
      <c r="H665" s="4">
        <v>45323</v>
      </c>
      <c r="I665" s="4">
        <v>45334</v>
      </c>
      <c r="J665">
        <f t="shared" si="50"/>
        <v>11</v>
      </c>
      <c r="K665" t="str">
        <f t="array" ref="K665">_xlfn.IFS(J665=1,"Day Use",J665&lt;=3,"Short Stay",J665&lt;=7,"Extended Stay",J665&gt;=8,"Long Stay")</f>
        <v>Long Stay</v>
      </c>
      <c r="L665" t="s">
        <v>84</v>
      </c>
      <c r="M665" s="10" t="str">
        <f t="shared" si="51"/>
        <v>Suite</v>
      </c>
      <c r="N665" t="s">
        <v>148</v>
      </c>
      <c r="O665" t="s">
        <v>42</v>
      </c>
      <c r="P665">
        <f>IFERROR(VLOOKUP(TRIM(M665),Room!D:H,5,FALSE),5000)</f>
        <v>12500</v>
      </c>
      <c r="Q665">
        <f t="shared" si="52"/>
        <v>137500</v>
      </c>
      <c r="R665" s="11" t="str">
        <f t="shared" si="53"/>
        <v>Business</v>
      </c>
      <c r="S665" s="11">
        <f t="shared" si="54"/>
        <v>5</v>
      </c>
    </row>
    <row r="666" spans="1:19">
      <c r="A666" t="s">
        <v>3600</v>
      </c>
      <c r="B666" t="s">
        <v>3601</v>
      </c>
      <c r="C666" t="s">
        <v>1482</v>
      </c>
      <c r="D666" t="s">
        <v>3602</v>
      </c>
      <c r="E666" t="s">
        <v>3603</v>
      </c>
      <c r="F666" t="s">
        <v>3604</v>
      </c>
      <c r="G666" s="4">
        <v>45830</v>
      </c>
      <c r="H666" s="4">
        <v>45916</v>
      </c>
      <c r="I666" s="4">
        <v>45930</v>
      </c>
      <c r="J666">
        <f t="shared" si="50"/>
        <v>14</v>
      </c>
      <c r="K666" t="str">
        <f t="array" ref="K666">_xlfn.IFS(J666=1,"Day Use",J666&lt;=3,"Short Stay",J666&lt;=7,"Extended Stay",J666&gt;=8,"Long Stay")</f>
        <v>Long Stay</v>
      </c>
      <c r="L666" t="s">
        <v>25</v>
      </c>
      <c r="M666" s="10" t="str">
        <f t="shared" si="51"/>
        <v>Suite</v>
      </c>
      <c r="N666" t="s">
        <v>26</v>
      </c>
      <c r="O666" t="s">
        <v>27</v>
      </c>
      <c r="P666">
        <f>IFERROR(VLOOKUP(TRIM(M666),Room!D:H,5,FALSE),5000)</f>
        <v>12500</v>
      </c>
      <c r="Q666">
        <f t="shared" si="52"/>
        <v>175000</v>
      </c>
      <c r="R666" s="11" t="str">
        <f t="shared" si="53"/>
        <v>Business</v>
      </c>
      <c r="S666" s="11">
        <f t="shared" si="54"/>
        <v>5</v>
      </c>
    </row>
    <row r="667" spans="1:19">
      <c r="A667" t="s">
        <v>3605</v>
      </c>
      <c r="B667" t="s">
        <v>3606</v>
      </c>
      <c r="C667" t="s">
        <v>186</v>
      </c>
      <c r="D667" t="s">
        <v>3607</v>
      </c>
      <c r="E667" t="s">
        <v>3608</v>
      </c>
      <c r="F667" t="s">
        <v>3609</v>
      </c>
      <c r="G667" s="4">
        <v>45789</v>
      </c>
      <c r="H667" s="4">
        <v>45884</v>
      </c>
      <c r="I667" s="4">
        <v>45896</v>
      </c>
      <c r="J667">
        <f t="shared" si="50"/>
        <v>12</v>
      </c>
      <c r="K667" t="str">
        <f t="array" ref="K667">_xlfn.IFS(J667=1,"Day Use",J667&lt;=3,"Short Stay",J667&lt;=7,"Extended Stay",J667&gt;=8,"Long Stay")</f>
        <v>Long Stay</v>
      </c>
      <c r="L667" t="s">
        <v>196</v>
      </c>
      <c r="M667" s="10" t="str">
        <f t="shared" si="51"/>
        <v>Suite</v>
      </c>
      <c r="N667" t="s">
        <v>26</v>
      </c>
      <c r="O667" t="s">
        <v>35</v>
      </c>
      <c r="P667">
        <f>IFERROR(VLOOKUP(TRIM(M667),Room!D:H,5,FALSE),5000)</f>
        <v>12500</v>
      </c>
      <c r="Q667">
        <f t="shared" si="52"/>
        <v>150000</v>
      </c>
      <c r="R667" s="11" t="str">
        <f t="shared" si="53"/>
        <v>Business</v>
      </c>
      <c r="S667" s="11">
        <f t="shared" si="54"/>
        <v>5</v>
      </c>
    </row>
    <row r="668" spans="1:19">
      <c r="A668" t="s">
        <v>3610</v>
      </c>
      <c r="B668" t="s">
        <v>3611</v>
      </c>
      <c r="C668" t="s">
        <v>593</v>
      </c>
      <c r="D668" t="s">
        <v>3612</v>
      </c>
      <c r="E668" t="s">
        <v>3613</v>
      </c>
      <c r="F668" t="s">
        <v>3614</v>
      </c>
      <c r="G668" s="4">
        <v>45241</v>
      </c>
      <c r="H668" s="4">
        <v>45399</v>
      </c>
      <c r="I668" s="4">
        <v>45405</v>
      </c>
      <c r="J668">
        <f t="shared" si="50"/>
        <v>6</v>
      </c>
      <c r="K668" t="str">
        <f t="array" ref="K668">_xlfn.IFS(J668=1,"Day Use",J668&lt;=3,"Short Stay",J668&lt;=7,"Extended Stay",J668&gt;=8,"Long Stay")</f>
        <v>Extended Stay</v>
      </c>
      <c r="L668" t="s">
        <v>56</v>
      </c>
      <c r="M668" s="10" t="str">
        <f t="shared" si="51"/>
        <v>Deluxe</v>
      </c>
      <c r="N668" t="s">
        <v>26</v>
      </c>
      <c r="O668" t="s">
        <v>42</v>
      </c>
      <c r="P668">
        <f>IFERROR(VLOOKUP(TRIM(M668),Room!D:H,5,FALSE),5000)</f>
        <v>5400</v>
      </c>
      <c r="Q668">
        <f t="shared" si="52"/>
        <v>32400</v>
      </c>
      <c r="R668" s="11" t="str">
        <f t="shared" si="53"/>
        <v>Conference</v>
      </c>
      <c r="S668" s="11">
        <f t="shared" si="54"/>
        <v>3</v>
      </c>
    </row>
    <row r="669" spans="1:19">
      <c r="A669" t="s">
        <v>3615</v>
      </c>
      <c r="B669" t="s">
        <v>3616</v>
      </c>
      <c r="C669" t="s">
        <v>2101</v>
      </c>
      <c r="D669" t="s">
        <v>3617</v>
      </c>
      <c r="E669" t="s">
        <v>3618</v>
      </c>
      <c r="F669" t="s">
        <v>3619</v>
      </c>
      <c r="G669" s="4">
        <v>45323</v>
      </c>
      <c r="H669" s="4">
        <v>45323</v>
      </c>
      <c r="I669" s="4">
        <v>45337</v>
      </c>
      <c r="J669">
        <f t="shared" si="50"/>
        <v>14</v>
      </c>
      <c r="K669" t="str">
        <f t="array" ref="K669">_xlfn.IFS(J669=1,"Day Use",J669&lt;=3,"Short Stay",J669&lt;=7,"Extended Stay",J669&gt;=8,"Long Stay")</f>
        <v>Long Stay</v>
      </c>
      <c r="L669" t="s">
        <v>34</v>
      </c>
      <c r="M669" s="10" t="str">
        <f t="shared" si="51"/>
        <v>Suite</v>
      </c>
      <c r="N669" t="s">
        <v>57</v>
      </c>
      <c r="O669" t="s">
        <v>35</v>
      </c>
      <c r="P669">
        <f>IFERROR(VLOOKUP(TRIM(M669),Room!D:H,5,FALSE),5000)</f>
        <v>12500</v>
      </c>
      <c r="Q669">
        <f t="shared" si="52"/>
        <v>175000</v>
      </c>
      <c r="R669" s="11" t="str">
        <f t="shared" si="53"/>
        <v>Business</v>
      </c>
      <c r="S669" s="11">
        <f t="shared" si="54"/>
        <v>5</v>
      </c>
    </row>
    <row r="670" spans="1:19">
      <c r="A670" t="s">
        <v>3620</v>
      </c>
      <c r="B670" t="s">
        <v>3621</v>
      </c>
      <c r="C670" t="s">
        <v>241</v>
      </c>
      <c r="D670" t="s">
        <v>3622</v>
      </c>
      <c r="E670" t="s">
        <v>3623</v>
      </c>
      <c r="F670" t="s">
        <v>3624</v>
      </c>
      <c r="G670" s="4">
        <v>45400</v>
      </c>
      <c r="H670" s="4">
        <v>45482</v>
      </c>
      <c r="I670" s="4">
        <v>45484</v>
      </c>
      <c r="J670">
        <f t="shared" si="50"/>
        <v>2</v>
      </c>
      <c r="K670" t="str">
        <f t="array" ref="K670">_xlfn.IFS(J670=1,"Day Use",J670&lt;=3,"Short Stay",J670&lt;=7,"Extended Stay",J670&gt;=8,"Long Stay")</f>
        <v>Short Stay</v>
      </c>
      <c r="L670" t="s">
        <v>141</v>
      </c>
      <c r="M670" s="10" t="str">
        <f t="shared" si="51"/>
        <v>Standard</v>
      </c>
      <c r="N670" t="s">
        <v>57</v>
      </c>
      <c r="O670" t="s">
        <v>71</v>
      </c>
      <c r="P670">
        <f>IFERROR(VLOOKUP(TRIM(M670),Room!D:H,5,FALSE),5000)</f>
        <v>3200</v>
      </c>
      <c r="Q670">
        <f t="shared" si="52"/>
        <v>6400</v>
      </c>
      <c r="R670" s="11" t="str">
        <f t="shared" si="53"/>
        <v>Other</v>
      </c>
      <c r="S670" s="11">
        <f t="shared" si="54"/>
        <v>2</v>
      </c>
    </row>
    <row r="671" spans="1:19">
      <c r="A671" t="s">
        <v>3625</v>
      </c>
      <c r="B671" t="s">
        <v>3626</v>
      </c>
      <c r="C671" t="s">
        <v>137</v>
      </c>
      <c r="D671" t="s">
        <v>3627</v>
      </c>
      <c r="E671" t="s">
        <v>3628</v>
      </c>
      <c r="F671" t="s">
        <v>3629</v>
      </c>
      <c r="G671" s="4">
        <v>45588</v>
      </c>
      <c r="H671" s="4">
        <v>45928</v>
      </c>
      <c r="I671" s="4">
        <v>45941</v>
      </c>
      <c r="J671">
        <f t="shared" si="50"/>
        <v>13</v>
      </c>
      <c r="K671" t="str">
        <f t="array" ref="K671">_xlfn.IFS(J671=1,"Day Use",J671&lt;=3,"Short Stay",J671&lt;=7,"Extended Stay",J671&gt;=8,"Long Stay")</f>
        <v>Long Stay</v>
      </c>
      <c r="L671" t="s">
        <v>56</v>
      </c>
      <c r="M671" s="10" t="str">
        <f t="shared" si="51"/>
        <v>Suite</v>
      </c>
      <c r="N671" t="s">
        <v>57</v>
      </c>
      <c r="O671" t="s">
        <v>27</v>
      </c>
      <c r="P671">
        <f>IFERROR(VLOOKUP(TRIM(M671),Room!D:H,5,FALSE),5000)</f>
        <v>12500</v>
      </c>
      <c r="Q671">
        <f t="shared" si="52"/>
        <v>162500</v>
      </c>
      <c r="R671" s="11" t="str">
        <f t="shared" si="53"/>
        <v>Business</v>
      </c>
      <c r="S671" s="11">
        <f t="shared" si="54"/>
        <v>5</v>
      </c>
    </row>
    <row r="672" spans="1:19">
      <c r="A672" t="s">
        <v>3630</v>
      </c>
      <c r="B672" t="s">
        <v>3631</v>
      </c>
      <c r="C672" t="s">
        <v>375</v>
      </c>
      <c r="D672" t="s">
        <v>3632</v>
      </c>
      <c r="E672" t="s">
        <v>3633</v>
      </c>
      <c r="F672" t="s">
        <v>3634</v>
      </c>
      <c r="G672" s="4">
        <v>45475</v>
      </c>
      <c r="H672" s="4">
        <v>45500</v>
      </c>
      <c r="I672" s="4">
        <v>45507</v>
      </c>
      <c r="J672">
        <f t="shared" si="50"/>
        <v>7</v>
      </c>
      <c r="K672" t="str">
        <f t="array" ref="K672">_xlfn.IFS(J672=1,"Day Use",J672&lt;=3,"Short Stay",J672&lt;=7,"Extended Stay",J672&gt;=8,"Long Stay")</f>
        <v>Extended Stay</v>
      </c>
      <c r="L672" t="s">
        <v>56</v>
      </c>
      <c r="M672" s="10" t="str">
        <f t="shared" si="51"/>
        <v>Premium</v>
      </c>
      <c r="N672" t="s">
        <v>134</v>
      </c>
      <c r="O672" t="s">
        <v>35</v>
      </c>
      <c r="P672">
        <f>IFERROR(VLOOKUP(TRIM(M672),Room!D:H,5,FALSE),5000)</f>
        <v>9500</v>
      </c>
      <c r="Q672">
        <f t="shared" si="52"/>
        <v>66500</v>
      </c>
      <c r="R672" s="11" t="str">
        <f t="shared" si="53"/>
        <v>Conference</v>
      </c>
      <c r="S672" s="11">
        <f t="shared" si="54"/>
        <v>4</v>
      </c>
    </row>
    <row r="673" spans="1:19">
      <c r="A673" t="s">
        <v>3635</v>
      </c>
      <c r="B673" t="s">
        <v>3636</v>
      </c>
      <c r="C673" t="s">
        <v>484</v>
      </c>
      <c r="D673" t="s">
        <v>3637</v>
      </c>
      <c r="E673" t="s">
        <v>3638</v>
      </c>
      <c r="F673" t="s">
        <v>3639</v>
      </c>
      <c r="G673" s="4">
        <v>45584</v>
      </c>
      <c r="H673" s="4">
        <v>45590</v>
      </c>
      <c r="I673" s="4">
        <v>45600</v>
      </c>
      <c r="J673">
        <f t="shared" si="50"/>
        <v>10</v>
      </c>
      <c r="K673" t="str">
        <f t="array" ref="K673">_xlfn.IFS(J673=1,"Day Use",J673&lt;=3,"Short Stay",J673&lt;=7,"Extended Stay",J673&gt;=8,"Long Stay")</f>
        <v>Long Stay</v>
      </c>
      <c r="L673" t="s">
        <v>49</v>
      </c>
      <c r="M673" s="10" t="str">
        <f t="shared" si="51"/>
        <v>Premium</v>
      </c>
      <c r="N673" t="s">
        <v>26</v>
      </c>
      <c r="O673" t="s">
        <v>27</v>
      </c>
      <c r="P673">
        <f>IFERROR(VLOOKUP(TRIM(M673),Room!D:H,5,FALSE),5000)</f>
        <v>9500</v>
      </c>
      <c r="Q673">
        <f t="shared" si="52"/>
        <v>95000</v>
      </c>
      <c r="R673" s="11" t="str">
        <f t="shared" si="53"/>
        <v>Conference</v>
      </c>
      <c r="S673" s="11">
        <f t="shared" si="54"/>
        <v>4</v>
      </c>
    </row>
    <row r="674" spans="1:19">
      <c r="A674" t="s">
        <v>3640</v>
      </c>
      <c r="B674" t="s">
        <v>3641</v>
      </c>
      <c r="C674" t="s">
        <v>558</v>
      </c>
      <c r="D674" t="s">
        <v>3642</v>
      </c>
      <c r="E674" t="s">
        <v>3643</v>
      </c>
      <c r="F674" t="s">
        <v>3644</v>
      </c>
      <c r="G674" s="4">
        <v>45310</v>
      </c>
      <c r="H674" s="4">
        <v>45321</v>
      </c>
      <c r="I674" s="4">
        <v>45325</v>
      </c>
      <c r="J674">
        <f t="shared" si="50"/>
        <v>4</v>
      </c>
      <c r="K674" t="str">
        <f t="array" ref="K674">_xlfn.IFS(J674=1,"Day Use",J674&lt;=3,"Short Stay",J674&lt;=7,"Extended Stay",J674&gt;=8,"Long Stay")</f>
        <v>Extended Stay</v>
      </c>
      <c r="L674" t="s">
        <v>25</v>
      </c>
      <c r="M674" s="10" t="str">
        <f t="shared" si="51"/>
        <v>Deluxe</v>
      </c>
      <c r="N674" t="s">
        <v>134</v>
      </c>
      <c r="O674" t="s">
        <v>27</v>
      </c>
      <c r="P674">
        <f>IFERROR(VLOOKUP(TRIM(M674),Room!D:H,5,FALSE),5000)</f>
        <v>5400</v>
      </c>
      <c r="Q674">
        <f t="shared" si="52"/>
        <v>21600</v>
      </c>
      <c r="R674" s="11" t="str">
        <f t="shared" si="53"/>
        <v>Conference</v>
      </c>
      <c r="S674" s="11">
        <f t="shared" si="54"/>
        <v>3</v>
      </c>
    </row>
    <row r="675" spans="1:19">
      <c r="A675" t="s">
        <v>3645</v>
      </c>
      <c r="B675" t="s">
        <v>3646</v>
      </c>
      <c r="C675" t="s">
        <v>1271</v>
      </c>
      <c r="D675" t="s">
        <v>3647</v>
      </c>
      <c r="E675" t="s">
        <v>3648</v>
      </c>
      <c r="F675" t="s">
        <v>3649</v>
      </c>
      <c r="G675" s="4">
        <v>45798</v>
      </c>
      <c r="H675" s="4">
        <v>45799</v>
      </c>
      <c r="I675" s="4">
        <v>45804</v>
      </c>
      <c r="J675">
        <f t="shared" si="50"/>
        <v>5</v>
      </c>
      <c r="K675" t="str">
        <f t="array" ref="K675">_xlfn.IFS(J675=1,"Day Use",J675&lt;=3,"Short Stay",J675&lt;=7,"Extended Stay",J675&gt;=8,"Long Stay")</f>
        <v>Extended Stay</v>
      </c>
      <c r="L675" t="s">
        <v>84</v>
      </c>
      <c r="M675" s="10" t="str">
        <f t="shared" si="51"/>
        <v>Deluxe</v>
      </c>
      <c r="N675" t="s">
        <v>26</v>
      </c>
      <c r="O675" t="s">
        <v>27</v>
      </c>
      <c r="P675">
        <f>IFERROR(VLOOKUP(TRIM(M675),Room!D:H,5,FALSE),5000)</f>
        <v>5400</v>
      </c>
      <c r="Q675">
        <f t="shared" si="52"/>
        <v>27000</v>
      </c>
      <c r="R675" s="11" t="str">
        <f t="shared" si="53"/>
        <v>Conference</v>
      </c>
      <c r="S675" s="11">
        <f t="shared" si="54"/>
        <v>3</v>
      </c>
    </row>
    <row r="676" spans="1:19">
      <c r="A676" t="s">
        <v>3650</v>
      </c>
      <c r="B676" t="s">
        <v>3651</v>
      </c>
      <c r="C676" t="s">
        <v>916</v>
      </c>
      <c r="D676" t="s">
        <v>3652</v>
      </c>
      <c r="E676" t="s">
        <v>3653</v>
      </c>
      <c r="F676" t="s">
        <v>3654</v>
      </c>
      <c r="G676" s="4">
        <v>45661</v>
      </c>
      <c r="H676" s="4">
        <v>45980</v>
      </c>
      <c r="I676" s="4">
        <v>45993</v>
      </c>
      <c r="J676">
        <f t="shared" si="50"/>
        <v>13</v>
      </c>
      <c r="K676" t="str">
        <f t="array" ref="K676">_xlfn.IFS(J676=1,"Day Use",J676&lt;=3,"Short Stay",J676&lt;=7,"Extended Stay",J676&gt;=8,"Long Stay")</f>
        <v>Long Stay</v>
      </c>
      <c r="L676" t="s">
        <v>49</v>
      </c>
      <c r="M676" s="10" t="str">
        <f t="shared" si="51"/>
        <v>Suite</v>
      </c>
      <c r="N676" t="s">
        <v>26</v>
      </c>
      <c r="O676" t="s">
        <v>58</v>
      </c>
      <c r="P676">
        <f>IFERROR(VLOOKUP(TRIM(M676),Room!D:H,5,FALSE),5000)</f>
        <v>12500</v>
      </c>
      <c r="Q676">
        <f t="shared" si="52"/>
        <v>162500</v>
      </c>
      <c r="R676" s="11" t="str">
        <f t="shared" si="53"/>
        <v>Business</v>
      </c>
      <c r="S676" s="11">
        <f t="shared" si="54"/>
        <v>5</v>
      </c>
    </row>
    <row r="677" spans="1:19">
      <c r="A677" t="s">
        <v>3655</v>
      </c>
      <c r="B677" t="s">
        <v>3656</v>
      </c>
      <c r="C677" t="s">
        <v>124</v>
      </c>
      <c r="D677" t="s">
        <v>3657</v>
      </c>
      <c r="E677" t="s">
        <v>3658</v>
      </c>
      <c r="F677" t="s">
        <v>3659</v>
      </c>
      <c r="G677" s="4">
        <v>45651</v>
      </c>
      <c r="H677" s="4">
        <v>45995</v>
      </c>
      <c r="I677" s="4">
        <v>45996</v>
      </c>
      <c r="J677">
        <f t="shared" si="50"/>
        <v>1</v>
      </c>
      <c r="K677" t="str">
        <f t="array" ref="K677">_xlfn.IFS(J677=1,"Day Use",J677&lt;=3,"Short Stay",J677&lt;=7,"Extended Stay",J677&gt;=8,"Long Stay")</f>
        <v>Day Use</v>
      </c>
      <c r="L677" t="s">
        <v>34</v>
      </c>
      <c r="M677" s="10" t="str">
        <f t="shared" si="51"/>
        <v>Standard</v>
      </c>
      <c r="N677" t="s">
        <v>26</v>
      </c>
      <c r="O677" t="s">
        <v>27</v>
      </c>
      <c r="P677">
        <f>IFERROR(VLOOKUP(TRIM(M677),Room!D:H,5,FALSE),5000)</f>
        <v>3200</v>
      </c>
      <c r="Q677">
        <f t="shared" si="52"/>
        <v>3200</v>
      </c>
      <c r="R677" s="11" t="str">
        <f t="shared" si="53"/>
        <v>Other</v>
      </c>
      <c r="S677" s="11">
        <f t="shared" si="54"/>
        <v>1</v>
      </c>
    </row>
    <row r="678" spans="1:19">
      <c r="A678" t="s">
        <v>3660</v>
      </c>
      <c r="B678" t="s">
        <v>3661</v>
      </c>
      <c r="C678" t="s">
        <v>1186</v>
      </c>
      <c r="D678" t="s">
        <v>3662</v>
      </c>
      <c r="E678" t="s">
        <v>3663</v>
      </c>
      <c r="F678" t="s">
        <v>3664</v>
      </c>
      <c r="G678" s="4">
        <v>45233</v>
      </c>
      <c r="H678" s="4">
        <v>45819</v>
      </c>
      <c r="I678" s="4">
        <v>45830</v>
      </c>
      <c r="J678">
        <f t="shared" si="50"/>
        <v>11</v>
      </c>
      <c r="K678" t="str">
        <f t="array" ref="K678">_xlfn.IFS(J678=1,"Day Use",J678&lt;=3,"Short Stay",J678&lt;=7,"Extended Stay",J678&gt;=8,"Long Stay")</f>
        <v>Long Stay</v>
      </c>
      <c r="L678" t="s">
        <v>25</v>
      </c>
      <c r="M678" s="10" t="str">
        <f t="shared" si="51"/>
        <v>Suite</v>
      </c>
      <c r="N678" t="s">
        <v>148</v>
      </c>
      <c r="O678" t="s">
        <v>27</v>
      </c>
      <c r="P678">
        <f>IFERROR(VLOOKUP(TRIM(M678),Room!D:H,5,FALSE),5000)</f>
        <v>12500</v>
      </c>
      <c r="Q678">
        <f t="shared" si="52"/>
        <v>137500</v>
      </c>
      <c r="R678" s="11" t="str">
        <f t="shared" si="53"/>
        <v>Business</v>
      </c>
      <c r="S678" s="11">
        <f t="shared" si="54"/>
        <v>5</v>
      </c>
    </row>
    <row r="679" spans="1:19">
      <c r="A679" t="s">
        <v>3665</v>
      </c>
      <c r="B679" t="s">
        <v>3666</v>
      </c>
      <c r="C679" t="s">
        <v>186</v>
      </c>
      <c r="D679" t="s">
        <v>3667</v>
      </c>
      <c r="E679" t="s">
        <v>3668</v>
      </c>
      <c r="F679" t="s">
        <v>3669</v>
      </c>
      <c r="G679" s="4">
        <v>45284</v>
      </c>
      <c r="H679" s="4">
        <v>45449</v>
      </c>
      <c r="I679" s="4">
        <v>45450</v>
      </c>
      <c r="J679">
        <f t="shared" si="50"/>
        <v>1</v>
      </c>
      <c r="K679" t="str">
        <f t="array" ref="K679">_xlfn.IFS(J679=1,"Day Use",J679&lt;=3,"Short Stay",J679&lt;=7,"Extended Stay",J679&gt;=8,"Long Stay")</f>
        <v>Day Use</v>
      </c>
      <c r="L679" t="s">
        <v>34</v>
      </c>
      <c r="M679" s="10" t="str">
        <f t="shared" si="51"/>
        <v>Standard</v>
      </c>
      <c r="N679" t="s">
        <v>148</v>
      </c>
      <c r="O679" t="s">
        <v>27</v>
      </c>
      <c r="P679">
        <f>IFERROR(VLOOKUP(TRIM(M679),Room!D:H,5,FALSE),5000)</f>
        <v>3200</v>
      </c>
      <c r="Q679">
        <f t="shared" si="52"/>
        <v>3200</v>
      </c>
      <c r="R679" s="11" t="str">
        <f t="shared" si="53"/>
        <v>Other</v>
      </c>
      <c r="S679" s="11">
        <f t="shared" si="54"/>
        <v>1</v>
      </c>
    </row>
    <row r="680" spans="1:19">
      <c r="A680" t="s">
        <v>3670</v>
      </c>
      <c r="B680" t="s">
        <v>3671</v>
      </c>
      <c r="C680" t="s">
        <v>223</v>
      </c>
      <c r="D680" t="s">
        <v>3672</v>
      </c>
      <c r="E680" t="s">
        <v>3673</v>
      </c>
      <c r="F680" t="s">
        <v>3674</v>
      </c>
      <c r="G680" s="4">
        <v>45627</v>
      </c>
      <c r="H680" s="4">
        <v>45649</v>
      </c>
      <c r="I680" s="4">
        <v>45660</v>
      </c>
      <c r="J680">
        <f t="shared" si="50"/>
        <v>11</v>
      </c>
      <c r="K680" t="str">
        <f t="array" ref="K680">_xlfn.IFS(J680=1,"Day Use",J680&lt;=3,"Short Stay",J680&lt;=7,"Extended Stay",J680&gt;=8,"Long Stay")</f>
        <v>Long Stay</v>
      </c>
      <c r="L680" t="s">
        <v>141</v>
      </c>
      <c r="M680" s="10" t="str">
        <f t="shared" si="51"/>
        <v>Suite</v>
      </c>
      <c r="N680" t="s">
        <v>26</v>
      </c>
      <c r="O680" t="s">
        <v>35</v>
      </c>
      <c r="P680">
        <f>IFERROR(VLOOKUP(TRIM(M680),Room!D:H,5,FALSE),5000)</f>
        <v>12500</v>
      </c>
      <c r="Q680">
        <f t="shared" si="52"/>
        <v>137500</v>
      </c>
      <c r="R680" s="11" t="str">
        <f t="shared" si="53"/>
        <v>Business</v>
      </c>
      <c r="S680" s="11">
        <f t="shared" si="54"/>
        <v>5</v>
      </c>
    </row>
    <row r="681" spans="1:19">
      <c r="A681" t="s">
        <v>3675</v>
      </c>
      <c r="B681" t="s">
        <v>3676</v>
      </c>
      <c r="C681" t="s">
        <v>1399</v>
      </c>
      <c r="D681" t="s">
        <v>3677</v>
      </c>
      <c r="E681" t="s">
        <v>3678</v>
      </c>
      <c r="F681" t="s">
        <v>3679</v>
      </c>
      <c r="G681" s="4">
        <v>45511</v>
      </c>
      <c r="H681" s="4">
        <v>45964</v>
      </c>
      <c r="I681" s="4">
        <v>45966</v>
      </c>
      <c r="J681">
        <f t="shared" si="50"/>
        <v>2</v>
      </c>
      <c r="K681" t="str">
        <f t="array" ref="K681">_xlfn.IFS(J681=1,"Day Use",J681&lt;=3,"Short Stay",J681&lt;=7,"Extended Stay",J681&gt;=8,"Long Stay")</f>
        <v>Short Stay</v>
      </c>
      <c r="L681" t="s">
        <v>25</v>
      </c>
      <c r="M681" s="10" t="str">
        <f t="shared" si="51"/>
        <v>Standard</v>
      </c>
      <c r="N681" t="s">
        <v>26</v>
      </c>
      <c r="O681" t="s">
        <v>35</v>
      </c>
      <c r="P681">
        <f>IFERROR(VLOOKUP(TRIM(M681),Room!D:H,5,FALSE),5000)</f>
        <v>3200</v>
      </c>
      <c r="Q681">
        <f t="shared" si="52"/>
        <v>6400</v>
      </c>
      <c r="R681" s="11" t="str">
        <f t="shared" si="53"/>
        <v>Other</v>
      </c>
      <c r="S681" s="11">
        <f t="shared" si="54"/>
        <v>2</v>
      </c>
    </row>
    <row r="682" spans="1:19">
      <c r="A682" t="s">
        <v>3680</v>
      </c>
      <c r="B682" t="s">
        <v>3681</v>
      </c>
      <c r="C682" t="s">
        <v>1036</v>
      </c>
      <c r="D682" t="s">
        <v>3682</v>
      </c>
      <c r="E682" t="s">
        <v>3683</v>
      </c>
      <c r="F682" t="s">
        <v>3684</v>
      </c>
      <c r="G682" s="4">
        <v>45569</v>
      </c>
      <c r="H682" s="4">
        <v>45733</v>
      </c>
      <c r="I682" s="4">
        <v>45735</v>
      </c>
      <c r="J682">
        <f t="shared" si="50"/>
        <v>2</v>
      </c>
      <c r="K682" t="str">
        <f t="array" ref="K682">_xlfn.IFS(J682=1,"Day Use",J682&lt;=3,"Short Stay",J682&lt;=7,"Extended Stay",J682&gt;=8,"Long Stay")</f>
        <v>Short Stay</v>
      </c>
      <c r="L682" t="s">
        <v>49</v>
      </c>
      <c r="M682" s="10" t="str">
        <f t="shared" si="51"/>
        <v>Standard</v>
      </c>
      <c r="N682" t="s">
        <v>26</v>
      </c>
      <c r="O682" t="s">
        <v>71</v>
      </c>
      <c r="P682">
        <f>IFERROR(VLOOKUP(TRIM(M682),Room!D:H,5,FALSE),5000)</f>
        <v>3200</v>
      </c>
      <c r="Q682">
        <f t="shared" si="52"/>
        <v>6400</v>
      </c>
      <c r="R682" s="11" t="str">
        <f t="shared" si="53"/>
        <v>Other</v>
      </c>
      <c r="S682" s="11">
        <f t="shared" si="54"/>
        <v>2</v>
      </c>
    </row>
    <row r="683" spans="1:19">
      <c r="A683" t="s">
        <v>3685</v>
      </c>
      <c r="B683" t="s">
        <v>3686</v>
      </c>
      <c r="C683" t="s">
        <v>137</v>
      </c>
      <c r="D683" t="s">
        <v>3687</v>
      </c>
      <c r="E683" t="s">
        <v>3688</v>
      </c>
      <c r="F683" t="s">
        <v>3689</v>
      </c>
      <c r="G683" s="4">
        <v>45401</v>
      </c>
      <c r="H683" s="4">
        <v>45404</v>
      </c>
      <c r="I683" s="4">
        <v>45406</v>
      </c>
      <c r="J683">
        <f t="shared" si="50"/>
        <v>2</v>
      </c>
      <c r="K683" t="str">
        <f t="array" ref="K683">_xlfn.IFS(J683=1,"Day Use",J683&lt;=3,"Short Stay",J683&lt;=7,"Extended Stay",J683&gt;=8,"Long Stay")</f>
        <v>Short Stay</v>
      </c>
      <c r="L683" t="s">
        <v>49</v>
      </c>
      <c r="M683" s="10" t="str">
        <f t="shared" si="51"/>
        <v>Standard</v>
      </c>
      <c r="N683" t="s">
        <v>134</v>
      </c>
      <c r="O683" t="s">
        <v>35</v>
      </c>
      <c r="P683">
        <f>IFERROR(VLOOKUP(TRIM(M683),Room!D:H,5,FALSE),5000)</f>
        <v>3200</v>
      </c>
      <c r="Q683">
        <f t="shared" si="52"/>
        <v>6400</v>
      </c>
      <c r="R683" s="11" t="str">
        <f t="shared" si="53"/>
        <v>Other</v>
      </c>
      <c r="S683" s="11">
        <f t="shared" si="54"/>
        <v>2</v>
      </c>
    </row>
    <row r="684" spans="1:19">
      <c r="A684" t="s">
        <v>3690</v>
      </c>
      <c r="B684" t="s">
        <v>3691</v>
      </c>
      <c r="C684" t="s">
        <v>661</v>
      </c>
      <c r="D684" t="s">
        <v>3692</v>
      </c>
      <c r="E684" t="s">
        <v>3693</v>
      </c>
      <c r="F684" t="s">
        <v>3694</v>
      </c>
      <c r="G684" s="4">
        <v>45860</v>
      </c>
      <c r="H684" s="4">
        <v>45869</v>
      </c>
      <c r="I684" s="4">
        <v>45878</v>
      </c>
      <c r="J684">
        <f t="shared" si="50"/>
        <v>9</v>
      </c>
      <c r="K684" t="str">
        <f t="array" ref="K684">_xlfn.IFS(J684=1,"Day Use",J684&lt;=3,"Short Stay",J684&lt;=7,"Extended Stay",J684&gt;=8,"Long Stay")</f>
        <v>Long Stay</v>
      </c>
      <c r="L684" t="s">
        <v>141</v>
      </c>
      <c r="M684" s="10" t="str">
        <f t="shared" si="51"/>
        <v>Premium</v>
      </c>
      <c r="N684" t="s">
        <v>26</v>
      </c>
      <c r="O684" t="s">
        <v>58</v>
      </c>
      <c r="P684">
        <f>IFERROR(VLOOKUP(TRIM(M684),Room!D:H,5,FALSE),5000)</f>
        <v>9500</v>
      </c>
      <c r="Q684">
        <f t="shared" si="52"/>
        <v>85500</v>
      </c>
      <c r="R684" s="11" t="str">
        <f t="shared" si="53"/>
        <v>Conference</v>
      </c>
      <c r="S684" s="11">
        <f t="shared" si="54"/>
        <v>4</v>
      </c>
    </row>
    <row r="685" spans="1:19">
      <c r="A685" t="s">
        <v>3695</v>
      </c>
      <c r="B685" t="s">
        <v>3696</v>
      </c>
      <c r="C685" t="s">
        <v>1431</v>
      </c>
      <c r="D685" t="s">
        <v>3697</v>
      </c>
      <c r="E685" t="s">
        <v>3698</v>
      </c>
      <c r="F685" t="s">
        <v>3699</v>
      </c>
      <c r="G685" s="4">
        <v>45451</v>
      </c>
      <c r="H685" s="4">
        <v>45483</v>
      </c>
      <c r="I685" s="4">
        <v>45487</v>
      </c>
      <c r="J685">
        <f t="shared" si="50"/>
        <v>4</v>
      </c>
      <c r="K685" t="str">
        <f t="array" ref="K685">_xlfn.IFS(J685=1,"Day Use",J685&lt;=3,"Short Stay",J685&lt;=7,"Extended Stay",J685&gt;=8,"Long Stay")</f>
        <v>Extended Stay</v>
      </c>
      <c r="L685" t="s">
        <v>196</v>
      </c>
      <c r="M685" s="10" t="str">
        <f t="shared" si="51"/>
        <v>Deluxe</v>
      </c>
      <c r="N685" t="s">
        <v>26</v>
      </c>
      <c r="O685" t="s">
        <v>58</v>
      </c>
      <c r="P685">
        <f>IFERROR(VLOOKUP(TRIM(M685),Room!D:H,5,FALSE),5000)</f>
        <v>5400</v>
      </c>
      <c r="Q685">
        <f t="shared" si="52"/>
        <v>21600</v>
      </c>
      <c r="R685" s="11" t="str">
        <f t="shared" si="53"/>
        <v>Conference</v>
      </c>
      <c r="S685" s="11">
        <f t="shared" si="54"/>
        <v>3</v>
      </c>
    </row>
    <row r="686" spans="1:19">
      <c r="A686" t="s">
        <v>3700</v>
      </c>
      <c r="B686" t="s">
        <v>3701</v>
      </c>
      <c r="C686" t="s">
        <v>679</v>
      </c>
      <c r="D686" t="s">
        <v>3702</v>
      </c>
      <c r="E686" t="s">
        <v>3703</v>
      </c>
      <c r="F686" t="s">
        <v>3704</v>
      </c>
      <c r="G686" s="4">
        <v>45724</v>
      </c>
      <c r="H686" s="4">
        <v>45982</v>
      </c>
      <c r="I686" s="4">
        <v>45996</v>
      </c>
      <c r="J686">
        <f t="shared" si="50"/>
        <v>14</v>
      </c>
      <c r="K686" t="str">
        <f t="array" ref="K686">_xlfn.IFS(J686=1,"Day Use",J686&lt;=3,"Short Stay",J686&lt;=7,"Extended Stay",J686&gt;=8,"Long Stay")</f>
        <v>Long Stay</v>
      </c>
      <c r="L686" t="s">
        <v>56</v>
      </c>
      <c r="M686" s="10" t="str">
        <f t="shared" si="51"/>
        <v>Suite</v>
      </c>
      <c r="N686" t="s">
        <v>148</v>
      </c>
      <c r="O686" t="s">
        <v>71</v>
      </c>
      <c r="P686">
        <f>IFERROR(VLOOKUP(TRIM(M686),Room!D:H,5,FALSE),5000)</f>
        <v>12500</v>
      </c>
      <c r="Q686">
        <f t="shared" si="52"/>
        <v>175000</v>
      </c>
      <c r="R686" s="11" t="str">
        <f t="shared" si="53"/>
        <v>Business</v>
      </c>
      <c r="S686" s="11">
        <f t="shared" si="54"/>
        <v>5</v>
      </c>
    </row>
    <row r="687" spans="1:19">
      <c r="A687" t="s">
        <v>3705</v>
      </c>
      <c r="B687" t="s">
        <v>3706</v>
      </c>
      <c r="C687" t="s">
        <v>21</v>
      </c>
      <c r="D687" t="s">
        <v>3707</v>
      </c>
      <c r="E687" t="s">
        <v>3708</v>
      </c>
      <c r="F687" t="s">
        <v>3709</v>
      </c>
      <c r="G687" s="4">
        <v>45473</v>
      </c>
      <c r="H687" s="4">
        <v>45475</v>
      </c>
      <c r="I687" s="4">
        <v>45476</v>
      </c>
      <c r="J687">
        <f t="shared" si="50"/>
        <v>1</v>
      </c>
      <c r="K687" t="str">
        <f t="array" ref="K687">_xlfn.IFS(J687=1,"Day Use",J687&lt;=3,"Short Stay",J687&lt;=7,"Extended Stay",J687&gt;=8,"Long Stay")</f>
        <v>Day Use</v>
      </c>
      <c r="L687" t="s">
        <v>91</v>
      </c>
      <c r="M687" s="10" t="str">
        <f t="shared" si="51"/>
        <v>Standard</v>
      </c>
      <c r="N687" t="s">
        <v>26</v>
      </c>
      <c r="O687" t="s">
        <v>35</v>
      </c>
      <c r="P687">
        <f>IFERROR(VLOOKUP(TRIM(M687),Room!D:H,5,FALSE),5000)</f>
        <v>3200</v>
      </c>
      <c r="Q687">
        <f t="shared" si="52"/>
        <v>3200</v>
      </c>
      <c r="R687" s="11" t="str">
        <f t="shared" si="53"/>
        <v>Other</v>
      </c>
      <c r="S687" s="11">
        <f t="shared" si="54"/>
        <v>1</v>
      </c>
    </row>
    <row r="688" spans="1:19">
      <c r="A688" t="s">
        <v>3710</v>
      </c>
      <c r="B688" t="s">
        <v>3711</v>
      </c>
      <c r="C688" t="s">
        <v>415</v>
      </c>
      <c r="D688" t="s">
        <v>3712</v>
      </c>
      <c r="E688" t="s">
        <v>3713</v>
      </c>
      <c r="F688" t="s">
        <v>3714</v>
      </c>
      <c r="G688" s="4">
        <v>45367</v>
      </c>
      <c r="H688" s="4">
        <v>45378</v>
      </c>
      <c r="I688" s="4">
        <v>45384</v>
      </c>
      <c r="J688">
        <f t="shared" si="50"/>
        <v>6</v>
      </c>
      <c r="K688" t="str">
        <f t="array" ref="K688">_xlfn.IFS(J688=1,"Day Use",J688&lt;=3,"Short Stay",J688&lt;=7,"Extended Stay",J688&gt;=8,"Long Stay")</f>
        <v>Extended Stay</v>
      </c>
      <c r="L688" t="s">
        <v>34</v>
      </c>
      <c r="M688" s="10" t="str">
        <f t="shared" si="51"/>
        <v>Deluxe</v>
      </c>
      <c r="N688" t="s">
        <v>26</v>
      </c>
      <c r="O688" t="s">
        <v>27</v>
      </c>
      <c r="P688">
        <f>IFERROR(VLOOKUP(TRIM(M688),Room!D:H,5,FALSE),5000)</f>
        <v>5400</v>
      </c>
      <c r="Q688">
        <f t="shared" si="52"/>
        <v>32400</v>
      </c>
      <c r="R688" s="11" t="str">
        <f t="shared" si="53"/>
        <v>Conference</v>
      </c>
      <c r="S688" s="11">
        <f t="shared" si="54"/>
        <v>3</v>
      </c>
    </row>
    <row r="689" spans="1:19">
      <c r="A689" t="s">
        <v>3715</v>
      </c>
      <c r="B689" t="s">
        <v>3716</v>
      </c>
      <c r="C689" t="s">
        <v>786</v>
      </c>
      <c r="D689" t="s">
        <v>3717</v>
      </c>
      <c r="E689" t="s">
        <v>3718</v>
      </c>
      <c r="F689" t="s">
        <v>3719</v>
      </c>
      <c r="G689" s="4">
        <v>45737</v>
      </c>
      <c r="H689" s="4">
        <v>45783</v>
      </c>
      <c r="I689" s="4">
        <v>45794</v>
      </c>
      <c r="J689">
        <f t="shared" si="50"/>
        <v>11</v>
      </c>
      <c r="K689" t="str">
        <f t="array" ref="K689">_xlfn.IFS(J689=1,"Day Use",J689&lt;=3,"Short Stay",J689&lt;=7,"Extended Stay",J689&gt;=8,"Long Stay")</f>
        <v>Long Stay</v>
      </c>
      <c r="L689" t="s">
        <v>25</v>
      </c>
      <c r="M689" s="10" t="str">
        <f t="shared" si="51"/>
        <v>Suite</v>
      </c>
      <c r="N689" t="s">
        <v>26</v>
      </c>
      <c r="O689" t="s">
        <v>35</v>
      </c>
      <c r="P689">
        <f>IFERROR(VLOOKUP(TRIM(M689),Room!D:H,5,FALSE),5000)</f>
        <v>12500</v>
      </c>
      <c r="Q689">
        <f t="shared" si="52"/>
        <v>137500</v>
      </c>
      <c r="R689" s="11" t="str">
        <f t="shared" si="53"/>
        <v>Business</v>
      </c>
      <c r="S689" s="11">
        <f t="shared" si="54"/>
        <v>5</v>
      </c>
    </row>
    <row r="690" spans="1:19">
      <c r="A690" t="s">
        <v>3720</v>
      </c>
      <c r="B690" t="s">
        <v>3721</v>
      </c>
      <c r="C690" t="s">
        <v>639</v>
      </c>
      <c r="D690" t="s">
        <v>3722</v>
      </c>
      <c r="E690" t="s">
        <v>3723</v>
      </c>
      <c r="F690" t="s">
        <v>3724</v>
      </c>
      <c r="G690" s="4">
        <v>45316</v>
      </c>
      <c r="H690" s="4">
        <v>45325</v>
      </c>
      <c r="I690" s="4">
        <v>45336</v>
      </c>
      <c r="J690">
        <f t="shared" si="50"/>
        <v>11</v>
      </c>
      <c r="K690" t="str">
        <f t="array" ref="K690">_xlfn.IFS(J690=1,"Day Use",J690&lt;=3,"Short Stay",J690&lt;=7,"Extended Stay",J690&gt;=8,"Long Stay")</f>
        <v>Long Stay</v>
      </c>
      <c r="L690" t="s">
        <v>34</v>
      </c>
      <c r="M690" s="10" t="str">
        <f t="shared" si="51"/>
        <v>Suite</v>
      </c>
      <c r="N690" t="s">
        <v>26</v>
      </c>
      <c r="O690" t="s">
        <v>58</v>
      </c>
      <c r="P690">
        <f>IFERROR(VLOOKUP(TRIM(M690),Room!D:H,5,FALSE),5000)</f>
        <v>12500</v>
      </c>
      <c r="Q690">
        <f t="shared" si="52"/>
        <v>137500</v>
      </c>
      <c r="R690" s="11" t="str">
        <f t="shared" si="53"/>
        <v>Business</v>
      </c>
      <c r="S690" s="11">
        <f t="shared" si="54"/>
        <v>5</v>
      </c>
    </row>
    <row r="691" spans="1:19">
      <c r="A691" t="s">
        <v>3725</v>
      </c>
      <c r="B691" t="s">
        <v>3726</v>
      </c>
      <c r="C691" t="s">
        <v>1361</v>
      </c>
      <c r="D691" t="s">
        <v>3727</v>
      </c>
      <c r="E691" t="s">
        <v>3728</v>
      </c>
      <c r="F691" t="s">
        <v>3729</v>
      </c>
      <c r="G691" s="4">
        <v>45266</v>
      </c>
      <c r="H691" s="4">
        <v>45516</v>
      </c>
      <c r="I691" s="4">
        <v>45517</v>
      </c>
      <c r="J691">
        <f t="shared" si="50"/>
        <v>1</v>
      </c>
      <c r="K691" t="str">
        <f t="array" ref="K691">_xlfn.IFS(J691=1,"Day Use",J691&lt;=3,"Short Stay",J691&lt;=7,"Extended Stay",J691&gt;=8,"Long Stay")</f>
        <v>Day Use</v>
      </c>
      <c r="L691" t="s">
        <v>56</v>
      </c>
      <c r="M691" s="10" t="str">
        <f t="shared" si="51"/>
        <v>Standard</v>
      </c>
      <c r="N691" t="s">
        <v>26</v>
      </c>
      <c r="O691" t="s">
        <v>42</v>
      </c>
      <c r="P691">
        <f>IFERROR(VLOOKUP(TRIM(M691),Room!D:H,5,FALSE),5000)</f>
        <v>3200</v>
      </c>
      <c r="Q691">
        <f t="shared" si="52"/>
        <v>3200</v>
      </c>
      <c r="R691" s="11" t="str">
        <f t="shared" si="53"/>
        <v>Other</v>
      </c>
      <c r="S691" s="11">
        <f t="shared" si="54"/>
        <v>1</v>
      </c>
    </row>
    <row r="692" spans="1:19">
      <c r="A692" t="s">
        <v>3730</v>
      </c>
      <c r="B692" t="s">
        <v>3731</v>
      </c>
      <c r="C692" t="s">
        <v>927</v>
      </c>
      <c r="D692" t="s">
        <v>3732</v>
      </c>
      <c r="E692" t="s">
        <v>3733</v>
      </c>
      <c r="F692" t="s">
        <v>3734</v>
      </c>
      <c r="G692" s="4">
        <v>45543</v>
      </c>
      <c r="H692" s="4">
        <v>45971</v>
      </c>
      <c r="I692" s="4">
        <v>45981</v>
      </c>
      <c r="J692">
        <f t="shared" si="50"/>
        <v>10</v>
      </c>
      <c r="K692" t="str">
        <f t="array" ref="K692">_xlfn.IFS(J692=1,"Day Use",J692&lt;=3,"Short Stay",J692&lt;=7,"Extended Stay",J692&gt;=8,"Long Stay")</f>
        <v>Long Stay</v>
      </c>
      <c r="L692" t="s">
        <v>25</v>
      </c>
      <c r="M692" s="10" t="str">
        <f t="shared" si="51"/>
        <v>Premium</v>
      </c>
      <c r="N692" t="s">
        <v>57</v>
      </c>
      <c r="O692" t="s">
        <v>35</v>
      </c>
      <c r="P692">
        <f>IFERROR(VLOOKUP(TRIM(M692),Room!D:H,5,FALSE),5000)</f>
        <v>9500</v>
      </c>
      <c r="Q692">
        <f t="shared" si="52"/>
        <v>95000</v>
      </c>
      <c r="R692" s="11" t="str">
        <f t="shared" si="53"/>
        <v>Conference</v>
      </c>
      <c r="S692" s="11">
        <f t="shared" si="54"/>
        <v>4</v>
      </c>
    </row>
    <row r="693" spans="1:19">
      <c r="A693" t="s">
        <v>3735</v>
      </c>
      <c r="B693" t="s">
        <v>3736</v>
      </c>
      <c r="C693" t="s">
        <v>1476</v>
      </c>
      <c r="D693" t="s">
        <v>3737</v>
      </c>
      <c r="E693" t="s">
        <v>3738</v>
      </c>
      <c r="F693" t="s">
        <v>3739</v>
      </c>
      <c r="G693" s="4">
        <v>45730</v>
      </c>
      <c r="H693" s="4">
        <v>45752</v>
      </c>
      <c r="I693" s="4">
        <v>45764</v>
      </c>
      <c r="J693">
        <f t="shared" si="50"/>
        <v>12</v>
      </c>
      <c r="K693" t="str">
        <f t="array" ref="K693">_xlfn.IFS(J693=1,"Day Use",J693&lt;=3,"Short Stay",J693&lt;=7,"Extended Stay",J693&gt;=8,"Long Stay")</f>
        <v>Long Stay</v>
      </c>
      <c r="L693" t="s">
        <v>25</v>
      </c>
      <c r="M693" s="10" t="str">
        <f t="shared" si="51"/>
        <v>Suite</v>
      </c>
      <c r="N693" t="s">
        <v>26</v>
      </c>
      <c r="O693" t="s">
        <v>27</v>
      </c>
      <c r="P693">
        <f>IFERROR(VLOOKUP(TRIM(M693),Room!D:H,5,FALSE),5000)</f>
        <v>12500</v>
      </c>
      <c r="Q693">
        <f t="shared" si="52"/>
        <v>150000</v>
      </c>
      <c r="R693" s="11" t="str">
        <f t="shared" si="53"/>
        <v>Business</v>
      </c>
      <c r="S693" s="11">
        <f t="shared" si="54"/>
        <v>5</v>
      </c>
    </row>
    <row r="694" spans="1:19">
      <c r="A694" t="s">
        <v>3740</v>
      </c>
      <c r="B694" t="s">
        <v>3741</v>
      </c>
      <c r="C694" t="s">
        <v>661</v>
      </c>
      <c r="D694" t="s">
        <v>3742</v>
      </c>
      <c r="E694" t="s">
        <v>3743</v>
      </c>
      <c r="F694" t="s">
        <v>3744</v>
      </c>
      <c r="G694" s="4">
        <v>45698</v>
      </c>
      <c r="H694" s="4">
        <v>45704</v>
      </c>
      <c r="I694" s="4">
        <v>45708</v>
      </c>
      <c r="J694">
        <f t="shared" si="50"/>
        <v>4</v>
      </c>
      <c r="K694" t="str">
        <f t="array" ref="K694">_xlfn.IFS(J694=1,"Day Use",J694&lt;=3,"Short Stay",J694&lt;=7,"Extended Stay",J694&gt;=8,"Long Stay")</f>
        <v>Extended Stay</v>
      </c>
      <c r="L694" t="s">
        <v>84</v>
      </c>
      <c r="M694" s="10" t="str">
        <f t="shared" si="51"/>
        <v>Deluxe</v>
      </c>
      <c r="N694" t="s">
        <v>26</v>
      </c>
      <c r="O694" t="s">
        <v>35</v>
      </c>
      <c r="P694">
        <f>IFERROR(VLOOKUP(TRIM(M694),Room!D:H,5,FALSE),5000)</f>
        <v>5400</v>
      </c>
      <c r="Q694">
        <f t="shared" si="52"/>
        <v>21600</v>
      </c>
      <c r="R694" s="11" t="str">
        <f t="shared" si="53"/>
        <v>Conference</v>
      </c>
      <c r="S694" s="11">
        <f t="shared" si="54"/>
        <v>3</v>
      </c>
    </row>
    <row r="695" spans="1:19">
      <c r="A695" t="s">
        <v>3745</v>
      </c>
      <c r="B695" t="s">
        <v>3746</v>
      </c>
      <c r="C695" t="s">
        <v>363</v>
      </c>
      <c r="D695" t="s">
        <v>3747</v>
      </c>
      <c r="E695" t="s">
        <v>3748</v>
      </c>
      <c r="F695" t="s">
        <v>3749</v>
      </c>
      <c r="G695" s="4">
        <v>45347</v>
      </c>
      <c r="H695" s="4">
        <v>45787</v>
      </c>
      <c r="I695" s="4">
        <v>45801</v>
      </c>
      <c r="J695">
        <f t="shared" si="50"/>
        <v>14</v>
      </c>
      <c r="K695" t="str">
        <f t="array" ref="K695">_xlfn.IFS(J695=1,"Day Use",J695&lt;=3,"Short Stay",J695&lt;=7,"Extended Stay",J695&gt;=8,"Long Stay")</f>
        <v>Long Stay</v>
      </c>
      <c r="L695" t="s">
        <v>56</v>
      </c>
      <c r="M695" s="10" t="str">
        <f t="shared" si="51"/>
        <v>Suite</v>
      </c>
      <c r="N695" t="s">
        <v>26</v>
      </c>
      <c r="O695" t="s">
        <v>27</v>
      </c>
      <c r="P695">
        <f>IFERROR(VLOOKUP(TRIM(M695),Room!D:H,5,FALSE),5000)</f>
        <v>12500</v>
      </c>
      <c r="Q695">
        <f t="shared" si="52"/>
        <v>175000</v>
      </c>
      <c r="R695" s="11" t="str">
        <f t="shared" si="53"/>
        <v>Business</v>
      </c>
      <c r="S695" s="11">
        <f t="shared" si="54"/>
        <v>5</v>
      </c>
    </row>
    <row r="696" spans="1:19">
      <c r="A696" t="s">
        <v>3750</v>
      </c>
      <c r="B696" t="s">
        <v>3751</v>
      </c>
      <c r="C696" t="s">
        <v>192</v>
      </c>
      <c r="D696" t="s">
        <v>3752</v>
      </c>
      <c r="E696" t="s">
        <v>3753</v>
      </c>
      <c r="F696" t="s">
        <v>3754</v>
      </c>
      <c r="G696" s="4">
        <v>45355</v>
      </c>
      <c r="H696" s="4">
        <v>45368</v>
      </c>
      <c r="I696" s="4">
        <v>45375</v>
      </c>
      <c r="J696">
        <f t="shared" si="50"/>
        <v>7</v>
      </c>
      <c r="K696" t="str">
        <f t="array" ref="K696">_xlfn.IFS(J696=1,"Day Use",J696&lt;=3,"Short Stay",J696&lt;=7,"Extended Stay",J696&gt;=8,"Long Stay")</f>
        <v>Extended Stay</v>
      </c>
      <c r="L696" t="s">
        <v>91</v>
      </c>
      <c r="M696" s="10" t="str">
        <f t="shared" si="51"/>
        <v>Premium</v>
      </c>
      <c r="N696" t="s">
        <v>26</v>
      </c>
      <c r="O696" t="s">
        <v>42</v>
      </c>
      <c r="P696">
        <f>IFERROR(VLOOKUP(TRIM(M696),Room!D:H,5,FALSE),5000)</f>
        <v>9500</v>
      </c>
      <c r="Q696">
        <f t="shared" si="52"/>
        <v>66500</v>
      </c>
      <c r="R696" s="11" t="str">
        <f t="shared" si="53"/>
        <v>Conference</v>
      </c>
      <c r="S696" s="11">
        <f t="shared" si="54"/>
        <v>4</v>
      </c>
    </row>
    <row r="697" spans="1:19">
      <c r="A697" t="s">
        <v>3755</v>
      </c>
      <c r="B697" t="s">
        <v>3756</v>
      </c>
      <c r="C697" t="s">
        <v>1030</v>
      </c>
      <c r="D697" t="s">
        <v>3757</v>
      </c>
      <c r="E697" t="s">
        <v>3758</v>
      </c>
      <c r="F697" t="s">
        <v>3759</v>
      </c>
      <c r="G697" s="4">
        <v>45578</v>
      </c>
      <c r="H697" s="4">
        <v>45797</v>
      </c>
      <c r="I697" s="4">
        <v>45806</v>
      </c>
      <c r="J697">
        <f t="shared" si="50"/>
        <v>9</v>
      </c>
      <c r="K697" t="str">
        <f t="array" ref="K697">_xlfn.IFS(J697=1,"Day Use",J697&lt;=3,"Short Stay",J697&lt;=7,"Extended Stay",J697&gt;=8,"Long Stay")</f>
        <v>Long Stay</v>
      </c>
      <c r="L697" t="s">
        <v>91</v>
      </c>
      <c r="M697" s="10" t="str">
        <f t="shared" si="51"/>
        <v>Premium</v>
      </c>
      <c r="N697" t="s">
        <v>26</v>
      </c>
      <c r="O697" t="s">
        <v>58</v>
      </c>
      <c r="P697">
        <f>IFERROR(VLOOKUP(TRIM(M697),Room!D:H,5,FALSE),5000)</f>
        <v>9500</v>
      </c>
      <c r="Q697">
        <f t="shared" si="52"/>
        <v>85500</v>
      </c>
      <c r="R697" s="11" t="str">
        <f t="shared" si="53"/>
        <v>Conference</v>
      </c>
      <c r="S697" s="11">
        <f t="shared" si="54"/>
        <v>4</v>
      </c>
    </row>
    <row r="698" spans="1:19">
      <c r="A698" t="s">
        <v>3760</v>
      </c>
      <c r="B698" t="s">
        <v>3761</v>
      </c>
      <c r="C698" t="s">
        <v>3762</v>
      </c>
      <c r="D698" t="s">
        <v>3763</v>
      </c>
      <c r="E698" t="s">
        <v>3764</v>
      </c>
      <c r="F698" t="s">
        <v>3765</v>
      </c>
      <c r="G698" s="4">
        <v>45591</v>
      </c>
      <c r="H698" s="4">
        <v>45601</v>
      </c>
      <c r="I698" s="4">
        <v>45614</v>
      </c>
      <c r="J698">
        <f t="shared" si="50"/>
        <v>13</v>
      </c>
      <c r="K698" t="str">
        <f t="array" ref="K698">_xlfn.IFS(J698=1,"Day Use",J698&lt;=3,"Short Stay",J698&lt;=7,"Extended Stay",J698&gt;=8,"Long Stay")</f>
        <v>Long Stay</v>
      </c>
      <c r="L698" t="s">
        <v>49</v>
      </c>
      <c r="M698" s="10" t="str">
        <f t="shared" si="51"/>
        <v>Suite</v>
      </c>
      <c r="N698" t="s">
        <v>148</v>
      </c>
      <c r="O698" t="s">
        <v>42</v>
      </c>
      <c r="P698">
        <f>IFERROR(VLOOKUP(TRIM(M698),Room!D:H,5,FALSE),5000)</f>
        <v>12500</v>
      </c>
      <c r="Q698">
        <f t="shared" si="52"/>
        <v>162500</v>
      </c>
      <c r="R698" s="11" t="str">
        <f t="shared" si="53"/>
        <v>Business</v>
      </c>
      <c r="S698" s="11">
        <f t="shared" si="54"/>
        <v>5</v>
      </c>
    </row>
    <row r="699" spans="1:19">
      <c r="A699" t="s">
        <v>3766</v>
      </c>
      <c r="B699" t="s">
        <v>3767</v>
      </c>
      <c r="C699" t="s">
        <v>61</v>
      </c>
      <c r="D699" t="s">
        <v>3768</v>
      </c>
      <c r="E699" t="s">
        <v>3769</v>
      </c>
      <c r="F699" t="s">
        <v>3770</v>
      </c>
      <c r="G699" s="4">
        <v>45267</v>
      </c>
      <c r="H699" s="4">
        <v>45361</v>
      </c>
      <c r="I699" s="4">
        <v>45375</v>
      </c>
      <c r="J699">
        <f t="shared" si="50"/>
        <v>14</v>
      </c>
      <c r="K699" t="str">
        <f t="array" ref="K699">_xlfn.IFS(J699=1,"Day Use",J699&lt;=3,"Short Stay",J699&lt;=7,"Extended Stay",J699&gt;=8,"Long Stay")</f>
        <v>Long Stay</v>
      </c>
      <c r="L699" t="s">
        <v>91</v>
      </c>
      <c r="M699" s="10" t="str">
        <f t="shared" si="51"/>
        <v>Suite</v>
      </c>
      <c r="N699" t="s">
        <v>26</v>
      </c>
      <c r="O699" t="s">
        <v>35</v>
      </c>
      <c r="P699">
        <f>IFERROR(VLOOKUP(TRIM(M699),Room!D:H,5,FALSE),5000)</f>
        <v>12500</v>
      </c>
      <c r="Q699">
        <f t="shared" si="52"/>
        <v>175000</v>
      </c>
      <c r="R699" s="11" t="str">
        <f t="shared" si="53"/>
        <v>Business</v>
      </c>
      <c r="S699" s="11">
        <f t="shared" si="54"/>
        <v>5</v>
      </c>
    </row>
    <row r="700" spans="1:19">
      <c r="A700" t="s">
        <v>3771</v>
      </c>
      <c r="B700" t="s">
        <v>3772</v>
      </c>
      <c r="C700" t="s">
        <v>100</v>
      </c>
      <c r="D700" t="s">
        <v>3773</v>
      </c>
      <c r="E700" t="s">
        <v>3774</v>
      </c>
      <c r="F700" t="s">
        <v>3775</v>
      </c>
      <c r="G700" s="4">
        <v>45409</v>
      </c>
      <c r="H700" s="4">
        <v>45707</v>
      </c>
      <c r="I700" s="4">
        <v>45714</v>
      </c>
      <c r="J700">
        <f t="shared" si="50"/>
        <v>7</v>
      </c>
      <c r="K700" t="str">
        <f t="array" ref="K700">_xlfn.IFS(J700=1,"Day Use",J700&lt;=3,"Short Stay",J700&lt;=7,"Extended Stay",J700&gt;=8,"Long Stay")</f>
        <v>Extended Stay</v>
      </c>
      <c r="L700" t="s">
        <v>84</v>
      </c>
      <c r="M700" s="10" t="str">
        <f t="shared" si="51"/>
        <v>Premium</v>
      </c>
      <c r="N700" t="s">
        <v>26</v>
      </c>
      <c r="O700" t="s">
        <v>42</v>
      </c>
      <c r="P700">
        <f>IFERROR(VLOOKUP(TRIM(M700),Room!D:H,5,FALSE),5000)</f>
        <v>9500</v>
      </c>
      <c r="Q700">
        <f t="shared" si="52"/>
        <v>66500</v>
      </c>
      <c r="R700" s="11" t="str">
        <f t="shared" si="53"/>
        <v>Conference</v>
      </c>
      <c r="S700" s="11">
        <f t="shared" si="54"/>
        <v>4</v>
      </c>
    </row>
    <row r="701" spans="1:19">
      <c r="A701" t="s">
        <v>3776</v>
      </c>
      <c r="B701" t="s">
        <v>3777</v>
      </c>
      <c r="C701" t="s">
        <v>3118</v>
      </c>
      <c r="D701" t="s">
        <v>3778</v>
      </c>
      <c r="E701" t="s">
        <v>3779</v>
      </c>
      <c r="F701" t="s">
        <v>3780</v>
      </c>
      <c r="G701" s="4">
        <v>45425</v>
      </c>
      <c r="H701" s="4">
        <v>45594</v>
      </c>
      <c r="I701" s="4">
        <v>45608</v>
      </c>
      <c r="J701">
        <f t="shared" si="50"/>
        <v>14</v>
      </c>
      <c r="K701" t="str">
        <f t="array" ref="K701">_xlfn.IFS(J701=1,"Day Use",J701&lt;=3,"Short Stay",J701&lt;=7,"Extended Stay",J701&gt;=8,"Long Stay")</f>
        <v>Long Stay</v>
      </c>
      <c r="L701" t="s">
        <v>91</v>
      </c>
      <c r="M701" s="10" t="str">
        <f t="shared" si="51"/>
        <v>Suite</v>
      </c>
      <c r="N701" t="s">
        <v>26</v>
      </c>
      <c r="O701" t="s">
        <v>71</v>
      </c>
      <c r="P701">
        <f>IFERROR(VLOOKUP(TRIM(M701),Room!D:H,5,FALSE),5000)</f>
        <v>12500</v>
      </c>
      <c r="Q701">
        <f t="shared" si="52"/>
        <v>175000</v>
      </c>
      <c r="R701" s="11" t="str">
        <f t="shared" si="53"/>
        <v>Business</v>
      </c>
      <c r="S701" s="11">
        <f t="shared" si="54"/>
        <v>5</v>
      </c>
    </row>
    <row r="702" spans="1:19">
      <c r="A702" t="s">
        <v>3781</v>
      </c>
      <c r="B702" t="s">
        <v>3782</v>
      </c>
      <c r="C702" t="s">
        <v>3783</v>
      </c>
      <c r="D702" t="s">
        <v>3784</v>
      </c>
      <c r="E702" t="s">
        <v>3785</v>
      </c>
      <c r="F702" t="s">
        <v>3786</v>
      </c>
      <c r="G702" s="4">
        <v>45389</v>
      </c>
      <c r="H702" s="4">
        <v>45399</v>
      </c>
      <c r="I702" s="4">
        <v>45406</v>
      </c>
      <c r="J702">
        <f t="shared" si="50"/>
        <v>7</v>
      </c>
      <c r="K702" t="str">
        <f t="array" ref="K702">_xlfn.IFS(J702=1,"Day Use",J702&lt;=3,"Short Stay",J702&lt;=7,"Extended Stay",J702&gt;=8,"Long Stay")</f>
        <v>Extended Stay</v>
      </c>
      <c r="L702" t="s">
        <v>91</v>
      </c>
      <c r="M702" s="10" t="str">
        <f t="shared" si="51"/>
        <v>Premium</v>
      </c>
      <c r="N702" t="s">
        <v>57</v>
      </c>
      <c r="O702" t="s">
        <v>58</v>
      </c>
      <c r="P702">
        <f>IFERROR(VLOOKUP(TRIM(M702),Room!D:H,5,FALSE),5000)</f>
        <v>9500</v>
      </c>
      <c r="Q702">
        <f t="shared" si="52"/>
        <v>66500</v>
      </c>
      <c r="R702" s="11" t="str">
        <f t="shared" si="53"/>
        <v>Conference</v>
      </c>
      <c r="S702" s="11">
        <f t="shared" si="54"/>
        <v>4</v>
      </c>
    </row>
    <row r="703" spans="1:19">
      <c r="A703" t="s">
        <v>3787</v>
      </c>
      <c r="B703" t="s">
        <v>3788</v>
      </c>
      <c r="C703" t="s">
        <v>351</v>
      </c>
      <c r="D703" t="s">
        <v>3789</v>
      </c>
      <c r="E703" t="s">
        <v>3790</v>
      </c>
      <c r="F703" t="s">
        <v>3791</v>
      </c>
      <c r="G703" s="4">
        <v>45339</v>
      </c>
      <c r="H703" s="4">
        <v>45354</v>
      </c>
      <c r="I703" s="4">
        <v>45362</v>
      </c>
      <c r="J703">
        <f t="shared" si="50"/>
        <v>8</v>
      </c>
      <c r="K703" t="str">
        <f t="array" ref="K703">_xlfn.IFS(J703=1,"Day Use",J703&lt;=3,"Short Stay",J703&lt;=7,"Extended Stay",J703&gt;=8,"Long Stay")</f>
        <v>Long Stay</v>
      </c>
      <c r="L703" t="s">
        <v>56</v>
      </c>
      <c r="M703" s="10" t="str">
        <f t="shared" si="51"/>
        <v>Premium</v>
      </c>
      <c r="N703" t="s">
        <v>26</v>
      </c>
      <c r="O703" t="s">
        <v>58</v>
      </c>
      <c r="P703">
        <f>IFERROR(VLOOKUP(TRIM(M703),Room!D:H,5,FALSE),5000)</f>
        <v>9500</v>
      </c>
      <c r="Q703">
        <f t="shared" si="52"/>
        <v>76000</v>
      </c>
      <c r="R703" s="11" t="str">
        <f t="shared" si="53"/>
        <v>Conference</v>
      </c>
      <c r="S703" s="11">
        <f t="shared" si="54"/>
        <v>4</v>
      </c>
    </row>
    <row r="704" spans="1:19">
      <c r="A704" t="s">
        <v>3792</v>
      </c>
      <c r="B704" t="s">
        <v>3793</v>
      </c>
      <c r="C704" t="s">
        <v>835</v>
      </c>
      <c r="D704" t="s">
        <v>3794</v>
      </c>
      <c r="E704" t="s">
        <v>3795</v>
      </c>
      <c r="F704" t="s">
        <v>3796</v>
      </c>
      <c r="G704" s="4">
        <v>45311</v>
      </c>
      <c r="H704" s="4">
        <v>45945</v>
      </c>
      <c r="I704" s="4">
        <v>45948</v>
      </c>
      <c r="J704">
        <f t="shared" si="50"/>
        <v>3</v>
      </c>
      <c r="K704" t="str">
        <f t="array" ref="K704">_xlfn.IFS(J704=1,"Day Use",J704&lt;=3,"Short Stay",J704&lt;=7,"Extended Stay",J704&gt;=8,"Long Stay")</f>
        <v>Short Stay</v>
      </c>
      <c r="L704" t="s">
        <v>34</v>
      </c>
      <c r="M704" s="10" t="str">
        <f t="shared" si="51"/>
        <v>Standard</v>
      </c>
      <c r="N704" t="s">
        <v>26</v>
      </c>
      <c r="O704" t="s">
        <v>35</v>
      </c>
      <c r="P704">
        <f>IFERROR(VLOOKUP(TRIM(M704),Room!D:H,5,FALSE),5000)</f>
        <v>3200</v>
      </c>
      <c r="Q704">
        <f t="shared" si="52"/>
        <v>9600</v>
      </c>
      <c r="R704" s="11" t="str">
        <f t="shared" si="53"/>
        <v>Other</v>
      </c>
      <c r="S704" s="11">
        <f t="shared" si="54"/>
        <v>2</v>
      </c>
    </row>
    <row r="705" spans="1:19">
      <c r="A705" t="s">
        <v>3797</v>
      </c>
      <c r="B705" t="s">
        <v>3798</v>
      </c>
      <c r="C705" t="s">
        <v>157</v>
      </c>
      <c r="D705" t="s">
        <v>3799</v>
      </c>
      <c r="E705" t="s">
        <v>3800</v>
      </c>
      <c r="F705" t="s">
        <v>3801</v>
      </c>
      <c r="G705" s="4">
        <v>45616</v>
      </c>
      <c r="H705" s="4">
        <v>45620</v>
      </c>
      <c r="I705" s="4">
        <v>45631</v>
      </c>
      <c r="J705">
        <f t="shared" si="50"/>
        <v>11</v>
      </c>
      <c r="K705" t="str">
        <f t="array" ref="K705">_xlfn.IFS(J705=1,"Day Use",J705&lt;=3,"Short Stay",J705&lt;=7,"Extended Stay",J705&gt;=8,"Long Stay")</f>
        <v>Long Stay</v>
      </c>
      <c r="L705" t="s">
        <v>84</v>
      </c>
      <c r="M705" s="10" t="str">
        <f t="shared" si="51"/>
        <v>Suite</v>
      </c>
      <c r="N705" t="s">
        <v>57</v>
      </c>
      <c r="O705" t="s">
        <v>27</v>
      </c>
      <c r="P705">
        <f>IFERROR(VLOOKUP(TRIM(M705),Room!D:H,5,FALSE),5000)</f>
        <v>12500</v>
      </c>
      <c r="Q705">
        <f t="shared" si="52"/>
        <v>137500</v>
      </c>
      <c r="R705" s="11" t="str">
        <f t="shared" si="53"/>
        <v>Business</v>
      </c>
      <c r="S705" s="11">
        <f t="shared" si="54"/>
        <v>5</v>
      </c>
    </row>
    <row r="706" spans="1:19">
      <c r="A706" t="s">
        <v>3802</v>
      </c>
      <c r="B706" t="s">
        <v>3803</v>
      </c>
      <c r="C706" t="s">
        <v>1498</v>
      </c>
      <c r="D706" t="s">
        <v>3804</v>
      </c>
      <c r="E706" t="s">
        <v>3805</v>
      </c>
      <c r="F706" t="s">
        <v>3806</v>
      </c>
      <c r="G706" s="4">
        <v>45706</v>
      </c>
      <c r="H706" s="4">
        <v>45707</v>
      </c>
      <c r="I706" s="4">
        <v>45715</v>
      </c>
      <c r="J706">
        <f t="shared" ref="J706:J769" si="55">I706-H706</f>
        <v>8</v>
      </c>
      <c r="K706" t="str">
        <f t="array" ref="K706">_xlfn.IFS(J706=1,"Day Use",J706&lt;=3,"Short Stay",J706&lt;=7,"Extended Stay",J706&gt;=8,"Long Stay")</f>
        <v>Long Stay</v>
      </c>
      <c r="L706" t="s">
        <v>25</v>
      </c>
      <c r="M706" s="10" t="str">
        <f t="shared" ref="M706:M769" si="56">IF($J706&lt;=3,"Standard",IF($J706&lt;=6,"Deluxe",IF($J706&lt;=10,"Premium","Suite")))</f>
        <v>Premium</v>
      </c>
      <c r="N706" t="s">
        <v>26</v>
      </c>
      <c r="O706" t="s">
        <v>35</v>
      </c>
      <c r="P706">
        <f>IFERROR(VLOOKUP(TRIM(M706),Room!D:H,5,FALSE),5000)</f>
        <v>9500</v>
      </c>
      <c r="Q706">
        <f t="shared" si="52"/>
        <v>76000</v>
      </c>
      <c r="R706" s="11" t="str">
        <f t="shared" si="53"/>
        <v>Conference</v>
      </c>
      <c r="S706" s="11">
        <f t="shared" si="54"/>
        <v>4</v>
      </c>
    </row>
    <row r="707" spans="1:19">
      <c r="A707" t="s">
        <v>3807</v>
      </c>
      <c r="B707" t="s">
        <v>3808</v>
      </c>
      <c r="C707" t="s">
        <v>30</v>
      </c>
      <c r="D707" t="s">
        <v>3809</v>
      </c>
      <c r="E707" t="s">
        <v>3810</v>
      </c>
      <c r="F707" t="s">
        <v>3811</v>
      </c>
      <c r="G707" s="4">
        <v>45364</v>
      </c>
      <c r="H707" s="4">
        <v>45412</v>
      </c>
      <c r="I707" s="4">
        <v>45424</v>
      </c>
      <c r="J707">
        <f t="shared" si="55"/>
        <v>12</v>
      </c>
      <c r="K707" t="str">
        <f t="array" ref="K707">_xlfn.IFS(J707=1,"Day Use",J707&lt;=3,"Short Stay",J707&lt;=7,"Extended Stay",J707&gt;=8,"Long Stay")</f>
        <v>Long Stay</v>
      </c>
      <c r="L707" t="s">
        <v>34</v>
      </c>
      <c r="M707" s="10" t="str">
        <f t="shared" si="56"/>
        <v>Suite</v>
      </c>
      <c r="N707" t="s">
        <v>148</v>
      </c>
      <c r="O707" t="s">
        <v>58</v>
      </c>
      <c r="P707">
        <f>IFERROR(VLOOKUP(TRIM(M707),Room!D:H,5,FALSE),5000)</f>
        <v>12500</v>
      </c>
      <c r="Q707">
        <f t="shared" ref="Q707:Q770" si="57">P707*J707</f>
        <v>150000</v>
      </c>
      <c r="R707" s="11" t="str">
        <f t="shared" ref="R707:R770" si="58">IF(ISNUMBER(SEARCH("Suite",D707)),"Honeymoon",IF(P707&gt;10000,"Business",IF(P707&gt;5000,"Conference",IF(J707&gt;=8,"Family Vacation","Other"))))</f>
        <v>Business</v>
      </c>
      <c r="S707" s="11">
        <f t="shared" ref="S707:S770" si="59">IF(M707="Suite",5,IF(M707="Premium",IF(Q707&gt;20000,4,3),IF(M707="Deluxe",IF(Q707&gt;=10000,3,2),IF(M707="Standard",IF(Q707&gt;=5000,2,1),1))))</f>
        <v>5</v>
      </c>
    </row>
    <row r="708" spans="1:19">
      <c r="A708" t="s">
        <v>3812</v>
      </c>
      <c r="B708" t="s">
        <v>3813</v>
      </c>
      <c r="C708" t="s">
        <v>1545</v>
      </c>
      <c r="D708" t="s">
        <v>3814</v>
      </c>
      <c r="E708" t="s">
        <v>3815</v>
      </c>
      <c r="F708" t="s">
        <v>3816</v>
      </c>
      <c r="G708" s="4">
        <v>45606</v>
      </c>
      <c r="H708" s="4">
        <v>45635</v>
      </c>
      <c r="I708" s="4">
        <v>45644</v>
      </c>
      <c r="J708">
        <f t="shared" si="55"/>
        <v>9</v>
      </c>
      <c r="K708" t="str">
        <f t="array" ref="K708">_xlfn.IFS(J708=1,"Day Use",J708&lt;=3,"Short Stay",J708&lt;=7,"Extended Stay",J708&gt;=8,"Long Stay")</f>
        <v>Long Stay</v>
      </c>
      <c r="L708" t="s">
        <v>49</v>
      </c>
      <c r="M708" s="10" t="str">
        <f t="shared" si="56"/>
        <v>Premium</v>
      </c>
      <c r="N708" t="s">
        <v>26</v>
      </c>
      <c r="O708" t="s">
        <v>42</v>
      </c>
      <c r="P708">
        <f>IFERROR(VLOOKUP(TRIM(M708),Room!D:H,5,FALSE),5000)</f>
        <v>9500</v>
      </c>
      <c r="Q708">
        <f t="shared" si="57"/>
        <v>85500</v>
      </c>
      <c r="R708" s="11" t="str">
        <f t="shared" si="58"/>
        <v>Conference</v>
      </c>
      <c r="S708" s="11">
        <f t="shared" si="59"/>
        <v>4</v>
      </c>
    </row>
    <row r="709" spans="1:19">
      <c r="A709" t="s">
        <v>3817</v>
      </c>
      <c r="B709" t="s">
        <v>3818</v>
      </c>
      <c r="C709" t="s">
        <v>774</v>
      </c>
      <c r="D709" t="s">
        <v>3819</v>
      </c>
      <c r="E709" t="s">
        <v>3820</v>
      </c>
      <c r="F709" t="s">
        <v>3821</v>
      </c>
      <c r="G709" s="4">
        <v>45584</v>
      </c>
      <c r="H709" s="4">
        <v>45795</v>
      </c>
      <c r="I709" s="4">
        <v>45802</v>
      </c>
      <c r="J709">
        <f t="shared" si="55"/>
        <v>7</v>
      </c>
      <c r="K709" t="str">
        <f t="array" ref="K709">_xlfn.IFS(J709=1,"Day Use",J709&lt;=3,"Short Stay",J709&lt;=7,"Extended Stay",J709&gt;=8,"Long Stay")</f>
        <v>Extended Stay</v>
      </c>
      <c r="L709" t="s">
        <v>56</v>
      </c>
      <c r="M709" s="10" t="str">
        <f t="shared" si="56"/>
        <v>Premium</v>
      </c>
      <c r="N709" t="s">
        <v>26</v>
      </c>
      <c r="O709" t="s">
        <v>58</v>
      </c>
      <c r="P709">
        <f>IFERROR(VLOOKUP(TRIM(M709),Room!D:H,5,FALSE),5000)</f>
        <v>9500</v>
      </c>
      <c r="Q709">
        <f t="shared" si="57"/>
        <v>66500</v>
      </c>
      <c r="R709" s="11" t="str">
        <f t="shared" si="58"/>
        <v>Conference</v>
      </c>
      <c r="S709" s="11">
        <f t="shared" si="59"/>
        <v>4</v>
      </c>
    </row>
    <row r="710" spans="1:19">
      <c r="A710" t="s">
        <v>3822</v>
      </c>
      <c r="B710" t="s">
        <v>3823</v>
      </c>
      <c r="C710" t="s">
        <v>1186</v>
      </c>
      <c r="D710" t="s">
        <v>3824</v>
      </c>
      <c r="E710" t="s">
        <v>3825</v>
      </c>
      <c r="F710" t="s">
        <v>3826</v>
      </c>
      <c r="G710" s="4">
        <v>45383</v>
      </c>
      <c r="H710" s="4">
        <v>45882</v>
      </c>
      <c r="I710" s="4">
        <v>45889</v>
      </c>
      <c r="J710">
        <f t="shared" si="55"/>
        <v>7</v>
      </c>
      <c r="K710" t="str">
        <f t="array" ref="K710">_xlfn.IFS(J710=1,"Day Use",J710&lt;=3,"Short Stay",J710&lt;=7,"Extended Stay",J710&gt;=8,"Long Stay")</f>
        <v>Extended Stay</v>
      </c>
      <c r="L710" t="s">
        <v>56</v>
      </c>
      <c r="M710" s="10" t="str">
        <f t="shared" si="56"/>
        <v>Premium</v>
      </c>
      <c r="N710" t="s">
        <v>26</v>
      </c>
      <c r="O710" t="s">
        <v>35</v>
      </c>
      <c r="P710">
        <f>IFERROR(VLOOKUP(TRIM(M710),Room!D:H,5,FALSE),5000)</f>
        <v>9500</v>
      </c>
      <c r="Q710">
        <f t="shared" si="57"/>
        <v>66500</v>
      </c>
      <c r="R710" s="11" t="str">
        <f t="shared" si="58"/>
        <v>Conference</v>
      </c>
      <c r="S710" s="11">
        <f t="shared" si="59"/>
        <v>4</v>
      </c>
    </row>
    <row r="711" spans="1:19">
      <c r="A711" t="s">
        <v>3827</v>
      </c>
      <c r="B711" t="s">
        <v>3828</v>
      </c>
      <c r="C711" t="s">
        <v>130</v>
      </c>
      <c r="D711" t="s">
        <v>3829</v>
      </c>
      <c r="E711" t="s">
        <v>3830</v>
      </c>
      <c r="F711" t="s">
        <v>3831</v>
      </c>
      <c r="G711" s="4">
        <v>45309</v>
      </c>
      <c r="H711" s="4">
        <v>45338</v>
      </c>
      <c r="I711" s="4">
        <v>45346</v>
      </c>
      <c r="J711">
        <f t="shared" si="55"/>
        <v>8</v>
      </c>
      <c r="K711" t="str">
        <f t="array" ref="K711">_xlfn.IFS(J711=1,"Day Use",J711&lt;=3,"Short Stay",J711&lt;=7,"Extended Stay",J711&gt;=8,"Long Stay")</f>
        <v>Long Stay</v>
      </c>
      <c r="L711" t="s">
        <v>91</v>
      </c>
      <c r="M711" s="10" t="str">
        <f t="shared" si="56"/>
        <v>Premium</v>
      </c>
      <c r="N711" t="s">
        <v>26</v>
      </c>
      <c r="O711" t="s">
        <v>27</v>
      </c>
      <c r="P711">
        <f>IFERROR(VLOOKUP(TRIM(M711),Room!D:H,5,FALSE),5000)</f>
        <v>9500</v>
      </c>
      <c r="Q711">
        <f t="shared" si="57"/>
        <v>76000</v>
      </c>
      <c r="R711" s="11" t="str">
        <f t="shared" si="58"/>
        <v>Conference</v>
      </c>
      <c r="S711" s="11">
        <f t="shared" si="59"/>
        <v>4</v>
      </c>
    </row>
    <row r="712" spans="1:19">
      <c r="A712" t="s">
        <v>3832</v>
      </c>
      <c r="B712" t="s">
        <v>3833</v>
      </c>
      <c r="C712" t="s">
        <v>106</v>
      </c>
      <c r="D712" t="s">
        <v>3834</v>
      </c>
      <c r="E712" t="s">
        <v>3835</v>
      </c>
      <c r="F712" t="s">
        <v>3836</v>
      </c>
      <c r="G712" s="4">
        <v>45323</v>
      </c>
      <c r="H712" s="4">
        <v>45325</v>
      </c>
      <c r="I712" s="4">
        <v>45333</v>
      </c>
      <c r="J712">
        <f t="shared" si="55"/>
        <v>8</v>
      </c>
      <c r="K712" t="str">
        <f t="array" ref="K712">_xlfn.IFS(J712=1,"Day Use",J712&lt;=3,"Short Stay",J712&lt;=7,"Extended Stay",J712&gt;=8,"Long Stay")</f>
        <v>Long Stay</v>
      </c>
      <c r="L712" t="s">
        <v>84</v>
      </c>
      <c r="M712" s="10" t="str">
        <f t="shared" si="56"/>
        <v>Premium</v>
      </c>
      <c r="N712" t="s">
        <v>26</v>
      </c>
      <c r="O712" t="s">
        <v>58</v>
      </c>
      <c r="P712">
        <f>IFERROR(VLOOKUP(TRIM(M712),Room!D:H,5,FALSE),5000)</f>
        <v>9500</v>
      </c>
      <c r="Q712">
        <f t="shared" si="57"/>
        <v>76000</v>
      </c>
      <c r="R712" s="11" t="str">
        <f t="shared" si="58"/>
        <v>Conference</v>
      </c>
      <c r="S712" s="11">
        <f t="shared" si="59"/>
        <v>4</v>
      </c>
    </row>
    <row r="713" spans="1:19">
      <c r="A713" t="s">
        <v>3837</v>
      </c>
      <c r="B713" t="s">
        <v>3838</v>
      </c>
      <c r="C713" t="s">
        <v>345</v>
      </c>
      <c r="D713" t="s">
        <v>3839</v>
      </c>
      <c r="E713" t="s">
        <v>3840</v>
      </c>
      <c r="F713" t="s">
        <v>3841</v>
      </c>
      <c r="G713" s="4">
        <v>45354</v>
      </c>
      <c r="H713" s="4">
        <v>45504</v>
      </c>
      <c r="I713" s="4">
        <v>45513</v>
      </c>
      <c r="J713">
        <f t="shared" si="55"/>
        <v>9</v>
      </c>
      <c r="K713" t="str">
        <f t="array" ref="K713">_xlfn.IFS(J713=1,"Day Use",J713&lt;=3,"Short Stay",J713&lt;=7,"Extended Stay",J713&gt;=8,"Long Stay")</f>
        <v>Long Stay</v>
      </c>
      <c r="L713" t="s">
        <v>196</v>
      </c>
      <c r="M713" s="10" t="str">
        <f t="shared" si="56"/>
        <v>Premium</v>
      </c>
      <c r="N713" t="s">
        <v>57</v>
      </c>
      <c r="O713" t="s">
        <v>58</v>
      </c>
      <c r="P713">
        <f>IFERROR(VLOOKUP(TRIM(M713),Room!D:H,5,FALSE),5000)</f>
        <v>9500</v>
      </c>
      <c r="Q713">
        <f t="shared" si="57"/>
        <v>85500</v>
      </c>
      <c r="R713" s="11" t="str">
        <f t="shared" si="58"/>
        <v>Conference</v>
      </c>
      <c r="S713" s="11">
        <f t="shared" si="59"/>
        <v>4</v>
      </c>
    </row>
    <row r="714" spans="1:19">
      <c r="A714" t="s">
        <v>3842</v>
      </c>
      <c r="B714" t="s">
        <v>3843</v>
      </c>
      <c r="C714" t="s">
        <v>899</v>
      </c>
      <c r="D714" t="s">
        <v>3844</v>
      </c>
      <c r="E714" t="s">
        <v>3845</v>
      </c>
      <c r="F714" t="s">
        <v>3846</v>
      </c>
      <c r="G714" s="4">
        <v>45897</v>
      </c>
      <c r="H714" s="4">
        <v>45916</v>
      </c>
      <c r="I714" s="4">
        <v>45923</v>
      </c>
      <c r="J714">
        <f t="shared" si="55"/>
        <v>7</v>
      </c>
      <c r="K714" t="str">
        <f t="array" ref="K714">_xlfn.IFS(J714=1,"Day Use",J714&lt;=3,"Short Stay",J714&lt;=7,"Extended Stay",J714&gt;=8,"Long Stay")</f>
        <v>Extended Stay</v>
      </c>
      <c r="L714" t="s">
        <v>49</v>
      </c>
      <c r="M714" s="10" t="str">
        <f t="shared" si="56"/>
        <v>Premium</v>
      </c>
      <c r="N714" t="s">
        <v>26</v>
      </c>
      <c r="O714" t="s">
        <v>58</v>
      </c>
      <c r="P714">
        <f>IFERROR(VLOOKUP(TRIM(M714),Room!D:H,5,FALSE),5000)</f>
        <v>9500</v>
      </c>
      <c r="Q714">
        <f t="shared" si="57"/>
        <v>66500</v>
      </c>
      <c r="R714" s="11" t="str">
        <f t="shared" si="58"/>
        <v>Conference</v>
      </c>
      <c r="S714" s="11">
        <f t="shared" si="59"/>
        <v>4</v>
      </c>
    </row>
    <row r="715" spans="1:19">
      <c r="A715" t="s">
        <v>3847</v>
      </c>
      <c r="B715" t="s">
        <v>3848</v>
      </c>
      <c r="C715" t="s">
        <v>2233</v>
      </c>
      <c r="D715" t="s">
        <v>3849</v>
      </c>
      <c r="E715" t="s">
        <v>3850</v>
      </c>
      <c r="F715" t="s">
        <v>3851</v>
      </c>
      <c r="G715" s="4">
        <v>45257</v>
      </c>
      <c r="H715" s="4">
        <v>45427</v>
      </c>
      <c r="I715" s="4">
        <v>45429</v>
      </c>
      <c r="J715">
        <f t="shared" si="55"/>
        <v>2</v>
      </c>
      <c r="K715" t="str">
        <f t="array" ref="K715">_xlfn.IFS(J715=1,"Day Use",J715&lt;=3,"Short Stay",J715&lt;=7,"Extended Stay",J715&gt;=8,"Long Stay")</f>
        <v>Short Stay</v>
      </c>
      <c r="L715" t="s">
        <v>49</v>
      </c>
      <c r="M715" s="10" t="str">
        <f t="shared" si="56"/>
        <v>Standard</v>
      </c>
      <c r="N715" t="s">
        <v>26</v>
      </c>
      <c r="O715" t="s">
        <v>35</v>
      </c>
      <c r="P715">
        <f>IFERROR(VLOOKUP(TRIM(M715),Room!D:H,5,FALSE),5000)</f>
        <v>3200</v>
      </c>
      <c r="Q715">
        <f t="shared" si="57"/>
        <v>6400</v>
      </c>
      <c r="R715" s="11" t="str">
        <f t="shared" si="58"/>
        <v>Other</v>
      </c>
      <c r="S715" s="11">
        <f t="shared" si="59"/>
        <v>2</v>
      </c>
    </row>
    <row r="716" spans="1:19">
      <c r="A716" t="s">
        <v>3852</v>
      </c>
      <c r="B716" t="s">
        <v>3853</v>
      </c>
      <c r="C716" t="s">
        <v>1983</v>
      </c>
      <c r="D716" t="s">
        <v>3854</v>
      </c>
      <c r="E716" t="s">
        <v>3855</v>
      </c>
      <c r="F716" t="s">
        <v>3856</v>
      </c>
      <c r="G716" s="4">
        <v>45358</v>
      </c>
      <c r="H716" s="4">
        <v>45376</v>
      </c>
      <c r="I716" s="4">
        <v>45388</v>
      </c>
      <c r="J716">
        <f t="shared" si="55"/>
        <v>12</v>
      </c>
      <c r="K716" t="str">
        <f t="array" ref="K716">_xlfn.IFS(J716=1,"Day Use",J716&lt;=3,"Short Stay",J716&lt;=7,"Extended Stay",J716&gt;=8,"Long Stay")</f>
        <v>Long Stay</v>
      </c>
      <c r="L716" t="s">
        <v>56</v>
      </c>
      <c r="M716" s="10" t="str">
        <f t="shared" si="56"/>
        <v>Suite</v>
      </c>
      <c r="N716" t="s">
        <v>26</v>
      </c>
      <c r="O716" t="s">
        <v>35</v>
      </c>
      <c r="P716">
        <f>IFERROR(VLOOKUP(TRIM(M716),Room!D:H,5,FALSE),5000)</f>
        <v>12500</v>
      </c>
      <c r="Q716">
        <f t="shared" si="57"/>
        <v>150000</v>
      </c>
      <c r="R716" s="11" t="str">
        <f t="shared" si="58"/>
        <v>Business</v>
      </c>
      <c r="S716" s="11">
        <f t="shared" si="59"/>
        <v>5</v>
      </c>
    </row>
    <row r="717" spans="1:19">
      <c r="A717" t="s">
        <v>3857</v>
      </c>
      <c r="B717" t="s">
        <v>3858</v>
      </c>
      <c r="C717" t="s">
        <v>1983</v>
      </c>
      <c r="D717" t="s">
        <v>3859</v>
      </c>
      <c r="E717" t="s">
        <v>3860</v>
      </c>
      <c r="F717" t="s">
        <v>3861</v>
      </c>
      <c r="G717" s="4">
        <v>45459</v>
      </c>
      <c r="H717" s="4">
        <v>45483</v>
      </c>
      <c r="I717" s="4">
        <v>45488</v>
      </c>
      <c r="J717">
        <f t="shared" si="55"/>
        <v>5</v>
      </c>
      <c r="K717" t="str">
        <f t="array" ref="K717">_xlfn.IFS(J717=1,"Day Use",J717&lt;=3,"Short Stay",J717&lt;=7,"Extended Stay",J717&gt;=8,"Long Stay")</f>
        <v>Extended Stay</v>
      </c>
      <c r="L717" t="s">
        <v>84</v>
      </c>
      <c r="M717" s="10" t="str">
        <f t="shared" si="56"/>
        <v>Deluxe</v>
      </c>
      <c r="N717" t="s">
        <v>148</v>
      </c>
      <c r="O717" t="s">
        <v>42</v>
      </c>
      <c r="P717">
        <f>IFERROR(VLOOKUP(TRIM(M717),Room!D:H,5,FALSE),5000)</f>
        <v>5400</v>
      </c>
      <c r="Q717">
        <f t="shared" si="57"/>
        <v>27000</v>
      </c>
      <c r="R717" s="11" t="str">
        <f t="shared" si="58"/>
        <v>Conference</v>
      </c>
      <c r="S717" s="11">
        <f t="shared" si="59"/>
        <v>3</v>
      </c>
    </row>
    <row r="718" spans="1:19">
      <c r="A718" t="s">
        <v>3862</v>
      </c>
      <c r="B718" t="s">
        <v>3863</v>
      </c>
      <c r="C718" t="s">
        <v>2636</v>
      </c>
      <c r="D718" t="s">
        <v>3864</v>
      </c>
      <c r="E718" t="s">
        <v>3865</v>
      </c>
      <c r="F718" t="s">
        <v>3866</v>
      </c>
      <c r="G718" s="4">
        <v>45527</v>
      </c>
      <c r="H718" s="4">
        <v>45532</v>
      </c>
      <c r="I718" s="4">
        <v>45546</v>
      </c>
      <c r="J718">
        <f t="shared" si="55"/>
        <v>14</v>
      </c>
      <c r="K718" t="str">
        <f t="array" ref="K718">_xlfn.IFS(J718=1,"Day Use",J718&lt;=3,"Short Stay",J718&lt;=7,"Extended Stay",J718&gt;=8,"Long Stay")</f>
        <v>Long Stay</v>
      </c>
      <c r="L718" t="s">
        <v>25</v>
      </c>
      <c r="M718" s="10" t="str">
        <f t="shared" si="56"/>
        <v>Suite</v>
      </c>
      <c r="N718" t="s">
        <v>26</v>
      </c>
      <c r="O718" t="s">
        <v>35</v>
      </c>
      <c r="P718">
        <f>IFERROR(VLOOKUP(TRIM(M718),Room!D:H,5,FALSE),5000)</f>
        <v>12500</v>
      </c>
      <c r="Q718">
        <f t="shared" si="57"/>
        <v>175000</v>
      </c>
      <c r="R718" s="11" t="str">
        <f t="shared" si="58"/>
        <v>Business</v>
      </c>
      <c r="S718" s="11">
        <f t="shared" si="59"/>
        <v>5</v>
      </c>
    </row>
    <row r="719" spans="1:19">
      <c r="A719" t="s">
        <v>3867</v>
      </c>
      <c r="B719" t="s">
        <v>3868</v>
      </c>
      <c r="C719" t="s">
        <v>2175</v>
      </c>
      <c r="D719" t="s">
        <v>3869</v>
      </c>
      <c r="E719" t="s">
        <v>3870</v>
      </c>
      <c r="F719" t="s">
        <v>3871</v>
      </c>
      <c r="G719" s="4">
        <v>45615</v>
      </c>
      <c r="H719" s="4">
        <v>45903</v>
      </c>
      <c r="I719" s="4">
        <v>45908</v>
      </c>
      <c r="J719">
        <f t="shared" si="55"/>
        <v>5</v>
      </c>
      <c r="K719" t="str">
        <f t="array" ref="K719">_xlfn.IFS(J719=1,"Day Use",J719&lt;=3,"Short Stay",J719&lt;=7,"Extended Stay",J719&gt;=8,"Long Stay")</f>
        <v>Extended Stay</v>
      </c>
      <c r="L719" t="s">
        <v>25</v>
      </c>
      <c r="M719" s="10" t="str">
        <f t="shared" si="56"/>
        <v>Deluxe</v>
      </c>
      <c r="N719" t="s">
        <v>26</v>
      </c>
      <c r="O719" t="s">
        <v>58</v>
      </c>
      <c r="P719">
        <f>IFERROR(VLOOKUP(TRIM(M719),Room!D:H,5,FALSE),5000)</f>
        <v>5400</v>
      </c>
      <c r="Q719">
        <f t="shared" si="57"/>
        <v>27000</v>
      </c>
      <c r="R719" s="11" t="str">
        <f t="shared" si="58"/>
        <v>Conference</v>
      </c>
      <c r="S719" s="11">
        <f t="shared" si="59"/>
        <v>3</v>
      </c>
    </row>
    <row r="720" spans="1:19">
      <c r="A720" t="s">
        <v>3872</v>
      </c>
      <c r="B720" t="s">
        <v>3873</v>
      </c>
      <c r="C720" t="s">
        <v>392</v>
      </c>
      <c r="D720" t="s">
        <v>3874</v>
      </c>
      <c r="E720" t="s">
        <v>3875</v>
      </c>
      <c r="F720" t="s">
        <v>3876</v>
      </c>
      <c r="G720" s="4">
        <v>45583</v>
      </c>
      <c r="H720" s="4">
        <v>45987</v>
      </c>
      <c r="I720" s="4">
        <v>45995</v>
      </c>
      <c r="J720">
        <f t="shared" si="55"/>
        <v>8</v>
      </c>
      <c r="K720" t="str">
        <f t="array" ref="K720">_xlfn.IFS(J720=1,"Day Use",J720&lt;=3,"Short Stay",J720&lt;=7,"Extended Stay",J720&gt;=8,"Long Stay")</f>
        <v>Long Stay</v>
      </c>
      <c r="L720" t="s">
        <v>25</v>
      </c>
      <c r="M720" s="10" t="str">
        <f t="shared" si="56"/>
        <v>Premium</v>
      </c>
      <c r="N720" t="s">
        <v>26</v>
      </c>
      <c r="O720" t="s">
        <v>27</v>
      </c>
      <c r="P720">
        <f>IFERROR(VLOOKUP(TRIM(M720),Room!D:H,5,FALSE),5000)</f>
        <v>9500</v>
      </c>
      <c r="Q720">
        <f t="shared" si="57"/>
        <v>76000</v>
      </c>
      <c r="R720" s="11" t="str">
        <f t="shared" si="58"/>
        <v>Conference</v>
      </c>
      <c r="S720" s="11">
        <f t="shared" si="59"/>
        <v>4</v>
      </c>
    </row>
    <row r="721" spans="1:19">
      <c r="A721" t="s">
        <v>3877</v>
      </c>
      <c r="B721" t="s">
        <v>3878</v>
      </c>
      <c r="C721" t="s">
        <v>2742</v>
      </c>
      <c r="D721" t="s">
        <v>3879</v>
      </c>
      <c r="E721" t="s">
        <v>3880</v>
      </c>
      <c r="F721" t="s">
        <v>3881</v>
      </c>
      <c r="G721" s="4">
        <v>45324</v>
      </c>
      <c r="H721" s="4">
        <v>45340</v>
      </c>
      <c r="I721" s="4">
        <v>45344</v>
      </c>
      <c r="J721">
        <f t="shared" si="55"/>
        <v>4</v>
      </c>
      <c r="K721" t="str">
        <f t="array" ref="K721">_xlfn.IFS(J721=1,"Day Use",J721&lt;=3,"Short Stay",J721&lt;=7,"Extended Stay",J721&gt;=8,"Long Stay")</f>
        <v>Extended Stay</v>
      </c>
      <c r="L721" t="s">
        <v>196</v>
      </c>
      <c r="M721" s="10" t="str">
        <f t="shared" si="56"/>
        <v>Deluxe</v>
      </c>
      <c r="N721" t="s">
        <v>26</v>
      </c>
      <c r="O721" t="s">
        <v>35</v>
      </c>
      <c r="P721">
        <f>IFERROR(VLOOKUP(TRIM(M721),Room!D:H,5,FALSE),5000)</f>
        <v>5400</v>
      </c>
      <c r="Q721">
        <f t="shared" si="57"/>
        <v>21600</v>
      </c>
      <c r="R721" s="11" t="str">
        <f t="shared" si="58"/>
        <v>Conference</v>
      </c>
      <c r="S721" s="11">
        <f t="shared" si="59"/>
        <v>3</v>
      </c>
    </row>
    <row r="722" spans="1:19">
      <c r="A722" t="s">
        <v>3882</v>
      </c>
      <c r="B722" t="s">
        <v>3883</v>
      </c>
      <c r="C722" t="s">
        <v>223</v>
      </c>
      <c r="D722" t="s">
        <v>3884</v>
      </c>
      <c r="E722" t="s">
        <v>3885</v>
      </c>
      <c r="F722" t="s">
        <v>3886</v>
      </c>
      <c r="G722" s="4">
        <v>45657</v>
      </c>
      <c r="H722" s="4">
        <v>45670</v>
      </c>
      <c r="I722" s="4">
        <v>45676</v>
      </c>
      <c r="J722">
        <f t="shared" si="55"/>
        <v>6</v>
      </c>
      <c r="K722" t="str">
        <f t="array" ref="K722">_xlfn.IFS(J722=1,"Day Use",J722&lt;=3,"Short Stay",J722&lt;=7,"Extended Stay",J722&gt;=8,"Long Stay")</f>
        <v>Extended Stay</v>
      </c>
      <c r="L722" t="s">
        <v>196</v>
      </c>
      <c r="M722" s="10" t="str">
        <f t="shared" si="56"/>
        <v>Deluxe</v>
      </c>
      <c r="N722" t="s">
        <v>26</v>
      </c>
      <c r="O722" t="s">
        <v>58</v>
      </c>
      <c r="P722">
        <f>IFERROR(VLOOKUP(TRIM(M722),Room!D:H,5,FALSE),5000)</f>
        <v>5400</v>
      </c>
      <c r="Q722">
        <f t="shared" si="57"/>
        <v>32400</v>
      </c>
      <c r="R722" s="11" t="str">
        <f t="shared" si="58"/>
        <v>Conference</v>
      </c>
      <c r="S722" s="11">
        <f t="shared" si="59"/>
        <v>3</v>
      </c>
    </row>
    <row r="723" spans="1:19">
      <c r="A723" t="s">
        <v>3887</v>
      </c>
      <c r="B723" t="s">
        <v>3888</v>
      </c>
      <c r="C723" t="s">
        <v>2837</v>
      </c>
      <c r="D723" t="s">
        <v>3889</v>
      </c>
      <c r="E723" t="s">
        <v>3890</v>
      </c>
      <c r="F723" t="s">
        <v>3891</v>
      </c>
      <c r="G723" s="4">
        <v>45236</v>
      </c>
      <c r="H723" s="4">
        <v>45532</v>
      </c>
      <c r="I723" s="4">
        <v>45536</v>
      </c>
      <c r="J723">
        <f t="shared" si="55"/>
        <v>4</v>
      </c>
      <c r="K723" t="str">
        <f t="array" ref="K723">_xlfn.IFS(J723=1,"Day Use",J723&lt;=3,"Short Stay",J723&lt;=7,"Extended Stay",J723&gt;=8,"Long Stay")</f>
        <v>Extended Stay</v>
      </c>
      <c r="L723" t="s">
        <v>91</v>
      </c>
      <c r="M723" s="10" t="str">
        <f t="shared" si="56"/>
        <v>Deluxe</v>
      </c>
      <c r="N723" t="s">
        <v>26</v>
      </c>
      <c r="O723" t="s">
        <v>58</v>
      </c>
      <c r="P723">
        <f>IFERROR(VLOOKUP(TRIM(M723),Room!D:H,5,FALSE),5000)</f>
        <v>5400</v>
      </c>
      <c r="Q723">
        <f t="shared" si="57"/>
        <v>21600</v>
      </c>
      <c r="R723" s="11" t="str">
        <f t="shared" si="58"/>
        <v>Conference</v>
      </c>
      <c r="S723" s="11">
        <f t="shared" si="59"/>
        <v>3</v>
      </c>
    </row>
    <row r="724" spans="1:19">
      <c r="A724" t="s">
        <v>3892</v>
      </c>
      <c r="B724" t="s">
        <v>3893</v>
      </c>
      <c r="C724" t="s">
        <v>351</v>
      </c>
      <c r="D724" t="s">
        <v>3894</v>
      </c>
      <c r="E724" t="s">
        <v>3895</v>
      </c>
      <c r="F724" t="s">
        <v>3896</v>
      </c>
      <c r="G724" s="4">
        <v>45715</v>
      </c>
      <c r="H724" s="4">
        <v>45929</v>
      </c>
      <c r="I724" s="4">
        <v>45934</v>
      </c>
      <c r="J724">
        <f t="shared" si="55"/>
        <v>5</v>
      </c>
      <c r="K724" t="str">
        <f t="array" ref="K724">_xlfn.IFS(J724=1,"Day Use",J724&lt;=3,"Short Stay",J724&lt;=7,"Extended Stay",J724&gt;=8,"Long Stay")</f>
        <v>Extended Stay</v>
      </c>
      <c r="L724" t="s">
        <v>34</v>
      </c>
      <c r="M724" s="10" t="str">
        <f t="shared" si="56"/>
        <v>Deluxe</v>
      </c>
      <c r="N724" t="s">
        <v>26</v>
      </c>
      <c r="O724" t="s">
        <v>58</v>
      </c>
      <c r="P724">
        <f>IFERROR(VLOOKUP(TRIM(M724),Room!D:H,5,FALSE),5000)</f>
        <v>5400</v>
      </c>
      <c r="Q724">
        <f t="shared" si="57"/>
        <v>27000</v>
      </c>
      <c r="R724" s="11" t="str">
        <f t="shared" si="58"/>
        <v>Conference</v>
      </c>
      <c r="S724" s="11">
        <f t="shared" si="59"/>
        <v>3</v>
      </c>
    </row>
    <row r="725" spans="1:19">
      <c r="A725" t="s">
        <v>3897</v>
      </c>
      <c r="B725" t="s">
        <v>3898</v>
      </c>
      <c r="C725" t="s">
        <v>751</v>
      </c>
      <c r="D725" t="s">
        <v>3899</v>
      </c>
      <c r="E725" t="s">
        <v>3900</v>
      </c>
      <c r="F725" t="s">
        <v>3901</v>
      </c>
      <c r="G725" s="4">
        <v>45769</v>
      </c>
      <c r="H725" s="4">
        <v>45774</v>
      </c>
      <c r="I725" s="4">
        <v>45787</v>
      </c>
      <c r="J725">
        <f t="shared" si="55"/>
        <v>13</v>
      </c>
      <c r="K725" t="str">
        <f t="array" ref="K725">_xlfn.IFS(J725=1,"Day Use",J725&lt;=3,"Short Stay",J725&lt;=7,"Extended Stay",J725&gt;=8,"Long Stay")</f>
        <v>Long Stay</v>
      </c>
      <c r="L725" t="s">
        <v>141</v>
      </c>
      <c r="M725" s="10" t="str">
        <f t="shared" si="56"/>
        <v>Suite</v>
      </c>
      <c r="N725" t="s">
        <v>372</v>
      </c>
      <c r="O725" t="s">
        <v>35</v>
      </c>
      <c r="P725">
        <f>IFERROR(VLOOKUP(TRIM(M725),Room!D:H,5,FALSE),5000)</f>
        <v>12500</v>
      </c>
      <c r="Q725">
        <f t="shared" si="57"/>
        <v>162500</v>
      </c>
      <c r="R725" s="11" t="str">
        <f t="shared" si="58"/>
        <v>Business</v>
      </c>
      <c r="S725" s="11">
        <f t="shared" si="59"/>
        <v>5</v>
      </c>
    </row>
    <row r="726" spans="1:19">
      <c r="A726" t="s">
        <v>3902</v>
      </c>
      <c r="B726" t="s">
        <v>3903</v>
      </c>
      <c r="C726" t="s">
        <v>174</v>
      </c>
      <c r="D726" t="s">
        <v>3904</v>
      </c>
      <c r="E726" t="s">
        <v>3905</v>
      </c>
      <c r="F726" t="s">
        <v>3906</v>
      </c>
      <c r="G726" s="4">
        <v>45347</v>
      </c>
      <c r="H726" s="4">
        <v>45355</v>
      </c>
      <c r="I726" s="4">
        <v>45356</v>
      </c>
      <c r="J726">
        <f t="shared" si="55"/>
        <v>1</v>
      </c>
      <c r="K726" t="str">
        <f t="array" ref="K726">_xlfn.IFS(J726=1,"Day Use",J726&lt;=3,"Short Stay",J726&lt;=7,"Extended Stay",J726&gt;=8,"Long Stay")</f>
        <v>Day Use</v>
      </c>
      <c r="L726" t="s">
        <v>196</v>
      </c>
      <c r="M726" s="10" t="str">
        <f t="shared" si="56"/>
        <v>Standard</v>
      </c>
      <c r="N726" t="s">
        <v>26</v>
      </c>
      <c r="O726" t="s">
        <v>58</v>
      </c>
      <c r="P726">
        <f>IFERROR(VLOOKUP(TRIM(M726),Room!D:H,5,FALSE),5000)</f>
        <v>3200</v>
      </c>
      <c r="Q726">
        <f t="shared" si="57"/>
        <v>3200</v>
      </c>
      <c r="R726" s="11" t="str">
        <f t="shared" si="58"/>
        <v>Other</v>
      </c>
      <c r="S726" s="11">
        <f t="shared" si="59"/>
        <v>1</v>
      </c>
    </row>
    <row r="727" spans="1:19">
      <c r="A727" t="s">
        <v>3907</v>
      </c>
      <c r="B727" t="s">
        <v>3908</v>
      </c>
      <c r="C727" t="s">
        <v>2202</v>
      </c>
      <c r="D727" t="s">
        <v>3909</v>
      </c>
      <c r="E727" t="s">
        <v>3910</v>
      </c>
      <c r="F727" t="s">
        <v>3911</v>
      </c>
      <c r="G727" s="4">
        <v>45906</v>
      </c>
      <c r="H727" s="4">
        <v>46012</v>
      </c>
      <c r="I727" s="4">
        <v>46022</v>
      </c>
      <c r="J727">
        <f t="shared" si="55"/>
        <v>10</v>
      </c>
      <c r="K727" t="str">
        <f t="array" ref="K727">_xlfn.IFS(J727=1,"Day Use",J727&lt;=3,"Short Stay",J727&lt;=7,"Extended Stay",J727&gt;=8,"Long Stay")</f>
        <v>Long Stay</v>
      </c>
      <c r="L727" t="s">
        <v>91</v>
      </c>
      <c r="M727" s="10" t="str">
        <f t="shared" si="56"/>
        <v>Premium</v>
      </c>
      <c r="N727" t="s">
        <v>26</v>
      </c>
      <c r="O727" t="s">
        <v>27</v>
      </c>
      <c r="P727">
        <f>IFERROR(VLOOKUP(TRIM(M727),Room!D:H,5,FALSE),5000)</f>
        <v>9500</v>
      </c>
      <c r="Q727">
        <f t="shared" si="57"/>
        <v>95000</v>
      </c>
      <c r="R727" s="11" t="str">
        <f t="shared" si="58"/>
        <v>Conference</v>
      </c>
      <c r="S727" s="11">
        <f t="shared" si="59"/>
        <v>4</v>
      </c>
    </row>
    <row r="728" spans="1:19">
      <c r="A728" t="s">
        <v>3912</v>
      </c>
      <c r="B728" t="s">
        <v>3913</v>
      </c>
      <c r="C728" t="s">
        <v>432</v>
      </c>
      <c r="D728" t="s">
        <v>3914</v>
      </c>
      <c r="E728" t="s">
        <v>3915</v>
      </c>
      <c r="F728" t="s">
        <v>3916</v>
      </c>
      <c r="G728" s="4">
        <v>45540</v>
      </c>
      <c r="H728" s="4">
        <v>45551</v>
      </c>
      <c r="I728" s="4">
        <v>45553</v>
      </c>
      <c r="J728">
        <f t="shared" si="55"/>
        <v>2</v>
      </c>
      <c r="K728" t="str">
        <f t="array" ref="K728">_xlfn.IFS(J728=1,"Day Use",J728&lt;=3,"Short Stay",J728&lt;=7,"Extended Stay",J728&gt;=8,"Long Stay")</f>
        <v>Short Stay</v>
      </c>
      <c r="L728" t="s">
        <v>141</v>
      </c>
      <c r="M728" s="10" t="str">
        <f t="shared" si="56"/>
        <v>Standard</v>
      </c>
      <c r="N728" t="s">
        <v>26</v>
      </c>
      <c r="O728" t="s">
        <v>35</v>
      </c>
      <c r="P728">
        <f>IFERROR(VLOOKUP(TRIM(M728),Room!D:H,5,FALSE),5000)</f>
        <v>3200</v>
      </c>
      <c r="Q728">
        <f t="shared" si="57"/>
        <v>6400</v>
      </c>
      <c r="R728" s="11" t="str">
        <f t="shared" si="58"/>
        <v>Other</v>
      </c>
      <c r="S728" s="11">
        <f t="shared" si="59"/>
        <v>2</v>
      </c>
    </row>
    <row r="729" spans="1:19">
      <c r="A729" t="s">
        <v>3917</v>
      </c>
      <c r="B729" t="s">
        <v>3918</v>
      </c>
      <c r="C729" t="s">
        <v>2154</v>
      </c>
      <c r="D729" t="s">
        <v>3919</v>
      </c>
      <c r="E729" t="s">
        <v>3920</v>
      </c>
      <c r="F729" t="s">
        <v>3921</v>
      </c>
      <c r="G729" s="4">
        <v>45266</v>
      </c>
      <c r="H729" s="4">
        <v>45296</v>
      </c>
      <c r="I729" s="4">
        <v>45308</v>
      </c>
      <c r="J729">
        <f t="shared" si="55"/>
        <v>12</v>
      </c>
      <c r="K729" t="str">
        <f t="array" ref="K729">_xlfn.IFS(J729=1,"Day Use",J729&lt;=3,"Short Stay",J729&lt;=7,"Extended Stay",J729&gt;=8,"Long Stay")</f>
        <v>Long Stay</v>
      </c>
      <c r="L729" t="s">
        <v>34</v>
      </c>
      <c r="M729" s="10" t="str">
        <f t="shared" si="56"/>
        <v>Suite</v>
      </c>
      <c r="N729" t="s">
        <v>26</v>
      </c>
      <c r="O729" t="s">
        <v>71</v>
      </c>
      <c r="P729">
        <f>IFERROR(VLOOKUP(TRIM(M729),Room!D:H,5,FALSE),5000)</f>
        <v>12500</v>
      </c>
      <c r="Q729">
        <f t="shared" si="57"/>
        <v>150000</v>
      </c>
      <c r="R729" s="11" t="str">
        <f t="shared" si="58"/>
        <v>Business</v>
      </c>
      <c r="S729" s="11">
        <f t="shared" si="59"/>
        <v>5</v>
      </c>
    </row>
    <row r="730" spans="1:19">
      <c r="A730" t="s">
        <v>3922</v>
      </c>
      <c r="B730" t="s">
        <v>3923</v>
      </c>
      <c r="C730" t="s">
        <v>223</v>
      </c>
      <c r="D730" t="s">
        <v>3924</v>
      </c>
      <c r="E730" t="s">
        <v>3925</v>
      </c>
      <c r="F730" t="s">
        <v>3926</v>
      </c>
      <c r="G730" s="4">
        <v>45203</v>
      </c>
      <c r="H730" s="4">
        <v>45756</v>
      </c>
      <c r="I730" s="4">
        <v>45759</v>
      </c>
      <c r="J730">
        <f t="shared" si="55"/>
        <v>3</v>
      </c>
      <c r="K730" t="str">
        <f t="array" ref="K730">_xlfn.IFS(J730=1,"Day Use",J730&lt;=3,"Short Stay",J730&lt;=7,"Extended Stay",J730&gt;=8,"Long Stay")</f>
        <v>Short Stay</v>
      </c>
      <c r="L730" t="s">
        <v>196</v>
      </c>
      <c r="M730" s="10" t="str">
        <f t="shared" si="56"/>
        <v>Standard</v>
      </c>
      <c r="N730" t="s">
        <v>26</v>
      </c>
      <c r="O730" t="s">
        <v>71</v>
      </c>
      <c r="P730">
        <f>IFERROR(VLOOKUP(TRIM(M730),Room!D:H,5,FALSE),5000)</f>
        <v>3200</v>
      </c>
      <c r="Q730">
        <f t="shared" si="57"/>
        <v>9600</v>
      </c>
      <c r="R730" s="11" t="str">
        <f t="shared" si="58"/>
        <v>Other</v>
      </c>
      <c r="S730" s="11">
        <f t="shared" si="59"/>
        <v>2</v>
      </c>
    </row>
    <row r="731" spans="1:19">
      <c r="A731" t="s">
        <v>3927</v>
      </c>
      <c r="B731" t="s">
        <v>3928</v>
      </c>
      <c r="C731" t="s">
        <v>3929</v>
      </c>
      <c r="D731" t="s">
        <v>3930</v>
      </c>
      <c r="E731" t="s">
        <v>3931</v>
      </c>
      <c r="F731" t="s">
        <v>3932</v>
      </c>
      <c r="G731" s="4">
        <v>45344</v>
      </c>
      <c r="H731" s="4">
        <v>45356</v>
      </c>
      <c r="I731" s="4">
        <v>45364</v>
      </c>
      <c r="J731">
        <f t="shared" si="55"/>
        <v>8</v>
      </c>
      <c r="K731" t="str">
        <f t="array" ref="K731">_xlfn.IFS(J731=1,"Day Use",J731&lt;=3,"Short Stay",J731&lt;=7,"Extended Stay",J731&gt;=8,"Long Stay")</f>
        <v>Long Stay</v>
      </c>
      <c r="L731" t="s">
        <v>84</v>
      </c>
      <c r="M731" s="10" t="str">
        <f t="shared" si="56"/>
        <v>Premium</v>
      </c>
      <c r="N731" t="s">
        <v>26</v>
      </c>
      <c r="O731" t="s">
        <v>71</v>
      </c>
      <c r="P731">
        <f>IFERROR(VLOOKUP(TRIM(M731),Room!D:H,5,FALSE),5000)</f>
        <v>9500</v>
      </c>
      <c r="Q731">
        <f t="shared" si="57"/>
        <v>76000</v>
      </c>
      <c r="R731" s="11" t="str">
        <f t="shared" si="58"/>
        <v>Conference</v>
      </c>
      <c r="S731" s="11">
        <f t="shared" si="59"/>
        <v>4</v>
      </c>
    </row>
    <row r="732" spans="1:19">
      <c r="A732" t="s">
        <v>3933</v>
      </c>
      <c r="B732" t="s">
        <v>3934</v>
      </c>
      <c r="C732" t="s">
        <v>432</v>
      </c>
      <c r="D732" t="s">
        <v>3935</v>
      </c>
      <c r="E732" t="s">
        <v>3936</v>
      </c>
      <c r="F732" t="s">
        <v>3937</v>
      </c>
      <c r="G732" s="4">
        <v>45513</v>
      </c>
      <c r="H732" s="4">
        <v>45877</v>
      </c>
      <c r="I732" s="4">
        <v>45889</v>
      </c>
      <c r="J732">
        <f t="shared" si="55"/>
        <v>12</v>
      </c>
      <c r="K732" t="str">
        <f t="array" ref="K732">_xlfn.IFS(J732=1,"Day Use",J732&lt;=3,"Short Stay",J732&lt;=7,"Extended Stay",J732&gt;=8,"Long Stay")</f>
        <v>Long Stay</v>
      </c>
      <c r="L732" t="s">
        <v>34</v>
      </c>
      <c r="M732" s="10" t="str">
        <f t="shared" si="56"/>
        <v>Suite</v>
      </c>
      <c r="N732" t="s">
        <v>57</v>
      </c>
      <c r="O732" t="s">
        <v>35</v>
      </c>
      <c r="P732">
        <f>IFERROR(VLOOKUP(TRIM(M732),Room!D:H,5,FALSE),5000)</f>
        <v>12500</v>
      </c>
      <c r="Q732">
        <f t="shared" si="57"/>
        <v>150000</v>
      </c>
      <c r="R732" s="11" t="str">
        <f t="shared" si="58"/>
        <v>Business</v>
      </c>
      <c r="S732" s="11">
        <f t="shared" si="59"/>
        <v>5</v>
      </c>
    </row>
    <row r="733" spans="1:19">
      <c r="A733" t="s">
        <v>3938</v>
      </c>
      <c r="B733" t="s">
        <v>3939</v>
      </c>
      <c r="C733" t="s">
        <v>2101</v>
      </c>
      <c r="D733" t="s">
        <v>3940</v>
      </c>
      <c r="E733" t="s">
        <v>3941</v>
      </c>
      <c r="F733" t="s">
        <v>3942</v>
      </c>
      <c r="G733" s="4">
        <v>45679</v>
      </c>
      <c r="H733" s="4">
        <v>45772</v>
      </c>
      <c r="I733" s="4">
        <v>45785</v>
      </c>
      <c r="J733">
        <f t="shared" si="55"/>
        <v>13</v>
      </c>
      <c r="K733" t="str">
        <f t="array" ref="K733">_xlfn.IFS(J733=1,"Day Use",J733&lt;=3,"Short Stay",J733&lt;=7,"Extended Stay",J733&gt;=8,"Long Stay")</f>
        <v>Long Stay</v>
      </c>
      <c r="L733" t="s">
        <v>49</v>
      </c>
      <c r="M733" s="10" t="str">
        <f t="shared" si="56"/>
        <v>Suite</v>
      </c>
      <c r="N733" t="s">
        <v>26</v>
      </c>
      <c r="O733" t="s">
        <v>58</v>
      </c>
      <c r="P733">
        <f>IFERROR(VLOOKUP(TRIM(M733),Room!D:H,5,FALSE),5000)</f>
        <v>12500</v>
      </c>
      <c r="Q733">
        <f t="shared" si="57"/>
        <v>162500</v>
      </c>
      <c r="R733" s="11" t="str">
        <f t="shared" si="58"/>
        <v>Business</v>
      </c>
      <c r="S733" s="11">
        <f t="shared" si="59"/>
        <v>5</v>
      </c>
    </row>
    <row r="734" spans="1:19">
      <c r="A734" t="s">
        <v>3943</v>
      </c>
      <c r="B734" t="s">
        <v>3944</v>
      </c>
      <c r="C734" t="s">
        <v>333</v>
      </c>
      <c r="D734" t="s">
        <v>3945</v>
      </c>
      <c r="E734" t="s">
        <v>3946</v>
      </c>
      <c r="F734" t="s">
        <v>3947</v>
      </c>
      <c r="G734" s="4">
        <v>45882</v>
      </c>
      <c r="H734" s="4">
        <v>45882</v>
      </c>
      <c r="I734" s="4">
        <v>45886</v>
      </c>
      <c r="J734">
        <f t="shared" si="55"/>
        <v>4</v>
      </c>
      <c r="K734" t="str">
        <f t="array" ref="K734">_xlfn.IFS(J734=1,"Day Use",J734&lt;=3,"Short Stay",J734&lt;=7,"Extended Stay",J734&gt;=8,"Long Stay")</f>
        <v>Extended Stay</v>
      </c>
      <c r="L734" t="s">
        <v>49</v>
      </c>
      <c r="M734" s="10" t="str">
        <f t="shared" si="56"/>
        <v>Deluxe</v>
      </c>
      <c r="N734" t="s">
        <v>26</v>
      </c>
      <c r="O734" t="s">
        <v>35</v>
      </c>
      <c r="P734">
        <f>IFERROR(VLOOKUP(TRIM(M734),Room!D:H,5,FALSE),5000)</f>
        <v>5400</v>
      </c>
      <c r="Q734">
        <f t="shared" si="57"/>
        <v>21600</v>
      </c>
      <c r="R734" s="11" t="str">
        <f t="shared" si="58"/>
        <v>Conference</v>
      </c>
      <c r="S734" s="11">
        <f t="shared" si="59"/>
        <v>3</v>
      </c>
    </row>
    <row r="735" spans="1:19">
      <c r="A735" t="s">
        <v>3948</v>
      </c>
      <c r="B735" t="s">
        <v>3949</v>
      </c>
      <c r="C735" t="s">
        <v>1983</v>
      </c>
      <c r="D735" t="s">
        <v>3950</v>
      </c>
      <c r="E735" t="s">
        <v>3951</v>
      </c>
      <c r="F735" t="s">
        <v>3952</v>
      </c>
      <c r="G735" s="4">
        <v>45303</v>
      </c>
      <c r="H735" s="4">
        <v>45316</v>
      </c>
      <c r="I735" s="4">
        <v>45321</v>
      </c>
      <c r="J735">
        <f t="shared" si="55"/>
        <v>5</v>
      </c>
      <c r="K735" t="str">
        <f t="array" ref="K735">_xlfn.IFS(J735=1,"Day Use",J735&lt;=3,"Short Stay",J735&lt;=7,"Extended Stay",J735&gt;=8,"Long Stay")</f>
        <v>Extended Stay</v>
      </c>
      <c r="L735" t="s">
        <v>34</v>
      </c>
      <c r="M735" s="10" t="str">
        <f t="shared" si="56"/>
        <v>Deluxe</v>
      </c>
      <c r="N735" t="s">
        <v>148</v>
      </c>
      <c r="O735" t="s">
        <v>58</v>
      </c>
      <c r="P735">
        <f>IFERROR(VLOOKUP(TRIM(M735),Room!D:H,5,FALSE),5000)</f>
        <v>5400</v>
      </c>
      <c r="Q735">
        <f t="shared" si="57"/>
        <v>27000</v>
      </c>
      <c r="R735" s="11" t="str">
        <f t="shared" si="58"/>
        <v>Conference</v>
      </c>
      <c r="S735" s="11">
        <f t="shared" si="59"/>
        <v>3</v>
      </c>
    </row>
    <row r="736" spans="1:19">
      <c r="A736" t="s">
        <v>3953</v>
      </c>
      <c r="B736" t="s">
        <v>3954</v>
      </c>
      <c r="C736" t="s">
        <v>1699</v>
      </c>
      <c r="D736" t="s">
        <v>3955</v>
      </c>
      <c r="E736" t="s">
        <v>3956</v>
      </c>
      <c r="F736" t="s">
        <v>3957</v>
      </c>
      <c r="G736" s="4">
        <v>45330</v>
      </c>
      <c r="H736" s="4">
        <v>45358</v>
      </c>
      <c r="I736" s="4">
        <v>45365</v>
      </c>
      <c r="J736">
        <f t="shared" si="55"/>
        <v>7</v>
      </c>
      <c r="K736" t="str">
        <f t="array" ref="K736">_xlfn.IFS(J736=1,"Day Use",J736&lt;=3,"Short Stay",J736&lt;=7,"Extended Stay",J736&gt;=8,"Long Stay")</f>
        <v>Extended Stay</v>
      </c>
      <c r="L736" t="s">
        <v>196</v>
      </c>
      <c r="M736" s="10" t="str">
        <f t="shared" si="56"/>
        <v>Premium</v>
      </c>
      <c r="N736" t="s">
        <v>148</v>
      </c>
      <c r="O736" t="s">
        <v>35</v>
      </c>
      <c r="P736">
        <f>IFERROR(VLOOKUP(TRIM(M736),Room!D:H,5,FALSE),5000)</f>
        <v>9500</v>
      </c>
      <c r="Q736">
        <f t="shared" si="57"/>
        <v>66500</v>
      </c>
      <c r="R736" s="11" t="str">
        <f t="shared" si="58"/>
        <v>Conference</v>
      </c>
      <c r="S736" s="11">
        <f t="shared" si="59"/>
        <v>4</v>
      </c>
    </row>
    <row r="737" spans="1:19">
      <c r="A737" t="s">
        <v>3958</v>
      </c>
      <c r="B737" t="s">
        <v>3959</v>
      </c>
      <c r="C737" t="s">
        <v>375</v>
      </c>
      <c r="D737" t="s">
        <v>3960</v>
      </c>
      <c r="E737" t="s">
        <v>3961</v>
      </c>
      <c r="F737" t="s">
        <v>3962</v>
      </c>
      <c r="G737" s="4">
        <v>45696</v>
      </c>
      <c r="H737" s="4">
        <v>45712</v>
      </c>
      <c r="I737" s="4">
        <v>45721</v>
      </c>
      <c r="J737">
        <f t="shared" si="55"/>
        <v>9</v>
      </c>
      <c r="K737" t="str">
        <f t="array" ref="K737">_xlfn.IFS(J737=1,"Day Use",J737&lt;=3,"Short Stay",J737&lt;=7,"Extended Stay",J737&gt;=8,"Long Stay")</f>
        <v>Long Stay</v>
      </c>
      <c r="L737" t="s">
        <v>25</v>
      </c>
      <c r="M737" s="10" t="str">
        <f t="shared" si="56"/>
        <v>Premium</v>
      </c>
      <c r="N737" t="s">
        <v>26</v>
      </c>
      <c r="O737" t="s">
        <v>58</v>
      </c>
      <c r="P737">
        <f>IFERROR(VLOOKUP(TRIM(M737),Room!D:H,5,FALSE),5000)</f>
        <v>9500</v>
      </c>
      <c r="Q737">
        <f t="shared" si="57"/>
        <v>85500</v>
      </c>
      <c r="R737" s="11" t="str">
        <f t="shared" si="58"/>
        <v>Conference</v>
      </c>
      <c r="S737" s="11">
        <f t="shared" si="59"/>
        <v>4</v>
      </c>
    </row>
    <row r="738" spans="1:19">
      <c r="A738" t="s">
        <v>3963</v>
      </c>
      <c r="B738" t="s">
        <v>3964</v>
      </c>
      <c r="C738" t="s">
        <v>163</v>
      </c>
      <c r="D738" t="s">
        <v>3965</v>
      </c>
      <c r="E738" t="s">
        <v>3966</v>
      </c>
      <c r="F738" t="s">
        <v>3967</v>
      </c>
      <c r="G738" s="4">
        <v>45392</v>
      </c>
      <c r="H738" s="4">
        <v>45413</v>
      </c>
      <c r="I738" s="4">
        <v>45422</v>
      </c>
      <c r="J738">
        <f t="shared" si="55"/>
        <v>9</v>
      </c>
      <c r="K738" t="str">
        <f t="array" ref="K738">_xlfn.IFS(J738=1,"Day Use",J738&lt;=3,"Short Stay",J738&lt;=7,"Extended Stay",J738&gt;=8,"Long Stay")</f>
        <v>Long Stay</v>
      </c>
      <c r="L738" t="s">
        <v>84</v>
      </c>
      <c r="M738" s="10" t="str">
        <f t="shared" si="56"/>
        <v>Premium</v>
      </c>
      <c r="N738" t="s">
        <v>57</v>
      </c>
      <c r="O738" t="s">
        <v>71</v>
      </c>
      <c r="P738">
        <f>IFERROR(VLOOKUP(TRIM(M738),Room!D:H,5,FALSE),5000)</f>
        <v>9500</v>
      </c>
      <c r="Q738">
        <f t="shared" si="57"/>
        <v>85500</v>
      </c>
      <c r="R738" s="11" t="str">
        <f t="shared" si="58"/>
        <v>Conference</v>
      </c>
      <c r="S738" s="11">
        <f t="shared" si="59"/>
        <v>4</v>
      </c>
    </row>
    <row r="739" spans="1:19">
      <c r="A739" t="s">
        <v>3968</v>
      </c>
      <c r="B739" t="s">
        <v>3969</v>
      </c>
      <c r="C739" t="s">
        <v>375</v>
      </c>
      <c r="D739" t="s">
        <v>3970</v>
      </c>
      <c r="E739" t="s">
        <v>3971</v>
      </c>
      <c r="F739" t="s">
        <v>3972</v>
      </c>
      <c r="G739" s="4">
        <v>45454</v>
      </c>
      <c r="H739" s="4">
        <v>45720</v>
      </c>
      <c r="I739" s="4">
        <v>45726</v>
      </c>
      <c r="J739">
        <f t="shared" si="55"/>
        <v>6</v>
      </c>
      <c r="K739" t="str">
        <f t="array" ref="K739">_xlfn.IFS(J739=1,"Day Use",J739&lt;=3,"Short Stay",J739&lt;=7,"Extended Stay",J739&gt;=8,"Long Stay")</f>
        <v>Extended Stay</v>
      </c>
      <c r="L739" t="s">
        <v>141</v>
      </c>
      <c r="M739" s="10" t="str">
        <f t="shared" si="56"/>
        <v>Deluxe</v>
      </c>
      <c r="N739" t="s">
        <v>26</v>
      </c>
      <c r="O739" t="s">
        <v>42</v>
      </c>
      <c r="P739">
        <f>IFERROR(VLOOKUP(TRIM(M739),Room!D:H,5,FALSE),5000)</f>
        <v>5400</v>
      </c>
      <c r="Q739">
        <f t="shared" si="57"/>
        <v>32400</v>
      </c>
      <c r="R739" s="11" t="str">
        <f t="shared" si="58"/>
        <v>Conference</v>
      </c>
      <c r="S739" s="11">
        <f t="shared" si="59"/>
        <v>3</v>
      </c>
    </row>
    <row r="740" spans="1:19">
      <c r="A740" t="s">
        <v>3973</v>
      </c>
      <c r="B740" t="s">
        <v>3974</v>
      </c>
      <c r="C740" t="s">
        <v>3975</v>
      </c>
      <c r="D740" t="s">
        <v>3976</v>
      </c>
      <c r="E740" t="s">
        <v>3977</v>
      </c>
      <c r="F740" t="s">
        <v>3978</v>
      </c>
      <c r="G740" s="4">
        <v>45431</v>
      </c>
      <c r="H740" s="4">
        <v>45755</v>
      </c>
      <c r="I740" s="4">
        <v>45766</v>
      </c>
      <c r="J740">
        <f t="shared" si="55"/>
        <v>11</v>
      </c>
      <c r="K740" t="str">
        <f t="array" ref="K740">_xlfn.IFS(J740=1,"Day Use",J740&lt;=3,"Short Stay",J740&lt;=7,"Extended Stay",J740&gt;=8,"Long Stay")</f>
        <v>Long Stay</v>
      </c>
      <c r="L740" t="s">
        <v>56</v>
      </c>
      <c r="M740" s="10" t="str">
        <f t="shared" si="56"/>
        <v>Suite</v>
      </c>
      <c r="N740" t="s">
        <v>148</v>
      </c>
      <c r="O740" t="s">
        <v>58</v>
      </c>
      <c r="P740">
        <f>IFERROR(VLOOKUP(TRIM(M740),Room!D:H,5,FALSE),5000)</f>
        <v>12500</v>
      </c>
      <c r="Q740">
        <f t="shared" si="57"/>
        <v>137500</v>
      </c>
      <c r="R740" s="11" t="str">
        <f t="shared" si="58"/>
        <v>Business</v>
      </c>
      <c r="S740" s="11">
        <f t="shared" si="59"/>
        <v>5</v>
      </c>
    </row>
    <row r="741" spans="1:19">
      <c r="A741" t="s">
        <v>3979</v>
      </c>
      <c r="B741" t="s">
        <v>3980</v>
      </c>
      <c r="C741" t="s">
        <v>1545</v>
      </c>
      <c r="D741" t="s">
        <v>3981</v>
      </c>
      <c r="E741" t="s">
        <v>3982</v>
      </c>
      <c r="F741" t="s">
        <v>3983</v>
      </c>
      <c r="G741" s="4">
        <v>45279</v>
      </c>
      <c r="H741" s="4">
        <v>45470</v>
      </c>
      <c r="I741" s="4">
        <v>45472</v>
      </c>
      <c r="J741">
        <f t="shared" si="55"/>
        <v>2</v>
      </c>
      <c r="K741" t="str">
        <f t="array" ref="K741">_xlfn.IFS(J741=1,"Day Use",J741&lt;=3,"Short Stay",J741&lt;=7,"Extended Stay",J741&gt;=8,"Long Stay")</f>
        <v>Short Stay</v>
      </c>
      <c r="L741" t="s">
        <v>91</v>
      </c>
      <c r="M741" s="10" t="str">
        <f t="shared" si="56"/>
        <v>Standard</v>
      </c>
      <c r="N741" t="s">
        <v>372</v>
      </c>
      <c r="O741" t="s">
        <v>35</v>
      </c>
      <c r="P741">
        <f>IFERROR(VLOOKUP(TRIM(M741),Room!D:H,5,FALSE),5000)</f>
        <v>3200</v>
      </c>
      <c r="Q741">
        <f t="shared" si="57"/>
        <v>6400</v>
      </c>
      <c r="R741" s="11" t="str">
        <f t="shared" si="58"/>
        <v>Other</v>
      </c>
      <c r="S741" s="11">
        <f t="shared" si="59"/>
        <v>2</v>
      </c>
    </row>
    <row r="742" spans="1:19">
      <c r="A742" t="s">
        <v>3984</v>
      </c>
      <c r="B742" t="s">
        <v>3985</v>
      </c>
      <c r="C742" t="s">
        <v>1229</v>
      </c>
      <c r="D742" t="s">
        <v>3986</v>
      </c>
      <c r="E742" t="s">
        <v>3987</v>
      </c>
      <c r="F742" t="s">
        <v>3988</v>
      </c>
      <c r="G742" s="4">
        <v>45446</v>
      </c>
      <c r="H742" s="4">
        <v>45465</v>
      </c>
      <c r="I742" s="4">
        <v>45469</v>
      </c>
      <c r="J742">
        <f t="shared" si="55"/>
        <v>4</v>
      </c>
      <c r="K742" t="str">
        <f t="array" ref="K742">_xlfn.IFS(J742=1,"Day Use",J742&lt;=3,"Short Stay",J742&lt;=7,"Extended Stay",J742&gt;=8,"Long Stay")</f>
        <v>Extended Stay</v>
      </c>
      <c r="L742" t="s">
        <v>141</v>
      </c>
      <c r="M742" s="10" t="str">
        <f t="shared" si="56"/>
        <v>Deluxe</v>
      </c>
      <c r="N742" t="s">
        <v>148</v>
      </c>
      <c r="O742" t="s">
        <v>42</v>
      </c>
      <c r="P742">
        <f>IFERROR(VLOOKUP(TRIM(M742),Room!D:H,5,FALSE),5000)</f>
        <v>5400</v>
      </c>
      <c r="Q742">
        <f t="shared" si="57"/>
        <v>21600</v>
      </c>
      <c r="R742" s="11" t="str">
        <f t="shared" si="58"/>
        <v>Conference</v>
      </c>
      <c r="S742" s="11">
        <f t="shared" si="59"/>
        <v>3</v>
      </c>
    </row>
    <row r="743" spans="1:19">
      <c r="A743" t="s">
        <v>3989</v>
      </c>
      <c r="B743" t="s">
        <v>3990</v>
      </c>
      <c r="C743" t="s">
        <v>865</v>
      </c>
      <c r="D743" t="s">
        <v>3991</v>
      </c>
      <c r="E743" t="s">
        <v>3992</v>
      </c>
      <c r="F743" t="s">
        <v>3993</v>
      </c>
      <c r="G743" s="4">
        <v>45214</v>
      </c>
      <c r="H743" s="4">
        <v>45411</v>
      </c>
      <c r="I743" s="4">
        <v>45421</v>
      </c>
      <c r="J743">
        <f t="shared" si="55"/>
        <v>10</v>
      </c>
      <c r="K743" t="str">
        <f t="array" ref="K743">_xlfn.IFS(J743=1,"Day Use",J743&lt;=3,"Short Stay",J743&lt;=7,"Extended Stay",J743&gt;=8,"Long Stay")</f>
        <v>Long Stay</v>
      </c>
      <c r="L743" t="s">
        <v>25</v>
      </c>
      <c r="M743" s="10" t="str">
        <f t="shared" si="56"/>
        <v>Premium</v>
      </c>
      <c r="N743" t="s">
        <v>26</v>
      </c>
      <c r="O743" t="s">
        <v>42</v>
      </c>
      <c r="P743">
        <f>IFERROR(VLOOKUP(TRIM(M743),Room!D:H,5,FALSE),5000)</f>
        <v>9500</v>
      </c>
      <c r="Q743">
        <f t="shared" si="57"/>
        <v>95000</v>
      </c>
      <c r="R743" s="11" t="str">
        <f t="shared" si="58"/>
        <v>Conference</v>
      </c>
      <c r="S743" s="11">
        <f t="shared" si="59"/>
        <v>4</v>
      </c>
    </row>
    <row r="744" spans="1:19">
      <c r="A744" t="s">
        <v>3994</v>
      </c>
      <c r="B744" t="s">
        <v>3995</v>
      </c>
      <c r="C744" t="s">
        <v>536</v>
      </c>
      <c r="D744" t="s">
        <v>3996</v>
      </c>
      <c r="E744" t="s">
        <v>3997</v>
      </c>
      <c r="F744" t="s">
        <v>3998</v>
      </c>
      <c r="G744" s="4">
        <v>45335</v>
      </c>
      <c r="H744" s="4">
        <v>45342</v>
      </c>
      <c r="I744" s="4">
        <v>45352</v>
      </c>
      <c r="J744">
        <f t="shared" si="55"/>
        <v>10</v>
      </c>
      <c r="K744" t="str">
        <f t="array" ref="K744">_xlfn.IFS(J744=1,"Day Use",J744&lt;=3,"Short Stay",J744&lt;=7,"Extended Stay",J744&gt;=8,"Long Stay")</f>
        <v>Long Stay</v>
      </c>
      <c r="L744" t="s">
        <v>91</v>
      </c>
      <c r="M744" s="10" t="str">
        <f t="shared" si="56"/>
        <v>Premium</v>
      </c>
      <c r="N744" t="s">
        <v>57</v>
      </c>
      <c r="O744" t="s">
        <v>27</v>
      </c>
      <c r="P744">
        <f>IFERROR(VLOOKUP(TRIM(M744),Room!D:H,5,FALSE),5000)</f>
        <v>9500</v>
      </c>
      <c r="Q744">
        <f t="shared" si="57"/>
        <v>95000</v>
      </c>
      <c r="R744" s="11" t="str">
        <f t="shared" si="58"/>
        <v>Conference</v>
      </c>
      <c r="S744" s="11">
        <f t="shared" si="59"/>
        <v>4</v>
      </c>
    </row>
    <row r="745" spans="1:19">
      <c r="A745" t="s">
        <v>3999</v>
      </c>
      <c r="B745" t="s">
        <v>4000</v>
      </c>
      <c r="C745" t="s">
        <v>1014</v>
      </c>
      <c r="D745" t="s">
        <v>4001</v>
      </c>
      <c r="E745" t="s">
        <v>4002</v>
      </c>
      <c r="F745" t="s">
        <v>4003</v>
      </c>
      <c r="G745" s="4">
        <v>45561</v>
      </c>
      <c r="H745" s="4">
        <v>45693</v>
      </c>
      <c r="I745" s="4">
        <v>45697</v>
      </c>
      <c r="J745">
        <f t="shared" si="55"/>
        <v>4</v>
      </c>
      <c r="K745" t="str">
        <f t="array" ref="K745">_xlfn.IFS(J745=1,"Day Use",J745&lt;=3,"Short Stay",J745&lt;=7,"Extended Stay",J745&gt;=8,"Long Stay")</f>
        <v>Extended Stay</v>
      </c>
      <c r="L745" t="s">
        <v>84</v>
      </c>
      <c r="M745" s="10" t="str">
        <f t="shared" si="56"/>
        <v>Deluxe</v>
      </c>
      <c r="N745" t="s">
        <v>26</v>
      </c>
      <c r="O745" t="s">
        <v>27</v>
      </c>
      <c r="P745">
        <f>IFERROR(VLOOKUP(TRIM(M745),Room!D:H,5,FALSE),5000)</f>
        <v>5400</v>
      </c>
      <c r="Q745">
        <f t="shared" si="57"/>
        <v>21600</v>
      </c>
      <c r="R745" s="11" t="str">
        <f t="shared" si="58"/>
        <v>Conference</v>
      </c>
      <c r="S745" s="11">
        <f t="shared" si="59"/>
        <v>3</v>
      </c>
    </row>
    <row r="746" spans="1:19">
      <c r="A746" t="s">
        <v>4004</v>
      </c>
      <c r="B746" t="s">
        <v>4005</v>
      </c>
      <c r="C746" t="s">
        <v>3112</v>
      </c>
      <c r="D746" t="s">
        <v>4006</v>
      </c>
      <c r="E746" t="s">
        <v>4007</v>
      </c>
      <c r="F746" t="s">
        <v>4008</v>
      </c>
      <c r="G746" s="4">
        <v>45470</v>
      </c>
      <c r="H746" s="4">
        <v>45499</v>
      </c>
      <c r="I746" s="4">
        <v>45505</v>
      </c>
      <c r="J746">
        <f t="shared" si="55"/>
        <v>6</v>
      </c>
      <c r="K746" t="str">
        <f t="array" ref="K746">_xlfn.IFS(J746=1,"Day Use",J746&lt;=3,"Short Stay",J746&lt;=7,"Extended Stay",J746&gt;=8,"Long Stay")</f>
        <v>Extended Stay</v>
      </c>
      <c r="L746" t="s">
        <v>34</v>
      </c>
      <c r="M746" s="10" t="str">
        <f t="shared" si="56"/>
        <v>Deluxe</v>
      </c>
      <c r="N746" t="s">
        <v>26</v>
      </c>
      <c r="O746" t="s">
        <v>42</v>
      </c>
      <c r="P746">
        <f>IFERROR(VLOOKUP(TRIM(M746),Room!D:H,5,FALSE),5000)</f>
        <v>5400</v>
      </c>
      <c r="Q746">
        <f t="shared" si="57"/>
        <v>32400</v>
      </c>
      <c r="R746" s="11" t="str">
        <f t="shared" si="58"/>
        <v>Conference</v>
      </c>
      <c r="S746" s="11">
        <f t="shared" si="59"/>
        <v>3</v>
      </c>
    </row>
    <row r="747" spans="1:19">
      <c r="A747" t="s">
        <v>4009</v>
      </c>
      <c r="B747" t="s">
        <v>4010</v>
      </c>
      <c r="C747" t="s">
        <v>2329</v>
      </c>
      <c r="D747" t="s">
        <v>4011</v>
      </c>
      <c r="E747" t="s">
        <v>4012</v>
      </c>
      <c r="F747" t="s">
        <v>4013</v>
      </c>
      <c r="G747" s="4">
        <v>45862</v>
      </c>
      <c r="H747" s="4">
        <v>46006</v>
      </c>
      <c r="I747" s="4">
        <v>46011</v>
      </c>
      <c r="J747">
        <f t="shared" si="55"/>
        <v>5</v>
      </c>
      <c r="K747" t="str">
        <f t="array" ref="K747">_xlfn.IFS(J747=1,"Day Use",J747&lt;=3,"Short Stay",J747&lt;=7,"Extended Stay",J747&gt;=8,"Long Stay")</f>
        <v>Extended Stay</v>
      </c>
      <c r="L747" t="s">
        <v>196</v>
      </c>
      <c r="M747" s="10" t="str">
        <f t="shared" si="56"/>
        <v>Deluxe</v>
      </c>
      <c r="N747" t="s">
        <v>26</v>
      </c>
      <c r="O747" t="s">
        <v>42</v>
      </c>
      <c r="P747">
        <f>IFERROR(VLOOKUP(TRIM(M747),Room!D:H,5,FALSE),5000)</f>
        <v>5400</v>
      </c>
      <c r="Q747">
        <f t="shared" si="57"/>
        <v>27000</v>
      </c>
      <c r="R747" s="11" t="str">
        <f t="shared" si="58"/>
        <v>Conference</v>
      </c>
      <c r="S747" s="11">
        <f t="shared" si="59"/>
        <v>3</v>
      </c>
    </row>
    <row r="748" spans="1:19">
      <c r="A748" t="s">
        <v>4014</v>
      </c>
      <c r="B748" t="s">
        <v>4015</v>
      </c>
      <c r="C748" t="s">
        <v>1164</v>
      </c>
      <c r="D748" t="s">
        <v>4016</v>
      </c>
      <c r="E748" t="s">
        <v>4017</v>
      </c>
      <c r="F748" t="s">
        <v>4018</v>
      </c>
      <c r="G748" s="4">
        <v>45621</v>
      </c>
      <c r="H748" s="4">
        <v>45632</v>
      </c>
      <c r="I748" s="4">
        <v>45636</v>
      </c>
      <c r="J748">
        <f t="shared" si="55"/>
        <v>4</v>
      </c>
      <c r="K748" t="str">
        <f t="array" ref="K748">_xlfn.IFS(J748=1,"Day Use",J748&lt;=3,"Short Stay",J748&lt;=7,"Extended Stay",J748&gt;=8,"Long Stay")</f>
        <v>Extended Stay</v>
      </c>
      <c r="L748" t="s">
        <v>49</v>
      </c>
      <c r="M748" s="10" t="str">
        <f t="shared" si="56"/>
        <v>Deluxe</v>
      </c>
      <c r="N748" t="s">
        <v>372</v>
      </c>
      <c r="O748" t="s">
        <v>71</v>
      </c>
      <c r="P748">
        <f>IFERROR(VLOOKUP(TRIM(M748),Room!D:H,5,FALSE),5000)</f>
        <v>5400</v>
      </c>
      <c r="Q748">
        <f t="shared" si="57"/>
        <v>21600</v>
      </c>
      <c r="R748" s="11" t="str">
        <f t="shared" si="58"/>
        <v>Conference</v>
      </c>
      <c r="S748" s="11">
        <f t="shared" si="59"/>
        <v>3</v>
      </c>
    </row>
    <row r="749" spans="1:19">
      <c r="A749" t="s">
        <v>4019</v>
      </c>
      <c r="B749" t="s">
        <v>4020</v>
      </c>
      <c r="C749" t="s">
        <v>1146</v>
      </c>
      <c r="D749" t="s">
        <v>4021</v>
      </c>
      <c r="E749" t="s">
        <v>4022</v>
      </c>
      <c r="F749" t="s">
        <v>4023</v>
      </c>
      <c r="G749" s="4">
        <v>45672</v>
      </c>
      <c r="H749" s="4">
        <v>46012</v>
      </c>
      <c r="I749" s="4">
        <v>46015</v>
      </c>
      <c r="J749">
        <f t="shared" si="55"/>
        <v>3</v>
      </c>
      <c r="K749" t="str">
        <f t="array" ref="K749">_xlfn.IFS(J749=1,"Day Use",J749&lt;=3,"Short Stay",J749&lt;=7,"Extended Stay",J749&gt;=8,"Long Stay")</f>
        <v>Short Stay</v>
      </c>
      <c r="L749" t="s">
        <v>34</v>
      </c>
      <c r="M749" s="10" t="str">
        <f t="shared" si="56"/>
        <v>Standard</v>
      </c>
      <c r="N749" t="s">
        <v>26</v>
      </c>
      <c r="O749" t="s">
        <v>42</v>
      </c>
      <c r="P749">
        <f>IFERROR(VLOOKUP(TRIM(M749),Room!D:H,5,FALSE),5000)</f>
        <v>3200</v>
      </c>
      <c r="Q749">
        <f t="shared" si="57"/>
        <v>9600</v>
      </c>
      <c r="R749" s="11" t="str">
        <f t="shared" si="58"/>
        <v>Other</v>
      </c>
      <c r="S749" s="11">
        <f t="shared" si="59"/>
        <v>2</v>
      </c>
    </row>
    <row r="750" spans="1:19">
      <c r="A750" t="s">
        <v>4024</v>
      </c>
      <c r="B750" t="s">
        <v>4025</v>
      </c>
      <c r="C750" t="s">
        <v>2313</v>
      </c>
      <c r="D750" t="s">
        <v>4026</v>
      </c>
      <c r="E750" t="s">
        <v>4027</v>
      </c>
      <c r="F750" t="s">
        <v>4028</v>
      </c>
      <c r="G750" s="4">
        <v>45272</v>
      </c>
      <c r="H750" s="4">
        <v>45656</v>
      </c>
      <c r="I750" s="4">
        <v>45661</v>
      </c>
      <c r="J750">
        <f t="shared" si="55"/>
        <v>5</v>
      </c>
      <c r="K750" t="str">
        <f t="array" ref="K750">_xlfn.IFS(J750=1,"Day Use",J750&lt;=3,"Short Stay",J750&lt;=7,"Extended Stay",J750&gt;=8,"Long Stay")</f>
        <v>Extended Stay</v>
      </c>
      <c r="L750" t="s">
        <v>49</v>
      </c>
      <c r="M750" s="10" t="str">
        <f t="shared" si="56"/>
        <v>Deluxe</v>
      </c>
      <c r="N750" t="s">
        <v>26</v>
      </c>
      <c r="O750" t="s">
        <v>42</v>
      </c>
      <c r="P750">
        <f>IFERROR(VLOOKUP(TRIM(M750),Room!D:H,5,FALSE),5000)</f>
        <v>5400</v>
      </c>
      <c r="Q750">
        <f t="shared" si="57"/>
        <v>27000</v>
      </c>
      <c r="R750" s="11" t="str">
        <f t="shared" si="58"/>
        <v>Conference</v>
      </c>
      <c r="S750" s="11">
        <f t="shared" si="59"/>
        <v>3</v>
      </c>
    </row>
    <row r="751" spans="1:19">
      <c r="A751" t="s">
        <v>4029</v>
      </c>
      <c r="B751" t="s">
        <v>4030</v>
      </c>
      <c r="C751" t="s">
        <v>2313</v>
      </c>
      <c r="D751" t="s">
        <v>4031</v>
      </c>
      <c r="E751" t="s">
        <v>4032</v>
      </c>
      <c r="F751" t="s">
        <v>4033</v>
      </c>
      <c r="G751" s="4">
        <v>45885</v>
      </c>
      <c r="H751" s="4">
        <v>46000</v>
      </c>
      <c r="I751" s="4">
        <v>46008</v>
      </c>
      <c r="J751">
        <f t="shared" si="55"/>
        <v>8</v>
      </c>
      <c r="K751" t="str">
        <f t="array" ref="K751">_xlfn.IFS(J751=1,"Day Use",J751&lt;=3,"Short Stay",J751&lt;=7,"Extended Stay",J751&gt;=8,"Long Stay")</f>
        <v>Long Stay</v>
      </c>
      <c r="L751" t="s">
        <v>91</v>
      </c>
      <c r="M751" s="10" t="str">
        <f t="shared" si="56"/>
        <v>Premium</v>
      </c>
      <c r="N751" t="s">
        <v>26</v>
      </c>
      <c r="O751" t="s">
        <v>42</v>
      </c>
      <c r="P751">
        <f>IFERROR(VLOOKUP(TRIM(M751),Room!D:H,5,FALSE),5000)</f>
        <v>9500</v>
      </c>
      <c r="Q751">
        <f t="shared" si="57"/>
        <v>76000</v>
      </c>
      <c r="R751" s="11" t="str">
        <f t="shared" si="58"/>
        <v>Conference</v>
      </c>
      <c r="S751" s="11">
        <f t="shared" si="59"/>
        <v>4</v>
      </c>
    </row>
    <row r="752" spans="1:19">
      <c r="A752" t="s">
        <v>4034</v>
      </c>
      <c r="B752" t="s">
        <v>4035</v>
      </c>
      <c r="C752" t="s">
        <v>398</v>
      </c>
      <c r="D752" t="s">
        <v>4036</v>
      </c>
      <c r="E752" t="s">
        <v>4037</v>
      </c>
      <c r="F752" t="s">
        <v>4038</v>
      </c>
      <c r="G752" s="4">
        <v>45618</v>
      </c>
      <c r="H752" s="4">
        <v>45620</v>
      </c>
      <c r="I752" s="4">
        <v>45631</v>
      </c>
      <c r="J752">
        <f t="shared" si="55"/>
        <v>11</v>
      </c>
      <c r="K752" t="str">
        <f t="array" ref="K752">_xlfn.IFS(J752=1,"Day Use",J752&lt;=3,"Short Stay",J752&lt;=7,"Extended Stay",J752&gt;=8,"Long Stay")</f>
        <v>Long Stay</v>
      </c>
      <c r="L752" t="s">
        <v>56</v>
      </c>
      <c r="M752" s="10" t="str">
        <f t="shared" si="56"/>
        <v>Suite</v>
      </c>
      <c r="N752" t="s">
        <v>26</v>
      </c>
      <c r="O752" t="s">
        <v>27</v>
      </c>
      <c r="P752">
        <f>IFERROR(VLOOKUP(TRIM(M752),Room!D:H,5,FALSE),5000)</f>
        <v>12500</v>
      </c>
      <c r="Q752">
        <f t="shared" si="57"/>
        <v>137500</v>
      </c>
      <c r="R752" s="11" t="str">
        <f t="shared" si="58"/>
        <v>Business</v>
      </c>
      <c r="S752" s="11">
        <f t="shared" si="59"/>
        <v>5</v>
      </c>
    </row>
    <row r="753" spans="1:19">
      <c r="A753" t="s">
        <v>4039</v>
      </c>
      <c r="B753" t="s">
        <v>4040</v>
      </c>
      <c r="C753" t="s">
        <v>265</v>
      </c>
      <c r="D753" t="s">
        <v>4041</v>
      </c>
      <c r="E753" t="s">
        <v>4042</v>
      </c>
      <c r="F753" t="s">
        <v>4043</v>
      </c>
      <c r="G753" s="4">
        <v>45386</v>
      </c>
      <c r="H753" s="4">
        <v>45397</v>
      </c>
      <c r="I753" s="4">
        <v>45409</v>
      </c>
      <c r="J753">
        <f t="shared" si="55"/>
        <v>12</v>
      </c>
      <c r="K753" t="str">
        <f t="array" ref="K753">_xlfn.IFS(J753=1,"Day Use",J753&lt;=3,"Short Stay",J753&lt;=7,"Extended Stay",J753&gt;=8,"Long Stay")</f>
        <v>Long Stay</v>
      </c>
      <c r="L753" t="s">
        <v>56</v>
      </c>
      <c r="M753" s="10" t="str">
        <f t="shared" si="56"/>
        <v>Suite</v>
      </c>
      <c r="N753" t="s">
        <v>26</v>
      </c>
      <c r="O753" t="s">
        <v>42</v>
      </c>
      <c r="P753">
        <f>IFERROR(VLOOKUP(TRIM(M753),Room!D:H,5,FALSE),5000)</f>
        <v>12500</v>
      </c>
      <c r="Q753">
        <f t="shared" si="57"/>
        <v>150000</v>
      </c>
      <c r="R753" s="11" t="str">
        <f t="shared" si="58"/>
        <v>Business</v>
      </c>
      <c r="S753" s="11">
        <f t="shared" si="59"/>
        <v>5</v>
      </c>
    </row>
    <row r="754" spans="1:19">
      <c r="A754" t="s">
        <v>4044</v>
      </c>
      <c r="B754" t="s">
        <v>4045</v>
      </c>
      <c r="C754" t="s">
        <v>265</v>
      </c>
      <c r="D754" t="s">
        <v>4046</v>
      </c>
      <c r="E754" t="s">
        <v>4047</v>
      </c>
      <c r="F754" t="s">
        <v>4048</v>
      </c>
      <c r="G754" s="4">
        <v>45383</v>
      </c>
      <c r="H754" s="4">
        <v>45891</v>
      </c>
      <c r="I754" s="4">
        <v>45903</v>
      </c>
      <c r="J754">
        <f t="shared" si="55"/>
        <v>12</v>
      </c>
      <c r="K754" t="str">
        <f t="array" ref="K754">_xlfn.IFS(J754=1,"Day Use",J754&lt;=3,"Short Stay",J754&lt;=7,"Extended Stay",J754&gt;=8,"Long Stay")</f>
        <v>Long Stay</v>
      </c>
      <c r="L754" t="s">
        <v>34</v>
      </c>
      <c r="M754" s="10" t="str">
        <f t="shared" si="56"/>
        <v>Suite</v>
      </c>
      <c r="N754" t="s">
        <v>26</v>
      </c>
      <c r="O754" t="s">
        <v>27</v>
      </c>
      <c r="P754">
        <f>IFERROR(VLOOKUP(TRIM(M754),Room!D:H,5,FALSE),5000)</f>
        <v>12500</v>
      </c>
      <c r="Q754">
        <f t="shared" si="57"/>
        <v>150000</v>
      </c>
      <c r="R754" s="11" t="str">
        <f t="shared" si="58"/>
        <v>Business</v>
      </c>
      <c r="S754" s="11">
        <f t="shared" si="59"/>
        <v>5</v>
      </c>
    </row>
    <row r="755" spans="1:19">
      <c r="A755" t="s">
        <v>4049</v>
      </c>
      <c r="B755" t="s">
        <v>4050</v>
      </c>
      <c r="C755" t="s">
        <v>1826</v>
      </c>
      <c r="D755" t="s">
        <v>4051</v>
      </c>
      <c r="E755" t="s">
        <v>4052</v>
      </c>
      <c r="F755" t="s">
        <v>4053</v>
      </c>
      <c r="G755" s="4">
        <v>45693</v>
      </c>
      <c r="H755" s="4">
        <v>45808</v>
      </c>
      <c r="I755" s="4">
        <v>45812</v>
      </c>
      <c r="J755">
        <f t="shared" si="55"/>
        <v>4</v>
      </c>
      <c r="K755" t="str">
        <f t="array" ref="K755">_xlfn.IFS(J755=1,"Day Use",J755&lt;=3,"Short Stay",J755&lt;=7,"Extended Stay",J755&gt;=8,"Long Stay")</f>
        <v>Extended Stay</v>
      </c>
      <c r="L755" t="s">
        <v>56</v>
      </c>
      <c r="M755" s="10" t="str">
        <f t="shared" si="56"/>
        <v>Deluxe</v>
      </c>
      <c r="N755" t="s">
        <v>26</v>
      </c>
      <c r="O755" t="s">
        <v>27</v>
      </c>
      <c r="P755">
        <f>IFERROR(VLOOKUP(TRIM(M755),Room!D:H,5,FALSE),5000)</f>
        <v>5400</v>
      </c>
      <c r="Q755">
        <f t="shared" si="57"/>
        <v>21600</v>
      </c>
      <c r="R755" s="11" t="str">
        <f t="shared" si="58"/>
        <v>Conference</v>
      </c>
      <c r="S755" s="11">
        <f t="shared" si="59"/>
        <v>3</v>
      </c>
    </row>
    <row r="756" spans="1:19">
      <c r="A756" t="s">
        <v>4054</v>
      </c>
      <c r="B756" t="s">
        <v>4055</v>
      </c>
      <c r="C756" t="s">
        <v>786</v>
      </c>
      <c r="D756" t="s">
        <v>4056</v>
      </c>
      <c r="E756" t="s">
        <v>4057</v>
      </c>
      <c r="F756" t="s">
        <v>4058</v>
      </c>
      <c r="G756" s="4">
        <v>45451</v>
      </c>
      <c r="H756" s="4">
        <v>45941</v>
      </c>
      <c r="I756" s="4">
        <v>45950</v>
      </c>
      <c r="J756">
        <f t="shared" si="55"/>
        <v>9</v>
      </c>
      <c r="K756" t="str">
        <f t="array" ref="K756">_xlfn.IFS(J756=1,"Day Use",J756&lt;=3,"Short Stay",J756&lt;=7,"Extended Stay",J756&gt;=8,"Long Stay")</f>
        <v>Long Stay</v>
      </c>
      <c r="L756" t="s">
        <v>49</v>
      </c>
      <c r="M756" s="10" t="str">
        <f t="shared" si="56"/>
        <v>Premium</v>
      </c>
      <c r="N756" t="s">
        <v>26</v>
      </c>
      <c r="O756" t="s">
        <v>35</v>
      </c>
      <c r="P756">
        <f>IFERROR(VLOOKUP(TRIM(M756),Room!D:H,5,FALSE),5000)</f>
        <v>9500</v>
      </c>
      <c r="Q756">
        <f t="shared" si="57"/>
        <v>85500</v>
      </c>
      <c r="R756" s="11" t="str">
        <f t="shared" si="58"/>
        <v>Conference</v>
      </c>
      <c r="S756" s="11">
        <f t="shared" si="59"/>
        <v>4</v>
      </c>
    </row>
    <row r="757" spans="1:19">
      <c r="A757" t="s">
        <v>4059</v>
      </c>
      <c r="B757" t="s">
        <v>4060</v>
      </c>
      <c r="C757" t="s">
        <v>1826</v>
      </c>
      <c r="D757" t="s">
        <v>4061</v>
      </c>
      <c r="E757" t="s">
        <v>4062</v>
      </c>
      <c r="F757" t="s">
        <v>4063</v>
      </c>
      <c r="G757" s="4">
        <v>45531</v>
      </c>
      <c r="H757" s="4">
        <v>45552</v>
      </c>
      <c r="I757" s="4">
        <v>45566</v>
      </c>
      <c r="J757">
        <f t="shared" si="55"/>
        <v>14</v>
      </c>
      <c r="K757" t="str">
        <f t="array" ref="K757">_xlfn.IFS(J757=1,"Day Use",J757&lt;=3,"Short Stay",J757&lt;=7,"Extended Stay",J757&gt;=8,"Long Stay")</f>
        <v>Long Stay</v>
      </c>
      <c r="L757" t="s">
        <v>49</v>
      </c>
      <c r="M757" s="10" t="str">
        <f t="shared" si="56"/>
        <v>Suite</v>
      </c>
      <c r="N757" t="s">
        <v>26</v>
      </c>
      <c r="O757" t="s">
        <v>71</v>
      </c>
      <c r="P757">
        <f>IFERROR(VLOOKUP(TRIM(M757),Room!D:H,5,FALSE),5000)</f>
        <v>12500</v>
      </c>
      <c r="Q757">
        <f t="shared" si="57"/>
        <v>175000</v>
      </c>
      <c r="R757" s="11" t="str">
        <f t="shared" si="58"/>
        <v>Business</v>
      </c>
      <c r="S757" s="11">
        <f t="shared" si="59"/>
        <v>5</v>
      </c>
    </row>
    <row r="758" spans="1:19">
      <c r="A758" t="s">
        <v>4064</v>
      </c>
      <c r="B758" t="s">
        <v>4065</v>
      </c>
      <c r="C758" t="s">
        <v>982</v>
      </c>
      <c r="D758" t="s">
        <v>4066</v>
      </c>
      <c r="E758" t="s">
        <v>4067</v>
      </c>
      <c r="F758" t="s">
        <v>4068</v>
      </c>
      <c r="G758" s="4">
        <v>45935</v>
      </c>
      <c r="H758" s="4">
        <v>45995</v>
      </c>
      <c r="I758" s="4">
        <v>46006</v>
      </c>
      <c r="J758">
        <f t="shared" si="55"/>
        <v>11</v>
      </c>
      <c r="K758" t="str">
        <f t="array" ref="K758">_xlfn.IFS(J758=1,"Day Use",J758&lt;=3,"Short Stay",J758&lt;=7,"Extended Stay",J758&gt;=8,"Long Stay")</f>
        <v>Long Stay</v>
      </c>
      <c r="L758" t="s">
        <v>196</v>
      </c>
      <c r="M758" s="10" t="str">
        <f t="shared" si="56"/>
        <v>Suite</v>
      </c>
      <c r="N758" t="s">
        <v>57</v>
      </c>
      <c r="O758" t="s">
        <v>42</v>
      </c>
      <c r="P758">
        <f>IFERROR(VLOOKUP(TRIM(M758),Room!D:H,5,FALSE),5000)</f>
        <v>12500</v>
      </c>
      <c r="Q758">
        <f t="shared" si="57"/>
        <v>137500</v>
      </c>
      <c r="R758" s="11" t="str">
        <f t="shared" si="58"/>
        <v>Business</v>
      </c>
      <c r="S758" s="11">
        <f t="shared" si="59"/>
        <v>5</v>
      </c>
    </row>
    <row r="759" spans="1:19">
      <c r="A759" t="s">
        <v>4069</v>
      </c>
      <c r="B759" t="s">
        <v>4070</v>
      </c>
      <c r="C759" t="s">
        <v>506</v>
      </c>
      <c r="D759" t="s">
        <v>4071</v>
      </c>
      <c r="E759" t="s">
        <v>4072</v>
      </c>
      <c r="F759" t="s">
        <v>4073</v>
      </c>
      <c r="G759" s="4">
        <v>45644</v>
      </c>
      <c r="H759" s="4">
        <v>45973</v>
      </c>
      <c r="I759" s="4">
        <v>45977</v>
      </c>
      <c r="J759">
        <f t="shared" si="55"/>
        <v>4</v>
      </c>
      <c r="K759" t="str">
        <f t="array" ref="K759">_xlfn.IFS(J759=1,"Day Use",J759&lt;=3,"Short Stay",J759&lt;=7,"Extended Stay",J759&gt;=8,"Long Stay")</f>
        <v>Extended Stay</v>
      </c>
      <c r="L759" t="s">
        <v>25</v>
      </c>
      <c r="M759" s="10" t="str">
        <f t="shared" si="56"/>
        <v>Deluxe</v>
      </c>
      <c r="N759" t="s">
        <v>26</v>
      </c>
      <c r="O759" t="s">
        <v>42</v>
      </c>
      <c r="P759">
        <f>IFERROR(VLOOKUP(TRIM(M759),Room!D:H,5,FALSE),5000)</f>
        <v>5400</v>
      </c>
      <c r="Q759">
        <f t="shared" si="57"/>
        <v>21600</v>
      </c>
      <c r="R759" s="11" t="str">
        <f t="shared" si="58"/>
        <v>Conference</v>
      </c>
      <c r="S759" s="11">
        <f t="shared" si="59"/>
        <v>3</v>
      </c>
    </row>
    <row r="760" spans="1:19">
      <c r="A760" t="s">
        <v>4074</v>
      </c>
      <c r="B760" t="s">
        <v>4075</v>
      </c>
      <c r="C760" t="s">
        <v>835</v>
      </c>
      <c r="D760" t="s">
        <v>4076</v>
      </c>
      <c r="E760" t="s">
        <v>4077</v>
      </c>
      <c r="F760" t="s">
        <v>4078</v>
      </c>
      <c r="G760" s="4">
        <v>45441</v>
      </c>
      <c r="H760" s="4">
        <v>45846</v>
      </c>
      <c r="I760" s="4">
        <v>45855</v>
      </c>
      <c r="J760">
        <f t="shared" si="55"/>
        <v>9</v>
      </c>
      <c r="K760" t="str">
        <f t="array" ref="K760">_xlfn.IFS(J760=1,"Day Use",J760&lt;=3,"Short Stay",J760&lt;=7,"Extended Stay",J760&gt;=8,"Long Stay")</f>
        <v>Long Stay</v>
      </c>
      <c r="L760" t="s">
        <v>196</v>
      </c>
      <c r="M760" s="10" t="str">
        <f t="shared" si="56"/>
        <v>Premium</v>
      </c>
      <c r="N760" t="s">
        <v>134</v>
      </c>
      <c r="O760" t="s">
        <v>35</v>
      </c>
      <c r="P760">
        <f>IFERROR(VLOOKUP(TRIM(M760),Room!D:H,5,FALSE),5000)</f>
        <v>9500</v>
      </c>
      <c r="Q760">
        <f t="shared" si="57"/>
        <v>85500</v>
      </c>
      <c r="R760" s="11" t="str">
        <f t="shared" si="58"/>
        <v>Conference</v>
      </c>
      <c r="S760" s="11">
        <f t="shared" si="59"/>
        <v>4</v>
      </c>
    </row>
    <row r="761" spans="1:19">
      <c r="A761" t="s">
        <v>4079</v>
      </c>
      <c r="B761" t="s">
        <v>4080</v>
      </c>
      <c r="C761" t="s">
        <v>4081</v>
      </c>
      <c r="D761" t="s">
        <v>4082</v>
      </c>
      <c r="E761" t="s">
        <v>4083</v>
      </c>
      <c r="F761" t="s">
        <v>4084</v>
      </c>
      <c r="G761" s="4">
        <v>45329</v>
      </c>
      <c r="H761" s="4">
        <v>45357</v>
      </c>
      <c r="I761" s="4">
        <v>45359</v>
      </c>
      <c r="J761">
        <f t="shared" si="55"/>
        <v>2</v>
      </c>
      <c r="K761" t="str">
        <f t="array" ref="K761">_xlfn.IFS(J761=1,"Day Use",J761&lt;=3,"Short Stay",J761&lt;=7,"Extended Stay",J761&gt;=8,"Long Stay")</f>
        <v>Short Stay</v>
      </c>
      <c r="L761" t="s">
        <v>196</v>
      </c>
      <c r="M761" s="10" t="str">
        <f t="shared" si="56"/>
        <v>Standard</v>
      </c>
      <c r="N761" t="s">
        <v>26</v>
      </c>
      <c r="O761" t="s">
        <v>58</v>
      </c>
      <c r="P761">
        <f>IFERROR(VLOOKUP(TRIM(M761),Room!D:H,5,FALSE),5000)</f>
        <v>3200</v>
      </c>
      <c r="Q761">
        <f t="shared" si="57"/>
        <v>6400</v>
      </c>
      <c r="R761" s="11" t="str">
        <f t="shared" si="58"/>
        <v>Other</v>
      </c>
      <c r="S761" s="11">
        <f t="shared" si="59"/>
        <v>2</v>
      </c>
    </row>
    <row r="762" spans="1:19">
      <c r="A762" t="s">
        <v>4085</v>
      </c>
      <c r="B762" t="s">
        <v>4086</v>
      </c>
      <c r="C762" t="s">
        <v>835</v>
      </c>
      <c r="D762" t="s">
        <v>4087</v>
      </c>
      <c r="E762" t="s">
        <v>4088</v>
      </c>
      <c r="F762" t="s">
        <v>4089</v>
      </c>
      <c r="G762" s="4">
        <v>45438</v>
      </c>
      <c r="H762" s="4">
        <v>45439</v>
      </c>
      <c r="I762" s="4">
        <v>45443</v>
      </c>
      <c r="J762">
        <f t="shared" si="55"/>
        <v>4</v>
      </c>
      <c r="K762" t="str">
        <f t="array" ref="K762">_xlfn.IFS(J762=1,"Day Use",J762&lt;=3,"Short Stay",J762&lt;=7,"Extended Stay",J762&gt;=8,"Long Stay")</f>
        <v>Extended Stay</v>
      </c>
      <c r="L762" t="s">
        <v>141</v>
      </c>
      <c r="M762" s="10" t="str">
        <f t="shared" si="56"/>
        <v>Deluxe</v>
      </c>
      <c r="N762" t="s">
        <v>26</v>
      </c>
      <c r="O762" t="s">
        <v>27</v>
      </c>
      <c r="P762">
        <f>IFERROR(VLOOKUP(TRIM(M762),Room!D:H,5,FALSE),5000)</f>
        <v>5400</v>
      </c>
      <c r="Q762">
        <f t="shared" si="57"/>
        <v>21600</v>
      </c>
      <c r="R762" s="11" t="str">
        <f t="shared" si="58"/>
        <v>Conference</v>
      </c>
      <c r="S762" s="11">
        <f t="shared" si="59"/>
        <v>3</v>
      </c>
    </row>
    <row r="763" spans="1:19">
      <c r="A763" t="s">
        <v>4090</v>
      </c>
      <c r="B763" t="s">
        <v>4091</v>
      </c>
      <c r="C763" t="s">
        <v>1649</v>
      </c>
      <c r="D763" t="s">
        <v>4092</v>
      </c>
      <c r="E763" t="s">
        <v>4093</v>
      </c>
      <c r="F763" t="s">
        <v>4094</v>
      </c>
      <c r="G763" s="4">
        <v>45520</v>
      </c>
      <c r="H763" s="4">
        <v>45539</v>
      </c>
      <c r="I763" s="4">
        <v>45545</v>
      </c>
      <c r="J763">
        <f t="shared" si="55"/>
        <v>6</v>
      </c>
      <c r="K763" t="str">
        <f t="array" ref="K763">_xlfn.IFS(J763=1,"Day Use",J763&lt;=3,"Short Stay",J763&lt;=7,"Extended Stay",J763&gt;=8,"Long Stay")</f>
        <v>Extended Stay</v>
      </c>
      <c r="L763" t="s">
        <v>196</v>
      </c>
      <c r="M763" s="10" t="str">
        <f t="shared" si="56"/>
        <v>Deluxe</v>
      </c>
      <c r="N763" t="s">
        <v>57</v>
      </c>
      <c r="O763" t="s">
        <v>35</v>
      </c>
      <c r="P763">
        <f>IFERROR(VLOOKUP(TRIM(M763),Room!D:H,5,FALSE),5000)</f>
        <v>5400</v>
      </c>
      <c r="Q763">
        <f t="shared" si="57"/>
        <v>32400</v>
      </c>
      <c r="R763" s="11" t="str">
        <f t="shared" si="58"/>
        <v>Conference</v>
      </c>
      <c r="S763" s="11">
        <f t="shared" si="59"/>
        <v>3</v>
      </c>
    </row>
    <row r="764" spans="1:19">
      <c r="A764" t="s">
        <v>4095</v>
      </c>
      <c r="B764" t="s">
        <v>4096</v>
      </c>
      <c r="C764" t="s">
        <v>729</v>
      </c>
      <c r="D764" t="s">
        <v>4097</v>
      </c>
      <c r="E764" t="s">
        <v>4098</v>
      </c>
      <c r="F764" t="s">
        <v>4099</v>
      </c>
      <c r="G764" s="4">
        <v>45577</v>
      </c>
      <c r="H764" s="4">
        <v>45594</v>
      </c>
      <c r="I764" s="4">
        <v>45605</v>
      </c>
      <c r="J764">
        <f t="shared" si="55"/>
        <v>11</v>
      </c>
      <c r="K764" t="str">
        <f t="array" ref="K764">_xlfn.IFS(J764=1,"Day Use",J764&lt;=3,"Short Stay",J764&lt;=7,"Extended Stay",J764&gt;=8,"Long Stay")</f>
        <v>Long Stay</v>
      </c>
      <c r="L764" t="s">
        <v>56</v>
      </c>
      <c r="M764" s="10" t="str">
        <f t="shared" si="56"/>
        <v>Suite</v>
      </c>
      <c r="N764" t="s">
        <v>26</v>
      </c>
      <c r="O764" t="s">
        <v>42</v>
      </c>
      <c r="P764">
        <f>IFERROR(VLOOKUP(TRIM(M764),Room!D:H,5,FALSE),5000)</f>
        <v>12500</v>
      </c>
      <c r="Q764">
        <f t="shared" si="57"/>
        <v>137500</v>
      </c>
      <c r="R764" s="11" t="str">
        <f t="shared" si="58"/>
        <v>Business</v>
      </c>
      <c r="S764" s="11">
        <f t="shared" si="59"/>
        <v>5</v>
      </c>
    </row>
    <row r="765" spans="1:19">
      <c r="A765" t="s">
        <v>4100</v>
      </c>
      <c r="B765" t="s">
        <v>4101</v>
      </c>
      <c r="C765" t="s">
        <v>691</v>
      </c>
      <c r="D765" t="s">
        <v>4102</v>
      </c>
      <c r="E765" t="s">
        <v>4103</v>
      </c>
      <c r="F765" t="s">
        <v>4104</v>
      </c>
      <c r="G765" s="4">
        <v>45386</v>
      </c>
      <c r="H765" s="4">
        <v>45406</v>
      </c>
      <c r="I765" s="4">
        <v>45418</v>
      </c>
      <c r="J765">
        <f t="shared" si="55"/>
        <v>12</v>
      </c>
      <c r="K765" t="str">
        <f t="array" ref="K765">_xlfn.IFS(J765=1,"Day Use",J765&lt;=3,"Short Stay",J765&lt;=7,"Extended Stay",J765&gt;=8,"Long Stay")</f>
        <v>Long Stay</v>
      </c>
      <c r="L765" t="s">
        <v>34</v>
      </c>
      <c r="M765" s="10" t="str">
        <f t="shared" si="56"/>
        <v>Suite</v>
      </c>
      <c r="N765" t="s">
        <v>26</v>
      </c>
      <c r="O765" t="s">
        <v>27</v>
      </c>
      <c r="P765">
        <f>IFERROR(VLOOKUP(TRIM(M765),Room!D:H,5,FALSE),5000)</f>
        <v>12500</v>
      </c>
      <c r="Q765">
        <f t="shared" si="57"/>
        <v>150000</v>
      </c>
      <c r="R765" s="11" t="str">
        <f t="shared" si="58"/>
        <v>Business</v>
      </c>
      <c r="S765" s="11">
        <f t="shared" si="59"/>
        <v>5</v>
      </c>
    </row>
    <row r="766" spans="1:19">
      <c r="A766" t="s">
        <v>4105</v>
      </c>
      <c r="B766" t="s">
        <v>4106</v>
      </c>
      <c r="C766" t="s">
        <v>4081</v>
      </c>
      <c r="D766" t="s">
        <v>4107</v>
      </c>
      <c r="E766" t="s">
        <v>4108</v>
      </c>
      <c r="F766" t="s">
        <v>4109</v>
      </c>
      <c r="G766" s="4">
        <v>45393</v>
      </c>
      <c r="H766" s="4">
        <v>45986</v>
      </c>
      <c r="I766" s="4">
        <v>45989</v>
      </c>
      <c r="J766">
        <f t="shared" si="55"/>
        <v>3</v>
      </c>
      <c r="K766" t="str">
        <f t="array" ref="K766">_xlfn.IFS(J766=1,"Day Use",J766&lt;=3,"Short Stay",J766&lt;=7,"Extended Stay",J766&gt;=8,"Long Stay")</f>
        <v>Short Stay</v>
      </c>
      <c r="L766" t="s">
        <v>25</v>
      </c>
      <c r="M766" s="10" t="str">
        <f t="shared" si="56"/>
        <v>Standard</v>
      </c>
      <c r="N766" t="s">
        <v>148</v>
      </c>
      <c r="O766" t="s">
        <v>27</v>
      </c>
      <c r="P766">
        <f>IFERROR(VLOOKUP(TRIM(M766),Room!D:H,5,FALSE),5000)</f>
        <v>3200</v>
      </c>
      <c r="Q766">
        <f t="shared" si="57"/>
        <v>9600</v>
      </c>
      <c r="R766" s="11" t="str">
        <f t="shared" si="58"/>
        <v>Other</v>
      </c>
      <c r="S766" s="11">
        <f t="shared" si="59"/>
        <v>2</v>
      </c>
    </row>
    <row r="767" spans="1:19">
      <c r="A767" t="s">
        <v>4110</v>
      </c>
      <c r="B767" t="s">
        <v>4111</v>
      </c>
      <c r="C767" t="s">
        <v>547</v>
      </c>
      <c r="D767" t="s">
        <v>4112</v>
      </c>
      <c r="E767" t="s">
        <v>4113</v>
      </c>
      <c r="F767" t="s">
        <v>4114</v>
      </c>
      <c r="G767" s="4">
        <v>45413</v>
      </c>
      <c r="H767" s="4">
        <v>45472</v>
      </c>
      <c r="I767" s="4">
        <v>45473</v>
      </c>
      <c r="J767">
        <f t="shared" si="55"/>
        <v>1</v>
      </c>
      <c r="K767" t="str">
        <f t="array" ref="K767">_xlfn.IFS(J767=1,"Day Use",J767&lt;=3,"Short Stay",J767&lt;=7,"Extended Stay",J767&gt;=8,"Long Stay")</f>
        <v>Day Use</v>
      </c>
      <c r="L767" t="s">
        <v>49</v>
      </c>
      <c r="M767" s="10" t="str">
        <f t="shared" si="56"/>
        <v>Standard</v>
      </c>
      <c r="N767" t="s">
        <v>148</v>
      </c>
      <c r="O767" t="s">
        <v>42</v>
      </c>
      <c r="P767">
        <f>IFERROR(VLOOKUP(TRIM(M767),Room!D:H,5,FALSE),5000)</f>
        <v>3200</v>
      </c>
      <c r="Q767">
        <f t="shared" si="57"/>
        <v>3200</v>
      </c>
      <c r="R767" s="11" t="str">
        <f t="shared" si="58"/>
        <v>Other</v>
      </c>
      <c r="S767" s="11">
        <f t="shared" si="59"/>
        <v>1</v>
      </c>
    </row>
    <row r="768" spans="1:19">
      <c r="A768" t="s">
        <v>4115</v>
      </c>
      <c r="B768" t="s">
        <v>4116</v>
      </c>
      <c r="C768" t="s">
        <v>1250</v>
      </c>
      <c r="D768" t="s">
        <v>4117</v>
      </c>
      <c r="E768" t="s">
        <v>4118</v>
      </c>
      <c r="F768" t="s">
        <v>4119</v>
      </c>
      <c r="G768" s="4">
        <v>45534</v>
      </c>
      <c r="H768" s="4">
        <v>45657</v>
      </c>
      <c r="I768" s="4">
        <v>45659</v>
      </c>
      <c r="J768">
        <f t="shared" si="55"/>
        <v>2</v>
      </c>
      <c r="K768" t="str">
        <f t="array" ref="K768">_xlfn.IFS(J768=1,"Day Use",J768&lt;=3,"Short Stay",J768&lt;=7,"Extended Stay",J768&gt;=8,"Long Stay")</f>
        <v>Short Stay</v>
      </c>
      <c r="L768" t="s">
        <v>25</v>
      </c>
      <c r="M768" s="10" t="str">
        <f t="shared" si="56"/>
        <v>Standard</v>
      </c>
      <c r="N768" t="s">
        <v>26</v>
      </c>
      <c r="O768" t="s">
        <v>35</v>
      </c>
      <c r="P768">
        <f>IFERROR(VLOOKUP(TRIM(M768),Room!D:H,5,FALSE),5000)</f>
        <v>3200</v>
      </c>
      <c r="Q768">
        <f t="shared" si="57"/>
        <v>6400</v>
      </c>
      <c r="R768" s="11" t="str">
        <f t="shared" si="58"/>
        <v>Other</v>
      </c>
      <c r="S768" s="11">
        <f t="shared" si="59"/>
        <v>2</v>
      </c>
    </row>
    <row r="769" spans="1:19">
      <c r="A769" t="s">
        <v>4120</v>
      </c>
      <c r="B769" t="s">
        <v>4121</v>
      </c>
      <c r="C769" t="s">
        <v>2815</v>
      </c>
      <c r="D769" t="s">
        <v>4122</v>
      </c>
      <c r="E769" t="s">
        <v>4123</v>
      </c>
      <c r="F769" t="s">
        <v>4124</v>
      </c>
      <c r="G769" s="4">
        <v>45678</v>
      </c>
      <c r="H769" s="4">
        <v>45688</v>
      </c>
      <c r="I769" s="4">
        <v>45695</v>
      </c>
      <c r="J769">
        <f t="shared" si="55"/>
        <v>7</v>
      </c>
      <c r="K769" t="str">
        <f t="array" ref="K769">_xlfn.IFS(J769=1,"Day Use",J769&lt;=3,"Short Stay",J769&lt;=7,"Extended Stay",J769&gt;=8,"Long Stay")</f>
        <v>Extended Stay</v>
      </c>
      <c r="L769" t="s">
        <v>84</v>
      </c>
      <c r="M769" s="10" t="str">
        <f t="shared" si="56"/>
        <v>Premium</v>
      </c>
      <c r="N769" t="s">
        <v>26</v>
      </c>
      <c r="O769" t="s">
        <v>58</v>
      </c>
      <c r="P769">
        <f>IFERROR(VLOOKUP(TRIM(M769),Room!D:H,5,FALSE),5000)</f>
        <v>9500</v>
      </c>
      <c r="Q769">
        <f t="shared" si="57"/>
        <v>66500</v>
      </c>
      <c r="R769" s="11" t="str">
        <f t="shared" si="58"/>
        <v>Conference</v>
      </c>
      <c r="S769" s="11">
        <f t="shared" si="59"/>
        <v>4</v>
      </c>
    </row>
    <row r="770" spans="1:19">
      <c r="A770" t="s">
        <v>4125</v>
      </c>
      <c r="B770" t="s">
        <v>4126</v>
      </c>
      <c r="C770" t="s">
        <v>1431</v>
      </c>
      <c r="D770" t="s">
        <v>4127</v>
      </c>
      <c r="E770" t="s">
        <v>4128</v>
      </c>
      <c r="F770" t="s">
        <v>4129</v>
      </c>
      <c r="G770" s="4">
        <v>45576</v>
      </c>
      <c r="H770" s="4">
        <v>45699</v>
      </c>
      <c r="I770" s="4">
        <v>45705</v>
      </c>
      <c r="J770">
        <f t="shared" ref="J770:J833" si="60">I770-H770</f>
        <v>6</v>
      </c>
      <c r="K770" t="str">
        <f t="array" ref="K770">_xlfn.IFS(J770=1,"Day Use",J770&lt;=3,"Short Stay",J770&lt;=7,"Extended Stay",J770&gt;=8,"Long Stay")</f>
        <v>Extended Stay</v>
      </c>
      <c r="L770" t="s">
        <v>84</v>
      </c>
      <c r="M770" s="10" t="str">
        <f t="shared" ref="M770:M833" si="61">IF($J770&lt;=3,"Standard",IF($J770&lt;=6,"Deluxe",IF($J770&lt;=10,"Premium","Suite")))</f>
        <v>Deluxe</v>
      </c>
      <c r="N770" t="s">
        <v>26</v>
      </c>
      <c r="O770" t="s">
        <v>71</v>
      </c>
      <c r="P770">
        <f>IFERROR(VLOOKUP(TRIM(M770),Room!D:H,5,FALSE),5000)</f>
        <v>5400</v>
      </c>
      <c r="Q770">
        <f t="shared" si="57"/>
        <v>32400</v>
      </c>
      <c r="R770" s="11" t="str">
        <f t="shared" si="58"/>
        <v>Conference</v>
      </c>
      <c r="S770" s="11">
        <f t="shared" si="59"/>
        <v>3</v>
      </c>
    </row>
    <row r="771" spans="1:19">
      <c r="A771" t="s">
        <v>4130</v>
      </c>
      <c r="B771" t="s">
        <v>4131</v>
      </c>
      <c r="C771" t="s">
        <v>558</v>
      </c>
      <c r="D771" t="s">
        <v>4132</v>
      </c>
      <c r="E771" t="s">
        <v>4133</v>
      </c>
      <c r="F771" t="s">
        <v>4134</v>
      </c>
      <c r="G771" s="4">
        <v>45413</v>
      </c>
      <c r="H771" s="4">
        <v>45741</v>
      </c>
      <c r="I771" s="4">
        <v>45748</v>
      </c>
      <c r="J771">
        <f t="shared" si="60"/>
        <v>7</v>
      </c>
      <c r="K771" t="str">
        <f t="array" ref="K771">_xlfn.IFS(J771=1,"Day Use",J771&lt;=3,"Short Stay",J771&lt;=7,"Extended Stay",J771&gt;=8,"Long Stay")</f>
        <v>Extended Stay</v>
      </c>
      <c r="L771" t="s">
        <v>196</v>
      </c>
      <c r="M771" s="10" t="str">
        <f t="shared" si="61"/>
        <v>Premium</v>
      </c>
      <c r="N771" t="s">
        <v>148</v>
      </c>
      <c r="O771" t="s">
        <v>58</v>
      </c>
      <c r="P771">
        <f>IFERROR(VLOOKUP(TRIM(M771),Room!D:H,5,FALSE),5000)</f>
        <v>9500</v>
      </c>
      <c r="Q771">
        <f t="shared" ref="Q771:Q834" si="62">P771*J771</f>
        <v>66500</v>
      </c>
      <c r="R771" s="11" t="str">
        <f t="shared" ref="R771:R834" si="63">IF(ISNUMBER(SEARCH("Suite",D771)),"Honeymoon",IF(P771&gt;10000,"Business",IF(P771&gt;5000,"Conference",IF(J771&gt;=8,"Family Vacation","Other"))))</f>
        <v>Conference</v>
      </c>
      <c r="S771" s="11">
        <f t="shared" ref="S771:S834" si="64">IF(M771="Suite",5,IF(M771="Premium",IF(Q771&gt;20000,4,3),IF(M771="Deluxe",IF(Q771&gt;=10000,3,2),IF(M771="Standard",IF(Q771&gt;=5000,2,1),1))))</f>
        <v>4</v>
      </c>
    </row>
    <row r="772" spans="1:19">
      <c r="A772" t="s">
        <v>4135</v>
      </c>
      <c r="B772" t="s">
        <v>4136</v>
      </c>
      <c r="C772" t="s">
        <v>639</v>
      </c>
      <c r="D772" t="s">
        <v>4137</v>
      </c>
      <c r="E772" t="s">
        <v>4138</v>
      </c>
      <c r="F772" t="s">
        <v>4139</v>
      </c>
      <c r="G772" s="4">
        <v>45602</v>
      </c>
      <c r="H772" s="4">
        <v>45623</v>
      </c>
      <c r="I772" s="4">
        <v>45631</v>
      </c>
      <c r="J772">
        <f t="shared" si="60"/>
        <v>8</v>
      </c>
      <c r="K772" t="str">
        <f t="array" ref="K772">_xlfn.IFS(J772=1,"Day Use",J772&lt;=3,"Short Stay",J772&lt;=7,"Extended Stay",J772&gt;=8,"Long Stay")</f>
        <v>Long Stay</v>
      </c>
      <c r="L772" t="s">
        <v>91</v>
      </c>
      <c r="M772" s="10" t="str">
        <f t="shared" si="61"/>
        <v>Premium</v>
      </c>
      <c r="N772" t="s">
        <v>26</v>
      </c>
      <c r="O772" t="s">
        <v>27</v>
      </c>
      <c r="P772">
        <f>IFERROR(VLOOKUP(TRIM(M772),Room!D:H,5,FALSE),5000)</f>
        <v>9500</v>
      </c>
      <c r="Q772">
        <f t="shared" si="62"/>
        <v>76000</v>
      </c>
      <c r="R772" s="11" t="str">
        <f t="shared" si="63"/>
        <v>Conference</v>
      </c>
      <c r="S772" s="11">
        <f t="shared" si="64"/>
        <v>4</v>
      </c>
    </row>
    <row r="773" spans="1:19">
      <c r="A773" t="s">
        <v>4140</v>
      </c>
      <c r="B773" t="s">
        <v>4141</v>
      </c>
      <c r="C773" t="s">
        <v>768</v>
      </c>
      <c r="D773" t="s">
        <v>4142</v>
      </c>
      <c r="E773" t="s">
        <v>4143</v>
      </c>
      <c r="F773" t="s">
        <v>4144</v>
      </c>
      <c r="G773" s="4">
        <v>45287</v>
      </c>
      <c r="H773" s="4">
        <v>45297</v>
      </c>
      <c r="I773" s="4">
        <v>45307</v>
      </c>
      <c r="J773">
        <f t="shared" si="60"/>
        <v>10</v>
      </c>
      <c r="K773" t="str">
        <f t="array" ref="K773">_xlfn.IFS(J773=1,"Day Use",J773&lt;=3,"Short Stay",J773&lt;=7,"Extended Stay",J773&gt;=8,"Long Stay")</f>
        <v>Long Stay</v>
      </c>
      <c r="L773" t="s">
        <v>25</v>
      </c>
      <c r="M773" s="10" t="str">
        <f t="shared" si="61"/>
        <v>Premium</v>
      </c>
      <c r="N773" t="s">
        <v>26</v>
      </c>
      <c r="O773" t="s">
        <v>27</v>
      </c>
      <c r="P773">
        <f>IFERROR(VLOOKUP(TRIM(M773),Room!D:H,5,FALSE),5000)</f>
        <v>9500</v>
      </c>
      <c r="Q773">
        <f t="shared" si="62"/>
        <v>95000</v>
      </c>
      <c r="R773" s="11" t="str">
        <f t="shared" si="63"/>
        <v>Conference</v>
      </c>
      <c r="S773" s="11">
        <f t="shared" si="64"/>
        <v>4</v>
      </c>
    </row>
    <row r="774" spans="1:19">
      <c r="A774" t="s">
        <v>4145</v>
      </c>
      <c r="B774" t="s">
        <v>4146</v>
      </c>
      <c r="C774" t="s">
        <v>2451</v>
      </c>
      <c r="D774" t="s">
        <v>4147</v>
      </c>
      <c r="E774" t="s">
        <v>4148</v>
      </c>
      <c r="F774" t="s">
        <v>4149</v>
      </c>
      <c r="G774" s="4">
        <v>45685</v>
      </c>
      <c r="H774" s="4">
        <v>45698</v>
      </c>
      <c r="I774" s="4">
        <v>45712</v>
      </c>
      <c r="J774">
        <f t="shared" si="60"/>
        <v>14</v>
      </c>
      <c r="K774" t="str">
        <f t="array" ref="K774">_xlfn.IFS(J774=1,"Day Use",J774&lt;=3,"Short Stay",J774&lt;=7,"Extended Stay",J774&gt;=8,"Long Stay")</f>
        <v>Long Stay</v>
      </c>
      <c r="L774" t="s">
        <v>56</v>
      </c>
      <c r="M774" s="10" t="str">
        <f t="shared" si="61"/>
        <v>Suite</v>
      </c>
      <c r="N774" t="s">
        <v>26</v>
      </c>
      <c r="O774" t="s">
        <v>58</v>
      </c>
      <c r="P774">
        <f>IFERROR(VLOOKUP(TRIM(M774),Room!D:H,5,FALSE),5000)</f>
        <v>12500</v>
      </c>
      <c r="Q774">
        <f t="shared" si="62"/>
        <v>175000</v>
      </c>
      <c r="R774" s="11" t="str">
        <f t="shared" si="63"/>
        <v>Business</v>
      </c>
      <c r="S774" s="11">
        <f t="shared" si="64"/>
        <v>5</v>
      </c>
    </row>
    <row r="775" spans="1:19">
      <c r="A775" t="s">
        <v>4150</v>
      </c>
      <c r="B775" t="s">
        <v>4151</v>
      </c>
      <c r="C775" t="s">
        <v>2642</v>
      </c>
      <c r="D775" t="s">
        <v>4152</v>
      </c>
      <c r="E775" t="s">
        <v>4153</v>
      </c>
      <c r="F775" t="s">
        <v>4154</v>
      </c>
      <c r="G775" s="4">
        <v>45854</v>
      </c>
      <c r="H775" s="4">
        <v>45921</v>
      </c>
      <c r="I775" s="4">
        <v>45924</v>
      </c>
      <c r="J775">
        <f t="shared" si="60"/>
        <v>3</v>
      </c>
      <c r="K775" t="str">
        <f t="array" ref="K775">_xlfn.IFS(J775=1,"Day Use",J775&lt;=3,"Short Stay",J775&lt;=7,"Extended Stay",J775&gt;=8,"Long Stay")</f>
        <v>Short Stay</v>
      </c>
      <c r="L775" t="s">
        <v>25</v>
      </c>
      <c r="M775" s="10" t="str">
        <f t="shared" si="61"/>
        <v>Standard</v>
      </c>
      <c r="N775" t="s">
        <v>26</v>
      </c>
      <c r="O775" t="s">
        <v>58</v>
      </c>
      <c r="P775">
        <f>IFERROR(VLOOKUP(TRIM(M775),Room!D:H,5,FALSE),5000)</f>
        <v>3200</v>
      </c>
      <c r="Q775">
        <f t="shared" si="62"/>
        <v>9600</v>
      </c>
      <c r="R775" s="11" t="str">
        <f t="shared" si="63"/>
        <v>Other</v>
      </c>
      <c r="S775" s="11">
        <f t="shared" si="64"/>
        <v>2</v>
      </c>
    </row>
    <row r="776" spans="1:19">
      <c r="A776" t="s">
        <v>4155</v>
      </c>
      <c r="B776" t="s">
        <v>4156</v>
      </c>
      <c r="C776" t="s">
        <v>223</v>
      </c>
      <c r="D776" t="s">
        <v>4157</v>
      </c>
      <c r="E776" t="s">
        <v>4158</v>
      </c>
      <c r="F776" t="s">
        <v>4159</v>
      </c>
      <c r="G776" s="4">
        <v>45672</v>
      </c>
      <c r="H776" s="4">
        <v>45679</v>
      </c>
      <c r="I776" s="4">
        <v>45685</v>
      </c>
      <c r="J776">
        <f t="shared" si="60"/>
        <v>6</v>
      </c>
      <c r="K776" t="str">
        <f t="array" ref="K776">_xlfn.IFS(J776=1,"Day Use",J776&lt;=3,"Short Stay",J776&lt;=7,"Extended Stay",J776&gt;=8,"Long Stay")</f>
        <v>Extended Stay</v>
      </c>
      <c r="L776" t="s">
        <v>141</v>
      </c>
      <c r="M776" s="10" t="str">
        <f t="shared" si="61"/>
        <v>Deluxe</v>
      </c>
      <c r="N776" t="s">
        <v>26</v>
      </c>
      <c r="O776" t="s">
        <v>42</v>
      </c>
      <c r="P776">
        <f>IFERROR(VLOOKUP(TRIM(M776),Room!D:H,5,FALSE),5000)</f>
        <v>5400</v>
      </c>
      <c r="Q776">
        <f t="shared" si="62"/>
        <v>32400</v>
      </c>
      <c r="R776" s="11" t="str">
        <f t="shared" si="63"/>
        <v>Conference</v>
      </c>
      <c r="S776" s="11">
        <f t="shared" si="64"/>
        <v>3</v>
      </c>
    </row>
    <row r="777" spans="1:19">
      <c r="A777" t="s">
        <v>4160</v>
      </c>
      <c r="B777" t="s">
        <v>4161</v>
      </c>
      <c r="C777" t="s">
        <v>271</v>
      </c>
      <c r="D777" t="s">
        <v>4162</v>
      </c>
      <c r="E777" t="s">
        <v>4163</v>
      </c>
      <c r="F777" t="s">
        <v>4164</v>
      </c>
      <c r="G777" s="4">
        <v>45605</v>
      </c>
      <c r="H777" s="4">
        <v>45612</v>
      </c>
      <c r="I777" s="4">
        <v>45623</v>
      </c>
      <c r="J777">
        <f t="shared" si="60"/>
        <v>11</v>
      </c>
      <c r="K777" t="str">
        <f t="array" ref="K777">_xlfn.IFS(J777=1,"Day Use",J777&lt;=3,"Short Stay",J777&lt;=7,"Extended Stay",J777&gt;=8,"Long Stay")</f>
        <v>Long Stay</v>
      </c>
      <c r="L777" t="s">
        <v>196</v>
      </c>
      <c r="M777" s="10" t="str">
        <f t="shared" si="61"/>
        <v>Suite</v>
      </c>
      <c r="N777" t="s">
        <v>26</v>
      </c>
      <c r="O777" t="s">
        <v>71</v>
      </c>
      <c r="P777">
        <f>IFERROR(VLOOKUP(TRIM(M777),Room!D:H,5,FALSE),5000)</f>
        <v>12500</v>
      </c>
      <c r="Q777">
        <f t="shared" si="62"/>
        <v>137500</v>
      </c>
      <c r="R777" s="11" t="str">
        <f t="shared" si="63"/>
        <v>Business</v>
      </c>
      <c r="S777" s="11">
        <f t="shared" si="64"/>
        <v>5</v>
      </c>
    </row>
    <row r="778" spans="1:19">
      <c r="A778" t="s">
        <v>4165</v>
      </c>
      <c r="B778" t="s">
        <v>4166</v>
      </c>
      <c r="C778" t="s">
        <v>1470</v>
      </c>
      <c r="D778" t="s">
        <v>4167</v>
      </c>
      <c r="E778" t="s">
        <v>4168</v>
      </c>
      <c r="F778" t="s">
        <v>4169</v>
      </c>
      <c r="G778" s="4">
        <v>45863</v>
      </c>
      <c r="H778" s="4">
        <v>45906</v>
      </c>
      <c r="I778" s="4">
        <v>45918</v>
      </c>
      <c r="J778">
        <f t="shared" si="60"/>
        <v>12</v>
      </c>
      <c r="K778" t="str">
        <f t="array" ref="K778">_xlfn.IFS(J778=1,"Day Use",J778&lt;=3,"Short Stay",J778&lt;=7,"Extended Stay",J778&gt;=8,"Long Stay")</f>
        <v>Long Stay</v>
      </c>
      <c r="L778" t="s">
        <v>34</v>
      </c>
      <c r="M778" s="10" t="str">
        <f t="shared" si="61"/>
        <v>Suite</v>
      </c>
      <c r="N778" t="s">
        <v>26</v>
      </c>
      <c r="O778" t="s">
        <v>27</v>
      </c>
      <c r="P778">
        <f>IFERROR(VLOOKUP(TRIM(M778),Room!D:H,5,FALSE),5000)</f>
        <v>12500</v>
      </c>
      <c r="Q778">
        <f t="shared" si="62"/>
        <v>150000</v>
      </c>
      <c r="R778" s="11" t="str">
        <f t="shared" si="63"/>
        <v>Business</v>
      </c>
      <c r="S778" s="11">
        <f t="shared" si="64"/>
        <v>5</v>
      </c>
    </row>
    <row r="779" spans="1:19">
      <c r="A779" t="s">
        <v>4170</v>
      </c>
      <c r="B779" t="s">
        <v>4171</v>
      </c>
      <c r="C779" t="s">
        <v>259</v>
      </c>
      <c r="D779" t="s">
        <v>4172</v>
      </c>
      <c r="E779" t="s">
        <v>4173</v>
      </c>
      <c r="F779" t="s">
        <v>4174</v>
      </c>
      <c r="G779" s="4">
        <v>45264</v>
      </c>
      <c r="H779" s="4">
        <v>45417</v>
      </c>
      <c r="I779" s="4">
        <v>45419</v>
      </c>
      <c r="J779">
        <f t="shared" si="60"/>
        <v>2</v>
      </c>
      <c r="K779" t="str">
        <f t="array" ref="K779">_xlfn.IFS(J779=1,"Day Use",J779&lt;=3,"Short Stay",J779&lt;=7,"Extended Stay",J779&gt;=8,"Long Stay")</f>
        <v>Short Stay</v>
      </c>
      <c r="L779" t="s">
        <v>49</v>
      </c>
      <c r="M779" s="10" t="str">
        <f t="shared" si="61"/>
        <v>Standard</v>
      </c>
      <c r="N779" t="s">
        <v>26</v>
      </c>
      <c r="O779" t="s">
        <v>35</v>
      </c>
      <c r="P779">
        <f>IFERROR(VLOOKUP(TRIM(M779),Room!D:H,5,FALSE),5000)</f>
        <v>3200</v>
      </c>
      <c r="Q779">
        <f t="shared" si="62"/>
        <v>6400</v>
      </c>
      <c r="R779" s="11" t="str">
        <f t="shared" si="63"/>
        <v>Other</v>
      </c>
      <c r="S779" s="11">
        <f t="shared" si="64"/>
        <v>2</v>
      </c>
    </row>
    <row r="780" spans="1:19">
      <c r="A780" t="s">
        <v>4175</v>
      </c>
      <c r="B780" t="s">
        <v>4176</v>
      </c>
      <c r="C780" t="s">
        <v>1699</v>
      </c>
      <c r="D780" t="s">
        <v>4177</v>
      </c>
      <c r="E780" t="s">
        <v>4178</v>
      </c>
      <c r="F780" t="s">
        <v>4179</v>
      </c>
      <c r="G780" s="4">
        <v>45598</v>
      </c>
      <c r="H780" s="4">
        <v>45942</v>
      </c>
      <c r="I780" s="4">
        <v>45956</v>
      </c>
      <c r="J780">
        <f t="shared" si="60"/>
        <v>14</v>
      </c>
      <c r="K780" t="str">
        <f t="array" ref="K780">_xlfn.IFS(J780=1,"Day Use",J780&lt;=3,"Short Stay",J780&lt;=7,"Extended Stay",J780&gt;=8,"Long Stay")</f>
        <v>Long Stay</v>
      </c>
      <c r="L780" t="s">
        <v>141</v>
      </c>
      <c r="M780" s="10" t="str">
        <f t="shared" si="61"/>
        <v>Suite</v>
      </c>
      <c r="N780" t="s">
        <v>26</v>
      </c>
      <c r="O780" t="s">
        <v>27</v>
      </c>
      <c r="P780">
        <f>IFERROR(VLOOKUP(TRIM(M780),Room!D:H,5,FALSE),5000)</f>
        <v>12500</v>
      </c>
      <c r="Q780">
        <f t="shared" si="62"/>
        <v>175000</v>
      </c>
      <c r="R780" s="11" t="str">
        <f t="shared" si="63"/>
        <v>Business</v>
      </c>
      <c r="S780" s="11">
        <f t="shared" si="64"/>
        <v>5</v>
      </c>
    </row>
    <row r="781" spans="1:19">
      <c r="A781" t="s">
        <v>4180</v>
      </c>
      <c r="B781" t="s">
        <v>4181</v>
      </c>
      <c r="C781" t="s">
        <v>547</v>
      </c>
      <c r="D781" t="s">
        <v>4182</v>
      </c>
      <c r="E781" t="s">
        <v>4183</v>
      </c>
      <c r="F781" t="s">
        <v>4184</v>
      </c>
      <c r="G781" s="4">
        <v>45566</v>
      </c>
      <c r="H781" s="4">
        <v>45571</v>
      </c>
      <c r="I781" s="4">
        <v>45573</v>
      </c>
      <c r="J781">
        <f t="shared" si="60"/>
        <v>2</v>
      </c>
      <c r="K781" t="str">
        <f t="array" ref="K781">_xlfn.IFS(J781=1,"Day Use",J781&lt;=3,"Short Stay",J781&lt;=7,"Extended Stay",J781&gt;=8,"Long Stay")</f>
        <v>Short Stay</v>
      </c>
      <c r="L781" t="s">
        <v>56</v>
      </c>
      <c r="M781" s="10" t="str">
        <f t="shared" si="61"/>
        <v>Standard</v>
      </c>
      <c r="N781" t="s">
        <v>26</v>
      </c>
      <c r="O781" t="s">
        <v>27</v>
      </c>
      <c r="P781">
        <f>IFERROR(VLOOKUP(TRIM(M781),Room!D:H,5,FALSE),5000)</f>
        <v>3200</v>
      </c>
      <c r="Q781">
        <f t="shared" si="62"/>
        <v>6400</v>
      </c>
      <c r="R781" s="11" t="str">
        <f t="shared" si="63"/>
        <v>Other</v>
      </c>
      <c r="S781" s="11">
        <f t="shared" si="64"/>
        <v>2</v>
      </c>
    </row>
    <row r="782" spans="1:19">
      <c r="A782" t="s">
        <v>4185</v>
      </c>
      <c r="B782" t="s">
        <v>4186</v>
      </c>
      <c r="C782" t="s">
        <v>265</v>
      </c>
      <c r="D782" t="s">
        <v>4187</v>
      </c>
      <c r="E782" t="s">
        <v>4188</v>
      </c>
      <c r="F782" t="s">
        <v>4189</v>
      </c>
      <c r="G782" s="4">
        <v>45378</v>
      </c>
      <c r="H782" s="4">
        <v>45624</v>
      </c>
      <c r="I782" s="4">
        <v>45630</v>
      </c>
      <c r="J782">
        <f t="shared" si="60"/>
        <v>6</v>
      </c>
      <c r="K782" t="str">
        <f t="array" ref="K782">_xlfn.IFS(J782=1,"Day Use",J782&lt;=3,"Short Stay",J782&lt;=7,"Extended Stay",J782&gt;=8,"Long Stay")</f>
        <v>Extended Stay</v>
      </c>
      <c r="L782" t="s">
        <v>56</v>
      </c>
      <c r="M782" s="10" t="str">
        <f t="shared" si="61"/>
        <v>Deluxe</v>
      </c>
      <c r="N782" t="s">
        <v>26</v>
      </c>
      <c r="O782" t="s">
        <v>35</v>
      </c>
      <c r="P782">
        <f>IFERROR(VLOOKUP(TRIM(M782),Room!D:H,5,FALSE),5000)</f>
        <v>5400</v>
      </c>
      <c r="Q782">
        <f t="shared" si="62"/>
        <v>32400</v>
      </c>
      <c r="R782" s="11" t="str">
        <f t="shared" si="63"/>
        <v>Conference</v>
      </c>
      <c r="S782" s="11">
        <f t="shared" si="64"/>
        <v>3</v>
      </c>
    </row>
    <row r="783" spans="1:19">
      <c r="A783" t="s">
        <v>4190</v>
      </c>
      <c r="B783" t="s">
        <v>4191</v>
      </c>
      <c r="C783" t="s">
        <v>633</v>
      </c>
      <c r="D783" t="s">
        <v>4192</v>
      </c>
      <c r="E783" t="s">
        <v>4193</v>
      </c>
      <c r="F783" t="s">
        <v>4194</v>
      </c>
      <c r="G783" s="4">
        <v>45659</v>
      </c>
      <c r="H783" s="4">
        <v>45680</v>
      </c>
      <c r="I783" s="4">
        <v>45681</v>
      </c>
      <c r="J783">
        <f t="shared" si="60"/>
        <v>1</v>
      </c>
      <c r="K783" t="str">
        <f t="array" ref="K783">_xlfn.IFS(J783=1,"Day Use",J783&lt;=3,"Short Stay",J783&lt;=7,"Extended Stay",J783&gt;=8,"Long Stay")</f>
        <v>Day Use</v>
      </c>
      <c r="L783" t="s">
        <v>84</v>
      </c>
      <c r="M783" s="10" t="str">
        <f t="shared" si="61"/>
        <v>Standard</v>
      </c>
      <c r="N783" t="s">
        <v>57</v>
      </c>
      <c r="O783" t="s">
        <v>27</v>
      </c>
      <c r="P783">
        <f>IFERROR(VLOOKUP(TRIM(M783),Room!D:H,5,FALSE),5000)</f>
        <v>3200</v>
      </c>
      <c r="Q783">
        <f t="shared" si="62"/>
        <v>3200</v>
      </c>
      <c r="R783" s="11" t="str">
        <f t="shared" si="63"/>
        <v>Other</v>
      </c>
      <c r="S783" s="11">
        <f t="shared" si="64"/>
        <v>1</v>
      </c>
    </row>
    <row r="784" spans="1:19">
      <c r="A784" t="s">
        <v>4195</v>
      </c>
      <c r="B784" t="s">
        <v>4196</v>
      </c>
      <c r="C784" t="s">
        <v>1498</v>
      </c>
      <c r="D784" t="s">
        <v>4197</v>
      </c>
      <c r="E784" t="s">
        <v>4198</v>
      </c>
      <c r="F784" t="s">
        <v>4199</v>
      </c>
      <c r="G784" s="4">
        <v>45642</v>
      </c>
      <c r="H784" s="4">
        <v>45660</v>
      </c>
      <c r="I784" s="4">
        <v>45674</v>
      </c>
      <c r="J784">
        <f t="shared" si="60"/>
        <v>14</v>
      </c>
      <c r="K784" t="str">
        <f t="array" ref="K784">_xlfn.IFS(J784=1,"Day Use",J784&lt;=3,"Short Stay",J784&lt;=7,"Extended Stay",J784&gt;=8,"Long Stay")</f>
        <v>Long Stay</v>
      </c>
      <c r="L784" t="s">
        <v>34</v>
      </c>
      <c r="M784" s="10" t="str">
        <f t="shared" si="61"/>
        <v>Suite</v>
      </c>
      <c r="N784" t="s">
        <v>134</v>
      </c>
      <c r="O784" t="s">
        <v>35</v>
      </c>
      <c r="P784">
        <f>IFERROR(VLOOKUP(TRIM(M784),Room!D:H,5,FALSE),5000)</f>
        <v>12500</v>
      </c>
      <c r="Q784">
        <f t="shared" si="62"/>
        <v>175000</v>
      </c>
      <c r="R784" s="11" t="str">
        <f t="shared" si="63"/>
        <v>Business</v>
      </c>
      <c r="S784" s="11">
        <f t="shared" si="64"/>
        <v>5</v>
      </c>
    </row>
    <row r="785" spans="1:19">
      <c r="A785" t="s">
        <v>4200</v>
      </c>
      <c r="B785" t="s">
        <v>4201</v>
      </c>
      <c r="C785" t="s">
        <v>679</v>
      </c>
      <c r="D785" t="s">
        <v>4202</v>
      </c>
      <c r="E785" t="s">
        <v>4203</v>
      </c>
      <c r="F785" t="s">
        <v>4204</v>
      </c>
      <c r="G785" s="4">
        <v>45530</v>
      </c>
      <c r="H785" s="4">
        <v>45549</v>
      </c>
      <c r="I785" s="4">
        <v>45550</v>
      </c>
      <c r="J785">
        <f t="shared" si="60"/>
        <v>1</v>
      </c>
      <c r="K785" t="str">
        <f t="array" ref="K785">_xlfn.IFS(J785=1,"Day Use",J785&lt;=3,"Short Stay",J785&lt;=7,"Extended Stay",J785&gt;=8,"Long Stay")</f>
        <v>Day Use</v>
      </c>
      <c r="L785" t="s">
        <v>84</v>
      </c>
      <c r="M785" s="10" t="str">
        <f t="shared" si="61"/>
        <v>Standard</v>
      </c>
      <c r="N785" t="s">
        <v>57</v>
      </c>
      <c r="O785" t="s">
        <v>42</v>
      </c>
      <c r="P785">
        <f>IFERROR(VLOOKUP(TRIM(M785),Room!D:H,5,FALSE),5000)</f>
        <v>3200</v>
      </c>
      <c r="Q785">
        <f t="shared" si="62"/>
        <v>3200</v>
      </c>
      <c r="R785" s="11" t="str">
        <f t="shared" si="63"/>
        <v>Other</v>
      </c>
      <c r="S785" s="11">
        <f t="shared" si="64"/>
        <v>1</v>
      </c>
    </row>
    <row r="786" spans="1:19">
      <c r="A786" t="s">
        <v>4205</v>
      </c>
      <c r="B786" t="s">
        <v>4206</v>
      </c>
      <c r="C786" t="s">
        <v>1447</v>
      </c>
      <c r="D786" t="s">
        <v>4207</v>
      </c>
      <c r="E786" t="s">
        <v>4208</v>
      </c>
      <c r="F786" t="s">
        <v>4209</v>
      </c>
      <c r="G786" s="4">
        <v>45574</v>
      </c>
      <c r="H786" s="4">
        <v>45892</v>
      </c>
      <c r="I786" s="4">
        <v>45904</v>
      </c>
      <c r="J786">
        <f t="shared" si="60"/>
        <v>12</v>
      </c>
      <c r="K786" t="str">
        <f t="array" ref="K786">_xlfn.IFS(J786=1,"Day Use",J786&lt;=3,"Short Stay",J786&lt;=7,"Extended Stay",J786&gt;=8,"Long Stay")</f>
        <v>Long Stay</v>
      </c>
      <c r="L786" t="s">
        <v>84</v>
      </c>
      <c r="M786" s="10" t="str">
        <f t="shared" si="61"/>
        <v>Suite</v>
      </c>
      <c r="N786" t="s">
        <v>26</v>
      </c>
      <c r="O786" t="s">
        <v>42</v>
      </c>
      <c r="P786">
        <f>IFERROR(VLOOKUP(TRIM(M786),Room!D:H,5,FALSE),5000)</f>
        <v>12500</v>
      </c>
      <c r="Q786">
        <f t="shared" si="62"/>
        <v>150000</v>
      </c>
      <c r="R786" s="11" t="str">
        <f t="shared" si="63"/>
        <v>Business</v>
      </c>
      <c r="S786" s="11">
        <f t="shared" si="64"/>
        <v>5</v>
      </c>
    </row>
    <row r="787" spans="1:19">
      <c r="A787" t="s">
        <v>4210</v>
      </c>
      <c r="B787" t="s">
        <v>4211</v>
      </c>
      <c r="C787" t="s">
        <v>882</v>
      </c>
      <c r="D787" t="s">
        <v>4212</v>
      </c>
      <c r="E787" t="s">
        <v>4213</v>
      </c>
      <c r="F787" t="s">
        <v>4214</v>
      </c>
      <c r="G787" s="4">
        <v>45724</v>
      </c>
      <c r="H787" s="4">
        <v>46003</v>
      </c>
      <c r="I787" s="4">
        <v>46015</v>
      </c>
      <c r="J787">
        <f t="shared" si="60"/>
        <v>12</v>
      </c>
      <c r="K787" t="str">
        <f t="array" ref="K787">_xlfn.IFS(J787=1,"Day Use",J787&lt;=3,"Short Stay",J787&lt;=7,"Extended Stay",J787&gt;=8,"Long Stay")</f>
        <v>Long Stay</v>
      </c>
      <c r="L787" t="s">
        <v>49</v>
      </c>
      <c r="M787" s="10" t="str">
        <f t="shared" si="61"/>
        <v>Suite</v>
      </c>
      <c r="N787" t="s">
        <v>26</v>
      </c>
      <c r="O787" t="s">
        <v>71</v>
      </c>
      <c r="P787">
        <f>IFERROR(VLOOKUP(TRIM(M787),Room!D:H,5,FALSE),5000)</f>
        <v>12500</v>
      </c>
      <c r="Q787">
        <f t="shared" si="62"/>
        <v>150000</v>
      </c>
      <c r="R787" s="11" t="str">
        <f t="shared" si="63"/>
        <v>Business</v>
      </c>
      <c r="S787" s="11">
        <f t="shared" si="64"/>
        <v>5</v>
      </c>
    </row>
    <row r="788" spans="1:19">
      <c r="A788" t="s">
        <v>4215</v>
      </c>
      <c r="B788" t="s">
        <v>4216</v>
      </c>
      <c r="C788" t="s">
        <v>604</v>
      </c>
      <c r="D788" t="s">
        <v>4217</v>
      </c>
      <c r="E788" t="s">
        <v>4218</v>
      </c>
      <c r="F788" t="s">
        <v>4219</v>
      </c>
      <c r="G788" s="4">
        <v>45378</v>
      </c>
      <c r="H788" s="4">
        <v>45381</v>
      </c>
      <c r="I788" s="4">
        <v>45393</v>
      </c>
      <c r="J788">
        <f t="shared" si="60"/>
        <v>12</v>
      </c>
      <c r="K788" t="str">
        <f t="array" ref="K788">_xlfn.IFS(J788=1,"Day Use",J788&lt;=3,"Short Stay",J788&lt;=7,"Extended Stay",J788&gt;=8,"Long Stay")</f>
        <v>Long Stay</v>
      </c>
      <c r="L788" t="s">
        <v>196</v>
      </c>
      <c r="M788" s="10" t="str">
        <f t="shared" si="61"/>
        <v>Suite</v>
      </c>
      <c r="N788" t="s">
        <v>148</v>
      </c>
      <c r="O788" t="s">
        <v>58</v>
      </c>
      <c r="P788">
        <f>IFERROR(VLOOKUP(TRIM(M788),Room!D:H,5,FALSE),5000)</f>
        <v>12500</v>
      </c>
      <c r="Q788">
        <f t="shared" si="62"/>
        <v>150000</v>
      </c>
      <c r="R788" s="11" t="str">
        <f t="shared" si="63"/>
        <v>Business</v>
      </c>
      <c r="S788" s="11">
        <f t="shared" si="64"/>
        <v>5</v>
      </c>
    </row>
    <row r="789" spans="1:19">
      <c r="A789" t="s">
        <v>4220</v>
      </c>
      <c r="B789" t="s">
        <v>4221</v>
      </c>
      <c r="C789" t="s">
        <v>1470</v>
      </c>
      <c r="D789" t="s">
        <v>4222</v>
      </c>
      <c r="E789" t="s">
        <v>4223</v>
      </c>
      <c r="F789" t="s">
        <v>4224</v>
      </c>
      <c r="G789" s="4">
        <v>45348</v>
      </c>
      <c r="H789" s="4">
        <v>45793</v>
      </c>
      <c r="I789" s="4">
        <v>45802</v>
      </c>
      <c r="J789">
        <f t="shared" si="60"/>
        <v>9</v>
      </c>
      <c r="K789" t="str">
        <f t="array" ref="K789">_xlfn.IFS(J789=1,"Day Use",J789&lt;=3,"Short Stay",J789&lt;=7,"Extended Stay",J789&gt;=8,"Long Stay")</f>
        <v>Long Stay</v>
      </c>
      <c r="L789" t="s">
        <v>91</v>
      </c>
      <c r="M789" s="10" t="str">
        <f t="shared" si="61"/>
        <v>Premium</v>
      </c>
      <c r="N789" t="s">
        <v>26</v>
      </c>
      <c r="O789" t="s">
        <v>71</v>
      </c>
      <c r="P789">
        <f>IFERROR(VLOOKUP(TRIM(M789),Room!D:H,5,FALSE),5000)</f>
        <v>9500</v>
      </c>
      <c r="Q789">
        <f t="shared" si="62"/>
        <v>85500</v>
      </c>
      <c r="R789" s="11" t="str">
        <f t="shared" si="63"/>
        <v>Conference</v>
      </c>
      <c r="S789" s="11">
        <f t="shared" si="64"/>
        <v>4</v>
      </c>
    </row>
    <row r="790" spans="1:19">
      <c r="A790" t="s">
        <v>4225</v>
      </c>
      <c r="B790" t="s">
        <v>4226</v>
      </c>
      <c r="C790" t="s">
        <v>871</v>
      </c>
      <c r="D790" t="s">
        <v>4227</v>
      </c>
      <c r="E790" t="s">
        <v>4228</v>
      </c>
      <c r="F790" t="s">
        <v>4229</v>
      </c>
      <c r="G790" s="4">
        <v>45432</v>
      </c>
      <c r="H790" s="4">
        <v>45437</v>
      </c>
      <c r="I790" s="4">
        <v>45438</v>
      </c>
      <c r="J790">
        <f t="shared" si="60"/>
        <v>1</v>
      </c>
      <c r="K790" t="str">
        <f t="array" ref="K790">_xlfn.IFS(J790=1,"Day Use",J790&lt;=3,"Short Stay",J790&lt;=7,"Extended Stay",J790&gt;=8,"Long Stay")</f>
        <v>Day Use</v>
      </c>
      <c r="L790" t="s">
        <v>49</v>
      </c>
      <c r="M790" s="10" t="str">
        <f t="shared" si="61"/>
        <v>Standard</v>
      </c>
      <c r="N790" t="s">
        <v>26</v>
      </c>
      <c r="O790" t="s">
        <v>58</v>
      </c>
      <c r="P790">
        <f>IFERROR(VLOOKUP(TRIM(M790),Room!D:H,5,FALSE),5000)</f>
        <v>3200</v>
      </c>
      <c r="Q790">
        <f t="shared" si="62"/>
        <v>3200</v>
      </c>
      <c r="R790" s="11" t="str">
        <f t="shared" si="63"/>
        <v>Other</v>
      </c>
      <c r="S790" s="11">
        <f t="shared" si="64"/>
        <v>1</v>
      </c>
    </row>
    <row r="791" spans="1:19">
      <c r="A791" t="s">
        <v>4230</v>
      </c>
      <c r="B791" t="s">
        <v>4231</v>
      </c>
      <c r="C791" t="s">
        <v>1036</v>
      </c>
      <c r="D791" t="s">
        <v>4232</v>
      </c>
      <c r="E791" t="s">
        <v>4233</v>
      </c>
      <c r="F791" t="s">
        <v>4234</v>
      </c>
      <c r="G791" s="4">
        <v>45302</v>
      </c>
      <c r="H791" s="4">
        <v>45327</v>
      </c>
      <c r="I791" s="4">
        <v>45332</v>
      </c>
      <c r="J791">
        <f t="shared" si="60"/>
        <v>5</v>
      </c>
      <c r="K791" t="str">
        <f t="array" ref="K791">_xlfn.IFS(J791=1,"Day Use",J791&lt;=3,"Short Stay",J791&lt;=7,"Extended Stay",J791&gt;=8,"Long Stay")</f>
        <v>Extended Stay</v>
      </c>
      <c r="L791" t="s">
        <v>25</v>
      </c>
      <c r="M791" s="10" t="str">
        <f t="shared" si="61"/>
        <v>Deluxe</v>
      </c>
      <c r="N791" t="s">
        <v>134</v>
      </c>
      <c r="O791" t="s">
        <v>35</v>
      </c>
      <c r="P791">
        <f>IFERROR(VLOOKUP(TRIM(M791),Room!D:H,5,FALSE),5000)</f>
        <v>5400</v>
      </c>
      <c r="Q791">
        <f t="shared" si="62"/>
        <v>27000</v>
      </c>
      <c r="R791" s="11" t="str">
        <f t="shared" si="63"/>
        <v>Conference</v>
      </c>
      <c r="S791" s="11">
        <f t="shared" si="64"/>
        <v>3</v>
      </c>
    </row>
    <row r="792" spans="1:19">
      <c r="A792" t="s">
        <v>4235</v>
      </c>
      <c r="B792" t="s">
        <v>4236</v>
      </c>
      <c r="C792" t="s">
        <v>2073</v>
      </c>
      <c r="D792" t="s">
        <v>4237</v>
      </c>
      <c r="E792" t="s">
        <v>4238</v>
      </c>
      <c r="F792" t="s">
        <v>4239</v>
      </c>
      <c r="G792" s="4">
        <v>45935</v>
      </c>
      <c r="H792" s="4">
        <v>45961</v>
      </c>
      <c r="I792" s="4">
        <v>45965</v>
      </c>
      <c r="J792">
        <f t="shared" si="60"/>
        <v>4</v>
      </c>
      <c r="K792" t="str">
        <f t="array" ref="K792">_xlfn.IFS(J792=1,"Day Use",J792&lt;=3,"Short Stay",J792&lt;=7,"Extended Stay",J792&gt;=8,"Long Stay")</f>
        <v>Extended Stay</v>
      </c>
      <c r="L792" t="s">
        <v>141</v>
      </c>
      <c r="M792" s="10" t="str">
        <f t="shared" si="61"/>
        <v>Deluxe</v>
      </c>
      <c r="N792" t="s">
        <v>26</v>
      </c>
      <c r="O792" t="s">
        <v>58</v>
      </c>
      <c r="P792">
        <f>IFERROR(VLOOKUP(TRIM(M792),Room!D:H,5,FALSE),5000)</f>
        <v>5400</v>
      </c>
      <c r="Q792">
        <f t="shared" si="62"/>
        <v>21600</v>
      </c>
      <c r="R792" s="11" t="str">
        <f t="shared" si="63"/>
        <v>Conference</v>
      </c>
      <c r="S792" s="11">
        <f t="shared" si="64"/>
        <v>3</v>
      </c>
    </row>
    <row r="793" spans="1:19">
      <c r="A793" t="s">
        <v>4240</v>
      </c>
      <c r="B793" t="s">
        <v>4241</v>
      </c>
      <c r="C793" t="s">
        <v>2837</v>
      </c>
      <c r="D793" t="s">
        <v>4242</v>
      </c>
      <c r="E793" t="s">
        <v>4243</v>
      </c>
      <c r="F793" t="s">
        <v>4244</v>
      </c>
      <c r="G793" s="4">
        <v>45293</v>
      </c>
      <c r="H793" s="4">
        <v>45801</v>
      </c>
      <c r="I793" s="4">
        <v>45805</v>
      </c>
      <c r="J793">
        <f t="shared" si="60"/>
        <v>4</v>
      </c>
      <c r="K793" t="str">
        <f t="array" ref="K793">_xlfn.IFS(J793=1,"Day Use",J793&lt;=3,"Short Stay",J793&lt;=7,"Extended Stay",J793&gt;=8,"Long Stay")</f>
        <v>Extended Stay</v>
      </c>
      <c r="L793" t="s">
        <v>196</v>
      </c>
      <c r="M793" s="10" t="str">
        <f t="shared" si="61"/>
        <v>Deluxe</v>
      </c>
      <c r="N793" t="s">
        <v>57</v>
      </c>
      <c r="O793" t="s">
        <v>58</v>
      </c>
      <c r="P793">
        <f>IFERROR(VLOOKUP(TRIM(M793),Room!D:H,5,FALSE),5000)</f>
        <v>5400</v>
      </c>
      <c r="Q793">
        <f t="shared" si="62"/>
        <v>21600</v>
      </c>
      <c r="R793" s="11" t="str">
        <f t="shared" si="63"/>
        <v>Conference</v>
      </c>
      <c r="S793" s="11">
        <f t="shared" si="64"/>
        <v>3</v>
      </c>
    </row>
    <row r="794" spans="1:19">
      <c r="A794" t="s">
        <v>4245</v>
      </c>
      <c r="B794" t="s">
        <v>4246</v>
      </c>
      <c r="C794" t="s">
        <v>253</v>
      </c>
      <c r="D794" t="s">
        <v>4247</v>
      </c>
      <c r="E794" t="s">
        <v>4248</v>
      </c>
      <c r="F794" t="s">
        <v>4249</v>
      </c>
      <c r="G794" s="4">
        <v>45628</v>
      </c>
      <c r="H794" s="4">
        <v>45858</v>
      </c>
      <c r="I794" s="4">
        <v>45864</v>
      </c>
      <c r="J794">
        <f t="shared" si="60"/>
        <v>6</v>
      </c>
      <c r="K794" t="str">
        <f t="array" ref="K794">_xlfn.IFS(J794=1,"Day Use",J794&lt;=3,"Short Stay",J794&lt;=7,"Extended Stay",J794&gt;=8,"Long Stay")</f>
        <v>Extended Stay</v>
      </c>
      <c r="L794" t="s">
        <v>49</v>
      </c>
      <c r="M794" s="10" t="str">
        <f t="shared" si="61"/>
        <v>Deluxe</v>
      </c>
      <c r="N794" t="s">
        <v>26</v>
      </c>
      <c r="O794" t="s">
        <v>42</v>
      </c>
      <c r="P794">
        <f>IFERROR(VLOOKUP(TRIM(M794),Room!D:H,5,FALSE),5000)</f>
        <v>5400</v>
      </c>
      <c r="Q794">
        <f t="shared" si="62"/>
        <v>32400</v>
      </c>
      <c r="R794" s="11" t="str">
        <f t="shared" si="63"/>
        <v>Conference</v>
      </c>
      <c r="S794" s="11">
        <f t="shared" si="64"/>
        <v>3</v>
      </c>
    </row>
    <row r="795" spans="1:19">
      <c r="A795" t="s">
        <v>4250</v>
      </c>
      <c r="B795" t="s">
        <v>4251</v>
      </c>
      <c r="C795" t="s">
        <v>4252</v>
      </c>
      <c r="D795" t="s">
        <v>4253</v>
      </c>
      <c r="E795" t="s">
        <v>4254</v>
      </c>
      <c r="F795" t="s">
        <v>4255</v>
      </c>
      <c r="G795" s="4">
        <v>45586</v>
      </c>
      <c r="H795" s="4">
        <v>45735</v>
      </c>
      <c r="I795" s="4">
        <v>45740</v>
      </c>
      <c r="J795">
        <f t="shared" si="60"/>
        <v>5</v>
      </c>
      <c r="K795" t="str">
        <f t="array" ref="K795">_xlfn.IFS(J795=1,"Day Use",J795&lt;=3,"Short Stay",J795&lt;=7,"Extended Stay",J795&gt;=8,"Long Stay")</f>
        <v>Extended Stay</v>
      </c>
      <c r="L795" t="s">
        <v>34</v>
      </c>
      <c r="M795" s="10" t="str">
        <f t="shared" si="61"/>
        <v>Deluxe</v>
      </c>
      <c r="N795" t="s">
        <v>26</v>
      </c>
      <c r="O795" t="s">
        <v>58</v>
      </c>
      <c r="P795">
        <f>IFERROR(VLOOKUP(TRIM(M795),Room!D:H,5,FALSE),5000)</f>
        <v>5400</v>
      </c>
      <c r="Q795">
        <f t="shared" si="62"/>
        <v>27000</v>
      </c>
      <c r="R795" s="11" t="str">
        <f t="shared" si="63"/>
        <v>Conference</v>
      </c>
      <c r="S795" s="11">
        <f t="shared" si="64"/>
        <v>3</v>
      </c>
    </row>
    <row r="796" spans="1:19">
      <c r="A796" t="s">
        <v>4256</v>
      </c>
      <c r="B796" t="s">
        <v>4257</v>
      </c>
      <c r="C796" t="s">
        <v>1610</v>
      </c>
      <c r="D796" t="s">
        <v>4258</v>
      </c>
      <c r="E796" t="s">
        <v>4259</v>
      </c>
      <c r="F796" t="s">
        <v>4260</v>
      </c>
      <c r="G796" s="4">
        <v>45754</v>
      </c>
      <c r="H796" s="4">
        <v>45997</v>
      </c>
      <c r="I796" s="4">
        <v>46011</v>
      </c>
      <c r="J796">
        <f t="shared" si="60"/>
        <v>14</v>
      </c>
      <c r="K796" t="str">
        <f t="array" ref="K796">_xlfn.IFS(J796=1,"Day Use",J796&lt;=3,"Short Stay",J796&lt;=7,"Extended Stay",J796&gt;=8,"Long Stay")</f>
        <v>Long Stay</v>
      </c>
      <c r="L796" t="s">
        <v>34</v>
      </c>
      <c r="M796" s="10" t="str">
        <f t="shared" si="61"/>
        <v>Suite</v>
      </c>
      <c r="N796" t="s">
        <v>26</v>
      </c>
      <c r="O796" t="s">
        <v>35</v>
      </c>
      <c r="P796">
        <f>IFERROR(VLOOKUP(TRIM(M796),Room!D:H,5,FALSE),5000)</f>
        <v>12500</v>
      </c>
      <c r="Q796">
        <f t="shared" si="62"/>
        <v>175000</v>
      </c>
      <c r="R796" s="11" t="str">
        <f t="shared" si="63"/>
        <v>Business</v>
      </c>
      <c r="S796" s="11">
        <f t="shared" si="64"/>
        <v>5</v>
      </c>
    </row>
    <row r="797" spans="1:19">
      <c r="A797" t="s">
        <v>4261</v>
      </c>
      <c r="B797" t="s">
        <v>4262</v>
      </c>
      <c r="C797" t="s">
        <v>2420</v>
      </c>
      <c r="D797" t="s">
        <v>4263</v>
      </c>
      <c r="E797" t="s">
        <v>4264</v>
      </c>
      <c r="F797" t="s">
        <v>4265</v>
      </c>
      <c r="G797" s="4">
        <v>45737</v>
      </c>
      <c r="H797" s="4">
        <v>45741</v>
      </c>
      <c r="I797" s="4">
        <v>45747</v>
      </c>
      <c r="J797">
        <f t="shared" si="60"/>
        <v>6</v>
      </c>
      <c r="K797" t="str">
        <f t="array" ref="K797">_xlfn.IFS(J797=1,"Day Use",J797&lt;=3,"Short Stay",J797&lt;=7,"Extended Stay",J797&gt;=8,"Long Stay")</f>
        <v>Extended Stay</v>
      </c>
      <c r="L797" t="s">
        <v>49</v>
      </c>
      <c r="M797" s="10" t="str">
        <f t="shared" si="61"/>
        <v>Deluxe</v>
      </c>
      <c r="N797" t="s">
        <v>57</v>
      </c>
      <c r="O797" t="s">
        <v>35</v>
      </c>
      <c r="P797">
        <f>IFERROR(VLOOKUP(TRIM(M797),Room!D:H,5,FALSE),5000)</f>
        <v>5400</v>
      </c>
      <c r="Q797">
        <f t="shared" si="62"/>
        <v>32400</v>
      </c>
      <c r="R797" s="11" t="str">
        <f t="shared" si="63"/>
        <v>Conference</v>
      </c>
      <c r="S797" s="11">
        <f t="shared" si="64"/>
        <v>3</v>
      </c>
    </row>
    <row r="798" spans="1:19">
      <c r="A798" t="s">
        <v>4266</v>
      </c>
      <c r="B798" t="s">
        <v>4267</v>
      </c>
      <c r="C798" t="s">
        <v>1282</v>
      </c>
      <c r="D798" t="s">
        <v>4268</v>
      </c>
      <c r="E798" t="s">
        <v>4269</v>
      </c>
      <c r="F798" t="s">
        <v>4270</v>
      </c>
      <c r="G798" s="4">
        <v>45201</v>
      </c>
      <c r="H798" s="4">
        <v>45561</v>
      </c>
      <c r="I798" s="4">
        <v>45575</v>
      </c>
      <c r="J798">
        <f t="shared" si="60"/>
        <v>14</v>
      </c>
      <c r="K798" t="str">
        <f t="array" ref="K798">_xlfn.IFS(J798=1,"Day Use",J798&lt;=3,"Short Stay",J798&lt;=7,"Extended Stay",J798&gt;=8,"Long Stay")</f>
        <v>Long Stay</v>
      </c>
      <c r="L798" t="s">
        <v>84</v>
      </c>
      <c r="M798" s="10" t="str">
        <f t="shared" si="61"/>
        <v>Suite</v>
      </c>
      <c r="N798" t="s">
        <v>26</v>
      </c>
      <c r="O798" t="s">
        <v>27</v>
      </c>
      <c r="P798">
        <f>IFERROR(VLOOKUP(TRIM(M798),Room!D:H,5,FALSE),5000)</f>
        <v>12500</v>
      </c>
      <c r="Q798">
        <f t="shared" si="62"/>
        <v>175000</v>
      </c>
      <c r="R798" s="11" t="str">
        <f t="shared" si="63"/>
        <v>Business</v>
      </c>
      <c r="S798" s="11">
        <f t="shared" si="64"/>
        <v>5</v>
      </c>
    </row>
    <row r="799" spans="1:19">
      <c r="A799" t="s">
        <v>4271</v>
      </c>
      <c r="B799" t="s">
        <v>4272</v>
      </c>
      <c r="C799" t="s">
        <v>604</v>
      </c>
      <c r="D799" t="s">
        <v>4273</v>
      </c>
      <c r="E799" t="s">
        <v>4274</v>
      </c>
      <c r="F799" t="s">
        <v>4275</v>
      </c>
      <c r="G799" s="4">
        <v>45723</v>
      </c>
      <c r="H799" s="4">
        <v>45815</v>
      </c>
      <c r="I799" s="4">
        <v>45824</v>
      </c>
      <c r="J799">
        <f t="shared" si="60"/>
        <v>9</v>
      </c>
      <c r="K799" t="str">
        <f t="array" ref="K799">_xlfn.IFS(J799=1,"Day Use",J799&lt;=3,"Short Stay",J799&lt;=7,"Extended Stay",J799&gt;=8,"Long Stay")</f>
        <v>Long Stay</v>
      </c>
      <c r="L799" t="s">
        <v>84</v>
      </c>
      <c r="M799" s="10" t="str">
        <f t="shared" si="61"/>
        <v>Premium</v>
      </c>
      <c r="N799" t="s">
        <v>26</v>
      </c>
      <c r="O799" t="s">
        <v>71</v>
      </c>
      <c r="P799">
        <f>IFERROR(VLOOKUP(TRIM(M799),Room!D:H,5,FALSE),5000)</f>
        <v>9500</v>
      </c>
      <c r="Q799">
        <f t="shared" si="62"/>
        <v>85500</v>
      </c>
      <c r="R799" s="11" t="str">
        <f t="shared" si="63"/>
        <v>Conference</v>
      </c>
      <c r="S799" s="11">
        <f t="shared" si="64"/>
        <v>4</v>
      </c>
    </row>
    <row r="800" spans="1:19">
      <c r="A800" t="s">
        <v>4276</v>
      </c>
      <c r="B800" t="s">
        <v>4277</v>
      </c>
      <c r="C800" t="s">
        <v>939</v>
      </c>
      <c r="D800" t="s">
        <v>4278</v>
      </c>
      <c r="E800" t="s">
        <v>4279</v>
      </c>
      <c r="F800" t="s">
        <v>4280</v>
      </c>
      <c r="G800" s="4">
        <v>45429</v>
      </c>
      <c r="H800" s="4">
        <v>45739</v>
      </c>
      <c r="I800" s="4">
        <v>45751</v>
      </c>
      <c r="J800">
        <f t="shared" si="60"/>
        <v>12</v>
      </c>
      <c r="K800" t="str">
        <f t="array" ref="K800">_xlfn.IFS(J800=1,"Day Use",J800&lt;=3,"Short Stay",J800&lt;=7,"Extended Stay",J800&gt;=8,"Long Stay")</f>
        <v>Long Stay</v>
      </c>
      <c r="L800" t="s">
        <v>91</v>
      </c>
      <c r="M800" s="10" t="str">
        <f t="shared" si="61"/>
        <v>Suite</v>
      </c>
      <c r="N800" t="s">
        <v>26</v>
      </c>
      <c r="O800" t="s">
        <v>58</v>
      </c>
      <c r="P800">
        <f>IFERROR(VLOOKUP(TRIM(M800),Room!D:H,5,FALSE),5000)</f>
        <v>12500</v>
      </c>
      <c r="Q800">
        <f t="shared" si="62"/>
        <v>150000</v>
      </c>
      <c r="R800" s="11" t="str">
        <f t="shared" si="63"/>
        <v>Business</v>
      </c>
      <c r="S800" s="11">
        <f t="shared" si="64"/>
        <v>5</v>
      </c>
    </row>
    <row r="801" spans="1:19">
      <c r="A801" t="s">
        <v>4281</v>
      </c>
      <c r="B801" t="s">
        <v>4282</v>
      </c>
      <c r="C801" t="s">
        <v>205</v>
      </c>
      <c r="D801" t="s">
        <v>4283</v>
      </c>
      <c r="E801" t="s">
        <v>4284</v>
      </c>
      <c r="F801" t="s">
        <v>4285</v>
      </c>
      <c r="G801" s="4">
        <v>45405</v>
      </c>
      <c r="H801" s="4">
        <v>45410</v>
      </c>
      <c r="I801" s="4">
        <v>45416</v>
      </c>
      <c r="J801">
        <f t="shared" si="60"/>
        <v>6</v>
      </c>
      <c r="K801" t="str">
        <f t="array" ref="K801">_xlfn.IFS(J801=1,"Day Use",J801&lt;=3,"Short Stay",J801&lt;=7,"Extended Stay",J801&gt;=8,"Long Stay")</f>
        <v>Extended Stay</v>
      </c>
      <c r="L801" t="s">
        <v>56</v>
      </c>
      <c r="M801" s="10" t="str">
        <f t="shared" si="61"/>
        <v>Deluxe</v>
      </c>
      <c r="N801" t="s">
        <v>57</v>
      </c>
      <c r="O801" t="s">
        <v>27</v>
      </c>
      <c r="P801">
        <f>IFERROR(VLOOKUP(TRIM(M801),Room!D:H,5,FALSE),5000)</f>
        <v>5400</v>
      </c>
      <c r="Q801">
        <f t="shared" si="62"/>
        <v>32400</v>
      </c>
      <c r="R801" s="11" t="str">
        <f t="shared" si="63"/>
        <v>Conference</v>
      </c>
      <c r="S801" s="11">
        <f t="shared" si="64"/>
        <v>3</v>
      </c>
    </row>
    <row r="802" spans="1:19">
      <c r="A802" t="s">
        <v>4286</v>
      </c>
      <c r="B802" t="s">
        <v>4287</v>
      </c>
      <c r="C802" t="s">
        <v>484</v>
      </c>
      <c r="D802" t="s">
        <v>4288</v>
      </c>
      <c r="E802" t="s">
        <v>4289</v>
      </c>
      <c r="F802" t="s">
        <v>4290</v>
      </c>
      <c r="G802" s="4">
        <v>45270</v>
      </c>
      <c r="H802" s="4">
        <v>45905</v>
      </c>
      <c r="I802" s="4">
        <v>45913</v>
      </c>
      <c r="J802">
        <f t="shared" si="60"/>
        <v>8</v>
      </c>
      <c r="K802" t="str">
        <f t="array" ref="K802">_xlfn.IFS(J802=1,"Day Use",J802&lt;=3,"Short Stay",J802&lt;=7,"Extended Stay",J802&gt;=8,"Long Stay")</f>
        <v>Long Stay</v>
      </c>
      <c r="L802" t="s">
        <v>34</v>
      </c>
      <c r="M802" s="10" t="str">
        <f t="shared" si="61"/>
        <v>Premium</v>
      </c>
      <c r="N802" t="s">
        <v>372</v>
      </c>
      <c r="O802" t="s">
        <v>35</v>
      </c>
      <c r="P802">
        <f>IFERROR(VLOOKUP(TRIM(M802),Room!D:H,5,FALSE),5000)</f>
        <v>9500</v>
      </c>
      <c r="Q802">
        <f t="shared" si="62"/>
        <v>76000</v>
      </c>
      <c r="R802" s="11" t="str">
        <f t="shared" si="63"/>
        <v>Conference</v>
      </c>
      <c r="S802" s="11">
        <f t="shared" si="64"/>
        <v>4</v>
      </c>
    </row>
    <row r="803" spans="1:19">
      <c r="A803" t="s">
        <v>4291</v>
      </c>
      <c r="B803" t="s">
        <v>4292</v>
      </c>
      <c r="C803" t="s">
        <v>536</v>
      </c>
      <c r="D803" t="s">
        <v>4293</v>
      </c>
      <c r="E803" t="s">
        <v>4294</v>
      </c>
      <c r="F803" t="s">
        <v>4295</v>
      </c>
      <c r="G803" s="4">
        <v>45431</v>
      </c>
      <c r="H803" s="4">
        <v>45673</v>
      </c>
      <c r="I803" s="4">
        <v>45676</v>
      </c>
      <c r="J803">
        <f t="shared" si="60"/>
        <v>3</v>
      </c>
      <c r="K803" t="str">
        <f t="array" ref="K803">_xlfn.IFS(J803=1,"Day Use",J803&lt;=3,"Short Stay",J803&lt;=7,"Extended Stay",J803&gt;=8,"Long Stay")</f>
        <v>Short Stay</v>
      </c>
      <c r="L803" t="s">
        <v>141</v>
      </c>
      <c r="M803" s="10" t="str">
        <f t="shared" si="61"/>
        <v>Standard</v>
      </c>
      <c r="N803" t="s">
        <v>26</v>
      </c>
      <c r="O803" t="s">
        <v>58</v>
      </c>
      <c r="P803">
        <f>IFERROR(VLOOKUP(TRIM(M803),Room!D:H,5,FALSE),5000)</f>
        <v>3200</v>
      </c>
      <c r="Q803">
        <f t="shared" si="62"/>
        <v>9600</v>
      </c>
      <c r="R803" s="11" t="str">
        <f t="shared" si="63"/>
        <v>Other</v>
      </c>
      <c r="S803" s="11">
        <f t="shared" si="64"/>
        <v>2</v>
      </c>
    </row>
    <row r="804" spans="1:19">
      <c r="A804" t="s">
        <v>4296</v>
      </c>
      <c r="B804" t="s">
        <v>4297</v>
      </c>
      <c r="C804" t="s">
        <v>2313</v>
      </c>
      <c r="D804" t="s">
        <v>4298</v>
      </c>
      <c r="E804" t="s">
        <v>4299</v>
      </c>
      <c r="F804" t="s">
        <v>4300</v>
      </c>
      <c r="G804" s="4">
        <v>45289</v>
      </c>
      <c r="H804" s="4">
        <v>45832</v>
      </c>
      <c r="I804" s="4">
        <v>45842</v>
      </c>
      <c r="J804">
        <f t="shared" si="60"/>
        <v>10</v>
      </c>
      <c r="K804" t="str">
        <f t="array" ref="K804">_xlfn.IFS(J804=1,"Day Use",J804&lt;=3,"Short Stay",J804&lt;=7,"Extended Stay",J804&gt;=8,"Long Stay")</f>
        <v>Long Stay</v>
      </c>
      <c r="L804" t="s">
        <v>49</v>
      </c>
      <c r="M804" s="10" t="str">
        <f t="shared" si="61"/>
        <v>Premium</v>
      </c>
      <c r="N804" t="s">
        <v>57</v>
      </c>
      <c r="O804" t="s">
        <v>71</v>
      </c>
      <c r="P804">
        <f>IFERROR(VLOOKUP(TRIM(M804),Room!D:H,5,FALSE),5000)</f>
        <v>9500</v>
      </c>
      <c r="Q804">
        <f t="shared" si="62"/>
        <v>95000</v>
      </c>
      <c r="R804" s="11" t="str">
        <f t="shared" si="63"/>
        <v>Conference</v>
      </c>
      <c r="S804" s="11">
        <f t="shared" si="64"/>
        <v>4</v>
      </c>
    </row>
    <row r="805" spans="1:19">
      <c r="A805" t="s">
        <v>4301</v>
      </c>
      <c r="B805" t="s">
        <v>4302</v>
      </c>
      <c r="C805" t="s">
        <v>2474</v>
      </c>
      <c r="D805" t="s">
        <v>4303</v>
      </c>
      <c r="E805" t="s">
        <v>4304</v>
      </c>
      <c r="F805" t="s">
        <v>4305</v>
      </c>
      <c r="G805" s="4">
        <v>45816</v>
      </c>
      <c r="H805" s="4">
        <v>45927</v>
      </c>
      <c r="I805" s="4">
        <v>45932</v>
      </c>
      <c r="J805">
        <f t="shared" si="60"/>
        <v>5</v>
      </c>
      <c r="K805" t="str">
        <f t="array" ref="K805">_xlfn.IFS(J805=1,"Day Use",J805&lt;=3,"Short Stay",J805&lt;=7,"Extended Stay",J805&gt;=8,"Long Stay")</f>
        <v>Extended Stay</v>
      </c>
      <c r="L805" t="s">
        <v>25</v>
      </c>
      <c r="M805" s="10" t="str">
        <f t="shared" si="61"/>
        <v>Deluxe</v>
      </c>
      <c r="N805" t="s">
        <v>26</v>
      </c>
      <c r="O805" t="s">
        <v>71</v>
      </c>
      <c r="P805">
        <f>IFERROR(VLOOKUP(TRIM(M805),Room!D:H,5,FALSE),5000)</f>
        <v>5400</v>
      </c>
      <c r="Q805">
        <f t="shared" si="62"/>
        <v>27000</v>
      </c>
      <c r="R805" s="11" t="str">
        <f t="shared" si="63"/>
        <v>Conference</v>
      </c>
      <c r="S805" s="11">
        <f t="shared" si="64"/>
        <v>3</v>
      </c>
    </row>
    <row r="806" spans="1:19">
      <c r="A806" t="s">
        <v>4306</v>
      </c>
      <c r="B806" t="s">
        <v>4307</v>
      </c>
      <c r="C806" t="s">
        <v>1030</v>
      </c>
      <c r="D806" t="s">
        <v>4308</v>
      </c>
      <c r="E806" t="s">
        <v>4309</v>
      </c>
      <c r="F806" t="s">
        <v>4310</v>
      </c>
      <c r="G806" s="4">
        <v>45392</v>
      </c>
      <c r="H806" s="4">
        <v>45608</v>
      </c>
      <c r="I806" s="4">
        <v>45612</v>
      </c>
      <c r="J806">
        <f t="shared" si="60"/>
        <v>4</v>
      </c>
      <c r="K806" t="str">
        <f t="array" ref="K806">_xlfn.IFS(J806=1,"Day Use",J806&lt;=3,"Short Stay",J806&lt;=7,"Extended Stay",J806&gt;=8,"Long Stay")</f>
        <v>Extended Stay</v>
      </c>
      <c r="L806" t="s">
        <v>196</v>
      </c>
      <c r="M806" s="10" t="str">
        <f t="shared" si="61"/>
        <v>Deluxe</v>
      </c>
      <c r="N806" t="s">
        <v>26</v>
      </c>
      <c r="O806" t="s">
        <v>35</v>
      </c>
      <c r="P806">
        <f>IFERROR(VLOOKUP(TRIM(M806),Room!D:H,5,FALSE),5000)</f>
        <v>5400</v>
      </c>
      <c r="Q806">
        <f t="shared" si="62"/>
        <v>21600</v>
      </c>
      <c r="R806" s="11" t="str">
        <f t="shared" si="63"/>
        <v>Conference</v>
      </c>
      <c r="S806" s="11">
        <f t="shared" si="64"/>
        <v>3</v>
      </c>
    </row>
    <row r="807" spans="1:19">
      <c r="A807" t="s">
        <v>4311</v>
      </c>
      <c r="B807" t="s">
        <v>4312</v>
      </c>
      <c r="C807" t="s">
        <v>751</v>
      </c>
      <c r="D807" t="s">
        <v>4313</v>
      </c>
      <c r="E807" t="s">
        <v>4314</v>
      </c>
      <c r="F807" t="s">
        <v>4315</v>
      </c>
      <c r="G807" s="4">
        <v>45483</v>
      </c>
      <c r="H807" s="4">
        <v>45492</v>
      </c>
      <c r="I807" s="4">
        <v>45506</v>
      </c>
      <c r="J807">
        <f t="shared" si="60"/>
        <v>14</v>
      </c>
      <c r="K807" t="str">
        <f t="array" ref="K807">_xlfn.IFS(J807=1,"Day Use",J807&lt;=3,"Short Stay",J807&lt;=7,"Extended Stay",J807&gt;=8,"Long Stay")</f>
        <v>Long Stay</v>
      </c>
      <c r="L807" t="s">
        <v>56</v>
      </c>
      <c r="M807" s="10" t="str">
        <f t="shared" si="61"/>
        <v>Suite</v>
      </c>
      <c r="N807" t="s">
        <v>26</v>
      </c>
      <c r="O807" t="s">
        <v>42</v>
      </c>
      <c r="P807">
        <f>IFERROR(VLOOKUP(TRIM(M807),Room!D:H,5,FALSE),5000)</f>
        <v>12500</v>
      </c>
      <c r="Q807">
        <f t="shared" si="62"/>
        <v>175000</v>
      </c>
      <c r="R807" s="11" t="str">
        <f t="shared" si="63"/>
        <v>Business</v>
      </c>
      <c r="S807" s="11">
        <f t="shared" si="64"/>
        <v>5</v>
      </c>
    </row>
    <row r="808" spans="1:19">
      <c r="A808" t="s">
        <v>4316</v>
      </c>
      <c r="B808" t="s">
        <v>4317</v>
      </c>
      <c r="C808" t="s">
        <v>916</v>
      </c>
      <c r="D808" t="s">
        <v>4318</v>
      </c>
      <c r="E808" t="s">
        <v>4319</v>
      </c>
      <c r="F808" t="s">
        <v>4320</v>
      </c>
      <c r="G808" s="4">
        <v>45374</v>
      </c>
      <c r="H808" s="4">
        <v>45605</v>
      </c>
      <c r="I808" s="4">
        <v>45610</v>
      </c>
      <c r="J808">
        <f t="shared" si="60"/>
        <v>5</v>
      </c>
      <c r="K808" t="str">
        <f t="array" ref="K808">_xlfn.IFS(J808=1,"Day Use",J808&lt;=3,"Short Stay",J808&lt;=7,"Extended Stay",J808&gt;=8,"Long Stay")</f>
        <v>Extended Stay</v>
      </c>
      <c r="L808" t="s">
        <v>91</v>
      </c>
      <c r="M808" s="10" t="str">
        <f t="shared" si="61"/>
        <v>Deluxe</v>
      </c>
      <c r="N808" t="s">
        <v>26</v>
      </c>
      <c r="O808" t="s">
        <v>35</v>
      </c>
      <c r="P808">
        <f>IFERROR(VLOOKUP(TRIM(M808),Room!D:H,5,FALSE),5000)</f>
        <v>5400</v>
      </c>
      <c r="Q808">
        <f t="shared" si="62"/>
        <v>27000</v>
      </c>
      <c r="R808" s="11" t="str">
        <f t="shared" si="63"/>
        <v>Conference</v>
      </c>
      <c r="S808" s="11">
        <f t="shared" si="64"/>
        <v>3</v>
      </c>
    </row>
    <row r="809" spans="1:19">
      <c r="A809" t="s">
        <v>4321</v>
      </c>
      <c r="B809" t="s">
        <v>4322</v>
      </c>
      <c r="C809" t="s">
        <v>137</v>
      </c>
      <c r="D809" t="s">
        <v>4323</v>
      </c>
      <c r="E809" t="s">
        <v>4324</v>
      </c>
      <c r="F809" t="s">
        <v>4325</v>
      </c>
      <c r="G809" s="4">
        <v>45370</v>
      </c>
      <c r="H809" s="4">
        <v>45371</v>
      </c>
      <c r="I809" s="4">
        <v>45374</v>
      </c>
      <c r="J809">
        <f t="shared" si="60"/>
        <v>3</v>
      </c>
      <c r="K809" t="str">
        <f t="array" ref="K809">_xlfn.IFS(J809=1,"Day Use",J809&lt;=3,"Short Stay",J809&lt;=7,"Extended Stay",J809&gt;=8,"Long Stay")</f>
        <v>Short Stay</v>
      </c>
      <c r="L809" t="s">
        <v>49</v>
      </c>
      <c r="M809" s="10" t="str">
        <f t="shared" si="61"/>
        <v>Standard</v>
      </c>
      <c r="N809" t="s">
        <v>26</v>
      </c>
      <c r="O809" t="s">
        <v>58</v>
      </c>
      <c r="P809">
        <f>IFERROR(VLOOKUP(TRIM(M809),Room!D:H,5,FALSE),5000)</f>
        <v>3200</v>
      </c>
      <c r="Q809">
        <f t="shared" si="62"/>
        <v>9600</v>
      </c>
      <c r="R809" s="11" t="str">
        <f t="shared" si="63"/>
        <v>Other</v>
      </c>
      <c r="S809" s="11">
        <f t="shared" si="64"/>
        <v>2</v>
      </c>
    </row>
    <row r="810" spans="1:19">
      <c r="A810" t="s">
        <v>4326</v>
      </c>
      <c r="B810" t="s">
        <v>4327</v>
      </c>
      <c r="C810" t="s">
        <v>4328</v>
      </c>
      <c r="D810" t="s">
        <v>4329</v>
      </c>
      <c r="E810" t="s">
        <v>4330</v>
      </c>
      <c r="F810" t="s">
        <v>4331</v>
      </c>
      <c r="G810" s="4">
        <v>45278</v>
      </c>
      <c r="H810" s="4">
        <v>45656</v>
      </c>
      <c r="I810" s="4">
        <v>45659</v>
      </c>
      <c r="J810">
        <f t="shared" si="60"/>
        <v>3</v>
      </c>
      <c r="K810" t="str">
        <f t="array" ref="K810">_xlfn.IFS(J810=1,"Day Use",J810&lt;=3,"Short Stay",J810&lt;=7,"Extended Stay",J810&gt;=8,"Long Stay")</f>
        <v>Short Stay</v>
      </c>
      <c r="L810" t="s">
        <v>196</v>
      </c>
      <c r="M810" s="10" t="str">
        <f t="shared" si="61"/>
        <v>Standard</v>
      </c>
      <c r="N810" t="s">
        <v>26</v>
      </c>
      <c r="O810" t="s">
        <v>42</v>
      </c>
      <c r="P810">
        <f>IFERROR(VLOOKUP(TRIM(M810),Room!D:H,5,FALSE),5000)</f>
        <v>3200</v>
      </c>
      <c r="Q810">
        <f t="shared" si="62"/>
        <v>9600</v>
      </c>
      <c r="R810" s="11" t="str">
        <f t="shared" si="63"/>
        <v>Other</v>
      </c>
      <c r="S810" s="11">
        <f t="shared" si="64"/>
        <v>2</v>
      </c>
    </row>
    <row r="811" spans="1:19">
      <c r="A811" t="s">
        <v>4332</v>
      </c>
      <c r="B811" t="s">
        <v>4333</v>
      </c>
      <c r="C811" t="s">
        <v>1074</v>
      </c>
      <c r="D811" t="s">
        <v>4334</v>
      </c>
      <c r="E811" t="s">
        <v>4335</v>
      </c>
      <c r="F811" t="s">
        <v>4336</v>
      </c>
      <c r="G811" s="4">
        <v>45482</v>
      </c>
      <c r="H811" s="4">
        <v>45595</v>
      </c>
      <c r="I811" s="4">
        <v>45596</v>
      </c>
      <c r="J811">
        <f t="shared" si="60"/>
        <v>1</v>
      </c>
      <c r="K811" t="str">
        <f t="array" ref="K811">_xlfn.IFS(J811=1,"Day Use",J811&lt;=3,"Short Stay",J811&lt;=7,"Extended Stay",J811&gt;=8,"Long Stay")</f>
        <v>Day Use</v>
      </c>
      <c r="L811" t="s">
        <v>25</v>
      </c>
      <c r="M811" s="10" t="str">
        <f t="shared" si="61"/>
        <v>Standard</v>
      </c>
      <c r="N811" t="s">
        <v>26</v>
      </c>
      <c r="O811" t="s">
        <v>58</v>
      </c>
      <c r="P811">
        <f>IFERROR(VLOOKUP(TRIM(M811),Room!D:H,5,FALSE),5000)</f>
        <v>3200</v>
      </c>
      <c r="Q811">
        <f t="shared" si="62"/>
        <v>3200</v>
      </c>
      <c r="R811" s="11" t="str">
        <f t="shared" si="63"/>
        <v>Other</v>
      </c>
      <c r="S811" s="11">
        <f t="shared" si="64"/>
        <v>1</v>
      </c>
    </row>
    <row r="812" spans="1:19">
      <c r="A812" t="s">
        <v>4337</v>
      </c>
      <c r="B812" t="s">
        <v>4338</v>
      </c>
      <c r="C812" t="s">
        <v>1383</v>
      </c>
      <c r="D812" t="s">
        <v>4339</v>
      </c>
      <c r="E812" t="s">
        <v>4340</v>
      </c>
      <c r="F812" t="s">
        <v>4341</v>
      </c>
      <c r="G812" s="4">
        <v>45634</v>
      </c>
      <c r="H812" s="4">
        <v>45649</v>
      </c>
      <c r="I812" s="4">
        <v>45663</v>
      </c>
      <c r="J812">
        <f t="shared" si="60"/>
        <v>14</v>
      </c>
      <c r="K812" t="str">
        <f t="array" ref="K812">_xlfn.IFS(J812=1,"Day Use",J812&lt;=3,"Short Stay",J812&lt;=7,"Extended Stay",J812&gt;=8,"Long Stay")</f>
        <v>Long Stay</v>
      </c>
      <c r="L812" t="s">
        <v>49</v>
      </c>
      <c r="M812" s="10" t="str">
        <f t="shared" si="61"/>
        <v>Suite</v>
      </c>
      <c r="N812" t="s">
        <v>26</v>
      </c>
      <c r="O812" t="s">
        <v>42</v>
      </c>
      <c r="P812">
        <f>IFERROR(VLOOKUP(TRIM(M812),Room!D:H,5,FALSE),5000)</f>
        <v>12500</v>
      </c>
      <c r="Q812">
        <f t="shared" si="62"/>
        <v>175000</v>
      </c>
      <c r="R812" s="11" t="str">
        <f t="shared" si="63"/>
        <v>Business</v>
      </c>
      <c r="S812" s="11">
        <f t="shared" si="64"/>
        <v>5</v>
      </c>
    </row>
    <row r="813" spans="1:19">
      <c r="A813" t="s">
        <v>4342</v>
      </c>
      <c r="B813" t="s">
        <v>4343</v>
      </c>
      <c r="C813" t="s">
        <v>1229</v>
      </c>
      <c r="D813" t="s">
        <v>4344</v>
      </c>
      <c r="E813" t="s">
        <v>4345</v>
      </c>
      <c r="F813" t="s">
        <v>4346</v>
      </c>
      <c r="G813" s="4">
        <v>45574</v>
      </c>
      <c r="H813" s="4">
        <v>45806</v>
      </c>
      <c r="I813" s="4">
        <v>45808</v>
      </c>
      <c r="J813">
        <f t="shared" si="60"/>
        <v>2</v>
      </c>
      <c r="K813" t="str">
        <f t="array" ref="K813">_xlfn.IFS(J813=1,"Day Use",J813&lt;=3,"Short Stay",J813&lt;=7,"Extended Stay",J813&gt;=8,"Long Stay")</f>
        <v>Short Stay</v>
      </c>
      <c r="L813" t="s">
        <v>84</v>
      </c>
      <c r="M813" s="10" t="str">
        <f t="shared" si="61"/>
        <v>Standard</v>
      </c>
      <c r="N813" t="s">
        <v>57</v>
      </c>
      <c r="O813" t="s">
        <v>35</v>
      </c>
      <c r="P813">
        <f>IFERROR(VLOOKUP(TRIM(M813),Room!D:H,5,FALSE),5000)</f>
        <v>3200</v>
      </c>
      <c r="Q813">
        <f t="shared" si="62"/>
        <v>6400</v>
      </c>
      <c r="R813" s="11" t="str">
        <f t="shared" si="63"/>
        <v>Other</v>
      </c>
      <c r="S813" s="11">
        <f t="shared" si="64"/>
        <v>2</v>
      </c>
    </row>
    <row r="814" spans="1:19">
      <c r="A814" t="s">
        <v>4347</v>
      </c>
      <c r="B814" t="s">
        <v>4348</v>
      </c>
      <c r="C814" t="s">
        <v>1036</v>
      </c>
      <c r="D814" t="s">
        <v>4349</v>
      </c>
      <c r="E814" t="s">
        <v>4350</v>
      </c>
      <c r="F814" t="s">
        <v>4351</v>
      </c>
      <c r="G814" s="4">
        <v>45342</v>
      </c>
      <c r="H814" s="4">
        <v>45902</v>
      </c>
      <c r="I814" s="4">
        <v>45913</v>
      </c>
      <c r="J814">
        <f t="shared" si="60"/>
        <v>11</v>
      </c>
      <c r="K814" t="str">
        <f t="array" ref="K814">_xlfn.IFS(J814=1,"Day Use",J814&lt;=3,"Short Stay",J814&lt;=7,"Extended Stay",J814&gt;=8,"Long Stay")</f>
        <v>Long Stay</v>
      </c>
      <c r="L814" t="s">
        <v>56</v>
      </c>
      <c r="M814" s="10" t="str">
        <f t="shared" si="61"/>
        <v>Suite</v>
      </c>
      <c r="N814" t="s">
        <v>57</v>
      </c>
      <c r="O814" t="s">
        <v>35</v>
      </c>
      <c r="P814">
        <f>IFERROR(VLOOKUP(TRIM(M814),Room!D:H,5,FALSE),5000)</f>
        <v>12500</v>
      </c>
      <c r="Q814">
        <f t="shared" si="62"/>
        <v>137500</v>
      </c>
      <c r="R814" s="11" t="str">
        <f t="shared" si="63"/>
        <v>Business</v>
      </c>
      <c r="S814" s="11">
        <f t="shared" si="64"/>
        <v>5</v>
      </c>
    </row>
    <row r="815" spans="1:19">
      <c r="A815" t="s">
        <v>4352</v>
      </c>
      <c r="B815" t="s">
        <v>4353</v>
      </c>
      <c r="C815" t="s">
        <v>2035</v>
      </c>
      <c r="D815" t="s">
        <v>4354</v>
      </c>
      <c r="E815" t="s">
        <v>4355</v>
      </c>
      <c r="F815" t="s">
        <v>4356</v>
      </c>
      <c r="G815" s="4">
        <v>45428</v>
      </c>
      <c r="H815" s="4">
        <v>45455</v>
      </c>
      <c r="I815" s="4">
        <v>45458</v>
      </c>
      <c r="J815">
        <f t="shared" si="60"/>
        <v>3</v>
      </c>
      <c r="K815" t="str">
        <f t="array" ref="K815">_xlfn.IFS(J815=1,"Day Use",J815&lt;=3,"Short Stay",J815&lt;=7,"Extended Stay",J815&gt;=8,"Long Stay")</f>
        <v>Short Stay</v>
      </c>
      <c r="L815" t="s">
        <v>25</v>
      </c>
      <c r="M815" s="10" t="str">
        <f t="shared" si="61"/>
        <v>Standard</v>
      </c>
      <c r="N815" t="s">
        <v>26</v>
      </c>
      <c r="O815" t="s">
        <v>42</v>
      </c>
      <c r="P815">
        <f>IFERROR(VLOOKUP(TRIM(M815),Room!D:H,5,FALSE),5000)</f>
        <v>3200</v>
      </c>
      <c r="Q815">
        <f t="shared" si="62"/>
        <v>9600</v>
      </c>
      <c r="R815" s="11" t="str">
        <f t="shared" si="63"/>
        <v>Other</v>
      </c>
      <c r="S815" s="11">
        <f t="shared" si="64"/>
        <v>2</v>
      </c>
    </row>
    <row r="816" spans="1:19">
      <c r="A816" t="s">
        <v>4357</v>
      </c>
      <c r="B816" t="s">
        <v>4358</v>
      </c>
      <c r="C816" t="s">
        <v>4359</v>
      </c>
      <c r="D816" t="s">
        <v>4360</v>
      </c>
      <c r="E816" t="s">
        <v>4361</v>
      </c>
      <c r="F816" t="s">
        <v>4362</v>
      </c>
      <c r="G816" s="4">
        <v>45340</v>
      </c>
      <c r="H816" s="4">
        <v>45346</v>
      </c>
      <c r="I816" s="4">
        <v>45353</v>
      </c>
      <c r="J816">
        <f t="shared" si="60"/>
        <v>7</v>
      </c>
      <c r="K816" t="str">
        <f t="array" ref="K816">_xlfn.IFS(J816=1,"Day Use",J816&lt;=3,"Short Stay",J816&lt;=7,"Extended Stay",J816&gt;=8,"Long Stay")</f>
        <v>Extended Stay</v>
      </c>
      <c r="L816" t="s">
        <v>34</v>
      </c>
      <c r="M816" s="10" t="str">
        <f t="shared" si="61"/>
        <v>Premium</v>
      </c>
      <c r="N816" t="s">
        <v>26</v>
      </c>
      <c r="O816" t="s">
        <v>27</v>
      </c>
      <c r="P816">
        <f>IFERROR(VLOOKUP(TRIM(M816),Room!D:H,5,FALSE),5000)</f>
        <v>9500</v>
      </c>
      <c r="Q816">
        <f t="shared" si="62"/>
        <v>66500</v>
      </c>
      <c r="R816" s="11" t="str">
        <f t="shared" si="63"/>
        <v>Conference</v>
      </c>
      <c r="S816" s="11">
        <f t="shared" si="64"/>
        <v>4</v>
      </c>
    </row>
    <row r="817" spans="1:19">
      <c r="A817" t="s">
        <v>4363</v>
      </c>
      <c r="B817" t="s">
        <v>4364</v>
      </c>
      <c r="C817" t="s">
        <v>294</v>
      </c>
      <c r="D817" t="s">
        <v>4365</v>
      </c>
      <c r="E817" t="s">
        <v>4366</v>
      </c>
      <c r="F817" t="s">
        <v>4367</v>
      </c>
      <c r="G817" s="4">
        <v>45619</v>
      </c>
      <c r="H817" s="4">
        <v>46006</v>
      </c>
      <c r="I817" s="4">
        <v>46014</v>
      </c>
      <c r="J817">
        <f t="shared" si="60"/>
        <v>8</v>
      </c>
      <c r="K817" t="str">
        <f t="array" ref="K817">_xlfn.IFS(J817=1,"Day Use",J817&lt;=3,"Short Stay",J817&lt;=7,"Extended Stay",J817&gt;=8,"Long Stay")</f>
        <v>Long Stay</v>
      </c>
      <c r="L817" t="s">
        <v>84</v>
      </c>
      <c r="M817" s="10" t="str">
        <f t="shared" si="61"/>
        <v>Premium</v>
      </c>
      <c r="N817" t="s">
        <v>26</v>
      </c>
      <c r="O817" t="s">
        <v>71</v>
      </c>
      <c r="P817">
        <f>IFERROR(VLOOKUP(TRIM(M817),Room!D:H,5,FALSE),5000)</f>
        <v>9500</v>
      </c>
      <c r="Q817">
        <f t="shared" si="62"/>
        <v>76000</v>
      </c>
      <c r="R817" s="11" t="str">
        <f t="shared" si="63"/>
        <v>Conference</v>
      </c>
      <c r="S817" s="11">
        <f t="shared" si="64"/>
        <v>4</v>
      </c>
    </row>
    <row r="818" spans="1:19">
      <c r="A818" t="s">
        <v>4368</v>
      </c>
      <c r="B818" t="s">
        <v>4369</v>
      </c>
      <c r="C818" t="s">
        <v>4370</v>
      </c>
      <c r="D818" t="s">
        <v>4371</v>
      </c>
      <c r="E818" t="s">
        <v>4372</v>
      </c>
      <c r="F818" t="s">
        <v>4373</v>
      </c>
      <c r="G818" s="4">
        <v>45721</v>
      </c>
      <c r="H818" s="4">
        <v>45729</v>
      </c>
      <c r="I818" s="4">
        <v>45732</v>
      </c>
      <c r="J818">
        <f t="shared" si="60"/>
        <v>3</v>
      </c>
      <c r="K818" t="str">
        <f t="array" ref="K818">_xlfn.IFS(J818=1,"Day Use",J818&lt;=3,"Short Stay",J818&lt;=7,"Extended Stay",J818&gt;=8,"Long Stay")</f>
        <v>Short Stay</v>
      </c>
      <c r="L818" t="s">
        <v>34</v>
      </c>
      <c r="M818" s="10" t="str">
        <f t="shared" si="61"/>
        <v>Standard</v>
      </c>
      <c r="N818" t="s">
        <v>26</v>
      </c>
      <c r="O818" t="s">
        <v>42</v>
      </c>
      <c r="P818">
        <f>IFERROR(VLOOKUP(TRIM(M818),Room!D:H,5,FALSE),5000)</f>
        <v>3200</v>
      </c>
      <c r="Q818">
        <f t="shared" si="62"/>
        <v>9600</v>
      </c>
      <c r="R818" s="11" t="str">
        <f t="shared" si="63"/>
        <v>Other</v>
      </c>
      <c r="S818" s="11">
        <f t="shared" si="64"/>
        <v>2</v>
      </c>
    </row>
    <row r="819" spans="1:19">
      <c r="A819" t="s">
        <v>4374</v>
      </c>
      <c r="B819" t="s">
        <v>4375</v>
      </c>
      <c r="C819" t="s">
        <v>180</v>
      </c>
      <c r="D819" t="s">
        <v>4376</v>
      </c>
      <c r="E819" t="s">
        <v>4377</v>
      </c>
      <c r="F819" t="s">
        <v>4378</v>
      </c>
      <c r="G819" s="4">
        <v>45723</v>
      </c>
      <c r="H819" s="4">
        <v>45929</v>
      </c>
      <c r="I819" s="4">
        <v>45937</v>
      </c>
      <c r="J819">
        <f t="shared" si="60"/>
        <v>8</v>
      </c>
      <c r="K819" t="str">
        <f t="array" ref="K819">_xlfn.IFS(J819=1,"Day Use",J819&lt;=3,"Short Stay",J819&lt;=7,"Extended Stay",J819&gt;=8,"Long Stay")</f>
        <v>Long Stay</v>
      </c>
      <c r="L819" t="s">
        <v>196</v>
      </c>
      <c r="M819" s="10" t="str">
        <f t="shared" si="61"/>
        <v>Premium</v>
      </c>
      <c r="N819" t="s">
        <v>26</v>
      </c>
      <c r="O819" t="s">
        <v>27</v>
      </c>
      <c r="P819">
        <f>IFERROR(VLOOKUP(TRIM(M819),Room!D:H,5,FALSE),5000)</f>
        <v>9500</v>
      </c>
      <c r="Q819">
        <f t="shared" si="62"/>
        <v>76000</v>
      </c>
      <c r="R819" s="11" t="str">
        <f t="shared" si="63"/>
        <v>Conference</v>
      </c>
      <c r="S819" s="11">
        <f t="shared" si="64"/>
        <v>4</v>
      </c>
    </row>
    <row r="820" spans="1:19">
      <c r="A820" t="s">
        <v>4379</v>
      </c>
      <c r="B820" t="s">
        <v>4380</v>
      </c>
      <c r="C820" t="s">
        <v>398</v>
      </c>
      <c r="D820" t="s">
        <v>4381</v>
      </c>
      <c r="E820" t="s">
        <v>4382</v>
      </c>
      <c r="F820" t="s">
        <v>4383</v>
      </c>
      <c r="G820" s="4">
        <v>45609</v>
      </c>
      <c r="H820" s="4">
        <v>45617</v>
      </c>
      <c r="I820" s="4">
        <v>45630</v>
      </c>
      <c r="J820">
        <f t="shared" si="60"/>
        <v>13</v>
      </c>
      <c r="K820" t="str">
        <f t="array" ref="K820">_xlfn.IFS(J820=1,"Day Use",J820&lt;=3,"Short Stay",J820&lt;=7,"Extended Stay",J820&gt;=8,"Long Stay")</f>
        <v>Long Stay</v>
      </c>
      <c r="L820" t="s">
        <v>25</v>
      </c>
      <c r="M820" s="10" t="str">
        <f t="shared" si="61"/>
        <v>Suite</v>
      </c>
      <c r="N820" t="s">
        <v>26</v>
      </c>
      <c r="O820" t="s">
        <v>27</v>
      </c>
      <c r="P820">
        <f>IFERROR(VLOOKUP(TRIM(M820),Room!D:H,5,FALSE),5000)</f>
        <v>12500</v>
      </c>
      <c r="Q820">
        <f t="shared" si="62"/>
        <v>162500</v>
      </c>
      <c r="R820" s="11" t="str">
        <f t="shared" si="63"/>
        <v>Business</v>
      </c>
      <c r="S820" s="11">
        <f t="shared" si="64"/>
        <v>5</v>
      </c>
    </row>
    <row r="821" spans="1:19">
      <c r="A821" t="s">
        <v>4384</v>
      </c>
      <c r="B821" t="s">
        <v>4385</v>
      </c>
      <c r="C821" t="s">
        <v>1763</v>
      </c>
      <c r="D821" t="s">
        <v>4386</v>
      </c>
      <c r="E821" t="s">
        <v>4387</v>
      </c>
      <c r="F821" t="s">
        <v>4388</v>
      </c>
      <c r="G821" s="4">
        <v>45546</v>
      </c>
      <c r="H821" s="4">
        <v>45831</v>
      </c>
      <c r="I821" s="4">
        <v>45843</v>
      </c>
      <c r="J821">
        <f t="shared" si="60"/>
        <v>12</v>
      </c>
      <c r="K821" t="str">
        <f t="array" ref="K821">_xlfn.IFS(J821=1,"Day Use",J821&lt;=3,"Short Stay",J821&lt;=7,"Extended Stay",J821&gt;=8,"Long Stay")</f>
        <v>Long Stay</v>
      </c>
      <c r="L821" t="s">
        <v>34</v>
      </c>
      <c r="M821" s="10" t="str">
        <f t="shared" si="61"/>
        <v>Suite</v>
      </c>
      <c r="N821" t="s">
        <v>134</v>
      </c>
      <c r="O821" t="s">
        <v>58</v>
      </c>
      <c r="P821">
        <f>IFERROR(VLOOKUP(TRIM(M821),Room!D:H,5,FALSE),5000)</f>
        <v>12500</v>
      </c>
      <c r="Q821">
        <f t="shared" si="62"/>
        <v>150000</v>
      </c>
      <c r="R821" s="11" t="str">
        <f t="shared" si="63"/>
        <v>Business</v>
      </c>
      <c r="S821" s="11">
        <f t="shared" si="64"/>
        <v>5</v>
      </c>
    </row>
    <row r="822" spans="1:19">
      <c r="A822" t="s">
        <v>4389</v>
      </c>
      <c r="B822" t="s">
        <v>4390</v>
      </c>
      <c r="C822" t="s">
        <v>610</v>
      </c>
      <c r="D822" t="s">
        <v>4391</v>
      </c>
      <c r="E822" t="s">
        <v>4392</v>
      </c>
      <c r="F822" t="s">
        <v>4393</v>
      </c>
      <c r="G822" s="4">
        <v>45336</v>
      </c>
      <c r="H822" s="4">
        <v>45649</v>
      </c>
      <c r="I822" s="4">
        <v>45661</v>
      </c>
      <c r="J822">
        <f t="shared" si="60"/>
        <v>12</v>
      </c>
      <c r="K822" t="str">
        <f t="array" ref="K822">_xlfn.IFS(J822=1,"Day Use",J822&lt;=3,"Short Stay",J822&lt;=7,"Extended Stay",J822&gt;=8,"Long Stay")</f>
        <v>Long Stay</v>
      </c>
      <c r="L822" t="s">
        <v>49</v>
      </c>
      <c r="M822" s="10" t="str">
        <f t="shared" si="61"/>
        <v>Suite</v>
      </c>
      <c r="N822" t="s">
        <v>26</v>
      </c>
      <c r="O822" t="s">
        <v>35</v>
      </c>
      <c r="P822">
        <f>IFERROR(VLOOKUP(TRIM(M822),Room!D:H,5,FALSE),5000)</f>
        <v>12500</v>
      </c>
      <c r="Q822">
        <f t="shared" si="62"/>
        <v>150000</v>
      </c>
      <c r="R822" s="11" t="str">
        <f t="shared" si="63"/>
        <v>Business</v>
      </c>
      <c r="S822" s="11">
        <f t="shared" si="64"/>
        <v>5</v>
      </c>
    </row>
    <row r="823" spans="1:19">
      <c r="A823" t="s">
        <v>4394</v>
      </c>
      <c r="B823" t="s">
        <v>4395</v>
      </c>
      <c r="C823" t="s">
        <v>241</v>
      </c>
      <c r="D823" t="s">
        <v>4396</v>
      </c>
      <c r="E823" t="s">
        <v>4397</v>
      </c>
      <c r="F823" t="s">
        <v>4398</v>
      </c>
      <c r="G823" s="4">
        <v>45822</v>
      </c>
      <c r="H823" s="4">
        <v>45832</v>
      </c>
      <c r="I823" s="4">
        <v>45833</v>
      </c>
      <c r="J823">
        <f t="shared" si="60"/>
        <v>1</v>
      </c>
      <c r="K823" t="str">
        <f t="array" ref="K823">_xlfn.IFS(J823=1,"Day Use",J823&lt;=3,"Short Stay",J823&lt;=7,"Extended Stay",J823&gt;=8,"Long Stay")</f>
        <v>Day Use</v>
      </c>
      <c r="L823" t="s">
        <v>91</v>
      </c>
      <c r="M823" s="10" t="str">
        <f t="shared" si="61"/>
        <v>Standard</v>
      </c>
      <c r="N823" t="s">
        <v>57</v>
      </c>
      <c r="O823" t="s">
        <v>42</v>
      </c>
      <c r="P823">
        <f>IFERROR(VLOOKUP(TRIM(M823),Room!D:H,5,FALSE),5000)</f>
        <v>3200</v>
      </c>
      <c r="Q823">
        <f t="shared" si="62"/>
        <v>3200</v>
      </c>
      <c r="R823" s="11" t="str">
        <f t="shared" si="63"/>
        <v>Other</v>
      </c>
      <c r="S823" s="11">
        <f t="shared" si="64"/>
        <v>1</v>
      </c>
    </row>
    <row r="824" spans="1:19">
      <c r="A824" t="s">
        <v>4399</v>
      </c>
      <c r="B824" t="s">
        <v>4400</v>
      </c>
      <c r="C824" t="s">
        <v>2154</v>
      </c>
      <c r="D824" t="s">
        <v>4401</v>
      </c>
      <c r="E824" t="s">
        <v>4402</v>
      </c>
      <c r="F824" t="s">
        <v>4403</v>
      </c>
      <c r="G824" s="4">
        <v>45890</v>
      </c>
      <c r="H824" s="4">
        <v>45901</v>
      </c>
      <c r="I824" s="4">
        <v>45906</v>
      </c>
      <c r="J824">
        <f t="shared" si="60"/>
        <v>5</v>
      </c>
      <c r="K824" t="str">
        <f t="array" ref="K824">_xlfn.IFS(J824=1,"Day Use",J824&lt;=3,"Short Stay",J824&lt;=7,"Extended Stay",J824&gt;=8,"Long Stay")</f>
        <v>Extended Stay</v>
      </c>
      <c r="L824" t="s">
        <v>34</v>
      </c>
      <c r="M824" s="10" t="str">
        <f t="shared" si="61"/>
        <v>Deluxe</v>
      </c>
      <c r="N824" t="s">
        <v>26</v>
      </c>
      <c r="O824" t="s">
        <v>71</v>
      </c>
      <c r="P824">
        <f>IFERROR(VLOOKUP(TRIM(M824),Room!D:H,5,FALSE),5000)</f>
        <v>5400</v>
      </c>
      <c r="Q824">
        <f t="shared" si="62"/>
        <v>27000</v>
      </c>
      <c r="R824" s="11" t="str">
        <f t="shared" si="63"/>
        <v>Conference</v>
      </c>
      <c r="S824" s="11">
        <f t="shared" si="64"/>
        <v>3</v>
      </c>
    </row>
    <row r="825" spans="1:19">
      <c r="A825" t="s">
        <v>4404</v>
      </c>
      <c r="B825" t="s">
        <v>4405</v>
      </c>
      <c r="C825" t="s">
        <v>1030</v>
      </c>
      <c r="D825" t="s">
        <v>4406</v>
      </c>
      <c r="E825" t="s">
        <v>4407</v>
      </c>
      <c r="F825" t="s">
        <v>4408</v>
      </c>
      <c r="G825" s="4">
        <v>45631</v>
      </c>
      <c r="H825" s="4">
        <v>45636</v>
      </c>
      <c r="I825" s="4">
        <v>45640</v>
      </c>
      <c r="J825">
        <f t="shared" si="60"/>
        <v>4</v>
      </c>
      <c r="K825" t="str">
        <f t="array" ref="K825">_xlfn.IFS(J825=1,"Day Use",J825&lt;=3,"Short Stay",J825&lt;=7,"Extended Stay",J825&gt;=8,"Long Stay")</f>
        <v>Extended Stay</v>
      </c>
      <c r="L825" t="s">
        <v>91</v>
      </c>
      <c r="M825" s="10" t="str">
        <f t="shared" si="61"/>
        <v>Deluxe</v>
      </c>
      <c r="N825" t="s">
        <v>26</v>
      </c>
      <c r="O825" t="s">
        <v>58</v>
      </c>
      <c r="P825">
        <f>IFERROR(VLOOKUP(TRIM(M825),Room!D:H,5,FALSE),5000)</f>
        <v>5400</v>
      </c>
      <c r="Q825">
        <f t="shared" si="62"/>
        <v>21600</v>
      </c>
      <c r="R825" s="11" t="str">
        <f t="shared" si="63"/>
        <v>Conference</v>
      </c>
      <c r="S825" s="11">
        <f t="shared" si="64"/>
        <v>3</v>
      </c>
    </row>
    <row r="826" spans="1:19">
      <c r="A826" t="s">
        <v>4409</v>
      </c>
      <c r="B826" t="s">
        <v>4410</v>
      </c>
      <c r="C826" t="s">
        <v>1682</v>
      </c>
      <c r="D826" t="s">
        <v>4411</v>
      </c>
      <c r="E826" t="s">
        <v>4412</v>
      </c>
      <c r="F826" t="s">
        <v>4413</v>
      </c>
      <c r="G826" s="4">
        <v>45559</v>
      </c>
      <c r="H826" s="4">
        <v>45755</v>
      </c>
      <c r="I826" s="4">
        <v>45756</v>
      </c>
      <c r="J826">
        <f t="shared" si="60"/>
        <v>1</v>
      </c>
      <c r="K826" t="str">
        <f t="array" ref="K826">_xlfn.IFS(J826=1,"Day Use",J826&lt;=3,"Short Stay",J826&lt;=7,"Extended Stay",J826&gt;=8,"Long Stay")</f>
        <v>Day Use</v>
      </c>
      <c r="L826" t="s">
        <v>34</v>
      </c>
      <c r="M826" s="10" t="str">
        <f t="shared" si="61"/>
        <v>Standard</v>
      </c>
      <c r="N826" t="s">
        <v>372</v>
      </c>
      <c r="O826" t="s">
        <v>58</v>
      </c>
      <c r="P826">
        <f>IFERROR(VLOOKUP(TRIM(M826),Room!D:H,5,FALSE),5000)</f>
        <v>3200</v>
      </c>
      <c r="Q826">
        <f t="shared" si="62"/>
        <v>3200</v>
      </c>
      <c r="R826" s="11" t="str">
        <f t="shared" si="63"/>
        <v>Other</v>
      </c>
      <c r="S826" s="11">
        <f t="shared" si="64"/>
        <v>1</v>
      </c>
    </row>
    <row r="827" spans="1:19">
      <c r="A827" t="s">
        <v>4414</v>
      </c>
      <c r="B827" t="s">
        <v>4415</v>
      </c>
      <c r="C827" t="s">
        <v>449</v>
      </c>
      <c r="D827" t="s">
        <v>4416</v>
      </c>
      <c r="E827" t="s">
        <v>4417</v>
      </c>
      <c r="F827" t="s">
        <v>4418</v>
      </c>
      <c r="G827" s="4">
        <v>45361</v>
      </c>
      <c r="H827" s="4">
        <v>46019</v>
      </c>
      <c r="I827" s="4">
        <v>46022</v>
      </c>
      <c r="J827">
        <f t="shared" si="60"/>
        <v>3</v>
      </c>
      <c r="K827" t="str">
        <f t="array" ref="K827">_xlfn.IFS(J827=1,"Day Use",J827&lt;=3,"Short Stay",J827&lt;=7,"Extended Stay",J827&gt;=8,"Long Stay")</f>
        <v>Short Stay</v>
      </c>
      <c r="L827" t="s">
        <v>49</v>
      </c>
      <c r="M827" s="10" t="str">
        <f t="shared" si="61"/>
        <v>Standard</v>
      </c>
      <c r="N827" t="s">
        <v>26</v>
      </c>
      <c r="O827" t="s">
        <v>42</v>
      </c>
      <c r="P827">
        <f>IFERROR(VLOOKUP(TRIM(M827),Room!D:H,5,FALSE),5000)</f>
        <v>3200</v>
      </c>
      <c r="Q827">
        <f t="shared" si="62"/>
        <v>9600</v>
      </c>
      <c r="R827" s="11" t="str">
        <f t="shared" si="63"/>
        <v>Other</v>
      </c>
      <c r="S827" s="11">
        <f t="shared" si="64"/>
        <v>2</v>
      </c>
    </row>
    <row r="828" spans="1:19">
      <c r="A828" t="s">
        <v>4419</v>
      </c>
      <c r="B828" t="s">
        <v>4420</v>
      </c>
      <c r="C828" t="s">
        <v>882</v>
      </c>
      <c r="D828" t="s">
        <v>4421</v>
      </c>
      <c r="E828" t="s">
        <v>4422</v>
      </c>
      <c r="F828" t="s">
        <v>4423</v>
      </c>
      <c r="G828" s="4">
        <v>45330</v>
      </c>
      <c r="H828" s="4">
        <v>45332</v>
      </c>
      <c r="I828" s="4">
        <v>45334</v>
      </c>
      <c r="J828">
        <f t="shared" si="60"/>
        <v>2</v>
      </c>
      <c r="K828" t="str">
        <f t="array" ref="K828">_xlfn.IFS(J828=1,"Day Use",J828&lt;=3,"Short Stay",J828&lt;=7,"Extended Stay",J828&gt;=8,"Long Stay")</f>
        <v>Short Stay</v>
      </c>
      <c r="L828" t="s">
        <v>91</v>
      </c>
      <c r="M828" s="10" t="str">
        <f t="shared" si="61"/>
        <v>Standard</v>
      </c>
      <c r="N828" t="s">
        <v>57</v>
      </c>
      <c r="O828" t="s">
        <v>58</v>
      </c>
      <c r="P828">
        <f>IFERROR(VLOOKUP(TRIM(M828),Room!D:H,5,FALSE),5000)</f>
        <v>3200</v>
      </c>
      <c r="Q828">
        <f t="shared" si="62"/>
        <v>6400</v>
      </c>
      <c r="R828" s="11" t="str">
        <f t="shared" si="63"/>
        <v>Other</v>
      </c>
      <c r="S828" s="11">
        <f t="shared" si="64"/>
        <v>2</v>
      </c>
    </row>
    <row r="829" spans="1:19">
      <c r="A829" t="s">
        <v>4424</v>
      </c>
      <c r="B829" t="s">
        <v>4425</v>
      </c>
      <c r="C829" t="s">
        <v>1545</v>
      </c>
      <c r="D829" t="s">
        <v>4426</v>
      </c>
      <c r="E829" t="s">
        <v>4427</v>
      </c>
      <c r="F829" t="s">
        <v>4428</v>
      </c>
      <c r="G829" s="4">
        <v>45516</v>
      </c>
      <c r="H829" s="4">
        <v>45531</v>
      </c>
      <c r="I829" s="4">
        <v>45535</v>
      </c>
      <c r="J829">
        <f t="shared" si="60"/>
        <v>4</v>
      </c>
      <c r="K829" t="str">
        <f t="array" ref="K829">_xlfn.IFS(J829=1,"Day Use",J829&lt;=3,"Short Stay",J829&lt;=7,"Extended Stay",J829&gt;=8,"Long Stay")</f>
        <v>Extended Stay</v>
      </c>
      <c r="L829" t="s">
        <v>141</v>
      </c>
      <c r="M829" s="10" t="str">
        <f t="shared" si="61"/>
        <v>Deluxe</v>
      </c>
      <c r="N829" t="s">
        <v>372</v>
      </c>
      <c r="O829" t="s">
        <v>42</v>
      </c>
      <c r="P829">
        <f>IFERROR(VLOOKUP(TRIM(M829),Room!D:H,5,FALSE),5000)</f>
        <v>5400</v>
      </c>
      <c r="Q829">
        <f t="shared" si="62"/>
        <v>21600</v>
      </c>
      <c r="R829" s="11" t="str">
        <f t="shared" si="63"/>
        <v>Conference</v>
      </c>
      <c r="S829" s="11">
        <f t="shared" si="64"/>
        <v>3</v>
      </c>
    </row>
    <row r="830" spans="1:19">
      <c r="A830" t="s">
        <v>4429</v>
      </c>
      <c r="B830" t="s">
        <v>4430</v>
      </c>
      <c r="C830" t="s">
        <v>460</v>
      </c>
      <c r="D830" t="s">
        <v>4431</v>
      </c>
      <c r="E830" t="s">
        <v>4432</v>
      </c>
      <c r="F830" t="s">
        <v>4433</v>
      </c>
      <c r="G830" s="4">
        <v>45653</v>
      </c>
      <c r="H830" s="4">
        <v>45773</v>
      </c>
      <c r="I830" s="4">
        <v>45778</v>
      </c>
      <c r="J830">
        <f t="shared" si="60"/>
        <v>5</v>
      </c>
      <c r="K830" t="str">
        <f t="array" ref="K830">_xlfn.IFS(J830=1,"Day Use",J830&lt;=3,"Short Stay",J830&lt;=7,"Extended Stay",J830&gt;=8,"Long Stay")</f>
        <v>Extended Stay</v>
      </c>
      <c r="L830" t="s">
        <v>56</v>
      </c>
      <c r="M830" s="10" t="str">
        <f t="shared" si="61"/>
        <v>Deluxe</v>
      </c>
      <c r="N830" t="s">
        <v>26</v>
      </c>
      <c r="O830" t="s">
        <v>35</v>
      </c>
      <c r="P830">
        <f>IFERROR(VLOOKUP(TRIM(M830),Room!D:H,5,FALSE),5000)</f>
        <v>5400</v>
      </c>
      <c r="Q830">
        <f t="shared" si="62"/>
        <v>27000</v>
      </c>
      <c r="R830" s="11" t="str">
        <f t="shared" si="63"/>
        <v>Conference</v>
      </c>
      <c r="S830" s="11">
        <f t="shared" si="64"/>
        <v>3</v>
      </c>
    </row>
    <row r="831" spans="1:19">
      <c r="A831" t="s">
        <v>4434</v>
      </c>
      <c r="B831" t="s">
        <v>4435</v>
      </c>
      <c r="C831" t="s">
        <v>4436</v>
      </c>
      <c r="D831" t="s">
        <v>4437</v>
      </c>
      <c r="E831" t="s">
        <v>4438</v>
      </c>
      <c r="F831" t="s">
        <v>4439</v>
      </c>
      <c r="G831" s="4">
        <v>45613</v>
      </c>
      <c r="H831" s="4">
        <v>45638</v>
      </c>
      <c r="I831" s="4">
        <v>45642</v>
      </c>
      <c r="J831">
        <f t="shared" si="60"/>
        <v>4</v>
      </c>
      <c r="K831" t="str">
        <f t="array" ref="K831">_xlfn.IFS(J831=1,"Day Use",J831&lt;=3,"Short Stay",J831&lt;=7,"Extended Stay",J831&gt;=8,"Long Stay")</f>
        <v>Extended Stay</v>
      </c>
      <c r="L831" t="s">
        <v>91</v>
      </c>
      <c r="M831" s="10" t="str">
        <f t="shared" si="61"/>
        <v>Deluxe</v>
      </c>
      <c r="N831" t="s">
        <v>26</v>
      </c>
      <c r="O831" t="s">
        <v>35</v>
      </c>
      <c r="P831">
        <f>IFERROR(VLOOKUP(TRIM(M831),Room!D:H,5,FALSE),5000)</f>
        <v>5400</v>
      </c>
      <c r="Q831">
        <f t="shared" si="62"/>
        <v>21600</v>
      </c>
      <c r="R831" s="11" t="str">
        <f t="shared" si="63"/>
        <v>Conference</v>
      </c>
      <c r="S831" s="11">
        <f t="shared" si="64"/>
        <v>3</v>
      </c>
    </row>
    <row r="832" spans="1:19">
      <c r="A832" t="s">
        <v>4440</v>
      </c>
      <c r="B832" t="s">
        <v>4441</v>
      </c>
      <c r="C832" t="s">
        <v>1660</v>
      </c>
      <c r="D832" t="s">
        <v>4442</v>
      </c>
      <c r="E832" t="s">
        <v>4443</v>
      </c>
      <c r="F832" t="s">
        <v>4444</v>
      </c>
      <c r="G832" s="4">
        <v>45242</v>
      </c>
      <c r="H832" s="4">
        <v>45618</v>
      </c>
      <c r="I832" s="4">
        <v>45620</v>
      </c>
      <c r="J832">
        <f t="shared" si="60"/>
        <v>2</v>
      </c>
      <c r="K832" t="str">
        <f t="array" ref="K832">_xlfn.IFS(J832=1,"Day Use",J832&lt;=3,"Short Stay",J832&lt;=7,"Extended Stay",J832&gt;=8,"Long Stay")</f>
        <v>Short Stay</v>
      </c>
      <c r="L832" t="s">
        <v>56</v>
      </c>
      <c r="M832" s="10" t="str">
        <f t="shared" si="61"/>
        <v>Standard</v>
      </c>
      <c r="N832" t="s">
        <v>57</v>
      </c>
      <c r="O832" t="s">
        <v>71</v>
      </c>
      <c r="P832">
        <f>IFERROR(VLOOKUP(TRIM(M832),Room!D:H,5,FALSE),5000)</f>
        <v>3200</v>
      </c>
      <c r="Q832">
        <f t="shared" si="62"/>
        <v>6400</v>
      </c>
      <c r="R832" s="11" t="str">
        <f t="shared" si="63"/>
        <v>Other</v>
      </c>
      <c r="S832" s="11">
        <f t="shared" si="64"/>
        <v>2</v>
      </c>
    </row>
    <row r="833" spans="1:19">
      <c r="A833" t="s">
        <v>4445</v>
      </c>
      <c r="B833" t="s">
        <v>4446</v>
      </c>
      <c r="C833" t="s">
        <v>847</v>
      </c>
      <c r="D833" t="s">
        <v>4447</v>
      </c>
      <c r="E833" t="s">
        <v>4448</v>
      </c>
      <c r="F833" t="s">
        <v>4449</v>
      </c>
      <c r="G833" s="4">
        <v>45730</v>
      </c>
      <c r="H833" s="4">
        <v>45780</v>
      </c>
      <c r="I833" s="4">
        <v>45794</v>
      </c>
      <c r="J833">
        <f t="shared" si="60"/>
        <v>14</v>
      </c>
      <c r="K833" t="str">
        <f t="array" ref="K833">_xlfn.IFS(J833=1,"Day Use",J833&lt;=3,"Short Stay",J833&lt;=7,"Extended Stay",J833&gt;=8,"Long Stay")</f>
        <v>Long Stay</v>
      </c>
      <c r="L833" t="s">
        <v>141</v>
      </c>
      <c r="M833" s="10" t="str">
        <f t="shared" si="61"/>
        <v>Suite</v>
      </c>
      <c r="N833" t="s">
        <v>57</v>
      </c>
      <c r="O833" t="s">
        <v>71</v>
      </c>
      <c r="P833">
        <f>IFERROR(VLOOKUP(TRIM(M833),Room!D:H,5,FALSE),5000)</f>
        <v>12500</v>
      </c>
      <c r="Q833">
        <f t="shared" si="62"/>
        <v>175000</v>
      </c>
      <c r="R833" s="11" t="str">
        <f t="shared" si="63"/>
        <v>Business</v>
      </c>
      <c r="S833" s="11">
        <f t="shared" si="64"/>
        <v>5</v>
      </c>
    </row>
    <row r="834" spans="1:19">
      <c r="A834" t="s">
        <v>4450</v>
      </c>
      <c r="B834" t="s">
        <v>4451</v>
      </c>
      <c r="C834" t="s">
        <v>961</v>
      </c>
      <c r="D834" t="s">
        <v>4452</v>
      </c>
      <c r="E834" t="s">
        <v>4453</v>
      </c>
      <c r="F834" t="s">
        <v>4454</v>
      </c>
      <c r="G834" s="4">
        <v>45674</v>
      </c>
      <c r="H834" s="4">
        <v>45682</v>
      </c>
      <c r="I834" s="4">
        <v>45695</v>
      </c>
      <c r="J834">
        <f t="shared" ref="J834:J897" si="65">I834-H834</f>
        <v>13</v>
      </c>
      <c r="K834" t="str">
        <f t="array" ref="K834">_xlfn.IFS(J834=1,"Day Use",J834&lt;=3,"Short Stay",J834&lt;=7,"Extended Stay",J834&gt;=8,"Long Stay")</f>
        <v>Long Stay</v>
      </c>
      <c r="L834" t="s">
        <v>25</v>
      </c>
      <c r="M834" s="10" t="str">
        <f t="shared" ref="M834:M897" si="66">IF($J834&lt;=3,"Standard",IF($J834&lt;=6,"Deluxe",IF($J834&lt;=10,"Premium","Suite")))</f>
        <v>Suite</v>
      </c>
      <c r="N834" t="s">
        <v>57</v>
      </c>
      <c r="O834" t="s">
        <v>42</v>
      </c>
      <c r="P834">
        <f>IFERROR(VLOOKUP(TRIM(M834),Room!D:H,5,FALSE),5000)</f>
        <v>12500</v>
      </c>
      <c r="Q834">
        <f t="shared" si="62"/>
        <v>162500</v>
      </c>
      <c r="R834" s="11" t="str">
        <f t="shared" si="63"/>
        <v>Business</v>
      </c>
      <c r="S834" s="11">
        <f t="shared" si="64"/>
        <v>5</v>
      </c>
    </row>
    <row r="835" spans="1:19">
      <c r="A835" t="s">
        <v>4455</v>
      </c>
      <c r="B835" t="s">
        <v>4456</v>
      </c>
      <c r="C835" t="s">
        <v>2815</v>
      </c>
      <c r="D835" t="s">
        <v>4457</v>
      </c>
      <c r="E835" t="s">
        <v>4458</v>
      </c>
      <c r="F835" t="s">
        <v>4459</v>
      </c>
      <c r="G835" s="4">
        <v>45889</v>
      </c>
      <c r="H835" s="4">
        <v>45901</v>
      </c>
      <c r="I835" s="4">
        <v>45907</v>
      </c>
      <c r="J835">
        <f t="shared" si="65"/>
        <v>6</v>
      </c>
      <c r="K835" t="str">
        <f t="array" ref="K835">_xlfn.IFS(J835=1,"Day Use",J835&lt;=3,"Short Stay",J835&lt;=7,"Extended Stay",J835&gt;=8,"Long Stay")</f>
        <v>Extended Stay</v>
      </c>
      <c r="L835" t="s">
        <v>34</v>
      </c>
      <c r="M835" s="10" t="str">
        <f t="shared" si="66"/>
        <v>Deluxe</v>
      </c>
      <c r="N835" t="s">
        <v>134</v>
      </c>
      <c r="O835" t="s">
        <v>58</v>
      </c>
      <c r="P835">
        <f>IFERROR(VLOOKUP(TRIM(M835),Room!D:H,5,FALSE),5000)</f>
        <v>5400</v>
      </c>
      <c r="Q835">
        <f t="shared" ref="Q835:Q898" si="67">P835*J835</f>
        <v>32400</v>
      </c>
      <c r="R835" s="11" t="str">
        <f t="shared" ref="R835:R898" si="68">IF(ISNUMBER(SEARCH("Suite",D835)),"Honeymoon",IF(P835&gt;10000,"Business",IF(P835&gt;5000,"Conference",IF(J835&gt;=8,"Family Vacation","Other"))))</f>
        <v>Conference</v>
      </c>
      <c r="S835" s="11">
        <f t="shared" ref="S835:S898" si="69">IF(M835="Suite",5,IF(M835="Premium",IF(Q835&gt;20000,4,3),IF(M835="Deluxe",IF(Q835&gt;=10000,3,2),IF(M835="Standard",IF(Q835&gt;=5000,2,1),1))))</f>
        <v>3</v>
      </c>
    </row>
    <row r="836" spans="1:19">
      <c r="A836" t="s">
        <v>4460</v>
      </c>
      <c r="B836" t="s">
        <v>4461</v>
      </c>
      <c r="C836" t="s">
        <v>871</v>
      </c>
      <c r="D836" t="s">
        <v>4462</v>
      </c>
      <c r="E836" t="s">
        <v>4463</v>
      </c>
      <c r="F836" t="s">
        <v>4464</v>
      </c>
      <c r="G836" s="4">
        <v>45739</v>
      </c>
      <c r="H836" s="4">
        <v>45769</v>
      </c>
      <c r="I836" s="4">
        <v>45775</v>
      </c>
      <c r="J836">
        <f t="shared" si="65"/>
        <v>6</v>
      </c>
      <c r="K836" t="str">
        <f t="array" ref="K836">_xlfn.IFS(J836=1,"Day Use",J836&lt;=3,"Short Stay",J836&lt;=7,"Extended Stay",J836&gt;=8,"Long Stay")</f>
        <v>Extended Stay</v>
      </c>
      <c r="L836" t="s">
        <v>34</v>
      </c>
      <c r="M836" s="10" t="str">
        <f t="shared" si="66"/>
        <v>Deluxe</v>
      </c>
      <c r="N836" t="s">
        <v>134</v>
      </c>
      <c r="O836" t="s">
        <v>58</v>
      </c>
      <c r="P836">
        <f>IFERROR(VLOOKUP(TRIM(M836),Room!D:H,5,FALSE),5000)</f>
        <v>5400</v>
      </c>
      <c r="Q836">
        <f t="shared" si="67"/>
        <v>32400</v>
      </c>
      <c r="R836" s="11" t="str">
        <f t="shared" si="68"/>
        <v>Conference</v>
      </c>
      <c r="S836" s="11">
        <f t="shared" si="69"/>
        <v>3</v>
      </c>
    </row>
    <row r="837" spans="1:19">
      <c r="A837" t="s">
        <v>4465</v>
      </c>
      <c r="B837" t="s">
        <v>4466</v>
      </c>
      <c r="C837" t="s">
        <v>853</v>
      </c>
      <c r="D837" t="s">
        <v>4467</v>
      </c>
      <c r="E837" t="s">
        <v>4468</v>
      </c>
      <c r="F837" t="s">
        <v>4469</v>
      </c>
      <c r="G837" s="4">
        <v>45715</v>
      </c>
      <c r="H837" s="4">
        <v>45745</v>
      </c>
      <c r="I837" s="4">
        <v>45753</v>
      </c>
      <c r="J837">
        <f t="shared" si="65"/>
        <v>8</v>
      </c>
      <c r="K837" t="str">
        <f t="array" ref="K837">_xlfn.IFS(J837=1,"Day Use",J837&lt;=3,"Short Stay",J837&lt;=7,"Extended Stay",J837&gt;=8,"Long Stay")</f>
        <v>Long Stay</v>
      </c>
      <c r="L837" t="s">
        <v>141</v>
      </c>
      <c r="M837" s="10" t="str">
        <f t="shared" si="66"/>
        <v>Premium</v>
      </c>
      <c r="N837" t="s">
        <v>26</v>
      </c>
      <c r="O837" t="s">
        <v>42</v>
      </c>
      <c r="P837">
        <f>IFERROR(VLOOKUP(TRIM(M837),Room!D:H,5,FALSE),5000)</f>
        <v>9500</v>
      </c>
      <c r="Q837">
        <f t="shared" si="67"/>
        <v>76000</v>
      </c>
      <c r="R837" s="11" t="str">
        <f t="shared" si="68"/>
        <v>Conference</v>
      </c>
      <c r="S837" s="11">
        <f t="shared" si="69"/>
        <v>4</v>
      </c>
    </row>
    <row r="838" spans="1:19">
      <c r="A838" t="s">
        <v>4470</v>
      </c>
      <c r="B838" t="s">
        <v>4471</v>
      </c>
      <c r="C838" t="s">
        <v>205</v>
      </c>
      <c r="D838" t="s">
        <v>4472</v>
      </c>
      <c r="E838" t="s">
        <v>4473</v>
      </c>
      <c r="F838" t="s">
        <v>4474</v>
      </c>
      <c r="G838" s="4">
        <v>45569</v>
      </c>
      <c r="H838" s="4">
        <v>45578</v>
      </c>
      <c r="I838" s="4">
        <v>45587</v>
      </c>
      <c r="J838">
        <f t="shared" si="65"/>
        <v>9</v>
      </c>
      <c r="K838" t="str">
        <f t="array" ref="K838">_xlfn.IFS(J838=1,"Day Use",J838&lt;=3,"Short Stay",J838&lt;=7,"Extended Stay",J838&gt;=8,"Long Stay")</f>
        <v>Long Stay</v>
      </c>
      <c r="L838" t="s">
        <v>25</v>
      </c>
      <c r="M838" s="10" t="str">
        <f t="shared" si="66"/>
        <v>Premium</v>
      </c>
      <c r="N838" t="s">
        <v>26</v>
      </c>
      <c r="O838" t="s">
        <v>35</v>
      </c>
      <c r="P838">
        <f>IFERROR(VLOOKUP(TRIM(M838),Room!D:H,5,FALSE),5000)</f>
        <v>9500</v>
      </c>
      <c r="Q838">
        <f t="shared" si="67"/>
        <v>85500</v>
      </c>
      <c r="R838" s="11" t="str">
        <f t="shared" si="68"/>
        <v>Conference</v>
      </c>
      <c r="S838" s="11">
        <f t="shared" si="69"/>
        <v>4</v>
      </c>
    </row>
    <row r="839" spans="1:19">
      <c r="A839" t="s">
        <v>4475</v>
      </c>
      <c r="B839" t="s">
        <v>4476</v>
      </c>
      <c r="C839" t="s">
        <v>253</v>
      </c>
      <c r="D839" t="s">
        <v>4477</v>
      </c>
      <c r="E839" t="s">
        <v>4478</v>
      </c>
      <c r="F839" t="s">
        <v>4479</v>
      </c>
      <c r="G839" s="4">
        <v>45627</v>
      </c>
      <c r="H839" s="4">
        <v>45692</v>
      </c>
      <c r="I839" s="4">
        <v>45706</v>
      </c>
      <c r="J839">
        <f t="shared" si="65"/>
        <v>14</v>
      </c>
      <c r="K839" t="str">
        <f t="array" ref="K839">_xlfn.IFS(J839=1,"Day Use",J839&lt;=3,"Short Stay",J839&lt;=7,"Extended Stay",J839&gt;=8,"Long Stay")</f>
        <v>Long Stay</v>
      </c>
      <c r="L839" t="s">
        <v>91</v>
      </c>
      <c r="M839" s="10" t="str">
        <f t="shared" si="66"/>
        <v>Suite</v>
      </c>
      <c r="N839" t="s">
        <v>26</v>
      </c>
      <c r="O839" t="s">
        <v>58</v>
      </c>
      <c r="P839">
        <f>IFERROR(VLOOKUP(TRIM(M839),Room!D:H,5,FALSE),5000)</f>
        <v>12500</v>
      </c>
      <c r="Q839">
        <f t="shared" si="67"/>
        <v>175000</v>
      </c>
      <c r="R839" s="11" t="str">
        <f t="shared" si="68"/>
        <v>Business</v>
      </c>
      <c r="S839" s="11">
        <f t="shared" si="69"/>
        <v>5</v>
      </c>
    </row>
    <row r="840" spans="1:19">
      <c r="A840" t="s">
        <v>4480</v>
      </c>
      <c r="B840" t="s">
        <v>4481</v>
      </c>
      <c r="C840" t="s">
        <v>21</v>
      </c>
      <c r="D840" t="s">
        <v>4482</v>
      </c>
      <c r="E840" t="s">
        <v>4483</v>
      </c>
      <c r="F840" t="s">
        <v>4484</v>
      </c>
      <c r="G840" s="4">
        <v>45793</v>
      </c>
      <c r="H840" s="4">
        <v>45796</v>
      </c>
      <c r="I840" s="4">
        <v>45803</v>
      </c>
      <c r="J840">
        <f t="shared" si="65"/>
        <v>7</v>
      </c>
      <c r="K840" t="str">
        <f t="array" ref="K840">_xlfn.IFS(J840=1,"Day Use",J840&lt;=3,"Short Stay",J840&lt;=7,"Extended Stay",J840&gt;=8,"Long Stay")</f>
        <v>Extended Stay</v>
      </c>
      <c r="L840" t="s">
        <v>49</v>
      </c>
      <c r="M840" s="10" t="str">
        <f t="shared" si="66"/>
        <v>Premium</v>
      </c>
      <c r="N840" t="s">
        <v>26</v>
      </c>
      <c r="O840" t="s">
        <v>27</v>
      </c>
      <c r="P840">
        <f>IFERROR(VLOOKUP(TRIM(M840),Room!D:H,5,FALSE),5000)</f>
        <v>9500</v>
      </c>
      <c r="Q840">
        <f t="shared" si="67"/>
        <v>66500</v>
      </c>
      <c r="R840" s="11" t="str">
        <f t="shared" si="68"/>
        <v>Conference</v>
      </c>
      <c r="S840" s="11">
        <f t="shared" si="69"/>
        <v>4</v>
      </c>
    </row>
    <row r="841" spans="1:19">
      <c r="A841" t="s">
        <v>4485</v>
      </c>
      <c r="B841" t="s">
        <v>4486</v>
      </c>
      <c r="C841" t="s">
        <v>3061</v>
      </c>
      <c r="D841" t="s">
        <v>4487</v>
      </c>
      <c r="E841" t="s">
        <v>4488</v>
      </c>
      <c r="F841" t="s">
        <v>4489</v>
      </c>
      <c r="G841" s="4">
        <v>45750</v>
      </c>
      <c r="H841" s="4">
        <v>45753</v>
      </c>
      <c r="I841" s="4">
        <v>45759</v>
      </c>
      <c r="J841">
        <f t="shared" si="65"/>
        <v>6</v>
      </c>
      <c r="K841" t="str">
        <f t="array" ref="K841">_xlfn.IFS(J841=1,"Day Use",J841&lt;=3,"Short Stay",J841&lt;=7,"Extended Stay",J841&gt;=8,"Long Stay")</f>
        <v>Extended Stay</v>
      </c>
      <c r="L841" t="s">
        <v>196</v>
      </c>
      <c r="M841" s="10" t="str">
        <f t="shared" si="66"/>
        <v>Deluxe</v>
      </c>
      <c r="N841" t="s">
        <v>26</v>
      </c>
      <c r="O841" t="s">
        <v>71</v>
      </c>
      <c r="P841">
        <f>IFERROR(VLOOKUP(TRIM(M841),Room!D:H,5,FALSE),5000)</f>
        <v>5400</v>
      </c>
      <c r="Q841">
        <f t="shared" si="67"/>
        <v>32400</v>
      </c>
      <c r="R841" s="11" t="str">
        <f t="shared" si="68"/>
        <v>Conference</v>
      </c>
      <c r="S841" s="11">
        <f t="shared" si="69"/>
        <v>3</v>
      </c>
    </row>
    <row r="842" spans="1:19">
      <c r="A842" t="s">
        <v>4490</v>
      </c>
      <c r="B842" t="s">
        <v>4491</v>
      </c>
      <c r="C842" t="s">
        <v>288</v>
      </c>
      <c r="D842" t="s">
        <v>4492</v>
      </c>
      <c r="E842" t="s">
        <v>4493</v>
      </c>
      <c r="F842" t="s">
        <v>4494</v>
      </c>
      <c r="G842" s="4">
        <v>45586</v>
      </c>
      <c r="H842" s="4">
        <v>45728</v>
      </c>
      <c r="I842" s="4">
        <v>45734</v>
      </c>
      <c r="J842">
        <f t="shared" si="65"/>
        <v>6</v>
      </c>
      <c r="K842" t="str">
        <f t="array" ref="K842">_xlfn.IFS(J842=1,"Day Use",J842&lt;=3,"Short Stay",J842&lt;=7,"Extended Stay",J842&gt;=8,"Long Stay")</f>
        <v>Extended Stay</v>
      </c>
      <c r="L842" t="s">
        <v>49</v>
      </c>
      <c r="M842" s="10" t="str">
        <f t="shared" si="66"/>
        <v>Deluxe</v>
      </c>
      <c r="N842" t="s">
        <v>26</v>
      </c>
      <c r="O842" t="s">
        <v>27</v>
      </c>
      <c r="P842">
        <f>IFERROR(VLOOKUP(TRIM(M842),Room!D:H,5,FALSE),5000)</f>
        <v>5400</v>
      </c>
      <c r="Q842">
        <f t="shared" si="67"/>
        <v>32400</v>
      </c>
      <c r="R842" s="11" t="str">
        <f t="shared" si="68"/>
        <v>Conference</v>
      </c>
      <c r="S842" s="11">
        <f t="shared" si="69"/>
        <v>3</v>
      </c>
    </row>
    <row r="843" spans="1:19">
      <c r="A843" t="s">
        <v>4495</v>
      </c>
      <c r="B843" t="s">
        <v>4496</v>
      </c>
      <c r="C843" t="s">
        <v>823</v>
      </c>
      <c r="D843" t="s">
        <v>4497</v>
      </c>
      <c r="E843" t="s">
        <v>4498</v>
      </c>
      <c r="F843" t="s">
        <v>4499</v>
      </c>
      <c r="G843" s="4">
        <v>45316</v>
      </c>
      <c r="H843" s="4">
        <v>45320</v>
      </c>
      <c r="I843" s="4">
        <v>45331</v>
      </c>
      <c r="J843">
        <f t="shared" si="65"/>
        <v>11</v>
      </c>
      <c r="K843" t="str">
        <f t="array" ref="K843">_xlfn.IFS(J843=1,"Day Use",J843&lt;=3,"Short Stay",J843&lt;=7,"Extended Stay",J843&gt;=8,"Long Stay")</f>
        <v>Long Stay</v>
      </c>
      <c r="L843" t="s">
        <v>141</v>
      </c>
      <c r="M843" s="10" t="str">
        <f t="shared" si="66"/>
        <v>Suite</v>
      </c>
      <c r="N843" t="s">
        <v>26</v>
      </c>
      <c r="O843" t="s">
        <v>71</v>
      </c>
      <c r="P843">
        <f>IFERROR(VLOOKUP(TRIM(M843),Room!D:H,5,FALSE),5000)</f>
        <v>12500</v>
      </c>
      <c r="Q843">
        <f t="shared" si="67"/>
        <v>137500</v>
      </c>
      <c r="R843" s="11" t="str">
        <f t="shared" si="68"/>
        <v>Business</v>
      </c>
      <c r="S843" s="11">
        <f t="shared" si="69"/>
        <v>5</v>
      </c>
    </row>
    <row r="844" spans="1:19">
      <c r="A844" t="s">
        <v>4500</v>
      </c>
      <c r="B844" t="s">
        <v>4501</v>
      </c>
      <c r="C844" t="s">
        <v>392</v>
      </c>
      <c r="D844" t="s">
        <v>4502</v>
      </c>
      <c r="E844" t="s">
        <v>4503</v>
      </c>
      <c r="F844" t="s">
        <v>4504</v>
      </c>
      <c r="G844" s="4">
        <v>45540</v>
      </c>
      <c r="H844" s="4">
        <v>45542</v>
      </c>
      <c r="I844" s="4">
        <v>45546</v>
      </c>
      <c r="J844">
        <f t="shared" si="65"/>
        <v>4</v>
      </c>
      <c r="K844" t="str">
        <f t="array" ref="K844">_xlfn.IFS(J844=1,"Day Use",J844&lt;=3,"Short Stay",J844&lt;=7,"Extended Stay",J844&gt;=8,"Long Stay")</f>
        <v>Extended Stay</v>
      </c>
      <c r="L844" t="s">
        <v>34</v>
      </c>
      <c r="M844" s="10" t="str">
        <f t="shared" si="66"/>
        <v>Deluxe</v>
      </c>
      <c r="N844" t="s">
        <v>26</v>
      </c>
      <c r="O844" t="s">
        <v>58</v>
      </c>
      <c r="P844">
        <f>IFERROR(VLOOKUP(TRIM(M844),Room!D:H,5,FALSE),5000)</f>
        <v>5400</v>
      </c>
      <c r="Q844">
        <f t="shared" si="67"/>
        <v>21600</v>
      </c>
      <c r="R844" s="11" t="str">
        <f t="shared" si="68"/>
        <v>Conference</v>
      </c>
      <c r="S844" s="11">
        <f t="shared" si="69"/>
        <v>3</v>
      </c>
    </row>
    <row r="845" spans="1:19">
      <c r="A845" t="s">
        <v>4505</v>
      </c>
      <c r="B845" t="s">
        <v>4506</v>
      </c>
      <c r="C845" t="s">
        <v>1140</v>
      </c>
      <c r="D845" t="s">
        <v>4507</v>
      </c>
      <c r="E845" t="s">
        <v>4508</v>
      </c>
      <c r="F845" t="s">
        <v>4509</v>
      </c>
      <c r="G845" s="4">
        <v>45352</v>
      </c>
      <c r="H845" s="4">
        <v>45972</v>
      </c>
      <c r="I845" s="4">
        <v>45973</v>
      </c>
      <c r="J845">
        <f t="shared" si="65"/>
        <v>1</v>
      </c>
      <c r="K845" t="str">
        <f t="array" ref="K845">_xlfn.IFS(J845=1,"Day Use",J845&lt;=3,"Short Stay",J845&lt;=7,"Extended Stay",J845&gt;=8,"Long Stay")</f>
        <v>Day Use</v>
      </c>
      <c r="L845" t="s">
        <v>196</v>
      </c>
      <c r="M845" s="10" t="str">
        <f t="shared" si="66"/>
        <v>Standard</v>
      </c>
      <c r="N845" t="s">
        <v>26</v>
      </c>
      <c r="O845" t="s">
        <v>58</v>
      </c>
      <c r="P845">
        <f>IFERROR(VLOOKUP(TRIM(M845),Room!D:H,5,FALSE),5000)</f>
        <v>3200</v>
      </c>
      <c r="Q845">
        <f t="shared" si="67"/>
        <v>3200</v>
      </c>
      <c r="R845" s="11" t="str">
        <f t="shared" si="68"/>
        <v>Other</v>
      </c>
      <c r="S845" s="11">
        <f t="shared" si="69"/>
        <v>1</v>
      </c>
    </row>
    <row r="846" spans="1:19">
      <c r="A846" t="s">
        <v>4510</v>
      </c>
      <c r="B846" t="s">
        <v>4511</v>
      </c>
      <c r="C846" t="s">
        <v>4512</v>
      </c>
      <c r="D846" t="s">
        <v>4513</v>
      </c>
      <c r="E846" t="s">
        <v>4514</v>
      </c>
      <c r="F846" t="s">
        <v>4515</v>
      </c>
      <c r="G846" s="4">
        <v>45380</v>
      </c>
      <c r="H846" s="4">
        <v>45383</v>
      </c>
      <c r="I846" s="4">
        <v>45385</v>
      </c>
      <c r="J846">
        <f t="shared" si="65"/>
        <v>2</v>
      </c>
      <c r="K846" t="str">
        <f t="array" ref="K846">_xlfn.IFS(J846=1,"Day Use",J846&lt;=3,"Short Stay",J846&lt;=7,"Extended Stay",J846&gt;=8,"Long Stay")</f>
        <v>Short Stay</v>
      </c>
      <c r="L846" t="s">
        <v>34</v>
      </c>
      <c r="M846" s="10" t="str">
        <f t="shared" si="66"/>
        <v>Standard</v>
      </c>
      <c r="N846" t="s">
        <v>26</v>
      </c>
      <c r="O846" t="s">
        <v>58</v>
      </c>
      <c r="P846">
        <f>IFERROR(VLOOKUP(TRIM(M846),Room!D:H,5,FALSE),5000)</f>
        <v>3200</v>
      </c>
      <c r="Q846">
        <f t="shared" si="67"/>
        <v>6400</v>
      </c>
      <c r="R846" s="11" t="str">
        <f t="shared" si="68"/>
        <v>Other</v>
      </c>
      <c r="S846" s="11">
        <f t="shared" si="69"/>
        <v>2</v>
      </c>
    </row>
    <row r="847" spans="1:19">
      <c r="A847" t="s">
        <v>4516</v>
      </c>
      <c r="B847" t="s">
        <v>4517</v>
      </c>
      <c r="C847" t="s">
        <v>558</v>
      </c>
      <c r="D847" t="s">
        <v>4518</v>
      </c>
      <c r="E847" t="s">
        <v>4519</v>
      </c>
      <c r="F847" t="s">
        <v>4520</v>
      </c>
      <c r="G847" s="4">
        <v>45239</v>
      </c>
      <c r="H847" s="4">
        <v>45882</v>
      </c>
      <c r="I847" s="4">
        <v>45895</v>
      </c>
      <c r="J847">
        <f t="shared" si="65"/>
        <v>13</v>
      </c>
      <c r="K847" t="str">
        <f t="array" ref="K847">_xlfn.IFS(J847=1,"Day Use",J847&lt;=3,"Short Stay",J847&lt;=7,"Extended Stay",J847&gt;=8,"Long Stay")</f>
        <v>Long Stay</v>
      </c>
      <c r="L847" t="s">
        <v>141</v>
      </c>
      <c r="M847" s="10" t="str">
        <f t="shared" si="66"/>
        <v>Suite</v>
      </c>
      <c r="N847" t="s">
        <v>26</v>
      </c>
      <c r="O847" t="s">
        <v>27</v>
      </c>
      <c r="P847">
        <f>IFERROR(VLOOKUP(TRIM(M847),Room!D:H,5,FALSE),5000)</f>
        <v>12500</v>
      </c>
      <c r="Q847">
        <f t="shared" si="67"/>
        <v>162500</v>
      </c>
      <c r="R847" s="11" t="str">
        <f t="shared" si="68"/>
        <v>Business</v>
      </c>
      <c r="S847" s="11">
        <f t="shared" si="69"/>
        <v>5</v>
      </c>
    </row>
    <row r="848" spans="1:19">
      <c r="A848" t="s">
        <v>4521</v>
      </c>
      <c r="B848" t="s">
        <v>4522</v>
      </c>
      <c r="C848" t="s">
        <v>2101</v>
      </c>
      <c r="D848" t="s">
        <v>4523</v>
      </c>
      <c r="E848" t="s">
        <v>4524</v>
      </c>
      <c r="F848" t="s">
        <v>4525</v>
      </c>
      <c r="G848" s="4">
        <v>45818</v>
      </c>
      <c r="H848" s="4">
        <v>45862</v>
      </c>
      <c r="I848" s="4">
        <v>45876</v>
      </c>
      <c r="J848">
        <f t="shared" si="65"/>
        <v>14</v>
      </c>
      <c r="K848" t="str">
        <f t="array" ref="K848">_xlfn.IFS(J848=1,"Day Use",J848&lt;=3,"Short Stay",J848&lt;=7,"Extended Stay",J848&gt;=8,"Long Stay")</f>
        <v>Long Stay</v>
      </c>
      <c r="L848" t="s">
        <v>141</v>
      </c>
      <c r="M848" s="10" t="str">
        <f t="shared" si="66"/>
        <v>Suite</v>
      </c>
      <c r="N848" t="s">
        <v>26</v>
      </c>
      <c r="O848" t="s">
        <v>27</v>
      </c>
      <c r="P848">
        <f>IFERROR(VLOOKUP(TRIM(M848),Room!D:H,5,FALSE),5000)</f>
        <v>12500</v>
      </c>
      <c r="Q848">
        <f t="shared" si="67"/>
        <v>175000</v>
      </c>
      <c r="R848" s="11" t="str">
        <f t="shared" si="68"/>
        <v>Business</v>
      </c>
      <c r="S848" s="11">
        <f t="shared" si="69"/>
        <v>5</v>
      </c>
    </row>
    <row r="849" spans="1:19">
      <c r="A849" t="s">
        <v>4526</v>
      </c>
      <c r="B849" t="s">
        <v>4527</v>
      </c>
      <c r="C849" t="s">
        <v>2804</v>
      </c>
      <c r="D849" t="s">
        <v>4528</v>
      </c>
      <c r="E849" t="s">
        <v>4529</v>
      </c>
      <c r="F849" t="s">
        <v>4530</v>
      </c>
      <c r="G849" s="4">
        <v>45657</v>
      </c>
      <c r="H849" s="4">
        <v>45950</v>
      </c>
      <c r="I849" s="4">
        <v>45957</v>
      </c>
      <c r="J849">
        <f t="shared" si="65"/>
        <v>7</v>
      </c>
      <c r="K849" t="str">
        <f t="array" ref="K849">_xlfn.IFS(J849=1,"Day Use",J849&lt;=3,"Short Stay",J849&lt;=7,"Extended Stay",J849&gt;=8,"Long Stay")</f>
        <v>Extended Stay</v>
      </c>
      <c r="L849" t="s">
        <v>196</v>
      </c>
      <c r="M849" s="10" t="str">
        <f t="shared" si="66"/>
        <v>Premium</v>
      </c>
      <c r="N849" t="s">
        <v>26</v>
      </c>
      <c r="O849" t="s">
        <v>58</v>
      </c>
      <c r="P849">
        <f>IFERROR(VLOOKUP(TRIM(M849),Room!D:H,5,FALSE),5000)</f>
        <v>9500</v>
      </c>
      <c r="Q849">
        <f t="shared" si="67"/>
        <v>66500</v>
      </c>
      <c r="R849" s="11" t="str">
        <f t="shared" si="68"/>
        <v>Conference</v>
      </c>
      <c r="S849" s="11">
        <f t="shared" si="69"/>
        <v>4</v>
      </c>
    </row>
    <row r="850" spans="1:19">
      <c r="A850" t="s">
        <v>4531</v>
      </c>
      <c r="B850" t="s">
        <v>4532</v>
      </c>
      <c r="C850" t="s">
        <v>751</v>
      </c>
      <c r="D850" t="s">
        <v>4533</v>
      </c>
      <c r="E850" t="s">
        <v>4534</v>
      </c>
      <c r="F850" t="s">
        <v>4535</v>
      </c>
      <c r="G850" s="4">
        <v>45281</v>
      </c>
      <c r="H850" s="4">
        <v>45354</v>
      </c>
      <c r="I850" s="4">
        <v>45362</v>
      </c>
      <c r="J850">
        <f t="shared" si="65"/>
        <v>8</v>
      </c>
      <c r="K850" t="str">
        <f t="array" ref="K850">_xlfn.IFS(J850=1,"Day Use",J850&lt;=3,"Short Stay",J850&lt;=7,"Extended Stay",J850&gt;=8,"Long Stay")</f>
        <v>Long Stay</v>
      </c>
      <c r="L850" t="s">
        <v>34</v>
      </c>
      <c r="M850" s="10" t="str">
        <f t="shared" si="66"/>
        <v>Premium</v>
      </c>
      <c r="N850" t="s">
        <v>57</v>
      </c>
      <c r="O850" t="s">
        <v>42</v>
      </c>
      <c r="P850">
        <f>IFERROR(VLOOKUP(TRIM(M850),Room!D:H,5,FALSE),5000)</f>
        <v>9500</v>
      </c>
      <c r="Q850">
        <f t="shared" si="67"/>
        <v>76000</v>
      </c>
      <c r="R850" s="11" t="str">
        <f t="shared" si="68"/>
        <v>Conference</v>
      </c>
      <c r="S850" s="11">
        <f t="shared" si="69"/>
        <v>4</v>
      </c>
    </row>
    <row r="851" spans="1:19">
      <c r="A851" t="s">
        <v>4536</v>
      </c>
      <c r="B851" t="s">
        <v>4537</v>
      </c>
      <c r="C851" t="s">
        <v>2041</v>
      </c>
      <c r="D851" t="s">
        <v>4538</v>
      </c>
      <c r="E851" t="s">
        <v>4539</v>
      </c>
      <c r="F851" t="s">
        <v>4540</v>
      </c>
      <c r="G851" s="4">
        <v>45585</v>
      </c>
      <c r="H851" s="4">
        <v>45978</v>
      </c>
      <c r="I851" s="4">
        <v>45991</v>
      </c>
      <c r="J851">
        <f t="shared" si="65"/>
        <v>13</v>
      </c>
      <c r="K851" t="str">
        <f t="array" ref="K851">_xlfn.IFS(J851=1,"Day Use",J851&lt;=3,"Short Stay",J851&lt;=7,"Extended Stay",J851&gt;=8,"Long Stay")</f>
        <v>Long Stay</v>
      </c>
      <c r="L851" t="s">
        <v>49</v>
      </c>
      <c r="M851" s="10" t="str">
        <f t="shared" si="66"/>
        <v>Suite</v>
      </c>
      <c r="N851" t="s">
        <v>57</v>
      </c>
      <c r="O851" t="s">
        <v>58</v>
      </c>
      <c r="P851">
        <f>IFERROR(VLOOKUP(TRIM(M851),Room!D:H,5,FALSE),5000)</f>
        <v>12500</v>
      </c>
      <c r="Q851">
        <f t="shared" si="67"/>
        <v>162500</v>
      </c>
      <c r="R851" s="11" t="str">
        <f t="shared" si="68"/>
        <v>Business</v>
      </c>
      <c r="S851" s="11">
        <f t="shared" si="69"/>
        <v>5</v>
      </c>
    </row>
    <row r="852" spans="1:19">
      <c r="A852" t="s">
        <v>4541</v>
      </c>
      <c r="B852" t="s">
        <v>4542</v>
      </c>
      <c r="C852" t="s">
        <v>916</v>
      </c>
      <c r="D852" t="s">
        <v>4543</v>
      </c>
      <c r="E852" t="s">
        <v>4544</v>
      </c>
      <c r="F852" t="s">
        <v>4545</v>
      </c>
      <c r="G852" s="4">
        <v>45875</v>
      </c>
      <c r="H852" s="4">
        <v>45901</v>
      </c>
      <c r="I852" s="4">
        <v>45907</v>
      </c>
      <c r="J852">
        <f t="shared" si="65"/>
        <v>6</v>
      </c>
      <c r="K852" t="str">
        <f t="array" ref="K852">_xlfn.IFS(J852=1,"Day Use",J852&lt;=3,"Short Stay",J852&lt;=7,"Extended Stay",J852&gt;=8,"Long Stay")</f>
        <v>Extended Stay</v>
      </c>
      <c r="L852" t="s">
        <v>49</v>
      </c>
      <c r="M852" s="10" t="str">
        <f t="shared" si="66"/>
        <v>Deluxe</v>
      </c>
      <c r="N852" t="s">
        <v>26</v>
      </c>
      <c r="O852" t="s">
        <v>42</v>
      </c>
      <c r="P852">
        <f>IFERROR(VLOOKUP(TRIM(M852),Room!D:H,5,FALSE),5000)</f>
        <v>5400</v>
      </c>
      <c r="Q852">
        <f t="shared" si="67"/>
        <v>32400</v>
      </c>
      <c r="R852" s="11" t="str">
        <f t="shared" si="68"/>
        <v>Conference</v>
      </c>
      <c r="S852" s="11">
        <f t="shared" si="69"/>
        <v>3</v>
      </c>
    </row>
    <row r="853" spans="1:19">
      <c r="A853" t="s">
        <v>4546</v>
      </c>
      <c r="B853" t="s">
        <v>4547</v>
      </c>
      <c r="C853" t="s">
        <v>786</v>
      </c>
      <c r="D853" t="s">
        <v>4548</v>
      </c>
      <c r="E853" t="s">
        <v>4549</v>
      </c>
      <c r="F853" t="s">
        <v>4550</v>
      </c>
      <c r="G853" s="4">
        <v>45594</v>
      </c>
      <c r="H853" s="4">
        <v>45604</v>
      </c>
      <c r="I853" s="4">
        <v>45618</v>
      </c>
      <c r="J853">
        <f t="shared" si="65"/>
        <v>14</v>
      </c>
      <c r="K853" t="str">
        <f t="array" ref="K853">_xlfn.IFS(J853=1,"Day Use",J853&lt;=3,"Short Stay",J853&lt;=7,"Extended Stay",J853&gt;=8,"Long Stay")</f>
        <v>Long Stay</v>
      </c>
      <c r="L853" t="s">
        <v>91</v>
      </c>
      <c r="M853" s="10" t="str">
        <f t="shared" si="66"/>
        <v>Suite</v>
      </c>
      <c r="N853" t="s">
        <v>26</v>
      </c>
      <c r="O853" t="s">
        <v>58</v>
      </c>
      <c r="P853">
        <f>IFERROR(VLOOKUP(TRIM(M853),Room!D:H,5,FALSE),5000)</f>
        <v>12500</v>
      </c>
      <c r="Q853">
        <f t="shared" si="67"/>
        <v>175000</v>
      </c>
      <c r="R853" s="11" t="str">
        <f t="shared" si="68"/>
        <v>Business</v>
      </c>
      <c r="S853" s="11">
        <f t="shared" si="69"/>
        <v>5</v>
      </c>
    </row>
    <row r="854" spans="1:19">
      <c r="A854" t="s">
        <v>4551</v>
      </c>
      <c r="B854" t="s">
        <v>4552</v>
      </c>
      <c r="C854" t="s">
        <v>933</v>
      </c>
      <c r="D854" t="s">
        <v>4553</v>
      </c>
      <c r="E854" t="s">
        <v>4554</v>
      </c>
      <c r="F854" t="s">
        <v>4555</v>
      </c>
      <c r="G854" s="4">
        <v>45507</v>
      </c>
      <c r="H854" s="4">
        <v>45943</v>
      </c>
      <c r="I854" s="4">
        <v>45953</v>
      </c>
      <c r="J854">
        <f t="shared" si="65"/>
        <v>10</v>
      </c>
      <c r="K854" t="str">
        <f t="array" ref="K854">_xlfn.IFS(J854=1,"Day Use",J854&lt;=3,"Short Stay",J854&lt;=7,"Extended Stay",J854&gt;=8,"Long Stay")</f>
        <v>Long Stay</v>
      </c>
      <c r="L854" t="s">
        <v>84</v>
      </c>
      <c r="M854" s="10" t="str">
        <f t="shared" si="66"/>
        <v>Premium</v>
      </c>
      <c r="N854" t="s">
        <v>26</v>
      </c>
      <c r="O854" t="s">
        <v>42</v>
      </c>
      <c r="P854">
        <f>IFERROR(VLOOKUP(TRIM(M854),Room!D:H,5,FALSE),5000)</f>
        <v>9500</v>
      </c>
      <c r="Q854">
        <f t="shared" si="67"/>
        <v>95000</v>
      </c>
      <c r="R854" s="11" t="str">
        <f t="shared" si="68"/>
        <v>Conference</v>
      </c>
      <c r="S854" s="11">
        <f t="shared" si="69"/>
        <v>4</v>
      </c>
    </row>
    <row r="855" spans="1:19">
      <c r="A855" t="s">
        <v>4556</v>
      </c>
      <c r="B855" t="s">
        <v>4557</v>
      </c>
      <c r="C855" t="s">
        <v>882</v>
      </c>
      <c r="D855" t="s">
        <v>4558</v>
      </c>
      <c r="E855" t="s">
        <v>4559</v>
      </c>
      <c r="F855" t="s">
        <v>4560</v>
      </c>
      <c r="G855" s="4">
        <v>45589</v>
      </c>
      <c r="H855" s="4">
        <v>45685</v>
      </c>
      <c r="I855" s="4">
        <v>45688</v>
      </c>
      <c r="J855">
        <f t="shared" si="65"/>
        <v>3</v>
      </c>
      <c r="K855" t="str">
        <f t="array" ref="K855">_xlfn.IFS(J855=1,"Day Use",J855&lt;=3,"Short Stay",J855&lt;=7,"Extended Stay",J855&gt;=8,"Long Stay")</f>
        <v>Short Stay</v>
      </c>
      <c r="L855" t="s">
        <v>84</v>
      </c>
      <c r="M855" s="10" t="str">
        <f t="shared" si="66"/>
        <v>Standard</v>
      </c>
      <c r="N855" t="s">
        <v>26</v>
      </c>
      <c r="O855" t="s">
        <v>58</v>
      </c>
      <c r="P855">
        <f>IFERROR(VLOOKUP(TRIM(M855),Room!D:H,5,FALSE),5000)</f>
        <v>3200</v>
      </c>
      <c r="Q855">
        <f t="shared" si="67"/>
        <v>9600</v>
      </c>
      <c r="R855" s="11" t="str">
        <f t="shared" si="68"/>
        <v>Other</v>
      </c>
      <c r="S855" s="11">
        <f t="shared" si="69"/>
        <v>2</v>
      </c>
    </row>
    <row r="856" spans="1:19">
      <c r="A856" t="s">
        <v>4561</v>
      </c>
      <c r="B856" t="s">
        <v>4562</v>
      </c>
      <c r="C856" t="s">
        <v>87</v>
      </c>
      <c r="D856" t="s">
        <v>4563</v>
      </c>
      <c r="E856" t="s">
        <v>4564</v>
      </c>
      <c r="F856" t="s">
        <v>4565</v>
      </c>
      <c r="G856" s="4">
        <v>45473</v>
      </c>
      <c r="H856" s="4">
        <v>45492</v>
      </c>
      <c r="I856" s="4">
        <v>45498</v>
      </c>
      <c r="J856">
        <f t="shared" si="65"/>
        <v>6</v>
      </c>
      <c r="K856" t="str">
        <f t="array" ref="K856">_xlfn.IFS(J856=1,"Day Use",J856&lt;=3,"Short Stay",J856&lt;=7,"Extended Stay",J856&gt;=8,"Long Stay")</f>
        <v>Extended Stay</v>
      </c>
      <c r="L856" t="s">
        <v>25</v>
      </c>
      <c r="M856" s="10" t="str">
        <f t="shared" si="66"/>
        <v>Deluxe</v>
      </c>
      <c r="N856" t="s">
        <v>26</v>
      </c>
      <c r="O856" t="s">
        <v>42</v>
      </c>
      <c r="P856">
        <f>IFERROR(VLOOKUP(TRIM(M856),Room!D:H,5,FALSE),5000)</f>
        <v>5400</v>
      </c>
      <c r="Q856">
        <f t="shared" si="67"/>
        <v>32400</v>
      </c>
      <c r="R856" s="11" t="str">
        <f t="shared" si="68"/>
        <v>Conference</v>
      </c>
      <c r="S856" s="11">
        <f t="shared" si="69"/>
        <v>3</v>
      </c>
    </row>
    <row r="857" spans="1:19">
      <c r="A857" t="s">
        <v>4566</v>
      </c>
      <c r="B857" t="s">
        <v>4567</v>
      </c>
      <c r="C857" t="s">
        <v>45</v>
      </c>
      <c r="D857" t="s">
        <v>4568</v>
      </c>
      <c r="E857" t="s">
        <v>4569</v>
      </c>
      <c r="F857" t="s">
        <v>4570</v>
      </c>
      <c r="G857" s="4">
        <v>45297</v>
      </c>
      <c r="H857" s="4">
        <v>45411</v>
      </c>
      <c r="I857" s="4">
        <v>45413</v>
      </c>
      <c r="J857">
        <f t="shared" si="65"/>
        <v>2</v>
      </c>
      <c r="K857" t="str">
        <f t="array" ref="K857">_xlfn.IFS(J857=1,"Day Use",J857&lt;=3,"Short Stay",J857&lt;=7,"Extended Stay",J857&gt;=8,"Long Stay")</f>
        <v>Short Stay</v>
      </c>
      <c r="L857" t="s">
        <v>91</v>
      </c>
      <c r="M857" s="10" t="str">
        <f t="shared" si="66"/>
        <v>Standard</v>
      </c>
      <c r="N857" t="s">
        <v>26</v>
      </c>
      <c r="O857" t="s">
        <v>58</v>
      </c>
      <c r="P857">
        <f>IFERROR(VLOOKUP(TRIM(M857),Room!D:H,5,FALSE),5000)</f>
        <v>3200</v>
      </c>
      <c r="Q857">
        <f t="shared" si="67"/>
        <v>6400</v>
      </c>
      <c r="R857" s="11" t="str">
        <f t="shared" si="68"/>
        <v>Other</v>
      </c>
      <c r="S857" s="11">
        <f t="shared" si="69"/>
        <v>2</v>
      </c>
    </row>
    <row r="858" spans="1:19">
      <c r="A858" t="s">
        <v>4571</v>
      </c>
      <c r="B858" t="s">
        <v>4572</v>
      </c>
      <c r="C858" t="s">
        <v>3257</v>
      </c>
      <c r="D858" t="s">
        <v>4573</v>
      </c>
      <c r="E858" t="s">
        <v>4574</v>
      </c>
      <c r="F858" t="s">
        <v>4575</v>
      </c>
      <c r="G858" s="4">
        <v>45500</v>
      </c>
      <c r="H858" s="4">
        <v>45517</v>
      </c>
      <c r="I858" s="4">
        <v>45525</v>
      </c>
      <c r="J858">
        <f t="shared" si="65"/>
        <v>8</v>
      </c>
      <c r="K858" t="str">
        <f t="array" ref="K858">_xlfn.IFS(J858=1,"Day Use",J858&lt;=3,"Short Stay",J858&lt;=7,"Extended Stay",J858&gt;=8,"Long Stay")</f>
        <v>Long Stay</v>
      </c>
      <c r="L858" t="s">
        <v>91</v>
      </c>
      <c r="M858" s="10" t="str">
        <f t="shared" si="66"/>
        <v>Premium</v>
      </c>
      <c r="N858" t="s">
        <v>26</v>
      </c>
      <c r="O858" t="s">
        <v>27</v>
      </c>
      <c r="P858">
        <f>IFERROR(VLOOKUP(TRIM(M858),Room!D:H,5,FALSE),5000)</f>
        <v>9500</v>
      </c>
      <c r="Q858">
        <f t="shared" si="67"/>
        <v>76000</v>
      </c>
      <c r="R858" s="11" t="str">
        <f t="shared" si="68"/>
        <v>Conference</v>
      </c>
      <c r="S858" s="11">
        <f t="shared" si="69"/>
        <v>4</v>
      </c>
    </row>
    <row r="859" spans="1:19">
      <c r="A859" t="s">
        <v>4576</v>
      </c>
      <c r="B859" t="s">
        <v>4577</v>
      </c>
      <c r="C859" t="s">
        <v>786</v>
      </c>
      <c r="D859" t="s">
        <v>4578</v>
      </c>
      <c r="E859" t="s">
        <v>4579</v>
      </c>
      <c r="F859" t="s">
        <v>4580</v>
      </c>
      <c r="G859" s="4">
        <v>45485</v>
      </c>
      <c r="H859" s="4">
        <v>45843</v>
      </c>
      <c r="I859" s="4">
        <v>45856</v>
      </c>
      <c r="J859">
        <f t="shared" si="65"/>
        <v>13</v>
      </c>
      <c r="K859" t="str">
        <f t="array" ref="K859">_xlfn.IFS(J859=1,"Day Use",J859&lt;=3,"Short Stay",J859&lt;=7,"Extended Stay",J859&gt;=8,"Long Stay")</f>
        <v>Long Stay</v>
      </c>
      <c r="L859" t="s">
        <v>25</v>
      </c>
      <c r="M859" s="10" t="str">
        <f t="shared" si="66"/>
        <v>Suite</v>
      </c>
      <c r="N859" t="s">
        <v>26</v>
      </c>
      <c r="O859" t="s">
        <v>42</v>
      </c>
      <c r="P859">
        <f>IFERROR(VLOOKUP(TRIM(M859),Room!D:H,5,FALSE),5000)</f>
        <v>12500</v>
      </c>
      <c r="Q859">
        <f t="shared" si="67"/>
        <v>162500</v>
      </c>
      <c r="R859" s="11" t="str">
        <f t="shared" si="68"/>
        <v>Business</v>
      </c>
      <c r="S859" s="11">
        <f t="shared" si="69"/>
        <v>5</v>
      </c>
    </row>
    <row r="860" spans="1:19">
      <c r="A860" t="s">
        <v>4581</v>
      </c>
      <c r="B860" t="s">
        <v>4582</v>
      </c>
      <c r="C860" t="s">
        <v>2863</v>
      </c>
      <c r="D860" t="s">
        <v>4583</v>
      </c>
      <c r="E860" t="s">
        <v>4584</v>
      </c>
      <c r="F860" t="s">
        <v>4585</v>
      </c>
      <c r="G860" s="4">
        <v>45407</v>
      </c>
      <c r="H860" s="4">
        <v>45436</v>
      </c>
      <c r="I860" s="4">
        <v>45445</v>
      </c>
      <c r="J860">
        <f t="shared" si="65"/>
        <v>9</v>
      </c>
      <c r="K860" t="str">
        <f t="array" ref="K860">_xlfn.IFS(J860=1,"Day Use",J860&lt;=3,"Short Stay",J860&lt;=7,"Extended Stay",J860&gt;=8,"Long Stay")</f>
        <v>Long Stay</v>
      </c>
      <c r="L860" t="s">
        <v>84</v>
      </c>
      <c r="M860" s="10" t="str">
        <f t="shared" si="66"/>
        <v>Premium</v>
      </c>
      <c r="N860" t="s">
        <v>26</v>
      </c>
      <c r="O860" t="s">
        <v>71</v>
      </c>
      <c r="P860">
        <f>IFERROR(VLOOKUP(TRIM(M860),Room!D:H,5,FALSE),5000)</f>
        <v>9500</v>
      </c>
      <c r="Q860">
        <f t="shared" si="67"/>
        <v>85500</v>
      </c>
      <c r="R860" s="11" t="str">
        <f t="shared" si="68"/>
        <v>Conference</v>
      </c>
      <c r="S860" s="11">
        <f t="shared" si="69"/>
        <v>4</v>
      </c>
    </row>
    <row r="861" spans="1:19">
      <c r="A861" t="s">
        <v>4586</v>
      </c>
      <c r="B861" t="s">
        <v>4587</v>
      </c>
      <c r="C861" t="s">
        <v>1052</v>
      </c>
      <c r="D861" t="s">
        <v>4588</v>
      </c>
      <c r="E861" t="s">
        <v>4589</v>
      </c>
      <c r="F861" t="s">
        <v>4590</v>
      </c>
      <c r="G861" s="4">
        <v>45650</v>
      </c>
      <c r="H861" s="4">
        <v>45654</v>
      </c>
      <c r="I861" s="4">
        <v>45655</v>
      </c>
      <c r="J861">
        <f t="shared" si="65"/>
        <v>1</v>
      </c>
      <c r="K861" t="str">
        <f t="array" ref="K861">_xlfn.IFS(J861=1,"Day Use",J861&lt;=3,"Short Stay",J861&lt;=7,"Extended Stay",J861&gt;=8,"Long Stay")</f>
        <v>Day Use</v>
      </c>
      <c r="L861" t="s">
        <v>84</v>
      </c>
      <c r="M861" s="10" t="str">
        <f t="shared" si="66"/>
        <v>Standard</v>
      </c>
      <c r="N861" t="s">
        <v>26</v>
      </c>
      <c r="O861" t="s">
        <v>58</v>
      </c>
      <c r="P861">
        <f>IFERROR(VLOOKUP(TRIM(M861),Room!D:H,5,FALSE),5000)</f>
        <v>3200</v>
      </c>
      <c r="Q861">
        <f t="shared" si="67"/>
        <v>3200</v>
      </c>
      <c r="R861" s="11" t="str">
        <f t="shared" si="68"/>
        <v>Other</v>
      </c>
      <c r="S861" s="11">
        <f t="shared" si="69"/>
        <v>1</v>
      </c>
    </row>
    <row r="862" spans="1:19">
      <c r="A862" t="s">
        <v>4591</v>
      </c>
      <c r="B862" t="s">
        <v>4592</v>
      </c>
      <c r="C862" t="s">
        <v>180</v>
      </c>
      <c r="D862" t="s">
        <v>4593</v>
      </c>
      <c r="E862" t="s">
        <v>4594</v>
      </c>
      <c r="F862" t="s">
        <v>4595</v>
      </c>
      <c r="G862" s="4">
        <v>45528</v>
      </c>
      <c r="H862" s="4">
        <v>45534</v>
      </c>
      <c r="I862" s="4">
        <v>45536</v>
      </c>
      <c r="J862">
        <f t="shared" si="65"/>
        <v>2</v>
      </c>
      <c r="K862" t="str">
        <f t="array" ref="K862">_xlfn.IFS(J862=1,"Day Use",J862&lt;=3,"Short Stay",J862&lt;=7,"Extended Stay",J862&gt;=8,"Long Stay")</f>
        <v>Short Stay</v>
      </c>
      <c r="L862" t="s">
        <v>141</v>
      </c>
      <c r="M862" s="10" t="str">
        <f t="shared" si="66"/>
        <v>Standard</v>
      </c>
      <c r="N862" t="s">
        <v>26</v>
      </c>
      <c r="O862" t="s">
        <v>71</v>
      </c>
      <c r="P862">
        <f>IFERROR(VLOOKUP(TRIM(M862),Room!D:H,5,FALSE),5000)</f>
        <v>3200</v>
      </c>
      <c r="Q862">
        <f t="shared" si="67"/>
        <v>6400</v>
      </c>
      <c r="R862" s="11" t="str">
        <f t="shared" si="68"/>
        <v>Other</v>
      </c>
      <c r="S862" s="11">
        <f t="shared" si="69"/>
        <v>2</v>
      </c>
    </row>
    <row r="863" spans="1:19">
      <c r="A863" t="s">
        <v>4596</v>
      </c>
      <c r="B863" t="s">
        <v>4597</v>
      </c>
      <c r="C863" t="s">
        <v>639</v>
      </c>
      <c r="D863" t="s">
        <v>4598</v>
      </c>
      <c r="E863" t="s">
        <v>4599</v>
      </c>
      <c r="F863" t="s">
        <v>4600</v>
      </c>
      <c r="G863" s="4">
        <v>45519</v>
      </c>
      <c r="H863" s="4">
        <v>45543</v>
      </c>
      <c r="I863" s="4">
        <v>45550</v>
      </c>
      <c r="J863">
        <f t="shared" si="65"/>
        <v>7</v>
      </c>
      <c r="K863" t="str">
        <f t="array" ref="K863">_xlfn.IFS(J863=1,"Day Use",J863&lt;=3,"Short Stay",J863&lt;=7,"Extended Stay",J863&gt;=8,"Long Stay")</f>
        <v>Extended Stay</v>
      </c>
      <c r="L863" t="s">
        <v>196</v>
      </c>
      <c r="M863" s="10" t="str">
        <f t="shared" si="66"/>
        <v>Premium</v>
      </c>
      <c r="N863" t="s">
        <v>26</v>
      </c>
      <c r="O863" t="s">
        <v>35</v>
      </c>
      <c r="P863">
        <f>IFERROR(VLOOKUP(TRIM(M863),Room!D:H,5,FALSE),5000)</f>
        <v>9500</v>
      </c>
      <c r="Q863">
        <f t="shared" si="67"/>
        <v>66500</v>
      </c>
      <c r="R863" s="11" t="str">
        <f t="shared" si="68"/>
        <v>Conference</v>
      </c>
      <c r="S863" s="11">
        <f t="shared" si="69"/>
        <v>4</v>
      </c>
    </row>
    <row r="864" spans="1:19">
      <c r="A864" t="s">
        <v>4601</v>
      </c>
      <c r="B864" t="s">
        <v>4602</v>
      </c>
      <c r="C864" t="s">
        <v>1014</v>
      </c>
      <c r="D864" t="s">
        <v>4603</v>
      </c>
      <c r="E864" t="s">
        <v>4604</v>
      </c>
      <c r="F864" t="s">
        <v>4605</v>
      </c>
      <c r="G864" s="4">
        <v>45513</v>
      </c>
      <c r="H864" s="4">
        <v>45538</v>
      </c>
      <c r="I864" s="4">
        <v>45548</v>
      </c>
      <c r="J864">
        <f t="shared" si="65"/>
        <v>10</v>
      </c>
      <c r="K864" t="str">
        <f t="array" ref="K864">_xlfn.IFS(J864=1,"Day Use",J864&lt;=3,"Short Stay",J864&lt;=7,"Extended Stay",J864&gt;=8,"Long Stay")</f>
        <v>Long Stay</v>
      </c>
      <c r="L864" t="s">
        <v>91</v>
      </c>
      <c r="M864" s="10" t="str">
        <f t="shared" si="66"/>
        <v>Premium</v>
      </c>
      <c r="N864" t="s">
        <v>26</v>
      </c>
      <c r="O864" t="s">
        <v>27</v>
      </c>
      <c r="P864">
        <f>IFERROR(VLOOKUP(TRIM(M864),Room!D:H,5,FALSE),5000)</f>
        <v>9500</v>
      </c>
      <c r="Q864">
        <f t="shared" si="67"/>
        <v>95000</v>
      </c>
      <c r="R864" s="11" t="str">
        <f t="shared" si="68"/>
        <v>Conference</v>
      </c>
      <c r="S864" s="11">
        <f t="shared" si="69"/>
        <v>4</v>
      </c>
    </row>
    <row r="865" spans="1:19">
      <c r="A865" t="s">
        <v>4606</v>
      </c>
      <c r="B865" t="s">
        <v>4607</v>
      </c>
      <c r="C865" t="s">
        <v>604</v>
      </c>
      <c r="D865" t="s">
        <v>4608</v>
      </c>
      <c r="E865" t="s">
        <v>4609</v>
      </c>
      <c r="F865" t="s">
        <v>4610</v>
      </c>
      <c r="G865" s="4">
        <v>45661</v>
      </c>
      <c r="H865" s="4">
        <v>45792</v>
      </c>
      <c r="I865" s="4">
        <v>45800</v>
      </c>
      <c r="J865">
        <f t="shared" si="65"/>
        <v>8</v>
      </c>
      <c r="K865" t="str">
        <f t="array" ref="K865">_xlfn.IFS(J865=1,"Day Use",J865&lt;=3,"Short Stay",J865&lt;=7,"Extended Stay",J865&gt;=8,"Long Stay")</f>
        <v>Long Stay</v>
      </c>
      <c r="L865" t="s">
        <v>49</v>
      </c>
      <c r="M865" s="10" t="str">
        <f t="shared" si="66"/>
        <v>Premium</v>
      </c>
      <c r="N865" t="s">
        <v>26</v>
      </c>
      <c r="O865" t="s">
        <v>42</v>
      </c>
      <c r="P865">
        <f>IFERROR(VLOOKUP(TRIM(M865),Room!D:H,5,FALSE),5000)</f>
        <v>9500</v>
      </c>
      <c r="Q865">
        <f t="shared" si="67"/>
        <v>76000</v>
      </c>
      <c r="R865" s="11" t="str">
        <f t="shared" si="68"/>
        <v>Conference</v>
      </c>
      <c r="S865" s="11">
        <f t="shared" si="69"/>
        <v>4</v>
      </c>
    </row>
    <row r="866" spans="1:19">
      <c r="A866" t="s">
        <v>4611</v>
      </c>
      <c r="B866" t="s">
        <v>4612</v>
      </c>
      <c r="C866" t="s">
        <v>762</v>
      </c>
      <c r="D866" t="s">
        <v>4613</v>
      </c>
      <c r="E866" t="s">
        <v>4614</v>
      </c>
      <c r="F866" t="s">
        <v>4615</v>
      </c>
      <c r="G866" s="4">
        <v>45427</v>
      </c>
      <c r="H866" s="4">
        <v>45540</v>
      </c>
      <c r="I866" s="4">
        <v>45552</v>
      </c>
      <c r="J866">
        <f t="shared" si="65"/>
        <v>12</v>
      </c>
      <c r="K866" t="str">
        <f t="array" ref="K866">_xlfn.IFS(J866=1,"Day Use",J866&lt;=3,"Short Stay",J866&lt;=7,"Extended Stay",J866&gt;=8,"Long Stay")</f>
        <v>Long Stay</v>
      </c>
      <c r="L866" t="s">
        <v>84</v>
      </c>
      <c r="M866" s="10" t="str">
        <f t="shared" si="66"/>
        <v>Suite</v>
      </c>
      <c r="N866" t="s">
        <v>26</v>
      </c>
      <c r="O866" t="s">
        <v>27</v>
      </c>
      <c r="P866">
        <f>IFERROR(VLOOKUP(TRIM(M866),Room!D:H,5,FALSE),5000)</f>
        <v>12500</v>
      </c>
      <c r="Q866">
        <f t="shared" si="67"/>
        <v>150000</v>
      </c>
      <c r="R866" s="11" t="str">
        <f t="shared" si="68"/>
        <v>Business</v>
      </c>
      <c r="S866" s="11">
        <f t="shared" si="69"/>
        <v>5</v>
      </c>
    </row>
    <row r="867" spans="1:19">
      <c r="A867" t="s">
        <v>4616</v>
      </c>
      <c r="B867" t="s">
        <v>4617</v>
      </c>
      <c r="C867" t="s">
        <v>294</v>
      </c>
      <c r="D867" t="s">
        <v>4618</v>
      </c>
      <c r="E867" t="s">
        <v>4619</v>
      </c>
      <c r="F867" t="s">
        <v>4620</v>
      </c>
      <c r="G867" s="4">
        <v>45669</v>
      </c>
      <c r="H867" s="4">
        <v>45682</v>
      </c>
      <c r="I867" s="4">
        <v>45689</v>
      </c>
      <c r="J867">
        <f t="shared" si="65"/>
        <v>7</v>
      </c>
      <c r="K867" t="str">
        <f t="array" ref="K867">_xlfn.IFS(J867=1,"Day Use",J867&lt;=3,"Short Stay",J867&lt;=7,"Extended Stay",J867&gt;=8,"Long Stay")</f>
        <v>Extended Stay</v>
      </c>
      <c r="L867" t="s">
        <v>56</v>
      </c>
      <c r="M867" s="10" t="str">
        <f t="shared" si="66"/>
        <v>Premium</v>
      </c>
      <c r="N867" t="s">
        <v>26</v>
      </c>
      <c r="O867" t="s">
        <v>35</v>
      </c>
      <c r="P867">
        <f>IFERROR(VLOOKUP(TRIM(M867),Room!D:H,5,FALSE),5000)</f>
        <v>9500</v>
      </c>
      <c r="Q867">
        <f t="shared" si="67"/>
        <v>66500</v>
      </c>
      <c r="R867" s="11" t="str">
        <f t="shared" si="68"/>
        <v>Conference</v>
      </c>
      <c r="S867" s="11">
        <f t="shared" si="69"/>
        <v>4</v>
      </c>
    </row>
    <row r="868" spans="1:19">
      <c r="A868" t="s">
        <v>4621</v>
      </c>
      <c r="B868" t="s">
        <v>4622</v>
      </c>
      <c r="C868" t="s">
        <v>1682</v>
      </c>
      <c r="D868" t="s">
        <v>4623</v>
      </c>
      <c r="E868" t="s">
        <v>4624</v>
      </c>
      <c r="F868" t="s">
        <v>4625</v>
      </c>
      <c r="G868" s="4">
        <v>45414</v>
      </c>
      <c r="H868" s="4">
        <v>45431</v>
      </c>
      <c r="I868" s="4">
        <v>45438</v>
      </c>
      <c r="J868">
        <f t="shared" si="65"/>
        <v>7</v>
      </c>
      <c r="K868" t="str">
        <f t="array" ref="K868">_xlfn.IFS(J868=1,"Day Use",J868&lt;=3,"Short Stay",J868&lt;=7,"Extended Stay",J868&gt;=8,"Long Stay")</f>
        <v>Extended Stay</v>
      </c>
      <c r="L868" t="s">
        <v>49</v>
      </c>
      <c r="M868" s="10" t="str">
        <f t="shared" si="66"/>
        <v>Premium</v>
      </c>
      <c r="N868" t="s">
        <v>26</v>
      </c>
      <c r="O868" t="s">
        <v>27</v>
      </c>
      <c r="P868">
        <f>IFERROR(VLOOKUP(TRIM(M868),Room!D:H,5,FALSE),5000)</f>
        <v>9500</v>
      </c>
      <c r="Q868">
        <f t="shared" si="67"/>
        <v>66500</v>
      </c>
      <c r="R868" s="11" t="str">
        <f t="shared" si="68"/>
        <v>Conference</v>
      </c>
      <c r="S868" s="11">
        <f t="shared" si="69"/>
        <v>4</v>
      </c>
    </row>
    <row r="869" spans="1:19">
      <c r="A869" t="s">
        <v>4626</v>
      </c>
      <c r="B869" t="s">
        <v>4627</v>
      </c>
      <c r="C869" t="s">
        <v>1498</v>
      </c>
      <c r="D869" t="s">
        <v>4628</v>
      </c>
      <c r="E869" t="s">
        <v>4629</v>
      </c>
      <c r="F869" t="s">
        <v>4630</v>
      </c>
      <c r="G869" s="4">
        <v>45688</v>
      </c>
      <c r="H869" s="4">
        <v>45689</v>
      </c>
      <c r="I869" s="4">
        <v>45690</v>
      </c>
      <c r="J869">
        <f t="shared" si="65"/>
        <v>1</v>
      </c>
      <c r="K869" t="str">
        <f t="array" ref="K869">_xlfn.IFS(J869=1,"Day Use",J869&lt;=3,"Short Stay",J869&lt;=7,"Extended Stay",J869&gt;=8,"Long Stay")</f>
        <v>Day Use</v>
      </c>
      <c r="L869" t="s">
        <v>56</v>
      </c>
      <c r="M869" s="10" t="str">
        <f t="shared" si="66"/>
        <v>Standard</v>
      </c>
      <c r="N869" t="s">
        <v>26</v>
      </c>
      <c r="O869" t="s">
        <v>35</v>
      </c>
      <c r="P869">
        <f>IFERROR(VLOOKUP(TRIM(M869),Room!D:H,5,FALSE),5000)</f>
        <v>3200</v>
      </c>
      <c r="Q869">
        <f t="shared" si="67"/>
        <v>3200</v>
      </c>
      <c r="R869" s="11" t="str">
        <f t="shared" si="68"/>
        <v>Other</v>
      </c>
      <c r="S869" s="11">
        <f t="shared" si="69"/>
        <v>1</v>
      </c>
    </row>
    <row r="870" spans="1:19">
      <c r="A870" t="s">
        <v>4631</v>
      </c>
      <c r="B870" t="s">
        <v>4632</v>
      </c>
      <c r="C870" t="s">
        <v>163</v>
      </c>
      <c r="D870" t="s">
        <v>4633</v>
      </c>
      <c r="E870" t="s">
        <v>4634</v>
      </c>
      <c r="F870" t="s">
        <v>4635</v>
      </c>
      <c r="G870" s="4">
        <v>45348</v>
      </c>
      <c r="H870" s="4">
        <v>45780</v>
      </c>
      <c r="I870" s="4">
        <v>45782</v>
      </c>
      <c r="J870">
        <f t="shared" si="65"/>
        <v>2</v>
      </c>
      <c r="K870" t="str">
        <f t="array" ref="K870">_xlfn.IFS(J870=1,"Day Use",J870&lt;=3,"Short Stay",J870&lt;=7,"Extended Stay",J870&gt;=8,"Long Stay")</f>
        <v>Short Stay</v>
      </c>
      <c r="L870" t="s">
        <v>141</v>
      </c>
      <c r="M870" s="10" t="str">
        <f t="shared" si="66"/>
        <v>Standard</v>
      </c>
      <c r="N870" t="s">
        <v>26</v>
      </c>
      <c r="O870" t="s">
        <v>71</v>
      </c>
      <c r="P870">
        <f>IFERROR(VLOOKUP(TRIM(M870),Room!D:H,5,FALSE),5000)</f>
        <v>3200</v>
      </c>
      <c r="Q870">
        <f t="shared" si="67"/>
        <v>6400</v>
      </c>
      <c r="R870" s="11" t="str">
        <f t="shared" si="68"/>
        <v>Other</v>
      </c>
      <c r="S870" s="11">
        <f t="shared" si="69"/>
        <v>2</v>
      </c>
    </row>
    <row r="871" spans="1:19">
      <c r="A871" t="s">
        <v>4636</v>
      </c>
      <c r="B871" t="s">
        <v>4637</v>
      </c>
      <c r="C871" t="s">
        <v>3112</v>
      </c>
      <c r="D871" t="s">
        <v>4638</v>
      </c>
      <c r="E871" t="s">
        <v>4639</v>
      </c>
      <c r="F871" t="s">
        <v>4640</v>
      </c>
      <c r="G871" s="4">
        <v>45275</v>
      </c>
      <c r="H871" s="4">
        <v>45768</v>
      </c>
      <c r="I871" s="4">
        <v>45780</v>
      </c>
      <c r="J871">
        <f t="shared" si="65"/>
        <v>12</v>
      </c>
      <c r="K871" t="str">
        <f t="array" ref="K871">_xlfn.IFS(J871=1,"Day Use",J871&lt;=3,"Short Stay",J871&lt;=7,"Extended Stay",J871&gt;=8,"Long Stay")</f>
        <v>Long Stay</v>
      </c>
      <c r="L871" t="s">
        <v>34</v>
      </c>
      <c r="M871" s="10" t="str">
        <f t="shared" si="66"/>
        <v>Suite</v>
      </c>
      <c r="N871" t="s">
        <v>26</v>
      </c>
      <c r="O871" t="s">
        <v>71</v>
      </c>
      <c r="P871">
        <f>IFERROR(VLOOKUP(TRIM(M871),Room!D:H,5,FALSE),5000)</f>
        <v>12500</v>
      </c>
      <c r="Q871">
        <f t="shared" si="67"/>
        <v>150000</v>
      </c>
      <c r="R871" s="11" t="str">
        <f t="shared" si="68"/>
        <v>Business</v>
      </c>
      <c r="S871" s="11">
        <f t="shared" si="69"/>
        <v>5</v>
      </c>
    </row>
    <row r="872" spans="1:19">
      <c r="A872" t="s">
        <v>4641</v>
      </c>
      <c r="B872" t="s">
        <v>4642</v>
      </c>
      <c r="C872" t="s">
        <v>137</v>
      </c>
      <c r="D872" t="s">
        <v>4643</v>
      </c>
      <c r="E872" t="s">
        <v>4644</v>
      </c>
      <c r="F872" t="s">
        <v>4645</v>
      </c>
      <c r="G872" s="4">
        <v>45402</v>
      </c>
      <c r="H872" s="4">
        <v>45423</v>
      </c>
      <c r="I872" s="4">
        <v>45432</v>
      </c>
      <c r="J872">
        <f t="shared" si="65"/>
        <v>9</v>
      </c>
      <c r="K872" t="str">
        <f t="array" ref="K872">_xlfn.IFS(J872=1,"Day Use",J872&lt;=3,"Short Stay",J872&lt;=7,"Extended Stay",J872&gt;=8,"Long Stay")</f>
        <v>Long Stay</v>
      </c>
      <c r="L872" t="s">
        <v>196</v>
      </c>
      <c r="M872" s="10" t="str">
        <f t="shared" si="66"/>
        <v>Premium</v>
      </c>
      <c r="N872" t="s">
        <v>26</v>
      </c>
      <c r="O872" t="s">
        <v>42</v>
      </c>
      <c r="P872">
        <f>IFERROR(VLOOKUP(TRIM(M872),Room!D:H,5,FALSE),5000)</f>
        <v>9500</v>
      </c>
      <c r="Q872">
        <f t="shared" si="67"/>
        <v>85500</v>
      </c>
      <c r="R872" s="11" t="str">
        <f t="shared" si="68"/>
        <v>Conference</v>
      </c>
      <c r="S872" s="11">
        <f t="shared" si="69"/>
        <v>4</v>
      </c>
    </row>
    <row r="873" spans="1:19">
      <c r="A873" t="s">
        <v>4646</v>
      </c>
      <c r="B873" t="s">
        <v>4647</v>
      </c>
      <c r="C873" t="s">
        <v>4648</v>
      </c>
      <c r="D873" t="s">
        <v>4649</v>
      </c>
      <c r="E873" t="s">
        <v>4650</v>
      </c>
      <c r="F873" t="s">
        <v>4651</v>
      </c>
      <c r="G873" s="4">
        <v>45496</v>
      </c>
      <c r="H873" s="4">
        <v>45875</v>
      </c>
      <c r="I873" s="4">
        <v>45879</v>
      </c>
      <c r="J873">
        <f t="shared" si="65"/>
        <v>4</v>
      </c>
      <c r="K873" t="str">
        <f t="array" ref="K873">_xlfn.IFS(J873=1,"Day Use",J873&lt;=3,"Short Stay",J873&lt;=7,"Extended Stay",J873&gt;=8,"Long Stay")</f>
        <v>Extended Stay</v>
      </c>
      <c r="L873" t="s">
        <v>141</v>
      </c>
      <c r="M873" s="10" t="str">
        <f t="shared" si="66"/>
        <v>Deluxe</v>
      </c>
      <c r="N873" t="s">
        <v>26</v>
      </c>
      <c r="O873" t="s">
        <v>42</v>
      </c>
      <c r="P873">
        <f>IFERROR(VLOOKUP(TRIM(M873),Room!D:H,5,FALSE),5000)</f>
        <v>5400</v>
      </c>
      <c r="Q873">
        <f t="shared" si="67"/>
        <v>21600</v>
      </c>
      <c r="R873" s="11" t="str">
        <f t="shared" si="68"/>
        <v>Conference</v>
      </c>
      <c r="S873" s="11">
        <f t="shared" si="69"/>
        <v>3</v>
      </c>
    </row>
    <row r="874" spans="1:19">
      <c r="A874" t="s">
        <v>4652</v>
      </c>
      <c r="B874" t="s">
        <v>4653</v>
      </c>
      <c r="C874" t="s">
        <v>587</v>
      </c>
      <c r="D874" t="s">
        <v>4654</v>
      </c>
      <c r="E874" t="s">
        <v>4655</v>
      </c>
      <c r="F874" t="s">
        <v>4656</v>
      </c>
      <c r="G874" s="4">
        <v>45412</v>
      </c>
      <c r="H874" s="4">
        <v>45422</v>
      </c>
      <c r="I874" s="4">
        <v>45429</v>
      </c>
      <c r="J874">
        <f t="shared" si="65"/>
        <v>7</v>
      </c>
      <c r="K874" t="str">
        <f t="array" ref="K874">_xlfn.IFS(J874=1,"Day Use",J874&lt;=3,"Short Stay",J874&lt;=7,"Extended Stay",J874&gt;=8,"Long Stay")</f>
        <v>Extended Stay</v>
      </c>
      <c r="L874" t="s">
        <v>84</v>
      </c>
      <c r="M874" s="10" t="str">
        <f t="shared" si="66"/>
        <v>Premium</v>
      </c>
      <c r="N874" t="s">
        <v>26</v>
      </c>
      <c r="O874" t="s">
        <v>35</v>
      </c>
      <c r="P874">
        <f>IFERROR(VLOOKUP(TRIM(M874),Room!D:H,5,FALSE),5000)</f>
        <v>9500</v>
      </c>
      <c r="Q874">
        <f t="shared" si="67"/>
        <v>66500</v>
      </c>
      <c r="R874" s="11" t="str">
        <f t="shared" si="68"/>
        <v>Conference</v>
      </c>
      <c r="S874" s="11">
        <f t="shared" si="69"/>
        <v>4</v>
      </c>
    </row>
    <row r="875" spans="1:19">
      <c r="A875" t="s">
        <v>4657</v>
      </c>
      <c r="B875" t="s">
        <v>4658</v>
      </c>
      <c r="C875" t="s">
        <v>1399</v>
      </c>
      <c r="D875" t="s">
        <v>4659</v>
      </c>
      <c r="E875" t="s">
        <v>4660</v>
      </c>
      <c r="F875" t="s">
        <v>4661</v>
      </c>
      <c r="G875" s="4">
        <v>45409</v>
      </c>
      <c r="H875" s="4">
        <v>45416</v>
      </c>
      <c r="I875" s="4">
        <v>45429</v>
      </c>
      <c r="J875">
        <f t="shared" si="65"/>
        <v>13</v>
      </c>
      <c r="K875" t="str">
        <f t="array" ref="K875">_xlfn.IFS(J875=1,"Day Use",J875&lt;=3,"Short Stay",J875&lt;=7,"Extended Stay",J875&gt;=8,"Long Stay")</f>
        <v>Long Stay</v>
      </c>
      <c r="L875" t="s">
        <v>34</v>
      </c>
      <c r="M875" s="10" t="str">
        <f t="shared" si="66"/>
        <v>Suite</v>
      </c>
      <c r="N875" t="s">
        <v>26</v>
      </c>
      <c r="O875" t="s">
        <v>35</v>
      </c>
      <c r="P875">
        <f>IFERROR(VLOOKUP(TRIM(M875),Room!D:H,5,FALSE),5000)</f>
        <v>12500</v>
      </c>
      <c r="Q875">
        <f t="shared" si="67"/>
        <v>162500</v>
      </c>
      <c r="R875" s="11" t="str">
        <f t="shared" si="68"/>
        <v>Business</v>
      </c>
      <c r="S875" s="11">
        <f t="shared" si="69"/>
        <v>5</v>
      </c>
    </row>
    <row r="876" spans="1:19">
      <c r="A876" t="s">
        <v>4662</v>
      </c>
      <c r="B876" t="s">
        <v>4663</v>
      </c>
      <c r="C876" t="s">
        <v>259</v>
      </c>
      <c r="D876" t="s">
        <v>4664</v>
      </c>
      <c r="E876" t="s">
        <v>4665</v>
      </c>
      <c r="F876" t="s">
        <v>4666</v>
      </c>
      <c r="G876" s="4">
        <v>45605</v>
      </c>
      <c r="H876" s="4">
        <v>45614</v>
      </c>
      <c r="I876" s="4">
        <v>45626</v>
      </c>
      <c r="J876">
        <f t="shared" si="65"/>
        <v>12</v>
      </c>
      <c r="K876" t="str">
        <f t="array" ref="K876">_xlfn.IFS(J876=1,"Day Use",J876&lt;=3,"Short Stay",J876&lt;=7,"Extended Stay",J876&gt;=8,"Long Stay")</f>
        <v>Long Stay</v>
      </c>
      <c r="L876" t="s">
        <v>49</v>
      </c>
      <c r="M876" s="10" t="str">
        <f t="shared" si="66"/>
        <v>Suite</v>
      </c>
      <c r="N876" t="s">
        <v>26</v>
      </c>
      <c r="O876" t="s">
        <v>42</v>
      </c>
      <c r="P876">
        <f>IFERROR(VLOOKUP(TRIM(M876),Room!D:H,5,FALSE),5000)</f>
        <v>12500</v>
      </c>
      <c r="Q876">
        <f t="shared" si="67"/>
        <v>150000</v>
      </c>
      <c r="R876" s="11" t="str">
        <f t="shared" si="68"/>
        <v>Business</v>
      </c>
      <c r="S876" s="11">
        <f t="shared" si="69"/>
        <v>5</v>
      </c>
    </row>
    <row r="877" spans="1:19">
      <c r="A877" t="s">
        <v>4667</v>
      </c>
      <c r="B877" t="s">
        <v>4668</v>
      </c>
      <c r="C877" t="s">
        <v>4669</v>
      </c>
      <c r="D877" t="s">
        <v>4670</v>
      </c>
      <c r="E877" t="s">
        <v>4671</v>
      </c>
      <c r="F877" t="s">
        <v>4672</v>
      </c>
      <c r="G877" s="4">
        <v>45552</v>
      </c>
      <c r="H877" s="4">
        <v>45578</v>
      </c>
      <c r="I877" s="4">
        <v>45579</v>
      </c>
      <c r="J877">
        <f t="shared" si="65"/>
        <v>1</v>
      </c>
      <c r="K877" t="str">
        <f t="array" ref="K877">_xlfn.IFS(J877=1,"Day Use",J877&lt;=3,"Short Stay",J877&lt;=7,"Extended Stay",J877&gt;=8,"Long Stay")</f>
        <v>Day Use</v>
      </c>
      <c r="L877" t="s">
        <v>34</v>
      </c>
      <c r="M877" s="10" t="str">
        <f t="shared" si="66"/>
        <v>Standard</v>
      </c>
      <c r="N877" t="s">
        <v>26</v>
      </c>
      <c r="O877" t="s">
        <v>35</v>
      </c>
      <c r="P877">
        <f>IFERROR(VLOOKUP(TRIM(M877),Room!D:H,5,FALSE),5000)</f>
        <v>3200</v>
      </c>
      <c r="Q877">
        <f t="shared" si="67"/>
        <v>3200</v>
      </c>
      <c r="R877" s="11" t="str">
        <f t="shared" si="68"/>
        <v>Other</v>
      </c>
      <c r="S877" s="11">
        <f t="shared" si="69"/>
        <v>1</v>
      </c>
    </row>
    <row r="878" spans="1:19">
      <c r="A878" t="s">
        <v>4673</v>
      </c>
      <c r="B878" t="s">
        <v>4674</v>
      </c>
      <c r="C878" t="s">
        <v>1794</v>
      </c>
      <c r="D878" t="s">
        <v>4675</v>
      </c>
      <c r="E878" t="s">
        <v>4676</v>
      </c>
      <c r="F878" t="s">
        <v>4677</v>
      </c>
      <c r="G878" s="4">
        <v>45499</v>
      </c>
      <c r="H878" s="4">
        <v>45516</v>
      </c>
      <c r="I878" s="4">
        <v>45524</v>
      </c>
      <c r="J878">
        <f t="shared" si="65"/>
        <v>8</v>
      </c>
      <c r="K878" t="str">
        <f t="array" ref="K878">_xlfn.IFS(J878=1,"Day Use",J878&lt;=3,"Short Stay",J878&lt;=7,"Extended Stay",J878&gt;=8,"Long Stay")</f>
        <v>Long Stay</v>
      </c>
      <c r="L878" t="s">
        <v>49</v>
      </c>
      <c r="M878" s="10" t="str">
        <f t="shared" si="66"/>
        <v>Premium</v>
      </c>
      <c r="N878" t="s">
        <v>26</v>
      </c>
      <c r="O878" t="s">
        <v>58</v>
      </c>
      <c r="P878">
        <f>IFERROR(VLOOKUP(TRIM(M878),Room!D:H,5,FALSE),5000)</f>
        <v>9500</v>
      </c>
      <c r="Q878">
        <f t="shared" si="67"/>
        <v>76000</v>
      </c>
      <c r="R878" s="11" t="str">
        <f t="shared" si="68"/>
        <v>Conference</v>
      </c>
      <c r="S878" s="11">
        <f t="shared" si="69"/>
        <v>4</v>
      </c>
    </row>
    <row r="879" spans="1:19">
      <c r="A879" t="s">
        <v>4678</v>
      </c>
      <c r="B879" t="s">
        <v>4679</v>
      </c>
      <c r="C879" t="s">
        <v>667</v>
      </c>
      <c r="D879" t="s">
        <v>4680</v>
      </c>
      <c r="E879" t="s">
        <v>4681</v>
      </c>
      <c r="F879" t="s">
        <v>4682</v>
      </c>
      <c r="G879" s="4">
        <v>45289</v>
      </c>
      <c r="H879" s="4">
        <v>45318</v>
      </c>
      <c r="I879" s="4">
        <v>45325</v>
      </c>
      <c r="J879">
        <f t="shared" si="65"/>
        <v>7</v>
      </c>
      <c r="K879" t="str">
        <f t="array" ref="K879">_xlfn.IFS(J879=1,"Day Use",J879&lt;=3,"Short Stay",J879&lt;=7,"Extended Stay",J879&gt;=8,"Long Stay")</f>
        <v>Extended Stay</v>
      </c>
      <c r="L879" t="s">
        <v>34</v>
      </c>
      <c r="M879" s="10" t="str">
        <f t="shared" si="66"/>
        <v>Premium</v>
      </c>
      <c r="N879" t="s">
        <v>372</v>
      </c>
      <c r="O879" t="s">
        <v>71</v>
      </c>
      <c r="P879">
        <f>IFERROR(VLOOKUP(TRIM(M879),Room!D:H,5,FALSE),5000)</f>
        <v>9500</v>
      </c>
      <c r="Q879">
        <f t="shared" si="67"/>
        <v>66500</v>
      </c>
      <c r="R879" s="11" t="str">
        <f t="shared" si="68"/>
        <v>Conference</v>
      </c>
      <c r="S879" s="11">
        <f t="shared" si="69"/>
        <v>4</v>
      </c>
    </row>
    <row r="880" spans="1:19">
      <c r="A880" t="s">
        <v>4683</v>
      </c>
      <c r="B880" t="s">
        <v>4684</v>
      </c>
      <c r="C880" t="s">
        <v>2101</v>
      </c>
      <c r="D880" t="s">
        <v>4685</v>
      </c>
      <c r="E880" t="s">
        <v>4686</v>
      </c>
      <c r="F880" t="s">
        <v>4687</v>
      </c>
      <c r="G880" s="4">
        <v>45250</v>
      </c>
      <c r="H880" s="4">
        <v>45533</v>
      </c>
      <c r="I880" s="4">
        <v>45543</v>
      </c>
      <c r="J880">
        <f t="shared" si="65"/>
        <v>10</v>
      </c>
      <c r="K880" t="str">
        <f t="array" ref="K880">_xlfn.IFS(J880=1,"Day Use",J880&lt;=3,"Short Stay",J880&lt;=7,"Extended Stay",J880&gt;=8,"Long Stay")</f>
        <v>Long Stay</v>
      </c>
      <c r="L880" t="s">
        <v>196</v>
      </c>
      <c r="M880" s="10" t="str">
        <f t="shared" si="66"/>
        <v>Premium</v>
      </c>
      <c r="N880" t="s">
        <v>134</v>
      </c>
      <c r="O880" t="s">
        <v>42</v>
      </c>
      <c r="P880">
        <f>IFERROR(VLOOKUP(TRIM(M880),Room!D:H,5,FALSE),5000)</f>
        <v>9500</v>
      </c>
      <c r="Q880">
        <f t="shared" si="67"/>
        <v>95000</v>
      </c>
      <c r="R880" s="11" t="str">
        <f t="shared" si="68"/>
        <v>Conference</v>
      </c>
      <c r="S880" s="11">
        <f t="shared" si="69"/>
        <v>4</v>
      </c>
    </row>
    <row r="881" spans="1:19">
      <c r="A881" t="s">
        <v>4688</v>
      </c>
      <c r="B881" t="s">
        <v>4689</v>
      </c>
      <c r="C881" t="s">
        <v>1710</v>
      </c>
      <c r="D881" t="s">
        <v>4690</v>
      </c>
      <c r="E881" t="s">
        <v>4691</v>
      </c>
      <c r="F881" t="s">
        <v>4692</v>
      </c>
      <c r="G881" s="4">
        <v>45390</v>
      </c>
      <c r="H881" s="4">
        <v>45406</v>
      </c>
      <c r="I881" s="4">
        <v>45409</v>
      </c>
      <c r="J881">
        <f t="shared" si="65"/>
        <v>3</v>
      </c>
      <c r="K881" t="str">
        <f t="array" ref="K881">_xlfn.IFS(J881=1,"Day Use",J881&lt;=3,"Short Stay",J881&lt;=7,"Extended Stay",J881&gt;=8,"Long Stay")</f>
        <v>Short Stay</v>
      </c>
      <c r="L881" t="s">
        <v>56</v>
      </c>
      <c r="M881" s="10" t="str">
        <f t="shared" si="66"/>
        <v>Standard</v>
      </c>
      <c r="N881" t="s">
        <v>26</v>
      </c>
      <c r="O881" t="s">
        <v>27</v>
      </c>
      <c r="P881">
        <f>IFERROR(VLOOKUP(TRIM(M881),Room!D:H,5,FALSE),5000)</f>
        <v>3200</v>
      </c>
      <c r="Q881">
        <f t="shared" si="67"/>
        <v>9600</v>
      </c>
      <c r="R881" s="11" t="str">
        <f t="shared" si="68"/>
        <v>Other</v>
      </c>
      <c r="S881" s="11">
        <f t="shared" si="69"/>
        <v>2</v>
      </c>
    </row>
    <row r="882" spans="1:19">
      <c r="A882" t="s">
        <v>4693</v>
      </c>
      <c r="B882" t="s">
        <v>4694</v>
      </c>
      <c r="C882" t="s">
        <v>144</v>
      </c>
      <c r="D882" t="s">
        <v>4695</v>
      </c>
      <c r="E882" t="s">
        <v>4696</v>
      </c>
      <c r="F882" t="s">
        <v>4697</v>
      </c>
      <c r="G882" s="4">
        <v>45404</v>
      </c>
      <c r="H882" s="4">
        <v>45430</v>
      </c>
      <c r="I882" s="4">
        <v>45431</v>
      </c>
      <c r="J882">
        <f t="shared" si="65"/>
        <v>1</v>
      </c>
      <c r="K882" t="str">
        <f t="array" ref="K882">_xlfn.IFS(J882=1,"Day Use",J882&lt;=3,"Short Stay",J882&lt;=7,"Extended Stay",J882&gt;=8,"Long Stay")</f>
        <v>Day Use</v>
      </c>
      <c r="L882" t="s">
        <v>196</v>
      </c>
      <c r="M882" s="10" t="str">
        <f t="shared" si="66"/>
        <v>Standard</v>
      </c>
      <c r="N882" t="s">
        <v>26</v>
      </c>
      <c r="O882" t="s">
        <v>42</v>
      </c>
      <c r="P882">
        <f>IFERROR(VLOOKUP(TRIM(M882),Room!D:H,5,FALSE),5000)</f>
        <v>3200</v>
      </c>
      <c r="Q882">
        <f t="shared" si="67"/>
        <v>3200</v>
      </c>
      <c r="R882" s="11" t="str">
        <f t="shared" si="68"/>
        <v>Other</v>
      </c>
      <c r="S882" s="11">
        <f t="shared" si="69"/>
        <v>1</v>
      </c>
    </row>
    <row r="883" spans="1:19">
      <c r="A883" t="s">
        <v>4698</v>
      </c>
      <c r="B883" t="s">
        <v>4699</v>
      </c>
      <c r="C883" t="s">
        <v>847</v>
      </c>
      <c r="D883" t="s">
        <v>4700</v>
      </c>
      <c r="E883" t="s">
        <v>4701</v>
      </c>
      <c r="F883" t="s">
        <v>4702</v>
      </c>
      <c r="G883" s="4">
        <v>45857</v>
      </c>
      <c r="H883" s="4">
        <v>45929</v>
      </c>
      <c r="I883" s="4">
        <v>45937</v>
      </c>
      <c r="J883">
        <f t="shared" si="65"/>
        <v>8</v>
      </c>
      <c r="K883" t="str">
        <f t="array" ref="K883">_xlfn.IFS(J883=1,"Day Use",J883&lt;=3,"Short Stay",J883&lt;=7,"Extended Stay",J883&gt;=8,"Long Stay")</f>
        <v>Long Stay</v>
      </c>
      <c r="L883" t="s">
        <v>49</v>
      </c>
      <c r="M883" s="10" t="str">
        <f t="shared" si="66"/>
        <v>Premium</v>
      </c>
      <c r="N883" t="s">
        <v>57</v>
      </c>
      <c r="O883" t="s">
        <v>42</v>
      </c>
      <c r="P883">
        <f>IFERROR(VLOOKUP(TRIM(M883),Room!D:H,5,FALSE),5000)</f>
        <v>9500</v>
      </c>
      <c r="Q883">
        <f t="shared" si="67"/>
        <v>76000</v>
      </c>
      <c r="R883" s="11" t="str">
        <f t="shared" si="68"/>
        <v>Conference</v>
      </c>
      <c r="S883" s="11">
        <f t="shared" si="69"/>
        <v>4</v>
      </c>
    </row>
    <row r="884" spans="1:19">
      <c r="A884" t="s">
        <v>4703</v>
      </c>
      <c r="B884" t="s">
        <v>4704</v>
      </c>
      <c r="C884" t="s">
        <v>1431</v>
      </c>
      <c r="D884" t="s">
        <v>4705</v>
      </c>
      <c r="E884" t="s">
        <v>4706</v>
      </c>
      <c r="F884" t="s">
        <v>4707</v>
      </c>
      <c r="G884" s="4">
        <v>45500</v>
      </c>
      <c r="H884" s="4">
        <v>45718</v>
      </c>
      <c r="I884" s="4">
        <v>45720</v>
      </c>
      <c r="J884">
        <f t="shared" si="65"/>
        <v>2</v>
      </c>
      <c r="K884" t="str">
        <f t="array" ref="K884">_xlfn.IFS(J884=1,"Day Use",J884&lt;=3,"Short Stay",J884&lt;=7,"Extended Stay",J884&gt;=8,"Long Stay")</f>
        <v>Short Stay</v>
      </c>
      <c r="L884" t="s">
        <v>56</v>
      </c>
      <c r="M884" s="10" t="str">
        <f t="shared" si="66"/>
        <v>Standard</v>
      </c>
      <c r="N884" t="s">
        <v>26</v>
      </c>
      <c r="O884" t="s">
        <v>58</v>
      </c>
      <c r="P884">
        <f>IFERROR(VLOOKUP(TRIM(M884),Room!D:H,5,FALSE),5000)</f>
        <v>3200</v>
      </c>
      <c r="Q884">
        <f t="shared" si="67"/>
        <v>6400</v>
      </c>
      <c r="R884" s="11" t="str">
        <f t="shared" si="68"/>
        <v>Other</v>
      </c>
      <c r="S884" s="11">
        <f t="shared" si="69"/>
        <v>2</v>
      </c>
    </row>
    <row r="885" spans="1:19">
      <c r="A885" t="s">
        <v>4708</v>
      </c>
      <c r="B885" t="s">
        <v>4709</v>
      </c>
      <c r="C885" t="s">
        <v>1476</v>
      </c>
      <c r="D885" t="s">
        <v>4710</v>
      </c>
      <c r="E885" t="s">
        <v>4711</v>
      </c>
      <c r="F885" t="s">
        <v>4712</v>
      </c>
      <c r="G885" s="4">
        <v>45409</v>
      </c>
      <c r="H885" s="4">
        <v>45428</v>
      </c>
      <c r="I885" s="4">
        <v>45441</v>
      </c>
      <c r="J885">
        <f t="shared" si="65"/>
        <v>13</v>
      </c>
      <c r="K885" t="str">
        <f t="array" ref="K885">_xlfn.IFS(J885=1,"Day Use",J885&lt;=3,"Short Stay",J885&lt;=7,"Extended Stay",J885&gt;=8,"Long Stay")</f>
        <v>Long Stay</v>
      </c>
      <c r="L885" t="s">
        <v>91</v>
      </c>
      <c r="M885" s="10" t="str">
        <f t="shared" si="66"/>
        <v>Suite</v>
      </c>
      <c r="N885" t="s">
        <v>134</v>
      </c>
      <c r="O885" t="s">
        <v>42</v>
      </c>
      <c r="P885">
        <f>IFERROR(VLOOKUP(TRIM(M885),Room!D:H,5,FALSE),5000)</f>
        <v>12500</v>
      </c>
      <c r="Q885">
        <f t="shared" si="67"/>
        <v>162500</v>
      </c>
      <c r="R885" s="11" t="str">
        <f t="shared" si="68"/>
        <v>Business</v>
      </c>
      <c r="S885" s="11">
        <f t="shared" si="69"/>
        <v>5</v>
      </c>
    </row>
    <row r="886" spans="1:19">
      <c r="A886" t="s">
        <v>4713</v>
      </c>
      <c r="B886" t="s">
        <v>4714</v>
      </c>
      <c r="C886" t="s">
        <v>327</v>
      </c>
      <c r="D886" t="s">
        <v>4715</v>
      </c>
      <c r="E886" t="s">
        <v>4716</v>
      </c>
      <c r="F886" t="s">
        <v>4717</v>
      </c>
      <c r="G886" s="4">
        <v>45261</v>
      </c>
      <c r="H886" s="4">
        <v>45948</v>
      </c>
      <c r="I886" s="4">
        <v>45952</v>
      </c>
      <c r="J886">
        <f t="shared" si="65"/>
        <v>4</v>
      </c>
      <c r="K886" t="str">
        <f t="array" ref="K886">_xlfn.IFS(J886=1,"Day Use",J886&lt;=3,"Short Stay",J886&lt;=7,"Extended Stay",J886&gt;=8,"Long Stay")</f>
        <v>Extended Stay</v>
      </c>
      <c r="L886" t="s">
        <v>56</v>
      </c>
      <c r="M886" s="10" t="str">
        <f t="shared" si="66"/>
        <v>Deluxe</v>
      </c>
      <c r="N886" t="s">
        <v>57</v>
      </c>
      <c r="O886" t="s">
        <v>35</v>
      </c>
      <c r="P886">
        <f>IFERROR(VLOOKUP(TRIM(M886),Room!D:H,5,FALSE),5000)</f>
        <v>5400</v>
      </c>
      <c r="Q886">
        <f t="shared" si="67"/>
        <v>21600</v>
      </c>
      <c r="R886" s="11" t="str">
        <f t="shared" si="68"/>
        <v>Conference</v>
      </c>
      <c r="S886" s="11">
        <f t="shared" si="69"/>
        <v>3</v>
      </c>
    </row>
    <row r="887" spans="1:19">
      <c r="A887" t="s">
        <v>4718</v>
      </c>
      <c r="B887" t="s">
        <v>4719</v>
      </c>
      <c r="C887" t="s">
        <v>655</v>
      </c>
      <c r="D887" t="s">
        <v>4720</v>
      </c>
      <c r="E887" t="s">
        <v>4721</v>
      </c>
      <c r="F887" t="s">
        <v>4722</v>
      </c>
      <c r="G887" s="4">
        <v>45562</v>
      </c>
      <c r="H887" s="4">
        <v>45581</v>
      </c>
      <c r="I887" s="4">
        <v>45587</v>
      </c>
      <c r="J887">
        <f t="shared" si="65"/>
        <v>6</v>
      </c>
      <c r="K887" t="str">
        <f t="array" ref="K887">_xlfn.IFS(J887=1,"Day Use",J887&lt;=3,"Short Stay",J887&lt;=7,"Extended Stay",J887&gt;=8,"Long Stay")</f>
        <v>Extended Stay</v>
      </c>
      <c r="L887" t="s">
        <v>91</v>
      </c>
      <c r="M887" s="10" t="str">
        <f t="shared" si="66"/>
        <v>Deluxe</v>
      </c>
      <c r="N887" t="s">
        <v>26</v>
      </c>
      <c r="O887" t="s">
        <v>71</v>
      </c>
      <c r="P887">
        <f>IFERROR(VLOOKUP(TRIM(M887),Room!D:H,5,FALSE),5000)</f>
        <v>5400</v>
      </c>
      <c r="Q887">
        <f t="shared" si="67"/>
        <v>32400</v>
      </c>
      <c r="R887" s="11" t="str">
        <f t="shared" si="68"/>
        <v>Conference</v>
      </c>
      <c r="S887" s="11">
        <f t="shared" si="69"/>
        <v>3</v>
      </c>
    </row>
    <row r="888" spans="1:19">
      <c r="A888" t="s">
        <v>4723</v>
      </c>
      <c r="B888" t="s">
        <v>4724</v>
      </c>
      <c r="C888" t="s">
        <v>853</v>
      </c>
      <c r="D888" t="s">
        <v>4725</v>
      </c>
      <c r="E888" t="s">
        <v>4726</v>
      </c>
      <c r="F888" t="s">
        <v>4727</v>
      </c>
      <c r="G888" s="4">
        <v>45338</v>
      </c>
      <c r="H888" s="4">
        <v>45347</v>
      </c>
      <c r="I888" s="4">
        <v>45360</v>
      </c>
      <c r="J888">
        <f t="shared" si="65"/>
        <v>13</v>
      </c>
      <c r="K888" t="str">
        <f t="array" ref="K888">_xlfn.IFS(J888=1,"Day Use",J888&lt;=3,"Short Stay",J888&lt;=7,"Extended Stay",J888&gt;=8,"Long Stay")</f>
        <v>Long Stay</v>
      </c>
      <c r="L888" t="s">
        <v>34</v>
      </c>
      <c r="M888" s="10" t="str">
        <f t="shared" si="66"/>
        <v>Suite</v>
      </c>
      <c r="N888" t="s">
        <v>26</v>
      </c>
      <c r="O888" t="s">
        <v>42</v>
      </c>
      <c r="P888">
        <f>IFERROR(VLOOKUP(TRIM(M888),Room!D:H,5,FALSE),5000)</f>
        <v>12500</v>
      </c>
      <c r="Q888">
        <f t="shared" si="67"/>
        <v>162500</v>
      </c>
      <c r="R888" s="11" t="str">
        <f t="shared" si="68"/>
        <v>Business</v>
      </c>
      <c r="S888" s="11">
        <f t="shared" si="69"/>
        <v>5</v>
      </c>
    </row>
    <row r="889" spans="1:19">
      <c r="A889" t="s">
        <v>4728</v>
      </c>
      <c r="B889" t="s">
        <v>4729</v>
      </c>
      <c r="C889" t="s">
        <v>786</v>
      </c>
      <c r="D889" t="s">
        <v>4730</v>
      </c>
      <c r="E889" t="s">
        <v>4731</v>
      </c>
      <c r="F889" t="s">
        <v>4732</v>
      </c>
      <c r="G889" s="4">
        <v>45507</v>
      </c>
      <c r="H889" s="4">
        <v>45938</v>
      </c>
      <c r="I889" s="4">
        <v>45944</v>
      </c>
      <c r="J889">
        <f t="shared" si="65"/>
        <v>6</v>
      </c>
      <c r="K889" t="str">
        <f t="array" ref="K889">_xlfn.IFS(J889=1,"Day Use",J889&lt;=3,"Short Stay",J889&lt;=7,"Extended Stay",J889&gt;=8,"Long Stay")</f>
        <v>Extended Stay</v>
      </c>
      <c r="L889" t="s">
        <v>84</v>
      </c>
      <c r="M889" s="10" t="str">
        <f t="shared" si="66"/>
        <v>Deluxe</v>
      </c>
      <c r="N889" t="s">
        <v>134</v>
      </c>
      <c r="O889" t="s">
        <v>35</v>
      </c>
      <c r="P889">
        <f>IFERROR(VLOOKUP(TRIM(M889),Room!D:H,5,FALSE),5000)</f>
        <v>5400</v>
      </c>
      <c r="Q889">
        <f t="shared" si="67"/>
        <v>32400</v>
      </c>
      <c r="R889" s="11" t="str">
        <f t="shared" si="68"/>
        <v>Conference</v>
      </c>
      <c r="S889" s="11">
        <f t="shared" si="69"/>
        <v>3</v>
      </c>
    </row>
    <row r="890" spans="1:19">
      <c r="A890" t="s">
        <v>4733</v>
      </c>
      <c r="B890" t="s">
        <v>4734</v>
      </c>
      <c r="C890" t="s">
        <v>2457</v>
      </c>
      <c r="D890" t="s">
        <v>4735</v>
      </c>
      <c r="E890" t="s">
        <v>4736</v>
      </c>
      <c r="F890" t="s">
        <v>4737</v>
      </c>
      <c r="G890" s="4">
        <v>45800</v>
      </c>
      <c r="H890" s="4">
        <v>46022</v>
      </c>
      <c r="I890" s="4">
        <v>46022</v>
      </c>
      <c r="J890">
        <f t="shared" si="65"/>
        <v>0</v>
      </c>
      <c r="K890" t="str">
        <f t="array" ref="K890">_xlfn.IFS(J890=1,"Day Use",J890&lt;=3,"Short Stay",J890&lt;=7,"Extended Stay",J890&gt;=8,"Long Stay")</f>
        <v>Short Stay</v>
      </c>
      <c r="L890" t="s">
        <v>34</v>
      </c>
      <c r="M890" s="10" t="str">
        <f t="shared" si="66"/>
        <v>Standard</v>
      </c>
      <c r="N890" t="s">
        <v>134</v>
      </c>
      <c r="O890" t="s">
        <v>35</v>
      </c>
      <c r="P890">
        <f>IFERROR(VLOOKUP(TRIM(M890),Room!D:H,5,FALSE),5000)</f>
        <v>3200</v>
      </c>
      <c r="Q890">
        <f t="shared" si="67"/>
        <v>0</v>
      </c>
      <c r="R890" s="11" t="str">
        <f t="shared" si="68"/>
        <v>Other</v>
      </c>
      <c r="S890" s="11">
        <f t="shared" si="69"/>
        <v>1</v>
      </c>
    </row>
    <row r="891" spans="1:19">
      <c r="A891" t="s">
        <v>4738</v>
      </c>
      <c r="B891" t="s">
        <v>4739</v>
      </c>
      <c r="C891" t="s">
        <v>4740</v>
      </c>
      <c r="D891" t="s">
        <v>4741</v>
      </c>
      <c r="E891" t="s">
        <v>4742</v>
      </c>
      <c r="F891" t="s">
        <v>4743</v>
      </c>
      <c r="G891" s="4">
        <v>45232</v>
      </c>
      <c r="H891" s="4">
        <v>45512</v>
      </c>
      <c r="I891" s="4">
        <v>45519</v>
      </c>
      <c r="J891">
        <f t="shared" si="65"/>
        <v>7</v>
      </c>
      <c r="K891" t="str">
        <f t="array" ref="K891">_xlfn.IFS(J891=1,"Day Use",J891&lt;=3,"Short Stay",J891&lt;=7,"Extended Stay",J891&gt;=8,"Long Stay")</f>
        <v>Extended Stay</v>
      </c>
      <c r="L891" t="s">
        <v>49</v>
      </c>
      <c r="M891" s="10" t="str">
        <f t="shared" si="66"/>
        <v>Premium</v>
      </c>
      <c r="N891" t="s">
        <v>57</v>
      </c>
      <c r="O891" t="s">
        <v>58</v>
      </c>
      <c r="P891">
        <f>IFERROR(VLOOKUP(TRIM(M891),Room!D:H,5,FALSE),5000)</f>
        <v>9500</v>
      </c>
      <c r="Q891">
        <f t="shared" si="67"/>
        <v>66500</v>
      </c>
      <c r="R891" s="11" t="str">
        <f t="shared" si="68"/>
        <v>Conference</v>
      </c>
      <c r="S891" s="11">
        <f t="shared" si="69"/>
        <v>4</v>
      </c>
    </row>
    <row r="892" spans="1:19">
      <c r="A892" t="s">
        <v>4744</v>
      </c>
      <c r="B892" t="s">
        <v>4745</v>
      </c>
      <c r="C892" t="s">
        <v>472</v>
      </c>
      <c r="D892" t="s">
        <v>4746</v>
      </c>
      <c r="E892" t="s">
        <v>4747</v>
      </c>
      <c r="F892" t="s">
        <v>4748</v>
      </c>
      <c r="G892" s="4">
        <v>45693</v>
      </c>
      <c r="H892" s="4">
        <v>45694</v>
      </c>
      <c r="I892" s="4">
        <v>45697</v>
      </c>
      <c r="J892">
        <f t="shared" si="65"/>
        <v>3</v>
      </c>
      <c r="K892" t="str">
        <f t="array" ref="K892">_xlfn.IFS(J892=1,"Day Use",J892&lt;=3,"Short Stay",J892&lt;=7,"Extended Stay",J892&gt;=8,"Long Stay")</f>
        <v>Short Stay</v>
      </c>
      <c r="L892" t="s">
        <v>141</v>
      </c>
      <c r="M892" s="10" t="str">
        <f t="shared" si="66"/>
        <v>Standard</v>
      </c>
      <c r="N892" t="s">
        <v>148</v>
      </c>
      <c r="O892" t="s">
        <v>27</v>
      </c>
      <c r="P892">
        <f>IFERROR(VLOOKUP(TRIM(M892),Room!D:H,5,FALSE),5000)</f>
        <v>3200</v>
      </c>
      <c r="Q892">
        <f t="shared" si="67"/>
        <v>9600</v>
      </c>
      <c r="R892" s="11" t="str">
        <f t="shared" si="68"/>
        <v>Other</v>
      </c>
      <c r="S892" s="11">
        <f t="shared" si="69"/>
        <v>2</v>
      </c>
    </row>
    <row r="893" spans="1:19">
      <c r="A893" t="s">
        <v>4749</v>
      </c>
      <c r="B893" t="s">
        <v>4750</v>
      </c>
      <c r="C893" t="s">
        <v>4751</v>
      </c>
      <c r="D893" t="s">
        <v>4752</v>
      </c>
      <c r="E893" t="s">
        <v>4753</v>
      </c>
      <c r="F893" t="s">
        <v>4754</v>
      </c>
      <c r="G893" s="4">
        <v>45336</v>
      </c>
      <c r="H893" s="4">
        <v>45374</v>
      </c>
      <c r="I893" s="4">
        <v>45386</v>
      </c>
      <c r="J893">
        <f t="shared" si="65"/>
        <v>12</v>
      </c>
      <c r="K893" t="str">
        <f t="array" ref="K893">_xlfn.IFS(J893=1,"Day Use",J893&lt;=3,"Short Stay",J893&lt;=7,"Extended Stay",J893&gt;=8,"Long Stay")</f>
        <v>Long Stay</v>
      </c>
      <c r="L893" t="s">
        <v>34</v>
      </c>
      <c r="M893" s="10" t="str">
        <f t="shared" si="66"/>
        <v>Suite</v>
      </c>
      <c r="N893" t="s">
        <v>57</v>
      </c>
      <c r="O893" t="s">
        <v>35</v>
      </c>
      <c r="P893">
        <f>IFERROR(VLOOKUP(TRIM(M893),Room!D:H,5,FALSE),5000)</f>
        <v>12500</v>
      </c>
      <c r="Q893">
        <f t="shared" si="67"/>
        <v>150000</v>
      </c>
      <c r="R893" s="11" t="str">
        <f t="shared" si="68"/>
        <v>Business</v>
      </c>
      <c r="S893" s="11">
        <f t="shared" si="69"/>
        <v>5</v>
      </c>
    </row>
    <row r="894" spans="1:19">
      <c r="A894" t="s">
        <v>4755</v>
      </c>
      <c r="B894" t="s">
        <v>4756</v>
      </c>
      <c r="C894" t="s">
        <v>661</v>
      </c>
      <c r="D894" t="s">
        <v>4757</v>
      </c>
      <c r="E894" t="s">
        <v>4758</v>
      </c>
      <c r="F894" t="s">
        <v>4759</v>
      </c>
      <c r="G894" s="4">
        <v>45664</v>
      </c>
      <c r="H894" s="4">
        <v>45690</v>
      </c>
      <c r="I894" s="4">
        <v>45692</v>
      </c>
      <c r="J894">
        <f t="shared" si="65"/>
        <v>2</v>
      </c>
      <c r="K894" t="str">
        <f t="array" ref="K894">_xlfn.IFS(J894=1,"Day Use",J894&lt;=3,"Short Stay",J894&lt;=7,"Extended Stay",J894&gt;=8,"Long Stay")</f>
        <v>Short Stay</v>
      </c>
      <c r="L894" t="s">
        <v>84</v>
      </c>
      <c r="M894" s="10" t="str">
        <f t="shared" si="66"/>
        <v>Standard</v>
      </c>
      <c r="N894" t="s">
        <v>26</v>
      </c>
      <c r="O894" t="s">
        <v>58</v>
      </c>
      <c r="P894">
        <f>IFERROR(VLOOKUP(TRIM(M894),Room!D:H,5,FALSE),5000)</f>
        <v>3200</v>
      </c>
      <c r="Q894">
        <f t="shared" si="67"/>
        <v>6400</v>
      </c>
      <c r="R894" s="11" t="str">
        <f t="shared" si="68"/>
        <v>Other</v>
      </c>
      <c r="S894" s="11">
        <f t="shared" si="69"/>
        <v>2</v>
      </c>
    </row>
    <row r="895" spans="1:19">
      <c r="A895" t="s">
        <v>4760</v>
      </c>
      <c r="B895" t="s">
        <v>4761</v>
      </c>
      <c r="C895" t="s">
        <v>2863</v>
      </c>
      <c r="D895" t="s">
        <v>4762</v>
      </c>
      <c r="E895" t="s">
        <v>4763</v>
      </c>
      <c r="F895" t="s">
        <v>4764</v>
      </c>
      <c r="G895" s="4">
        <v>45366</v>
      </c>
      <c r="H895" s="4">
        <v>45511</v>
      </c>
      <c r="I895" s="4">
        <v>45519</v>
      </c>
      <c r="J895">
        <f t="shared" si="65"/>
        <v>8</v>
      </c>
      <c r="K895" t="str">
        <f t="array" ref="K895">_xlfn.IFS(J895=1,"Day Use",J895&lt;=3,"Short Stay",J895&lt;=7,"Extended Stay",J895&gt;=8,"Long Stay")</f>
        <v>Long Stay</v>
      </c>
      <c r="L895" t="s">
        <v>34</v>
      </c>
      <c r="M895" s="10" t="str">
        <f t="shared" si="66"/>
        <v>Premium</v>
      </c>
      <c r="N895" t="s">
        <v>26</v>
      </c>
      <c r="O895" t="s">
        <v>42</v>
      </c>
      <c r="P895">
        <f>IFERROR(VLOOKUP(TRIM(M895),Room!D:H,5,FALSE),5000)</f>
        <v>9500</v>
      </c>
      <c r="Q895">
        <f t="shared" si="67"/>
        <v>76000</v>
      </c>
      <c r="R895" s="11" t="str">
        <f t="shared" si="68"/>
        <v>Conference</v>
      </c>
      <c r="S895" s="11">
        <f t="shared" si="69"/>
        <v>4</v>
      </c>
    </row>
    <row r="896" spans="1:19">
      <c r="A896" t="s">
        <v>4765</v>
      </c>
      <c r="B896" t="s">
        <v>4766</v>
      </c>
      <c r="C896" t="s">
        <v>2663</v>
      </c>
      <c r="D896" t="s">
        <v>4767</v>
      </c>
      <c r="E896" t="s">
        <v>4768</v>
      </c>
      <c r="F896" t="s">
        <v>4769</v>
      </c>
      <c r="G896" s="4">
        <v>45781</v>
      </c>
      <c r="H896" s="4">
        <v>45781</v>
      </c>
      <c r="I896" s="4">
        <v>45792</v>
      </c>
      <c r="J896">
        <f t="shared" si="65"/>
        <v>11</v>
      </c>
      <c r="K896" t="str">
        <f t="array" ref="K896">_xlfn.IFS(J896=1,"Day Use",J896&lt;=3,"Short Stay",J896&lt;=7,"Extended Stay",J896&gt;=8,"Long Stay")</f>
        <v>Long Stay</v>
      </c>
      <c r="L896" t="s">
        <v>91</v>
      </c>
      <c r="M896" s="10" t="str">
        <f t="shared" si="66"/>
        <v>Suite</v>
      </c>
      <c r="N896" t="s">
        <v>26</v>
      </c>
      <c r="O896" t="s">
        <v>42</v>
      </c>
      <c r="P896">
        <f>IFERROR(VLOOKUP(TRIM(M896),Room!D:H,5,FALSE),5000)</f>
        <v>12500</v>
      </c>
      <c r="Q896">
        <f t="shared" si="67"/>
        <v>137500</v>
      </c>
      <c r="R896" s="11" t="str">
        <f t="shared" si="68"/>
        <v>Business</v>
      </c>
      <c r="S896" s="11">
        <f t="shared" si="69"/>
        <v>5</v>
      </c>
    </row>
    <row r="897" spans="1:19">
      <c r="A897" t="s">
        <v>4770</v>
      </c>
      <c r="B897" t="s">
        <v>4771</v>
      </c>
      <c r="C897" t="s">
        <v>786</v>
      </c>
      <c r="D897" t="s">
        <v>4772</v>
      </c>
      <c r="E897" t="s">
        <v>4773</v>
      </c>
      <c r="F897" t="s">
        <v>4774</v>
      </c>
      <c r="G897" s="4">
        <v>45295</v>
      </c>
      <c r="H897" s="4">
        <v>45302</v>
      </c>
      <c r="I897" s="4">
        <v>45312</v>
      </c>
      <c r="J897">
        <f t="shared" si="65"/>
        <v>10</v>
      </c>
      <c r="K897" t="str">
        <f t="array" ref="K897">_xlfn.IFS(J897=1,"Day Use",J897&lt;=3,"Short Stay",J897&lt;=7,"Extended Stay",J897&gt;=8,"Long Stay")</f>
        <v>Long Stay</v>
      </c>
      <c r="L897" t="s">
        <v>91</v>
      </c>
      <c r="M897" s="10" t="str">
        <f t="shared" si="66"/>
        <v>Premium</v>
      </c>
      <c r="N897" t="s">
        <v>26</v>
      </c>
      <c r="O897" t="s">
        <v>27</v>
      </c>
      <c r="P897">
        <f>IFERROR(VLOOKUP(TRIM(M897),Room!D:H,5,FALSE),5000)</f>
        <v>9500</v>
      </c>
      <c r="Q897">
        <f t="shared" si="67"/>
        <v>95000</v>
      </c>
      <c r="R897" s="11" t="str">
        <f t="shared" si="68"/>
        <v>Conference</v>
      </c>
      <c r="S897" s="11">
        <f t="shared" si="69"/>
        <v>4</v>
      </c>
    </row>
    <row r="898" spans="1:19">
      <c r="A898" t="s">
        <v>4775</v>
      </c>
      <c r="B898" t="s">
        <v>4776</v>
      </c>
      <c r="C898" t="s">
        <v>241</v>
      </c>
      <c r="D898" t="s">
        <v>4777</v>
      </c>
      <c r="E898" t="s">
        <v>4778</v>
      </c>
      <c r="F898" t="s">
        <v>4779</v>
      </c>
      <c r="G898" s="4">
        <v>45511</v>
      </c>
      <c r="H898" s="4">
        <v>45907</v>
      </c>
      <c r="I898" s="4">
        <v>45918</v>
      </c>
      <c r="J898">
        <f t="shared" ref="J898:J961" si="70">I898-H898</f>
        <v>11</v>
      </c>
      <c r="K898" t="str">
        <f t="array" ref="K898">_xlfn.IFS(J898=1,"Day Use",J898&lt;=3,"Short Stay",J898&lt;=7,"Extended Stay",J898&gt;=8,"Long Stay")</f>
        <v>Long Stay</v>
      </c>
      <c r="L898" t="s">
        <v>91</v>
      </c>
      <c r="M898" s="10" t="str">
        <f t="shared" ref="M898:M961" si="71">IF($J898&lt;=3,"Standard",IF($J898&lt;=6,"Deluxe",IF($J898&lt;=10,"Premium","Suite")))</f>
        <v>Suite</v>
      </c>
      <c r="N898" t="s">
        <v>26</v>
      </c>
      <c r="O898" t="s">
        <v>58</v>
      </c>
      <c r="P898">
        <f>IFERROR(VLOOKUP(TRIM(M898),Room!D:H,5,FALSE),5000)</f>
        <v>12500</v>
      </c>
      <c r="Q898">
        <f t="shared" si="67"/>
        <v>137500</v>
      </c>
      <c r="R898" s="11" t="str">
        <f t="shared" si="68"/>
        <v>Business</v>
      </c>
      <c r="S898" s="11">
        <f t="shared" si="69"/>
        <v>5</v>
      </c>
    </row>
    <row r="899" spans="1:19">
      <c r="A899" t="s">
        <v>4780</v>
      </c>
      <c r="B899" t="s">
        <v>4781</v>
      </c>
      <c r="C899" t="s">
        <v>558</v>
      </c>
      <c r="D899" t="s">
        <v>4782</v>
      </c>
      <c r="E899" t="s">
        <v>4783</v>
      </c>
      <c r="F899" t="s">
        <v>4784</v>
      </c>
      <c r="G899" s="4">
        <v>45575</v>
      </c>
      <c r="H899" s="4">
        <v>45673</v>
      </c>
      <c r="I899" s="4">
        <v>45685</v>
      </c>
      <c r="J899">
        <f t="shared" si="70"/>
        <v>12</v>
      </c>
      <c r="K899" t="str">
        <f t="array" ref="K899">_xlfn.IFS(J899=1,"Day Use",J899&lt;=3,"Short Stay",J899&lt;=7,"Extended Stay",J899&gt;=8,"Long Stay")</f>
        <v>Long Stay</v>
      </c>
      <c r="L899" t="s">
        <v>91</v>
      </c>
      <c r="M899" s="10" t="str">
        <f t="shared" si="71"/>
        <v>Suite</v>
      </c>
      <c r="N899" t="s">
        <v>26</v>
      </c>
      <c r="O899" t="s">
        <v>27</v>
      </c>
      <c r="P899">
        <f>IFERROR(VLOOKUP(TRIM(M899),Room!D:H,5,FALSE),5000)</f>
        <v>12500</v>
      </c>
      <c r="Q899">
        <f t="shared" ref="Q899:Q962" si="72">P899*J899</f>
        <v>150000</v>
      </c>
      <c r="R899" s="11" t="str">
        <f t="shared" ref="R899:R962" si="73">IF(ISNUMBER(SEARCH("Suite",D899)),"Honeymoon",IF(P899&gt;10000,"Business",IF(P899&gt;5000,"Conference",IF(J899&gt;=8,"Family Vacation","Other"))))</f>
        <v>Business</v>
      </c>
      <c r="S899" s="11">
        <f t="shared" ref="S899:S962" si="74">IF(M899="Suite",5,IF(M899="Premium",IF(Q899&gt;20000,4,3),IF(M899="Deluxe",IF(Q899&gt;=10000,3,2),IF(M899="Standard",IF(Q899&gt;=5000,2,1),1))))</f>
        <v>5</v>
      </c>
    </row>
    <row r="900" spans="1:19">
      <c r="A900" t="s">
        <v>4785</v>
      </c>
      <c r="B900" t="s">
        <v>4786</v>
      </c>
      <c r="C900" t="s">
        <v>1431</v>
      </c>
      <c r="D900" t="s">
        <v>4787</v>
      </c>
      <c r="E900" t="s">
        <v>4788</v>
      </c>
      <c r="F900" t="s">
        <v>4789</v>
      </c>
      <c r="G900" s="4">
        <v>45399</v>
      </c>
      <c r="H900" s="4">
        <v>45406</v>
      </c>
      <c r="I900" s="4">
        <v>45409</v>
      </c>
      <c r="J900">
        <f t="shared" si="70"/>
        <v>3</v>
      </c>
      <c r="K900" t="str">
        <f t="array" ref="K900">_xlfn.IFS(J900=1,"Day Use",J900&lt;=3,"Short Stay",J900&lt;=7,"Extended Stay",J900&gt;=8,"Long Stay")</f>
        <v>Short Stay</v>
      </c>
      <c r="L900" t="s">
        <v>25</v>
      </c>
      <c r="M900" s="10" t="str">
        <f t="shared" si="71"/>
        <v>Standard</v>
      </c>
      <c r="N900" t="s">
        <v>26</v>
      </c>
      <c r="O900" t="s">
        <v>35</v>
      </c>
      <c r="P900">
        <f>IFERROR(VLOOKUP(TRIM(M900),Room!D:H,5,FALSE),5000)</f>
        <v>3200</v>
      </c>
      <c r="Q900">
        <f t="shared" si="72"/>
        <v>9600</v>
      </c>
      <c r="R900" s="11" t="str">
        <f t="shared" si="73"/>
        <v>Other</v>
      </c>
      <c r="S900" s="11">
        <f t="shared" si="74"/>
        <v>2</v>
      </c>
    </row>
    <row r="901" spans="1:19">
      <c r="A901" t="s">
        <v>4790</v>
      </c>
      <c r="B901" t="s">
        <v>4791</v>
      </c>
      <c r="C901" t="s">
        <v>2297</v>
      </c>
      <c r="D901" t="s">
        <v>4792</v>
      </c>
      <c r="E901" t="s">
        <v>4793</v>
      </c>
      <c r="F901" t="s">
        <v>4794</v>
      </c>
      <c r="G901" s="4">
        <v>45522</v>
      </c>
      <c r="H901" s="4">
        <v>45670</v>
      </c>
      <c r="I901" s="4">
        <v>45682</v>
      </c>
      <c r="J901">
        <f t="shared" si="70"/>
        <v>12</v>
      </c>
      <c r="K901" t="str">
        <f t="array" ref="K901">_xlfn.IFS(J901=1,"Day Use",J901&lt;=3,"Short Stay",J901&lt;=7,"Extended Stay",J901&gt;=8,"Long Stay")</f>
        <v>Long Stay</v>
      </c>
      <c r="L901" t="s">
        <v>91</v>
      </c>
      <c r="M901" s="10" t="str">
        <f t="shared" si="71"/>
        <v>Suite</v>
      </c>
      <c r="N901" t="s">
        <v>26</v>
      </c>
      <c r="O901" t="s">
        <v>58</v>
      </c>
      <c r="P901">
        <f>IFERROR(VLOOKUP(TRIM(M901),Room!D:H,5,FALSE),5000)</f>
        <v>12500</v>
      </c>
      <c r="Q901">
        <f t="shared" si="72"/>
        <v>150000</v>
      </c>
      <c r="R901" s="11" t="str">
        <f t="shared" si="73"/>
        <v>Business</v>
      </c>
      <c r="S901" s="11">
        <f t="shared" si="74"/>
        <v>5</v>
      </c>
    </row>
    <row r="902" spans="1:19">
      <c r="A902" t="s">
        <v>4795</v>
      </c>
      <c r="B902" t="s">
        <v>4796</v>
      </c>
      <c r="C902" t="s">
        <v>265</v>
      </c>
      <c r="D902" t="s">
        <v>4797</v>
      </c>
      <c r="E902" t="s">
        <v>4798</v>
      </c>
      <c r="F902" t="s">
        <v>4799</v>
      </c>
      <c r="G902" s="4">
        <v>45805</v>
      </c>
      <c r="H902" s="4">
        <v>45806</v>
      </c>
      <c r="I902" s="4">
        <v>45814</v>
      </c>
      <c r="J902">
        <f t="shared" si="70"/>
        <v>8</v>
      </c>
      <c r="K902" t="str">
        <f t="array" ref="K902">_xlfn.IFS(J902=1,"Day Use",J902&lt;=3,"Short Stay",J902&lt;=7,"Extended Stay",J902&gt;=8,"Long Stay")</f>
        <v>Long Stay</v>
      </c>
      <c r="L902" t="s">
        <v>141</v>
      </c>
      <c r="M902" s="10" t="str">
        <f t="shared" si="71"/>
        <v>Premium</v>
      </c>
      <c r="N902" t="s">
        <v>26</v>
      </c>
      <c r="O902" t="s">
        <v>71</v>
      </c>
      <c r="P902">
        <f>IFERROR(VLOOKUP(TRIM(M902),Room!D:H,5,FALSE),5000)</f>
        <v>9500</v>
      </c>
      <c r="Q902">
        <f t="shared" si="72"/>
        <v>76000</v>
      </c>
      <c r="R902" s="11" t="str">
        <f t="shared" si="73"/>
        <v>Conference</v>
      </c>
      <c r="S902" s="11">
        <f t="shared" si="74"/>
        <v>4</v>
      </c>
    </row>
    <row r="903" spans="1:19">
      <c r="A903" t="s">
        <v>4800</v>
      </c>
      <c r="B903" t="s">
        <v>4801</v>
      </c>
      <c r="C903" t="s">
        <v>80</v>
      </c>
      <c r="D903" t="s">
        <v>4802</v>
      </c>
      <c r="E903" t="s">
        <v>4803</v>
      </c>
      <c r="F903" t="s">
        <v>4804</v>
      </c>
      <c r="G903" s="4">
        <v>45762</v>
      </c>
      <c r="H903" s="4">
        <v>45781</v>
      </c>
      <c r="I903" s="4">
        <v>45785</v>
      </c>
      <c r="J903">
        <f t="shared" si="70"/>
        <v>4</v>
      </c>
      <c r="K903" t="str">
        <f t="array" ref="K903">_xlfn.IFS(J903=1,"Day Use",J903&lt;=3,"Short Stay",J903&lt;=7,"Extended Stay",J903&gt;=8,"Long Stay")</f>
        <v>Extended Stay</v>
      </c>
      <c r="L903" t="s">
        <v>196</v>
      </c>
      <c r="M903" s="10" t="str">
        <f t="shared" si="71"/>
        <v>Deluxe</v>
      </c>
      <c r="N903" t="s">
        <v>148</v>
      </c>
      <c r="O903" t="s">
        <v>58</v>
      </c>
      <c r="P903">
        <f>IFERROR(VLOOKUP(TRIM(M903),Room!D:H,5,FALSE),5000)</f>
        <v>5400</v>
      </c>
      <c r="Q903">
        <f t="shared" si="72"/>
        <v>21600</v>
      </c>
      <c r="R903" s="11" t="str">
        <f t="shared" si="73"/>
        <v>Conference</v>
      </c>
      <c r="S903" s="11">
        <f t="shared" si="74"/>
        <v>3</v>
      </c>
    </row>
    <row r="904" spans="1:19">
      <c r="A904" t="s">
        <v>4805</v>
      </c>
      <c r="B904" t="s">
        <v>4806</v>
      </c>
      <c r="C904" t="s">
        <v>87</v>
      </c>
      <c r="D904" t="s">
        <v>4807</v>
      </c>
      <c r="E904" t="s">
        <v>4808</v>
      </c>
      <c r="F904" t="s">
        <v>4809</v>
      </c>
      <c r="G904" s="4">
        <v>45553</v>
      </c>
      <c r="H904" s="4">
        <v>45817</v>
      </c>
      <c r="I904" s="4">
        <v>45819</v>
      </c>
      <c r="J904">
        <f t="shared" si="70"/>
        <v>2</v>
      </c>
      <c r="K904" t="str">
        <f t="array" ref="K904">_xlfn.IFS(J904=1,"Day Use",J904&lt;=3,"Short Stay",J904&lt;=7,"Extended Stay",J904&gt;=8,"Long Stay")</f>
        <v>Short Stay</v>
      </c>
      <c r="L904" t="s">
        <v>91</v>
      </c>
      <c r="M904" s="10" t="str">
        <f t="shared" si="71"/>
        <v>Standard</v>
      </c>
      <c r="N904" t="s">
        <v>26</v>
      </c>
      <c r="O904" t="s">
        <v>71</v>
      </c>
      <c r="P904">
        <f>IFERROR(VLOOKUP(TRIM(M904),Room!D:H,5,FALSE),5000)</f>
        <v>3200</v>
      </c>
      <c r="Q904">
        <f t="shared" si="72"/>
        <v>6400</v>
      </c>
      <c r="R904" s="11" t="str">
        <f t="shared" si="73"/>
        <v>Other</v>
      </c>
      <c r="S904" s="11">
        <f t="shared" si="74"/>
        <v>2</v>
      </c>
    </row>
    <row r="905" spans="1:19">
      <c r="A905" t="s">
        <v>4810</v>
      </c>
      <c r="B905" t="s">
        <v>4811</v>
      </c>
      <c r="C905" t="s">
        <v>80</v>
      </c>
      <c r="D905" t="s">
        <v>4812</v>
      </c>
      <c r="E905" t="s">
        <v>4813</v>
      </c>
      <c r="F905" t="s">
        <v>4814</v>
      </c>
      <c r="G905" s="4">
        <v>45846</v>
      </c>
      <c r="H905" s="4">
        <v>45922</v>
      </c>
      <c r="I905" s="4">
        <v>45926</v>
      </c>
      <c r="J905">
        <f t="shared" si="70"/>
        <v>4</v>
      </c>
      <c r="K905" t="str">
        <f t="array" ref="K905">_xlfn.IFS(J905=1,"Day Use",J905&lt;=3,"Short Stay",J905&lt;=7,"Extended Stay",J905&gt;=8,"Long Stay")</f>
        <v>Extended Stay</v>
      </c>
      <c r="L905" t="s">
        <v>91</v>
      </c>
      <c r="M905" s="10" t="str">
        <f t="shared" si="71"/>
        <v>Deluxe</v>
      </c>
      <c r="N905" t="s">
        <v>134</v>
      </c>
      <c r="O905" t="s">
        <v>27</v>
      </c>
      <c r="P905">
        <f>IFERROR(VLOOKUP(TRIM(M905),Room!D:H,5,FALSE),5000)</f>
        <v>5400</v>
      </c>
      <c r="Q905">
        <f t="shared" si="72"/>
        <v>21600</v>
      </c>
      <c r="R905" s="11" t="str">
        <f t="shared" si="73"/>
        <v>Conference</v>
      </c>
      <c r="S905" s="11">
        <f t="shared" si="74"/>
        <v>3</v>
      </c>
    </row>
    <row r="906" spans="1:19">
      <c r="A906" t="s">
        <v>4815</v>
      </c>
      <c r="B906" t="s">
        <v>4816</v>
      </c>
      <c r="C906" t="s">
        <v>882</v>
      </c>
      <c r="D906" t="s">
        <v>4817</v>
      </c>
      <c r="E906" t="s">
        <v>4818</v>
      </c>
      <c r="F906" t="s">
        <v>4819</v>
      </c>
      <c r="G906" s="4">
        <v>45413</v>
      </c>
      <c r="H906" s="4">
        <v>45588</v>
      </c>
      <c r="I906" s="4">
        <v>45591</v>
      </c>
      <c r="J906">
        <f t="shared" si="70"/>
        <v>3</v>
      </c>
      <c r="K906" t="str">
        <f t="array" ref="K906">_xlfn.IFS(J906=1,"Day Use",J906&lt;=3,"Short Stay",J906&lt;=7,"Extended Stay",J906&gt;=8,"Long Stay")</f>
        <v>Short Stay</v>
      </c>
      <c r="L906" t="s">
        <v>34</v>
      </c>
      <c r="M906" s="10" t="str">
        <f t="shared" si="71"/>
        <v>Standard</v>
      </c>
      <c r="N906" t="s">
        <v>26</v>
      </c>
      <c r="O906" t="s">
        <v>58</v>
      </c>
      <c r="P906">
        <f>IFERROR(VLOOKUP(TRIM(M906),Room!D:H,5,FALSE),5000)</f>
        <v>3200</v>
      </c>
      <c r="Q906">
        <f t="shared" si="72"/>
        <v>9600</v>
      </c>
      <c r="R906" s="11" t="str">
        <f t="shared" si="73"/>
        <v>Other</v>
      </c>
      <c r="S906" s="11">
        <f t="shared" si="74"/>
        <v>2</v>
      </c>
    </row>
    <row r="907" spans="1:19">
      <c r="A907" t="s">
        <v>4820</v>
      </c>
      <c r="B907" t="s">
        <v>4821</v>
      </c>
      <c r="C907" t="s">
        <v>2035</v>
      </c>
      <c r="D907" t="s">
        <v>4822</v>
      </c>
      <c r="E907" t="s">
        <v>4823</v>
      </c>
      <c r="F907" t="s">
        <v>4824</v>
      </c>
      <c r="G907" s="4">
        <v>45685</v>
      </c>
      <c r="H907" s="4">
        <v>45715</v>
      </c>
      <c r="I907" s="4">
        <v>45723</v>
      </c>
      <c r="J907">
        <f t="shared" si="70"/>
        <v>8</v>
      </c>
      <c r="K907" t="str">
        <f t="array" ref="K907">_xlfn.IFS(J907=1,"Day Use",J907&lt;=3,"Short Stay",J907&lt;=7,"Extended Stay",J907&gt;=8,"Long Stay")</f>
        <v>Long Stay</v>
      </c>
      <c r="L907" t="s">
        <v>196</v>
      </c>
      <c r="M907" s="10" t="str">
        <f t="shared" si="71"/>
        <v>Premium</v>
      </c>
      <c r="N907" t="s">
        <v>26</v>
      </c>
      <c r="O907" t="s">
        <v>35</v>
      </c>
      <c r="P907">
        <f>IFERROR(VLOOKUP(TRIM(M907),Room!D:H,5,FALSE),5000)</f>
        <v>9500</v>
      </c>
      <c r="Q907">
        <f t="shared" si="72"/>
        <v>76000</v>
      </c>
      <c r="R907" s="11" t="str">
        <f t="shared" si="73"/>
        <v>Conference</v>
      </c>
      <c r="S907" s="11">
        <f t="shared" si="74"/>
        <v>4</v>
      </c>
    </row>
    <row r="908" spans="1:19">
      <c r="A908" t="s">
        <v>4825</v>
      </c>
      <c r="B908" t="s">
        <v>4826</v>
      </c>
      <c r="C908" t="s">
        <v>1052</v>
      </c>
      <c r="D908" t="s">
        <v>4827</v>
      </c>
      <c r="E908" t="s">
        <v>4828</v>
      </c>
      <c r="F908" t="s">
        <v>4829</v>
      </c>
      <c r="G908" s="4">
        <v>45233</v>
      </c>
      <c r="H908" s="4">
        <v>45662</v>
      </c>
      <c r="I908" s="4">
        <v>45666</v>
      </c>
      <c r="J908">
        <f t="shared" si="70"/>
        <v>4</v>
      </c>
      <c r="K908" t="str">
        <f t="array" ref="K908">_xlfn.IFS(J908=1,"Day Use",J908&lt;=3,"Short Stay",J908&lt;=7,"Extended Stay",J908&gt;=8,"Long Stay")</f>
        <v>Extended Stay</v>
      </c>
      <c r="L908" t="s">
        <v>91</v>
      </c>
      <c r="M908" s="10" t="str">
        <f t="shared" si="71"/>
        <v>Deluxe</v>
      </c>
      <c r="N908" t="s">
        <v>26</v>
      </c>
      <c r="O908" t="s">
        <v>27</v>
      </c>
      <c r="P908">
        <f>IFERROR(VLOOKUP(TRIM(M908),Room!D:H,5,FALSE),5000)</f>
        <v>5400</v>
      </c>
      <c r="Q908">
        <f t="shared" si="72"/>
        <v>21600</v>
      </c>
      <c r="R908" s="11" t="str">
        <f t="shared" si="73"/>
        <v>Conference</v>
      </c>
      <c r="S908" s="11">
        <f t="shared" si="74"/>
        <v>3</v>
      </c>
    </row>
    <row r="909" spans="1:19">
      <c r="A909" t="s">
        <v>4830</v>
      </c>
      <c r="B909" t="s">
        <v>4831</v>
      </c>
      <c r="C909" t="s">
        <v>1213</v>
      </c>
      <c r="D909" t="s">
        <v>4832</v>
      </c>
      <c r="E909" t="s">
        <v>4833</v>
      </c>
      <c r="F909" t="s">
        <v>4834</v>
      </c>
      <c r="G909" s="4">
        <v>45740</v>
      </c>
      <c r="H909" s="4">
        <v>45841</v>
      </c>
      <c r="I909" s="4">
        <v>45846</v>
      </c>
      <c r="J909">
        <f t="shared" si="70"/>
        <v>5</v>
      </c>
      <c r="K909" t="str">
        <f t="array" ref="K909">_xlfn.IFS(J909=1,"Day Use",J909&lt;=3,"Short Stay",J909&lt;=7,"Extended Stay",J909&gt;=8,"Long Stay")</f>
        <v>Extended Stay</v>
      </c>
      <c r="L909" t="s">
        <v>141</v>
      </c>
      <c r="M909" s="10" t="str">
        <f t="shared" si="71"/>
        <v>Deluxe</v>
      </c>
      <c r="N909" t="s">
        <v>26</v>
      </c>
      <c r="O909" t="s">
        <v>42</v>
      </c>
      <c r="P909">
        <f>IFERROR(VLOOKUP(TRIM(M909),Room!D:H,5,FALSE),5000)</f>
        <v>5400</v>
      </c>
      <c r="Q909">
        <f t="shared" si="72"/>
        <v>27000</v>
      </c>
      <c r="R909" s="11" t="str">
        <f t="shared" si="73"/>
        <v>Conference</v>
      </c>
      <c r="S909" s="11">
        <f t="shared" si="74"/>
        <v>3</v>
      </c>
    </row>
    <row r="910" spans="1:19">
      <c r="A910" t="s">
        <v>4835</v>
      </c>
      <c r="B910" t="s">
        <v>4836</v>
      </c>
      <c r="C910" t="s">
        <v>927</v>
      </c>
      <c r="D910" t="s">
        <v>4837</v>
      </c>
      <c r="E910" t="s">
        <v>4838</v>
      </c>
      <c r="F910" t="s">
        <v>4839</v>
      </c>
      <c r="G910" s="4">
        <v>45813</v>
      </c>
      <c r="H910" s="4">
        <v>45855</v>
      </c>
      <c r="I910" s="4">
        <v>45861</v>
      </c>
      <c r="J910">
        <f t="shared" si="70"/>
        <v>6</v>
      </c>
      <c r="K910" t="str">
        <f t="array" ref="K910">_xlfn.IFS(J910=1,"Day Use",J910&lt;=3,"Short Stay",J910&lt;=7,"Extended Stay",J910&gt;=8,"Long Stay")</f>
        <v>Extended Stay</v>
      </c>
      <c r="L910" t="s">
        <v>91</v>
      </c>
      <c r="M910" s="10" t="str">
        <f t="shared" si="71"/>
        <v>Deluxe</v>
      </c>
      <c r="N910" t="s">
        <v>372</v>
      </c>
      <c r="O910" t="s">
        <v>71</v>
      </c>
      <c r="P910">
        <f>IFERROR(VLOOKUP(TRIM(M910),Room!D:H,5,FALSE),5000)</f>
        <v>5400</v>
      </c>
      <c r="Q910">
        <f t="shared" si="72"/>
        <v>32400</v>
      </c>
      <c r="R910" s="11" t="str">
        <f t="shared" si="73"/>
        <v>Conference</v>
      </c>
      <c r="S910" s="11">
        <f t="shared" si="74"/>
        <v>3</v>
      </c>
    </row>
    <row r="911" spans="1:19">
      <c r="A911" t="s">
        <v>4840</v>
      </c>
      <c r="B911" t="s">
        <v>4841</v>
      </c>
      <c r="C911" t="s">
        <v>449</v>
      </c>
      <c r="D911" t="s">
        <v>4842</v>
      </c>
      <c r="E911" t="s">
        <v>4843</v>
      </c>
      <c r="F911" t="s">
        <v>4844</v>
      </c>
      <c r="G911" s="4">
        <v>45300</v>
      </c>
      <c r="H911" s="4">
        <v>45300</v>
      </c>
      <c r="I911" s="4">
        <v>45310</v>
      </c>
      <c r="J911">
        <f t="shared" si="70"/>
        <v>10</v>
      </c>
      <c r="K911" t="str">
        <f t="array" ref="K911">_xlfn.IFS(J911=1,"Day Use",J911&lt;=3,"Short Stay",J911&lt;=7,"Extended Stay",J911&gt;=8,"Long Stay")</f>
        <v>Long Stay</v>
      </c>
      <c r="L911" t="s">
        <v>84</v>
      </c>
      <c r="M911" s="10" t="str">
        <f t="shared" si="71"/>
        <v>Premium</v>
      </c>
      <c r="N911" t="s">
        <v>57</v>
      </c>
      <c r="O911" t="s">
        <v>71</v>
      </c>
      <c r="P911">
        <f>IFERROR(VLOOKUP(TRIM(M911),Room!D:H,5,FALSE),5000)</f>
        <v>9500</v>
      </c>
      <c r="Q911">
        <f t="shared" si="72"/>
        <v>95000</v>
      </c>
      <c r="R911" s="11" t="str">
        <f t="shared" si="73"/>
        <v>Conference</v>
      </c>
      <c r="S911" s="11">
        <f t="shared" si="74"/>
        <v>4</v>
      </c>
    </row>
    <row r="912" spans="1:19">
      <c r="A912" t="s">
        <v>4845</v>
      </c>
      <c r="B912" t="s">
        <v>4846</v>
      </c>
      <c r="C912" t="s">
        <v>786</v>
      </c>
      <c r="D912" t="s">
        <v>4847</v>
      </c>
      <c r="E912" t="s">
        <v>4848</v>
      </c>
      <c r="F912" t="s">
        <v>4849</v>
      </c>
      <c r="G912" s="4">
        <v>45229</v>
      </c>
      <c r="H912" s="4">
        <v>45609</v>
      </c>
      <c r="I912" s="4">
        <v>45618</v>
      </c>
      <c r="J912">
        <f t="shared" si="70"/>
        <v>9</v>
      </c>
      <c r="K912" t="str">
        <f t="array" ref="K912">_xlfn.IFS(J912=1,"Day Use",J912&lt;=3,"Short Stay",J912&lt;=7,"Extended Stay",J912&gt;=8,"Long Stay")</f>
        <v>Long Stay</v>
      </c>
      <c r="L912" t="s">
        <v>91</v>
      </c>
      <c r="M912" s="10" t="str">
        <f t="shared" si="71"/>
        <v>Premium</v>
      </c>
      <c r="N912" t="s">
        <v>26</v>
      </c>
      <c r="O912" t="s">
        <v>27</v>
      </c>
      <c r="P912">
        <f>IFERROR(VLOOKUP(TRIM(M912),Room!D:H,5,FALSE),5000)</f>
        <v>9500</v>
      </c>
      <c r="Q912">
        <f t="shared" si="72"/>
        <v>85500</v>
      </c>
      <c r="R912" s="11" t="str">
        <f t="shared" si="73"/>
        <v>Conference</v>
      </c>
      <c r="S912" s="11">
        <f t="shared" si="74"/>
        <v>4</v>
      </c>
    </row>
    <row r="913" spans="1:19">
      <c r="A913" t="s">
        <v>4850</v>
      </c>
      <c r="B913" t="s">
        <v>4851</v>
      </c>
      <c r="C913" t="s">
        <v>865</v>
      </c>
      <c r="D913" t="s">
        <v>4852</v>
      </c>
      <c r="E913" t="s">
        <v>4853</v>
      </c>
      <c r="F913" t="s">
        <v>4854</v>
      </c>
      <c r="G913" s="4">
        <v>45699</v>
      </c>
      <c r="H913" s="4">
        <v>45803</v>
      </c>
      <c r="I913" s="4">
        <v>45815</v>
      </c>
      <c r="J913">
        <f t="shared" si="70"/>
        <v>12</v>
      </c>
      <c r="K913" t="str">
        <f t="array" ref="K913">_xlfn.IFS(J913=1,"Day Use",J913&lt;=3,"Short Stay",J913&lt;=7,"Extended Stay",J913&gt;=8,"Long Stay")</f>
        <v>Long Stay</v>
      </c>
      <c r="L913" t="s">
        <v>91</v>
      </c>
      <c r="M913" s="10" t="str">
        <f t="shared" si="71"/>
        <v>Suite</v>
      </c>
      <c r="N913" t="s">
        <v>26</v>
      </c>
      <c r="O913" t="s">
        <v>42</v>
      </c>
      <c r="P913">
        <f>IFERROR(VLOOKUP(TRIM(M913),Room!D:H,5,FALSE),5000)</f>
        <v>12500</v>
      </c>
      <c r="Q913">
        <f t="shared" si="72"/>
        <v>150000</v>
      </c>
      <c r="R913" s="11" t="str">
        <f t="shared" si="73"/>
        <v>Business</v>
      </c>
      <c r="S913" s="11">
        <f t="shared" si="74"/>
        <v>5</v>
      </c>
    </row>
    <row r="914" spans="1:19">
      <c r="A914" t="s">
        <v>4855</v>
      </c>
      <c r="B914" t="s">
        <v>4856</v>
      </c>
      <c r="C914" t="s">
        <v>4751</v>
      </c>
      <c r="D914" t="s">
        <v>4857</v>
      </c>
      <c r="E914" t="s">
        <v>4858</v>
      </c>
      <c r="F914" t="s">
        <v>4859</v>
      </c>
      <c r="G914" s="4">
        <v>45211</v>
      </c>
      <c r="H914" s="4">
        <v>45431</v>
      </c>
      <c r="I914" s="4">
        <v>45439</v>
      </c>
      <c r="J914">
        <f t="shared" si="70"/>
        <v>8</v>
      </c>
      <c r="K914" t="str">
        <f t="array" ref="K914">_xlfn.IFS(J914=1,"Day Use",J914&lt;=3,"Short Stay",J914&lt;=7,"Extended Stay",J914&gt;=8,"Long Stay")</f>
        <v>Long Stay</v>
      </c>
      <c r="L914" t="s">
        <v>34</v>
      </c>
      <c r="M914" s="10" t="str">
        <f t="shared" si="71"/>
        <v>Premium</v>
      </c>
      <c r="N914" t="s">
        <v>57</v>
      </c>
      <c r="O914" t="s">
        <v>42</v>
      </c>
      <c r="P914">
        <f>IFERROR(VLOOKUP(TRIM(M914),Room!D:H,5,FALSE),5000)</f>
        <v>9500</v>
      </c>
      <c r="Q914">
        <f t="shared" si="72"/>
        <v>76000</v>
      </c>
      <c r="R914" s="11" t="str">
        <f t="shared" si="73"/>
        <v>Conference</v>
      </c>
      <c r="S914" s="11">
        <f t="shared" si="74"/>
        <v>4</v>
      </c>
    </row>
    <row r="915" spans="1:19">
      <c r="A915" t="s">
        <v>4860</v>
      </c>
      <c r="B915" t="s">
        <v>4861</v>
      </c>
      <c r="C915" t="s">
        <v>1757</v>
      </c>
      <c r="D915" t="s">
        <v>4862</v>
      </c>
      <c r="E915" t="s">
        <v>4863</v>
      </c>
      <c r="F915" t="s">
        <v>4864</v>
      </c>
      <c r="G915" s="4">
        <v>45394</v>
      </c>
      <c r="H915" s="4">
        <v>45402</v>
      </c>
      <c r="I915" s="4">
        <v>45408</v>
      </c>
      <c r="J915">
        <f t="shared" si="70"/>
        <v>6</v>
      </c>
      <c r="K915" t="str">
        <f t="array" ref="K915">_xlfn.IFS(J915=1,"Day Use",J915&lt;=3,"Short Stay",J915&lt;=7,"Extended Stay",J915&gt;=8,"Long Stay")</f>
        <v>Extended Stay</v>
      </c>
      <c r="L915" t="s">
        <v>196</v>
      </c>
      <c r="M915" s="10" t="str">
        <f t="shared" si="71"/>
        <v>Deluxe</v>
      </c>
      <c r="N915" t="s">
        <v>26</v>
      </c>
      <c r="O915" t="s">
        <v>35</v>
      </c>
      <c r="P915">
        <f>IFERROR(VLOOKUP(TRIM(M915),Room!D:H,5,FALSE),5000)</f>
        <v>5400</v>
      </c>
      <c r="Q915">
        <f t="shared" si="72"/>
        <v>32400</v>
      </c>
      <c r="R915" s="11" t="str">
        <f t="shared" si="73"/>
        <v>Conference</v>
      </c>
      <c r="S915" s="11">
        <f t="shared" si="74"/>
        <v>3</v>
      </c>
    </row>
    <row r="916" spans="1:19">
      <c r="A916" t="s">
        <v>4865</v>
      </c>
      <c r="B916" t="s">
        <v>4866</v>
      </c>
      <c r="C916" t="s">
        <v>871</v>
      </c>
      <c r="D916" t="s">
        <v>4867</v>
      </c>
      <c r="E916" t="s">
        <v>4868</v>
      </c>
      <c r="F916" t="s">
        <v>4869</v>
      </c>
      <c r="G916" s="4">
        <v>45612</v>
      </c>
      <c r="H916" s="4">
        <v>45918</v>
      </c>
      <c r="I916" s="4">
        <v>45932</v>
      </c>
      <c r="J916">
        <f t="shared" si="70"/>
        <v>14</v>
      </c>
      <c r="K916" t="str">
        <f t="array" ref="K916">_xlfn.IFS(J916=1,"Day Use",J916&lt;=3,"Short Stay",J916&lt;=7,"Extended Stay",J916&gt;=8,"Long Stay")</f>
        <v>Long Stay</v>
      </c>
      <c r="L916" t="s">
        <v>141</v>
      </c>
      <c r="M916" s="10" t="str">
        <f t="shared" si="71"/>
        <v>Suite</v>
      </c>
      <c r="N916" t="s">
        <v>26</v>
      </c>
      <c r="O916" t="s">
        <v>27</v>
      </c>
      <c r="P916">
        <f>IFERROR(VLOOKUP(TRIM(M916),Room!D:H,5,FALSE),5000)</f>
        <v>12500</v>
      </c>
      <c r="Q916">
        <f t="shared" si="72"/>
        <v>175000</v>
      </c>
      <c r="R916" s="11" t="str">
        <f t="shared" si="73"/>
        <v>Business</v>
      </c>
      <c r="S916" s="11">
        <f t="shared" si="74"/>
        <v>5</v>
      </c>
    </row>
    <row r="917" spans="1:19">
      <c r="A917" t="s">
        <v>4870</v>
      </c>
      <c r="B917" t="s">
        <v>4871</v>
      </c>
      <c r="C917" t="s">
        <v>847</v>
      </c>
      <c r="D917" t="s">
        <v>4872</v>
      </c>
      <c r="E917" t="s">
        <v>4873</v>
      </c>
      <c r="F917" t="s">
        <v>4874</v>
      </c>
      <c r="G917" s="4">
        <v>45387</v>
      </c>
      <c r="H917" s="4">
        <v>45509</v>
      </c>
      <c r="I917" s="4">
        <v>45512</v>
      </c>
      <c r="J917">
        <f t="shared" si="70"/>
        <v>3</v>
      </c>
      <c r="K917" t="str">
        <f t="array" ref="K917">_xlfn.IFS(J917=1,"Day Use",J917&lt;=3,"Short Stay",J917&lt;=7,"Extended Stay",J917&gt;=8,"Long Stay")</f>
        <v>Short Stay</v>
      </c>
      <c r="L917" t="s">
        <v>25</v>
      </c>
      <c r="M917" s="10" t="str">
        <f t="shared" si="71"/>
        <v>Standard</v>
      </c>
      <c r="N917" t="s">
        <v>26</v>
      </c>
      <c r="O917" t="s">
        <v>71</v>
      </c>
      <c r="P917">
        <f>IFERROR(VLOOKUP(TRIM(M917),Room!D:H,5,FALSE),5000)</f>
        <v>3200</v>
      </c>
      <c r="Q917">
        <f t="shared" si="72"/>
        <v>9600</v>
      </c>
      <c r="R917" s="11" t="str">
        <f t="shared" si="73"/>
        <v>Other</v>
      </c>
      <c r="S917" s="11">
        <f t="shared" si="74"/>
        <v>2</v>
      </c>
    </row>
    <row r="918" spans="1:19">
      <c r="A918" t="s">
        <v>4875</v>
      </c>
      <c r="B918" t="s">
        <v>4876</v>
      </c>
      <c r="C918" t="s">
        <v>241</v>
      </c>
      <c r="D918" t="s">
        <v>4877</v>
      </c>
      <c r="E918" t="s">
        <v>4878</v>
      </c>
      <c r="F918" t="s">
        <v>4879</v>
      </c>
      <c r="G918" s="4">
        <v>45403</v>
      </c>
      <c r="H918" s="4">
        <v>45505</v>
      </c>
      <c r="I918" s="4">
        <v>45506</v>
      </c>
      <c r="J918">
        <f t="shared" si="70"/>
        <v>1</v>
      </c>
      <c r="K918" t="str">
        <f t="array" ref="K918">_xlfn.IFS(J918=1,"Day Use",J918&lt;=3,"Short Stay",J918&lt;=7,"Extended Stay",J918&gt;=8,"Long Stay")</f>
        <v>Day Use</v>
      </c>
      <c r="L918" t="s">
        <v>196</v>
      </c>
      <c r="M918" s="10" t="str">
        <f t="shared" si="71"/>
        <v>Standard</v>
      </c>
      <c r="N918" t="s">
        <v>26</v>
      </c>
      <c r="O918" t="s">
        <v>27</v>
      </c>
      <c r="P918">
        <f>IFERROR(VLOOKUP(TRIM(M918),Room!D:H,5,FALSE),5000)</f>
        <v>3200</v>
      </c>
      <c r="Q918">
        <f t="shared" si="72"/>
        <v>3200</v>
      </c>
      <c r="R918" s="11" t="str">
        <f t="shared" si="73"/>
        <v>Other</v>
      </c>
      <c r="S918" s="11">
        <f t="shared" si="74"/>
        <v>1</v>
      </c>
    </row>
    <row r="919" spans="1:19">
      <c r="A919" t="s">
        <v>4880</v>
      </c>
      <c r="B919" t="s">
        <v>4881</v>
      </c>
      <c r="C919" t="s">
        <v>192</v>
      </c>
      <c r="D919" t="s">
        <v>4882</v>
      </c>
      <c r="E919" t="s">
        <v>4883</v>
      </c>
      <c r="F919" t="s">
        <v>4884</v>
      </c>
      <c r="G919" s="4">
        <v>45413</v>
      </c>
      <c r="H919" s="4">
        <v>45713</v>
      </c>
      <c r="I919" s="4">
        <v>45715</v>
      </c>
      <c r="J919">
        <f t="shared" si="70"/>
        <v>2</v>
      </c>
      <c r="K919" t="str">
        <f t="array" ref="K919">_xlfn.IFS(J919=1,"Day Use",J919&lt;=3,"Short Stay",J919&lt;=7,"Extended Stay",J919&gt;=8,"Long Stay")</f>
        <v>Short Stay</v>
      </c>
      <c r="L919" t="s">
        <v>141</v>
      </c>
      <c r="M919" s="10" t="str">
        <f t="shared" si="71"/>
        <v>Standard</v>
      </c>
      <c r="N919" t="s">
        <v>26</v>
      </c>
      <c r="O919" t="s">
        <v>35</v>
      </c>
      <c r="P919">
        <f>IFERROR(VLOOKUP(TRIM(M919),Room!D:H,5,FALSE),5000)</f>
        <v>3200</v>
      </c>
      <c r="Q919">
        <f t="shared" si="72"/>
        <v>6400</v>
      </c>
      <c r="R919" s="11" t="str">
        <f t="shared" si="73"/>
        <v>Other</v>
      </c>
      <c r="S919" s="11">
        <f t="shared" si="74"/>
        <v>2</v>
      </c>
    </row>
    <row r="920" spans="1:19">
      <c r="A920" t="s">
        <v>4885</v>
      </c>
      <c r="B920" t="s">
        <v>4886</v>
      </c>
      <c r="C920" t="s">
        <v>288</v>
      </c>
      <c r="D920" t="s">
        <v>4887</v>
      </c>
      <c r="E920" t="s">
        <v>4888</v>
      </c>
      <c r="F920" t="s">
        <v>4889</v>
      </c>
      <c r="G920" s="4">
        <v>45438</v>
      </c>
      <c r="H920" s="4">
        <v>45440</v>
      </c>
      <c r="I920" s="4">
        <v>45445</v>
      </c>
      <c r="J920">
        <f t="shared" si="70"/>
        <v>5</v>
      </c>
      <c r="K920" t="str">
        <f t="array" ref="K920">_xlfn.IFS(J920=1,"Day Use",J920&lt;=3,"Short Stay",J920&lt;=7,"Extended Stay",J920&gt;=8,"Long Stay")</f>
        <v>Extended Stay</v>
      </c>
      <c r="L920" t="s">
        <v>34</v>
      </c>
      <c r="M920" s="10" t="str">
        <f t="shared" si="71"/>
        <v>Deluxe</v>
      </c>
      <c r="N920" t="s">
        <v>26</v>
      </c>
      <c r="O920" t="s">
        <v>71</v>
      </c>
      <c r="P920">
        <f>IFERROR(VLOOKUP(TRIM(M920),Room!D:H,5,FALSE),5000)</f>
        <v>5400</v>
      </c>
      <c r="Q920">
        <f t="shared" si="72"/>
        <v>27000</v>
      </c>
      <c r="R920" s="11" t="str">
        <f t="shared" si="73"/>
        <v>Conference</v>
      </c>
      <c r="S920" s="11">
        <f t="shared" si="74"/>
        <v>3</v>
      </c>
    </row>
    <row r="921" spans="1:19">
      <c r="A921" t="s">
        <v>4890</v>
      </c>
      <c r="B921" t="s">
        <v>4891</v>
      </c>
      <c r="C921" t="s">
        <v>4892</v>
      </c>
      <c r="D921" t="s">
        <v>4893</v>
      </c>
      <c r="E921" t="s">
        <v>4894</v>
      </c>
      <c r="F921" t="s">
        <v>4895</v>
      </c>
      <c r="G921" s="4">
        <v>45338</v>
      </c>
      <c r="H921" s="4">
        <v>45349</v>
      </c>
      <c r="I921" s="4">
        <v>45352</v>
      </c>
      <c r="J921">
        <f t="shared" si="70"/>
        <v>3</v>
      </c>
      <c r="K921" t="str">
        <f t="array" ref="K921">_xlfn.IFS(J921=1,"Day Use",J921&lt;=3,"Short Stay",J921&lt;=7,"Extended Stay",J921&gt;=8,"Long Stay")</f>
        <v>Short Stay</v>
      </c>
      <c r="L921" t="s">
        <v>141</v>
      </c>
      <c r="M921" s="10" t="str">
        <f t="shared" si="71"/>
        <v>Standard</v>
      </c>
      <c r="N921" t="s">
        <v>26</v>
      </c>
      <c r="O921" t="s">
        <v>35</v>
      </c>
      <c r="P921">
        <f>IFERROR(VLOOKUP(TRIM(M921),Room!D:H,5,FALSE),5000)</f>
        <v>3200</v>
      </c>
      <c r="Q921">
        <f t="shared" si="72"/>
        <v>9600</v>
      </c>
      <c r="R921" s="11" t="str">
        <f t="shared" si="73"/>
        <v>Other</v>
      </c>
      <c r="S921" s="11">
        <f t="shared" si="74"/>
        <v>2</v>
      </c>
    </row>
    <row r="922" spans="1:19">
      <c r="A922" t="s">
        <v>4896</v>
      </c>
      <c r="B922" t="s">
        <v>4897</v>
      </c>
      <c r="C922" t="s">
        <v>1626</v>
      </c>
      <c r="D922" t="s">
        <v>4898</v>
      </c>
      <c r="E922" t="s">
        <v>4899</v>
      </c>
      <c r="F922" t="s">
        <v>4900</v>
      </c>
      <c r="G922" s="4">
        <v>45713</v>
      </c>
      <c r="H922" s="4">
        <v>45723</v>
      </c>
      <c r="I922" s="4">
        <v>45728</v>
      </c>
      <c r="J922">
        <f t="shared" si="70"/>
        <v>5</v>
      </c>
      <c r="K922" t="str">
        <f t="array" ref="K922">_xlfn.IFS(J922=1,"Day Use",J922&lt;=3,"Short Stay",J922&lt;=7,"Extended Stay",J922&gt;=8,"Long Stay")</f>
        <v>Extended Stay</v>
      </c>
      <c r="L922" t="s">
        <v>141</v>
      </c>
      <c r="M922" s="10" t="str">
        <f t="shared" si="71"/>
        <v>Deluxe</v>
      </c>
      <c r="N922" t="s">
        <v>134</v>
      </c>
      <c r="O922" t="s">
        <v>35</v>
      </c>
      <c r="P922">
        <f>IFERROR(VLOOKUP(TRIM(M922),Room!D:H,5,FALSE),5000)</f>
        <v>5400</v>
      </c>
      <c r="Q922">
        <f t="shared" si="72"/>
        <v>27000</v>
      </c>
      <c r="R922" s="11" t="str">
        <f t="shared" si="73"/>
        <v>Conference</v>
      </c>
      <c r="S922" s="11">
        <f t="shared" si="74"/>
        <v>3</v>
      </c>
    </row>
    <row r="923" spans="1:19">
      <c r="A923" t="s">
        <v>4901</v>
      </c>
      <c r="B923" t="s">
        <v>4902</v>
      </c>
      <c r="C923" t="s">
        <v>294</v>
      </c>
      <c r="D923" t="s">
        <v>4903</v>
      </c>
      <c r="E923" t="s">
        <v>4904</v>
      </c>
      <c r="F923" t="s">
        <v>4905</v>
      </c>
      <c r="G923" s="4">
        <v>45323</v>
      </c>
      <c r="H923" s="4">
        <v>45344</v>
      </c>
      <c r="I923" s="4">
        <v>45350</v>
      </c>
      <c r="J923">
        <f t="shared" si="70"/>
        <v>6</v>
      </c>
      <c r="K923" t="str">
        <f t="array" ref="K923">_xlfn.IFS(J923=1,"Day Use",J923&lt;=3,"Short Stay",J923&lt;=7,"Extended Stay",J923&gt;=8,"Long Stay")</f>
        <v>Extended Stay</v>
      </c>
      <c r="L923" t="s">
        <v>49</v>
      </c>
      <c r="M923" s="10" t="str">
        <f t="shared" si="71"/>
        <v>Deluxe</v>
      </c>
      <c r="N923" t="s">
        <v>26</v>
      </c>
      <c r="O923" t="s">
        <v>35</v>
      </c>
      <c r="P923">
        <f>IFERROR(VLOOKUP(TRIM(M923),Room!D:H,5,FALSE),5000)</f>
        <v>5400</v>
      </c>
      <c r="Q923">
        <f t="shared" si="72"/>
        <v>32400</v>
      </c>
      <c r="R923" s="11" t="str">
        <f t="shared" si="73"/>
        <v>Conference</v>
      </c>
      <c r="S923" s="11">
        <f t="shared" si="74"/>
        <v>3</v>
      </c>
    </row>
    <row r="924" spans="1:19">
      <c r="A924" t="s">
        <v>4906</v>
      </c>
      <c r="B924" t="s">
        <v>4907</v>
      </c>
      <c r="C924" t="s">
        <v>2297</v>
      </c>
      <c r="D924" t="s">
        <v>4908</v>
      </c>
      <c r="E924" t="s">
        <v>4909</v>
      </c>
      <c r="F924" t="s">
        <v>4910</v>
      </c>
      <c r="G924" s="4">
        <v>45516</v>
      </c>
      <c r="H924" s="4">
        <v>45570</v>
      </c>
      <c r="I924" s="4">
        <v>45581</v>
      </c>
      <c r="J924">
        <f t="shared" si="70"/>
        <v>11</v>
      </c>
      <c r="K924" t="str">
        <f t="array" ref="K924">_xlfn.IFS(J924=1,"Day Use",J924&lt;=3,"Short Stay",J924&lt;=7,"Extended Stay",J924&gt;=8,"Long Stay")</f>
        <v>Long Stay</v>
      </c>
      <c r="L924" t="s">
        <v>84</v>
      </c>
      <c r="M924" s="10" t="str">
        <f t="shared" si="71"/>
        <v>Suite</v>
      </c>
      <c r="N924" t="s">
        <v>26</v>
      </c>
      <c r="O924" t="s">
        <v>58</v>
      </c>
      <c r="P924">
        <f>IFERROR(VLOOKUP(TRIM(M924),Room!D:H,5,FALSE),5000)</f>
        <v>12500</v>
      </c>
      <c r="Q924">
        <f t="shared" si="72"/>
        <v>137500</v>
      </c>
      <c r="R924" s="11" t="str">
        <f t="shared" si="73"/>
        <v>Business</v>
      </c>
      <c r="S924" s="11">
        <f t="shared" si="74"/>
        <v>5</v>
      </c>
    </row>
    <row r="925" spans="1:19">
      <c r="A925" t="s">
        <v>4911</v>
      </c>
      <c r="B925" t="s">
        <v>4912</v>
      </c>
      <c r="C925" t="s">
        <v>2143</v>
      </c>
      <c r="D925" t="s">
        <v>4913</v>
      </c>
      <c r="E925" t="s">
        <v>4914</v>
      </c>
      <c r="F925" t="s">
        <v>4915</v>
      </c>
      <c r="G925" s="4">
        <v>45256</v>
      </c>
      <c r="H925" s="4">
        <v>45660</v>
      </c>
      <c r="I925" s="4">
        <v>45661</v>
      </c>
      <c r="J925">
        <f t="shared" si="70"/>
        <v>1</v>
      </c>
      <c r="K925" t="str">
        <f t="array" ref="K925">_xlfn.IFS(J925=1,"Day Use",J925&lt;=3,"Short Stay",J925&lt;=7,"Extended Stay",J925&gt;=8,"Long Stay")</f>
        <v>Day Use</v>
      </c>
      <c r="L925" t="s">
        <v>34</v>
      </c>
      <c r="M925" s="10" t="str">
        <f t="shared" si="71"/>
        <v>Standard</v>
      </c>
      <c r="N925" t="s">
        <v>26</v>
      </c>
      <c r="O925" t="s">
        <v>27</v>
      </c>
      <c r="P925">
        <f>IFERROR(VLOOKUP(TRIM(M925),Room!D:H,5,FALSE),5000)</f>
        <v>3200</v>
      </c>
      <c r="Q925">
        <f t="shared" si="72"/>
        <v>3200</v>
      </c>
      <c r="R925" s="11" t="str">
        <f t="shared" si="73"/>
        <v>Other</v>
      </c>
      <c r="S925" s="11">
        <f t="shared" si="74"/>
        <v>1</v>
      </c>
    </row>
    <row r="926" spans="1:19">
      <c r="A926" t="s">
        <v>4916</v>
      </c>
      <c r="B926" t="s">
        <v>4917</v>
      </c>
      <c r="C926" t="s">
        <v>1036</v>
      </c>
      <c r="D926" t="s">
        <v>4918</v>
      </c>
      <c r="E926" t="s">
        <v>4919</v>
      </c>
      <c r="F926" t="s">
        <v>4920</v>
      </c>
      <c r="G926" s="4">
        <v>45361</v>
      </c>
      <c r="H926" s="4">
        <v>45390</v>
      </c>
      <c r="I926" s="4">
        <v>45400</v>
      </c>
      <c r="J926">
        <f t="shared" si="70"/>
        <v>10</v>
      </c>
      <c r="K926" t="str">
        <f t="array" ref="K926">_xlfn.IFS(J926=1,"Day Use",J926&lt;=3,"Short Stay",J926&lt;=7,"Extended Stay",J926&gt;=8,"Long Stay")</f>
        <v>Long Stay</v>
      </c>
      <c r="L926" t="s">
        <v>49</v>
      </c>
      <c r="M926" s="10" t="str">
        <f t="shared" si="71"/>
        <v>Premium</v>
      </c>
      <c r="N926" t="s">
        <v>26</v>
      </c>
      <c r="O926" t="s">
        <v>71</v>
      </c>
      <c r="P926">
        <f>IFERROR(VLOOKUP(TRIM(M926),Room!D:H,5,FALSE),5000)</f>
        <v>9500</v>
      </c>
      <c r="Q926">
        <f t="shared" si="72"/>
        <v>95000</v>
      </c>
      <c r="R926" s="11" t="str">
        <f t="shared" si="73"/>
        <v>Conference</v>
      </c>
      <c r="S926" s="11">
        <f t="shared" si="74"/>
        <v>4</v>
      </c>
    </row>
    <row r="927" spans="1:19">
      <c r="A927" t="s">
        <v>4921</v>
      </c>
      <c r="B927" t="s">
        <v>4922</v>
      </c>
      <c r="C927" t="s">
        <v>2154</v>
      </c>
      <c r="D927" t="s">
        <v>4923</v>
      </c>
      <c r="E927" t="s">
        <v>4924</v>
      </c>
      <c r="F927" t="s">
        <v>4925</v>
      </c>
      <c r="G927" s="4">
        <v>45218</v>
      </c>
      <c r="H927" s="4">
        <v>45898</v>
      </c>
      <c r="I927" s="4">
        <v>45900</v>
      </c>
      <c r="J927">
        <f t="shared" si="70"/>
        <v>2</v>
      </c>
      <c r="K927" t="str">
        <f t="array" ref="K927">_xlfn.IFS(J927=1,"Day Use",J927&lt;=3,"Short Stay",J927&lt;=7,"Extended Stay",J927&gt;=8,"Long Stay")</f>
        <v>Short Stay</v>
      </c>
      <c r="L927" t="s">
        <v>56</v>
      </c>
      <c r="M927" s="10" t="str">
        <f t="shared" si="71"/>
        <v>Standard</v>
      </c>
      <c r="N927" t="s">
        <v>26</v>
      </c>
      <c r="O927" t="s">
        <v>27</v>
      </c>
      <c r="P927">
        <f>IFERROR(VLOOKUP(TRIM(M927),Room!D:H,5,FALSE),5000)</f>
        <v>3200</v>
      </c>
      <c r="Q927">
        <f t="shared" si="72"/>
        <v>6400</v>
      </c>
      <c r="R927" s="11" t="str">
        <f t="shared" si="73"/>
        <v>Other</v>
      </c>
      <c r="S927" s="11">
        <f t="shared" si="74"/>
        <v>2</v>
      </c>
    </row>
    <row r="928" spans="1:19">
      <c r="A928" t="s">
        <v>4926</v>
      </c>
      <c r="B928" t="s">
        <v>4927</v>
      </c>
      <c r="C928" t="s">
        <v>1660</v>
      </c>
      <c r="D928" t="s">
        <v>4928</v>
      </c>
      <c r="E928" t="s">
        <v>4929</v>
      </c>
      <c r="F928" t="s">
        <v>4930</v>
      </c>
      <c r="G928" s="4">
        <v>45338</v>
      </c>
      <c r="H928" s="4">
        <v>45342</v>
      </c>
      <c r="I928" s="4">
        <v>45349</v>
      </c>
      <c r="J928">
        <f t="shared" si="70"/>
        <v>7</v>
      </c>
      <c r="K928" t="str">
        <f t="array" ref="K928">_xlfn.IFS(J928=1,"Day Use",J928&lt;=3,"Short Stay",J928&lt;=7,"Extended Stay",J928&gt;=8,"Long Stay")</f>
        <v>Extended Stay</v>
      </c>
      <c r="L928" t="s">
        <v>84</v>
      </c>
      <c r="M928" s="10" t="str">
        <f t="shared" si="71"/>
        <v>Premium</v>
      </c>
      <c r="N928" t="s">
        <v>26</v>
      </c>
      <c r="O928" t="s">
        <v>71</v>
      </c>
      <c r="P928">
        <f>IFERROR(VLOOKUP(TRIM(M928),Room!D:H,5,FALSE),5000)</f>
        <v>9500</v>
      </c>
      <c r="Q928">
        <f t="shared" si="72"/>
        <v>66500</v>
      </c>
      <c r="R928" s="11" t="str">
        <f t="shared" si="73"/>
        <v>Conference</v>
      </c>
      <c r="S928" s="11">
        <f t="shared" si="74"/>
        <v>4</v>
      </c>
    </row>
    <row r="929" spans="1:19">
      <c r="A929" t="s">
        <v>4931</v>
      </c>
      <c r="B929" t="s">
        <v>4932</v>
      </c>
      <c r="C929" t="s">
        <v>1014</v>
      </c>
      <c r="D929" t="s">
        <v>4933</v>
      </c>
      <c r="E929" t="s">
        <v>4934</v>
      </c>
      <c r="F929" t="s">
        <v>4935</v>
      </c>
      <c r="G929" s="4">
        <v>45455</v>
      </c>
      <c r="H929" s="4">
        <v>45794</v>
      </c>
      <c r="I929" s="4">
        <v>45803</v>
      </c>
      <c r="J929">
        <f t="shared" si="70"/>
        <v>9</v>
      </c>
      <c r="K929" t="str">
        <f t="array" ref="K929">_xlfn.IFS(J929=1,"Day Use",J929&lt;=3,"Short Stay",J929&lt;=7,"Extended Stay",J929&gt;=8,"Long Stay")</f>
        <v>Long Stay</v>
      </c>
      <c r="L929" t="s">
        <v>56</v>
      </c>
      <c r="M929" s="10" t="str">
        <f t="shared" si="71"/>
        <v>Premium</v>
      </c>
      <c r="N929" t="s">
        <v>26</v>
      </c>
      <c r="O929" t="s">
        <v>58</v>
      </c>
      <c r="P929">
        <f>IFERROR(VLOOKUP(TRIM(M929),Room!D:H,5,FALSE),5000)</f>
        <v>9500</v>
      </c>
      <c r="Q929">
        <f t="shared" si="72"/>
        <v>85500</v>
      </c>
      <c r="R929" s="11" t="str">
        <f t="shared" si="73"/>
        <v>Conference</v>
      </c>
      <c r="S929" s="11">
        <f t="shared" si="74"/>
        <v>4</v>
      </c>
    </row>
    <row r="930" spans="1:19">
      <c r="A930" t="s">
        <v>4936</v>
      </c>
      <c r="B930" t="s">
        <v>4937</v>
      </c>
      <c r="C930" t="s">
        <v>1594</v>
      </c>
      <c r="D930" t="s">
        <v>4938</v>
      </c>
      <c r="E930" t="s">
        <v>4939</v>
      </c>
      <c r="F930" t="s">
        <v>4940</v>
      </c>
      <c r="G930" s="4">
        <v>45623</v>
      </c>
      <c r="H930" s="4">
        <v>45836</v>
      </c>
      <c r="I930" s="4">
        <v>45837</v>
      </c>
      <c r="J930">
        <f t="shared" si="70"/>
        <v>1</v>
      </c>
      <c r="K930" t="str">
        <f t="array" ref="K930">_xlfn.IFS(J930=1,"Day Use",J930&lt;=3,"Short Stay",J930&lt;=7,"Extended Stay",J930&gt;=8,"Long Stay")</f>
        <v>Day Use</v>
      </c>
      <c r="L930" t="s">
        <v>34</v>
      </c>
      <c r="M930" s="10" t="str">
        <f t="shared" si="71"/>
        <v>Standard</v>
      </c>
      <c r="N930" t="s">
        <v>26</v>
      </c>
      <c r="O930" t="s">
        <v>27</v>
      </c>
      <c r="P930">
        <f>IFERROR(VLOOKUP(TRIM(M930),Room!D:H,5,FALSE),5000)</f>
        <v>3200</v>
      </c>
      <c r="Q930">
        <f t="shared" si="72"/>
        <v>3200</v>
      </c>
      <c r="R930" s="11" t="str">
        <f t="shared" si="73"/>
        <v>Other</v>
      </c>
      <c r="S930" s="11">
        <f t="shared" si="74"/>
        <v>1</v>
      </c>
    </row>
    <row r="931" spans="1:19">
      <c r="A931" t="s">
        <v>4941</v>
      </c>
      <c r="B931" t="s">
        <v>4942</v>
      </c>
      <c r="C931" t="s">
        <v>163</v>
      </c>
      <c r="D931" t="s">
        <v>4943</v>
      </c>
      <c r="E931" t="s">
        <v>4944</v>
      </c>
      <c r="F931" t="s">
        <v>4945</v>
      </c>
      <c r="G931" s="4">
        <v>45254</v>
      </c>
      <c r="H931" s="4">
        <v>45386</v>
      </c>
      <c r="I931" s="4">
        <v>45400</v>
      </c>
      <c r="J931">
        <f t="shared" si="70"/>
        <v>14</v>
      </c>
      <c r="K931" t="str">
        <f t="array" ref="K931">_xlfn.IFS(J931=1,"Day Use",J931&lt;=3,"Short Stay",J931&lt;=7,"Extended Stay",J931&gt;=8,"Long Stay")</f>
        <v>Long Stay</v>
      </c>
      <c r="L931" t="s">
        <v>34</v>
      </c>
      <c r="M931" s="10" t="str">
        <f t="shared" si="71"/>
        <v>Suite</v>
      </c>
      <c r="N931" t="s">
        <v>26</v>
      </c>
      <c r="O931" t="s">
        <v>27</v>
      </c>
      <c r="P931">
        <f>IFERROR(VLOOKUP(TRIM(M931),Room!D:H,5,FALSE),5000)</f>
        <v>12500</v>
      </c>
      <c r="Q931">
        <f t="shared" si="72"/>
        <v>175000</v>
      </c>
      <c r="R931" s="11" t="str">
        <f t="shared" si="73"/>
        <v>Business</v>
      </c>
      <c r="S931" s="11">
        <f t="shared" si="74"/>
        <v>5</v>
      </c>
    </row>
    <row r="932" spans="1:19">
      <c r="A932" t="s">
        <v>4946</v>
      </c>
      <c r="B932" t="s">
        <v>4947</v>
      </c>
      <c r="C932" t="s">
        <v>21</v>
      </c>
      <c r="D932" t="s">
        <v>4948</v>
      </c>
      <c r="E932" t="s">
        <v>4949</v>
      </c>
      <c r="F932" t="s">
        <v>4950</v>
      </c>
      <c r="G932" s="4">
        <v>45309</v>
      </c>
      <c r="H932" s="4">
        <v>45580</v>
      </c>
      <c r="I932" s="4">
        <v>45589</v>
      </c>
      <c r="J932">
        <f t="shared" si="70"/>
        <v>9</v>
      </c>
      <c r="K932" t="str">
        <f t="array" ref="K932">_xlfn.IFS(J932=1,"Day Use",J932&lt;=3,"Short Stay",J932&lt;=7,"Extended Stay",J932&gt;=8,"Long Stay")</f>
        <v>Long Stay</v>
      </c>
      <c r="L932" t="s">
        <v>141</v>
      </c>
      <c r="M932" s="10" t="str">
        <f t="shared" si="71"/>
        <v>Premium</v>
      </c>
      <c r="N932" t="s">
        <v>26</v>
      </c>
      <c r="O932" t="s">
        <v>35</v>
      </c>
      <c r="P932">
        <f>IFERROR(VLOOKUP(TRIM(M932),Room!D:H,5,FALSE),5000)</f>
        <v>9500</v>
      </c>
      <c r="Q932">
        <f t="shared" si="72"/>
        <v>85500</v>
      </c>
      <c r="R932" s="11" t="str">
        <f t="shared" si="73"/>
        <v>Conference</v>
      </c>
      <c r="S932" s="11">
        <f t="shared" si="74"/>
        <v>4</v>
      </c>
    </row>
    <row r="933" spans="1:19">
      <c r="A933" t="s">
        <v>4951</v>
      </c>
      <c r="B933" t="s">
        <v>4952</v>
      </c>
      <c r="C933" t="s">
        <v>871</v>
      </c>
      <c r="D933" t="s">
        <v>4953</v>
      </c>
      <c r="E933" t="s">
        <v>4954</v>
      </c>
      <c r="F933" t="s">
        <v>4955</v>
      </c>
      <c r="G933" s="4">
        <v>45616</v>
      </c>
      <c r="H933" s="4">
        <v>45664</v>
      </c>
      <c r="I933" s="4">
        <v>45671</v>
      </c>
      <c r="J933">
        <f t="shared" si="70"/>
        <v>7</v>
      </c>
      <c r="K933" t="str">
        <f t="array" ref="K933">_xlfn.IFS(J933=1,"Day Use",J933&lt;=3,"Short Stay",J933&lt;=7,"Extended Stay",J933&gt;=8,"Long Stay")</f>
        <v>Extended Stay</v>
      </c>
      <c r="L933" t="s">
        <v>25</v>
      </c>
      <c r="M933" s="10" t="str">
        <f t="shared" si="71"/>
        <v>Premium</v>
      </c>
      <c r="N933" t="s">
        <v>26</v>
      </c>
      <c r="O933" t="s">
        <v>27</v>
      </c>
      <c r="P933">
        <f>IFERROR(VLOOKUP(TRIM(M933),Room!D:H,5,FALSE),5000)</f>
        <v>9500</v>
      </c>
      <c r="Q933">
        <f t="shared" si="72"/>
        <v>66500</v>
      </c>
      <c r="R933" s="11" t="str">
        <f t="shared" si="73"/>
        <v>Conference</v>
      </c>
      <c r="S933" s="11">
        <f t="shared" si="74"/>
        <v>4</v>
      </c>
    </row>
    <row r="934" spans="1:19">
      <c r="A934" t="s">
        <v>4956</v>
      </c>
      <c r="B934" t="s">
        <v>4957</v>
      </c>
      <c r="C934" t="s">
        <v>484</v>
      </c>
      <c r="D934" t="s">
        <v>4958</v>
      </c>
      <c r="E934" t="s">
        <v>4959</v>
      </c>
      <c r="F934" t="s">
        <v>4960</v>
      </c>
      <c r="G934" s="4">
        <v>45643</v>
      </c>
      <c r="H934" s="4">
        <v>45661</v>
      </c>
      <c r="I934" s="4">
        <v>45671</v>
      </c>
      <c r="J934">
        <f t="shared" si="70"/>
        <v>10</v>
      </c>
      <c r="K934" t="str">
        <f t="array" ref="K934">_xlfn.IFS(J934=1,"Day Use",J934&lt;=3,"Short Stay",J934&lt;=7,"Extended Stay",J934&gt;=8,"Long Stay")</f>
        <v>Long Stay</v>
      </c>
      <c r="L934" t="s">
        <v>34</v>
      </c>
      <c r="M934" s="10" t="str">
        <f t="shared" si="71"/>
        <v>Premium</v>
      </c>
      <c r="N934" t="s">
        <v>26</v>
      </c>
      <c r="O934" t="s">
        <v>58</v>
      </c>
      <c r="P934">
        <f>IFERROR(VLOOKUP(TRIM(M934),Room!D:H,5,FALSE),5000)</f>
        <v>9500</v>
      </c>
      <c r="Q934">
        <f t="shared" si="72"/>
        <v>95000</v>
      </c>
      <c r="R934" s="11" t="str">
        <f t="shared" si="73"/>
        <v>Conference</v>
      </c>
      <c r="S934" s="11">
        <f t="shared" si="74"/>
        <v>4</v>
      </c>
    </row>
    <row r="935" spans="1:19">
      <c r="A935" t="s">
        <v>4961</v>
      </c>
      <c r="B935" t="s">
        <v>4962</v>
      </c>
      <c r="C935" t="s">
        <v>1014</v>
      </c>
      <c r="D935" t="s">
        <v>4963</v>
      </c>
      <c r="E935" t="s">
        <v>4964</v>
      </c>
      <c r="F935" t="s">
        <v>4965</v>
      </c>
      <c r="G935" s="4">
        <v>45475</v>
      </c>
      <c r="H935" s="4">
        <v>45814</v>
      </c>
      <c r="I935" s="4">
        <v>45828</v>
      </c>
      <c r="J935">
        <f t="shared" si="70"/>
        <v>14</v>
      </c>
      <c r="K935" t="str">
        <f t="array" ref="K935">_xlfn.IFS(J935=1,"Day Use",J935&lt;=3,"Short Stay",J935&lt;=7,"Extended Stay",J935&gt;=8,"Long Stay")</f>
        <v>Long Stay</v>
      </c>
      <c r="L935" t="s">
        <v>49</v>
      </c>
      <c r="M935" s="10" t="str">
        <f t="shared" si="71"/>
        <v>Suite</v>
      </c>
      <c r="N935" t="s">
        <v>26</v>
      </c>
      <c r="O935" t="s">
        <v>42</v>
      </c>
      <c r="P935">
        <f>IFERROR(VLOOKUP(TRIM(M935),Room!D:H,5,FALSE),5000)</f>
        <v>12500</v>
      </c>
      <c r="Q935">
        <f t="shared" si="72"/>
        <v>175000</v>
      </c>
      <c r="R935" s="11" t="str">
        <f t="shared" si="73"/>
        <v>Business</v>
      </c>
      <c r="S935" s="11">
        <f t="shared" si="74"/>
        <v>5</v>
      </c>
    </row>
    <row r="936" spans="1:19">
      <c r="A936" t="s">
        <v>4966</v>
      </c>
      <c r="B936" t="s">
        <v>4967</v>
      </c>
      <c r="C936" t="s">
        <v>768</v>
      </c>
      <c r="D936" t="s">
        <v>4968</v>
      </c>
      <c r="E936" t="s">
        <v>4969</v>
      </c>
      <c r="F936" t="s">
        <v>4970</v>
      </c>
      <c r="G936" s="4">
        <v>45411</v>
      </c>
      <c r="H936" s="4">
        <v>45497</v>
      </c>
      <c r="I936" s="4">
        <v>45499</v>
      </c>
      <c r="J936">
        <f t="shared" si="70"/>
        <v>2</v>
      </c>
      <c r="K936" t="str">
        <f t="array" ref="K936">_xlfn.IFS(J936=1,"Day Use",J936&lt;=3,"Short Stay",J936&lt;=7,"Extended Stay",J936&gt;=8,"Long Stay")</f>
        <v>Short Stay</v>
      </c>
      <c r="L936" t="s">
        <v>34</v>
      </c>
      <c r="M936" s="10" t="str">
        <f t="shared" si="71"/>
        <v>Standard</v>
      </c>
      <c r="N936" t="s">
        <v>26</v>
      </c>
      <c r="O936" t="s">
        <v>58</v>
      </c>
      <c r="P936">
        <f>IFERROR(VLOOKUP(TRIM(M936),Room!D:H,5,FALSE),5000)</f>
        <v>3200</v>
      </c>
      <c r="Q936">
        <f t="shared" si="72"/>
        <v>6400</v>
      </c>
      <c r="R936" s="11" t="str">
        <f t="shared" si="73"/>
        <v>Other</v>
      </c>
      <c r="S936" s="11">
        <f t="shared" si="74"/>
        <v>2</v>
      </c>
    </row>
    <row r="937" spans="1:19">
      <c r="A937" t="s">
        <v>4971</v>
      </c>
      <c r="B937" t="s">
        <v>4972</v>
      </c>
      <c r="C937" t="s">
        <v>655</v>
      </c>
      <c r="D937" t="s">
        <v>4973</v>
      </c>
      <c r="E937" t="s">
        <v>4974</v>
      </c>
      <c r="F937" t="s">
        <v>4975</v>
      </c>
      <c r="G937" s="4">
        <v>45474</v>
      </c>
      <c r="H937" s="4">
        <v>45488</v>
      </c>
      <c r="I937" s="4">
        <v>45491</v>
      </c>
      <c r="J937">
        <f t="shared" si="70"/>
        <v>3</v>
      </c>
      <c r="K937" t="str">
        <f t="array" ref="K937">_xlfn.IFS(J937=1,"Day Use",J937&lt;=3,"Short Stay",J937&lt;=7,"Extended Stay",J937&gt;=8,"Long Stay")</f>
        <v>Short Stay</v>
      </c>
      <c r="L937" t="s">
        <v>25</v>
      </c>
      <c r="M937" s="10" t="str">
        <f t="shared" si="71"/>
        <v>Standard</v>
      </c>
      <c r="N937" t="s">
        <v>148</v>
      </c>
      <c r="O937" t="s">
        <v>35</v>
      </c>
      <c r="P937">
        <f>IFERROR(VLOOKUP(TRIM(M937),Room!D:H,5,FALSE),5000)</f>
        <v>3200</v>
      </c>
      <c r="Q937">
        <f t="shared" si="72"/>
        <v>9600</v>
      </c>
      <c r="R937" s="11" t="str">
        <f t="shared" si="73"/>
        <v>Other</v>
      </c>
      <c r="S937" s="11">
        <f t="shared" si="74"/>
        <v>2</v>
      </c>
    </row>
    <row r="938" spans="1:19">
      <c r="A938" t="s">
        <v>4976</v>
      </c>
      <c r="B938" t="s">
        <v>4977</v>
      </c>
      <c r="C938" t="s">
        <v>823</v>
      </c>
      <c r="D938" t="s">
        <v>4978</v>
      </c>
      <c r="E938" t="s">
        <v>4979</v>
      </c>
      <c r="F938" t="s">
        <v>4980</v>
      </c>
      <c r="G938" s="4">
        <v>45550</v>
      </c>
      <c r="H938" s="4">
        <v>45571</v>
      </c>
      <c r="I938" s="4">
        <v>45575</v>
      </c>
      <c r="J938">
        <f t="shared" si="70"/>
        <v>4</v>
      </c>
      <c r="K938" t="str">
        <f t="array" ref="K938">_xlfn.IFS(J938=1,"Day Use",J938&lt;=3,"Short Stay",J938&lt;=7,"Extended Stay",J938&gt;=8,"Long Stay")</f>
        <v>Extended Stay</v>
      </c>
      <c r="L938" t="s">
        <v>141</v>
      </c>
      <c r="M938" s="10" t="str">
        <f t="shared" si="71"/>
        <v>Deluxe</v>
      </c>
      <c r="N938" t="s">
        <v>26</v>
      </c>
      <c r="O938" t="s">
        <v>42</v>
      </c>
      <c r="P938">
        <f>IFERROR(VLOOKUP(TRIM(M938),Room!D:H,5,FALSE),5000)</f>
        <v>5400</v>
      </c>
      <c r="Q938">
        <f t="shared" si="72"/>
        <v>21600</v>
      </c>
      <c r="R938" s="11" t="str">
        <f t="shared" si="73"/>
        <v>Conference</v>
      </c>
      <c r="S938" s="11">
        <f t="shared" si="74"/>
        <v>3</v>
      </c>
    </row>
    <row r="939" spans="1:19">
      <c r="A939" t="s">
        <v>4981</v>
      </c>
      <c r="B939" t="s">
        <v>4982</v>
      </c>
      <c r="C939" t="s">
        <v>4983</v>
      </c>
      <c r="D939" t="s">
        <v>4984</v>
      </c>
      <c r="E939" t="s">
        <v>4985</v>
      </c>
      <c r="F939" t="s">
        <v>4986</v>
      </c>
      <c r="G939" s="4">
        <v>45779</v>
      </c>
      <c r="H939" s="4">
        <v>45790</v>
      </c>
      <c r="I939" s="4">
        <v>45797</v>
      </c>
      <c r="J939">
        <f t="shared" si="70"/>
        <v>7</v>
      </c>
      <c r="K939" t="str">
        <f t="array" ref="K939">_xlfn.IFS(J939=1,"Day Use",J939&lt;=3,"Short Stay",J939&lt;=7,"Extended Stay",J939&gt;=8,"Long Stay")</f>
        <v>Extended Stay</v>
      </c>
      <c r="L939" t="s">
        <v>34</v>
      </c>
      <c r="M939" s="10" t="str">
        <f t="shared" si="71"/>
        <v>Premium</v>
      </c>
      <c r="N939" t="s">
        <v>26</v>
      </c>
      <c r="O939" t="s">
        <v>35</v>
      </c>
      <c r="P939">
        <f>IFERROR(VLOOKUP(TRIM(M939),Room!D:H,5,FALSE),5000)</f>
        <v>9500</v>
      </c>
      <c r="Q939">
        <f t="shared" si="72"/>
        <v>66500</v>
      </c>
      <c r="R939" s="11" t="str">
        <f t="shared" si="73"/>
        <v>Conference</v>
      </c>
      <c r="S939" s="11">
        <f t="shared" si="74"/>
        <v>4</v>
      </c>
    </row>
    <row r="940" spans="1:19">
      <c r="A940" t="s">
        <v>4987</v>
      </c>
      <c r="B940" t="s">
        <v>4988</v>
      </c>
      <c r="C940" t="s">
        <v>708</v>
      </c>
      <c r="D940" t="s">
        <v>4989</v>
      </c>
      <c r="E940" t="s">
        <v>4990</v>
      </c>
      <c r="F940" t="s">
        <v>4991</v>
      </c>
      <c r="G940" s="4">
        <v>45353</v>
      </c>
      <c r="H940" s="4">
        <v>45371</v>
      </c>
      <c r="I940" s="4">
        <v>45382</v>
      </c>
      <c r="J940">
        <f t="shared" si="70"/>
        <v>11</v>
      </c>
      <c r="K940" t="str">
        <f t="array" ref="K940">_xlfn.IFS(J940=1,"Day Use",J940&lt;=3,"Short Stay",J940&lt;=7,"Extended Stay",J940&gt;=8,"Long Stay")</f>
        <v>Long Stay</v>
      </c>
      <c r="L940" t="s">
        <v>25</v>
      </c>
      <c r="M940" s="10" t="str">
        <f t="shared" si="71"/>
        <v>Suite</v>
      </c>
      <c r="N940" t="s">
        <v>26</v>
      </c>
      <c r="O940" t="s">
        <v>71</v>
      </c>
      <c r="P940">
        <f>IFERROR(VLOOKUP(TRIM(M940),Room!D:H,5,FALSE),5000)</f>
        <v>12500</v>
      </c>
      <c r="Q940">
        <f t="shared" si="72"/>
        <v>137500</v>
      </c>
      <c r="R940" s="11" t="str">
        <f t="shared" si="73"/>
        <v>Business</v>
      </c>
      <c r="S940" s="11">
        <f t="shared" si="74"/>
        <v>5</v>
      </c>
    </row>
    <row r="941" spans="1:19">
      <c r="A941" t="s">
        <v>4992</v>
      </c>
      <c r="B941" t="s">
        <v>4993</v>
      </c>
      <c r="C941" t="s">
        <v>484</v>
      </c>
      <c r="D941" t="s">
        <v>4994</v>
      </c>
      <c r="E941" t="s">
        <v>4995</v>
      </c>
      <c r="F941" t="s">
        <v>4996</v>
      </c>
      <c r="G941" s="4">
        <v>45865</v>
      </c>
      <c r="H941" s="4">
        <v>45975</v>
      </c>
      <c r="I941" s="4">
        <v>45982</v>
      </c>
      <c r="J941">
        <f t="shared" si="70"/>
        <v>7</v>
      </c>
      <c r="K941" t="str">
        <f t="array" ref="K941">_xlfn.IFS(J941=1,"Day Use",J941&lt;=3,"Short Stay",J941&lt;=7,"Extended Stay",J941&gt;=8,"Long Stay")</f>
        <v>Extended Stay</v>
      </c>
      <c r="L941" t="s">
        <v>49</v>
      </c>
      <c r="M941" s="10" t="str">
        <f t="shared" si="71"/>
        <v>Premium</v>
      </c>
      <c r="N941" t="s">
        <v>57</v>
      </c>
      <c r="O941" t="s">
        <v>27</v>
      </c>
      <c r="P941">
        <f>IFERROR(VLOOKUP(TRIM(M941),Room!D:H,5,FALSE),5000)</f>
        <v>9500</v>
      </c>
      <c r="Q941">
        <f t="shared" si="72"/>
        <v>66500</v>
      </c>
      <c r="R941" s="11" t="str">
        <f t="shared" si="73"/>
        <v>Conference</v>
      </c>
      <c r="S941" s="11">
        <f t="shared" si="74"/>
        <v>4</v>
      </c>
    </row>
    <row r="942" spans="1:19">
      <c r="A942" t="s">
        <v>4997</v>
      </c>
      <c r="B942" t="s">
        <v>4998</v>
      </c>
      <c r="C942" t="s">
        <v>4436</v>
      </c>
      <c r="D942" t="s">
        <v>4999</v>
      </c>
      <c r="E942" t="s">
        <v>5000</v>
      </c>
      <c r="F942" t="s">
        <v>5001</v>
      </c>
      <c r="G942" s="4">
        <v>45391</v>
      </c>
      <c r="H942" s="4">
        <v>45403</v>
      </c>
      <c r="I942" s="4">
        <v>45414</v>
      </c>
      <c r="J942">
        <f t="shared" si="70"/>
        <v>11</v>
      </c>
      <c r="K942" t="str">
        <f t="array" ref="K942">_xlfn.IFS(J942=1,"Day Use",J942&lt;=3,"Short Stay",J942&lt;=7,"Extended Stay",J942&gt;=8,"Long Stay")</f>
        <v>Long Stay</v>
      </c>
      <c r="L942" t="s">
        <v>49</v>
      </c>
      <c r="M942" s="10" t="str">
        <f t="shared" si="71"/>
        <v>Suite</v>
      </c>
      <c r="N942" t="s">
        <v>26</v>
      </c>
      <c r="O942" t="s">
        <v>58</v>
      </c>
      <c r="P942">
        <f>IFERROR(VLOOKUP(TRIM(M942),Room!D:H,5,FALSE),5000)</f>
        <v>12500</v>
      </c>
      <c r="Q942">
        <f t="shared" si="72"/>
        <v>137500</v>
      </c>
      <c r="R942" s="11" t="str">
        <f t="shared" si="73"/>
        <v>Business</v>
      </c>
      <c r="S942" s="11">
        <f t="shared" si="74"/>
        <v>5</v>
      </c>
    </row>
    <row r="943" spans="1:19">
      <c r="A943" t="s">
        <v>5002</v>
      </c>
      <c r="B943" t="s">
        <v>5003</v>
      </c>
      <c r="C943" t="s">
        <v>100</v>
      </c>
      <c r="D943" t="s">
        <v>5004</v>
      </c>
      <c r="E943" t="s">
        <v>5005</v>
      </c>
      <c r="F943" t="s">
        <v>5006</v>
      </c>
      <c r="G943" s="4">
        <v>45282</v>
      </c>
      <c r="H943" s="4">
        <v>45297</v>
      </c>
      <c r="I943" s="4">
        <v>45299</v>
      </c>
      <c r="J943">
        <f t="shared" si="70"/>
        <v>2</v>
      </c>
      <c r="K943" t="str">
        <f t="array" ref="K943">_xlfn.IFS(J943=1,"Day Use",J943&lt;=3,"Short Stay",J943&lt;=7,"Extended Stay",J943&gt;=8,"Long Stay")</f>
        <v>Short Stay</v>
      </c>
      <c r="L943" t="s">
        <v>34</v>
      </c>
      <c r="M943" s="10" t="str">
        <f t="shared" si="71"/>
        <v>Standard</v>
      </c>
      <c r="N943" t="s">
        <v>26</v>
      </c>
      <c r="O943" t="s">
        <v>27</v>
      </c>
      <c r="P943">
        <f>IFERROR(VLOOKUP(TRIM(M943),Room!D:H,5,FALSE),5000)</f>
        <v>3200</v>
      </c>
      <c r="Q943">
        <f t="shared" si="72"/>
        <v>6400</v>
      </c>
      <c r="R943" s="11" t="str">
        <f t="shared" si="73"/>
        <v>Other</v>
      </c>
      <c r="S943" s="11">
        <f t="shared" si="74"/>
        <v>2</v>
      </c>
    </row>
    <row r="944" spans="1:19">
      <c r="A944" t="s">
        <v>5007</v>
      </c>
      <c r="B944" t="s">
        <v>5008</v>
      </c>
      <c r="C944" t="s">
        <v>398</v>
      </c>
      <c r="D944" t="s">
        <v>5009</v>
      </c>
      <c r="E944" t="s">
        <v>5010</v>
      </c>
      <c r="F944" t="s">
        <v>5011</v>
      </c>
      <c r="G944" s="4">
        <v>45497</v>
      </c>
      <c r="H944" s="4">
        <v>45509</v>
      </c>
      <c r="I944" s="4">
        <v>45518</v>
      </c>
      <c r="J944">
        <f t="shared" si="70"/>
        <v>9</v>
      </c>
      <c r="K944" t="str">
        <f t="array" ref="K944">_xlfn.IFS(J944=1,"Day Use",J944&lt;=3,"Short Stay",J944&lt;=7,"Extended Stay",J944&gt;=8,"Long Stay")</f>
        <v>Long Stay</v>
      </c>
      <c r="L944" t="s">
        <v>56</v>
      </c>
      <c r="M944" s="10" t="str">
        <f t="shared" si="71"/>
        <v>Premium</v>
      </c>
      <c r="N944" t="s">
        <v>26</v>
      </c>
      <c r="O944" t="s">
        <v>35</v>
      </c>
      <c r="P944">
        <f>IFERROR(VLOOKUP(TRIM(M944),Room!D:H,5,FALSE),5000)</f>
        <v>9500</v>
      </c>
      <c r="Q944">
        <f t="shared" si="72"/>
        <v>85500</v>
      </c>
      <c r="R944" s="11" t="str">
        <f t="shared" si="73"/>
        <v>Conference</v>
      </c>
      <c r="S944" s="11">
        <f t="shared" si="74"/>
        <v>4</v>
      </c>
    </row>
    <row r="945" spans="1:19">
      <c r="A945" t="s">
        <v>5012</v>
      </c>
      <c r="B945" t="s">
        <v>5013</v>
      </c>
      <c r="C945" t="s">
        <v>87</v>
      </c>
      <c r="D945" t="s">
        <v>5014</v>
      </c>
      <c r="E945" t="s">
        <v>5015</v>
      </c>
      <c r="F945" t="s">
        <v>5016</v>
      </c>
      <c r="G945" s="4">
        <v>45679</v>
      </c>
      <c r="H945" s="4">
        <v>46022</v>
      </c>
      <c r="I945" s="4">
        <v>46022</v>
      </c>
      <c r="J945">
        <f t="shared" si="70"/>
        <v>0</v>
      </c>
      <c r="K945" t="str">
        <f t="array" ref="K945">_xlfn.IFS(J945=1,"Day Use",J945&lt;=3,"Short Stay",J945&lt;=7,"Extended Stay",J945&gt;=8,"Long Stay")</f>
        <v>Short Stay</v>
      </c>
      <c r="L945" t="s">
        <v>196</v>
      </c>
      <c r="M945" s="10" t="str">
        <f t="shared" si="71"/>
        <v>Standard</v>
      </c>
      <c r="N945" t="s">
        <v>372</v>
      </c>
      <c r="O945" t="s">
        <v>42</v>
      </c>
      <c r="P945">
        <f>IFERROR(VLOOKUP(TRIM(M945),Room!D:H,5,FALSE),5000)</f>
        <v>3200</v>
      </c>
      <c r="Q945">
        <f t="shared" si="72"/>
        <v>0</v>
      </c>
      <c r="R945" s="11" t="str">
        <f t="shared" si="73"/>
        <v>Other</v>
      </c>
      <c r="S945" s="11">
        <f t="shared" si="74"/>
        <v>1</v>
      </c>
    </row>
    <row r="946" spans="1:19">
      <c r="A946" t="s">
        <v>5017</v>
      </c>
      <c r="B946" t="s">
        <v>5018</v>
      </c>
      <c r="C946" t="s">
        <v>157</v>
      </c>
      <c r="D946" t="s">
        <v>5019</v>
      </c>
      <c r="E946" t="s">
        <v>5020</v>
      </c>
      <c r="F946" t="s">
        <v>5021</v>
      </c>
      <c r="G946" s="4">
        <v>45467</v>
      </c>
      <c r="H946" s="4">
        <v>45658</v>
      </c>
      <c r="I946" s="4">
        <v>45670</v>
      </c>
      <c r="J946">
        <f t="shared" si="70"/>
        <v>12</v>
      </c>
      <c r="K946" t="str">
        <f t="array" ref="K946">_xlfn.IFS(J946=1,"Day Use",J946&lt;=3,"Short Stay",J946&lt;=7,"Extended Stay",J946&gt;=8,"Long Stay")</f>
        <v>Long Stay</v>
      </c>
      <c r="L946" t="s">
        <v>141</v>
      </c>
      <c r="M946" s="10" t="str">
        <f t="shared" si="71"/>
        <v>Suite</v>
      </c>
      <c r="N946" t="s">
        <v>26</v>
      </c>
      <c r="O946" t="s">
        <v>71</v>
      </c>
      <c r="P946">
        <f>IFERROR(VLOOKUP(TRIM(M946),Room!D:H,5,FALSE),5000)</f>
        <v>12500</v>
      </c>
      <c r="Q946">
        <f t="shared" si="72"/>
        <v>150000</v>
      </c>
      <c r="R946" s="11" t="str">
        <f t="shared" si="73"/>
        <v>Business</v>
      </c>
      <c r="S946" s="11">
        <f t="shared" si="74"/>
        <v>5</v>
      </c>
    </row>
    <row r="947" spans="1:19">
      <c r="A947" t="s">
        <v>5022</v>
      </c>
      <c r="B947" t="s">
        <v>5023</v>
      </c>
      <c r="C947" t="s">
        <v>1470</v>
      </c>
      <c r="D947" t="s">
        <v>5024</v>
      </c>
      <c r="E947" t="s">
        <v>5025</v>
      </c>
      <c r="F947" t="s">
        <v>5026</v>
      </c>
      <c r="G947" s="4">
        <v>45370</v>
      </c>
      <c r="H947" s="4">
        <v>45503</v>
      </c>
      <c r="I947" s="4">
        <v>45516</v>
      </c>
      <c r="J947">
        <f t="shared" si="70"/>
        <v>13</v>
      </c>
      <c r="K947" t="str">
        <f t="array" ref="K947">_xlfn.IFS(J947=1,"Day Use",J947&lt;=3,"Short Stay",J947&lt;=7,"Extended Stay",J947&gt;=8,"Long Stay")</f>
        <v>Long Stay</v>
      </c>
      <c r="L947" t="s">
        <v>91</v>
      </c>
      <c r="M947" s="10" t="str">
        <f t="shared" si="71"/>
        <v>Suite</v>
      </c>
      <c r="N947" t="s">
        <v>57</v>
      </c>
      <c r="O947" t="s">
        <v>27</v>
      </c>
      <c r="P947">
        <f>IFERROR(VLOOKUP(TRIM(M947),Room!D:H,5,FALSE),5000)</f>
        <v>12500</v>
      </c>
      <c r="Q947">
        <f t="shared" si="72"/>
        <v>162500</v>
      </c>
      <c r="R947" s="11" t="str">
        <f t="shared" si="73"/>
        <v>Business</v>
      </c>
      <c r="S947" s="11">
        <f t="shared" si="74"/>
        <v>5</v>
      </c>
    </row>
    <row r="948" spans="1:19">
      <c r="A948" t="s">
        <v>5027</v>
      </c>
      <c r="B948" t="s">
        <v>5028</v>
      </c>
      <c r="C948" t="s">
        <v>180</v>
      </c>
      <c r="D948" t="s">
        <v>5029</v>
      </c>
      <c r="E948" t="s">
        <v>5030</v>
      </c>
      <c r="F948" t="s">
        <v>5031</v>
      </c>
      <c r="G948" s="4">
        <v>45431</v>
      </c>
      <c r="H948" s="4">
        <v>45436</v>
      </c>
      <c r="I948" s="4">
        <v>45443</v>
      </c>
      <c r="J948">
        <f t="shared" si="70"/>
        <v>7</v>
      </c>
      <c r="K948" t="str">
        <f t="array" ref="K948">_xlfn.IFS(J948=1,"Day Use",J948&lt;=3,"Short Stay",J948&lt;=7,"Extended Stay",J948&gt;=8,"Long Stay")</f>
        <v>Extended Stay</v>
      </c>
      <c r="L948" t="s">
        <v>34</v>
      </c>
      <c r="M948" s="10" t="str">
        <f t="shared" si="71"/>
        <v>Premium</v>
      </c>
      <c r="N948" t="s">
        <v>26</v>
      </c>
      <c r="O948" t="s">
        <v>27</v>
      </c>
      <c r="P948">
        <f>IFERROR(VLOOKUP(TRIM(M948),Room!D:H,5,FALSE),5000)</f>
        <v>9500</v>
      </c>
      <c r="Q948">
        <f t="shared" si="72"/>
        <v>66500</v>
      </c>
      <c r="R948" s="11" t="str">
        <f t="shared" si="73"/>
        <v>Conference</v>
      </c>
      <c r="S948" s="11">
        <f t="shared" si="74"/>
        <v>4</v>
      </c>
    </row>
    <row r="949" spans="1:19">
      <c r="A949" t="s">
        <v>5032</v>
      </c>
      <c r="B949" t="s">
        <v>5033</v>
      </c>
      <c r="C949" t="s">
        <v>1551</v>
      </c>
      <c r="D949" t="s">
        <v>5034</v>
      </c>
      <c r="E949" t="s">
        <v>5035</v>
      </c>
      <c r="F949" t="s">
        <v>5036</v>
      </c>
      <c r="G949" s="4">
        <v>45829</v>
      </c>
      <c r="H949" s="4">
        <v>45893</v>
      </c>
      <c r="I949" s="4">
        <v>45900</v>
      </c>
      <c r="J949">
        <f t="shared" si="70"/>
        <v>7</v>
      </c>
      <c r="K949" t="str">
        <f t="array" ref="K949">_xlfn.IFS(J949=1,"Day Use",J949&lt;=3,"Short Stay",J949&lt;=7,"Extended Stay",J949&gt;=8,"Long Stay")</f>
        <v>Extended Stay</v>
      </c>
      <c r="L949" t="s">
        <v>49</v>
      </c>
      <c r="M949" s="10" t="str">
        <f t="shared" si="71"/>
        <v>Premium</v>
      </c>
      <c r="N949" t="s">
        <v>26</v>
      </c>
      <c r="O949" t="s">
        <v>35</v>
      </c>
      <c r="P949">
        <f>IFERROR(VLOOKUP(TRIM(M949),Room!D:H,5,FALSE),5000)</f>
        <v>9500</v>
      </c>
      <c r="Q949">
        <f t="shared" si="72"/>
        <v>66500</v>
      </c>
      <c r="R949" s="11" t="str">
        <f t="shared" si="73"/>
        <v>Conference</v>
      </c>
      <c r="S949" s="11">
        <f t="shared" si="74"/>
        <v>4</v>
      </c>
    </row>
    <row r="950" spans="1:19">
      <c r="A950" t="s">
        <v>5037</v>
      </c>
      <c r="B950" t="s">
        <v>5038</v>
      </c>
      <c r="C950" t="s">
        <v>3061</v>
      </c>
      <c r="D950" t="s">
        <v>5039</v>
      </c>
      <c r="E950" t="s">
        <v>5040</v>
      </c>
      <c r="F950" t="s">
        <v>5041</v>
      </c>
      <c r="G950" s="4">
        <v>45380</v>
      </c>
      <c r="H950" s="4">
        <v>45409</v>
      </c>
      <c r="I950" s="4">
        <v>45423</v>
      </c>
      <c r="J950">
        <f t="shared" si="70"/>
        <v>14</v>
      </c>
      <c r="K950" t="str">
        <f t="array" ref="K950">_xlfn.IFS(J950=1,"Day Use",J950&lt;=3,"Short Stay",J950&lt;=7,"Extended Stay",J950&gt;=8,"Long Stay")</f>
        <v>Long Stay</v>
      </c>
      <c r="L950" t="s">
        <v>84</v>
      </c>
      <c r="M950" s="10" t="str">
        <f t="shared" si="71"/>
        <v>Suite</v>
      </c>
      <c r="N950" t="s">
        <v>26</v>
      </c>
      <c r="O950" t="s">
        <v>71</v>
      </c>
      <c r="P950">
        <f>IFERROR(VLOOKUP(TRIM(M950),Room!D:H,5,FALSE),5000)</f>
        <v>12500</v>
      </c>
      <c r="Q950">
        <f t="shared" si="72"/>
        <v>175000</v>
      </c>
      <c r="R950" s="11" t="str">
        <f t="shared" si="73"/>
        <v>Business</v>
      </c>
      <c r="S950" s="11">
        <f t="shared" si="74"/>
        <v>5</v>
      </c>
    </row>
    <row r="951" spans="1:19">
      <c r="A951" t="s">
        <v>5042</v>
      </c>
      <c r="B951" t="s">
        <v>5043</v>
      </c>
      <c r="C951" t="s">
        <v>339</v>
      </c>
      <c r="D951" t="s">
        <v>5044</v>
      </c>
      <c r="E951" t="s">
        <v>5045</v>
      </c>
      <c r="F951" t="s">
        <v>5046</v>
      </c>
      <c r="G951" s="4">
        <v>45456</v>
      </c>
      <c r="H951" s="4">
        <v>45469</v>
      </c>
      <c r="I951" s="4">
        <v>45470</v>
      </c>
      <c r="J951">
        <f t="shared" si="70"/>
        <v>1</v>
      </c>
      <c r="K951" t="str">
        <f t="array" ref="K951">_xlfn.IFS(J951=1,"Day Use",J951&lt;=3,"Short Stay",J951&lt;=7,"Extended Stay",J951&gt;=8,"Long Stay")</f>
        <v>Day Use</v>
      </c>
      <c r="L951" t="s">
        <v>56</v>
      </c>
      <c r="M951" s="10" t="str">
        <f t="shared" si="71"/>
        <v>Standard</v>
      </c>
      <c r="N951" t="s">
        <v>26</v>
      </c>
      <c r="O951" t="s">
        <v>71</v>
      </c>
      <c r="P951">
        <f>IFERROR(VLOOKUP(TRIM(M951),Room!D:H,5,FALSE),5000)</f>
        <v>3200</v>
      </c>
      <c r="Q951">
        <f t="shared" si="72"/>
        <v>3200</v>
      </c>
      <c r="R951" s="11" t="str">
        <f t="shared" si="73"/>
        <v>Other</v>
      </c>
      <c r="S951" s="11">
        <f t="shared" si="74"/>
        <v>1</v>
      </c>
    </row>
    <row r="952" spans="1:19">
      <c r="A952" t="s">
        <v>5047</v>
      </c>
      <c r="B952" t="s">
        <v>5048</v>
      </c>
      <c r="C952" t="s">
        <v>1545</v>
      </c>
      <c r="D952" t="s">
        <v>5049</v>
      </c>
      <c r="E952" t="s">
        <v>5050</v>
      </c>
      <c r="F952" t="s">
        <v>5051</v>
      </c>
      <c r="G952" s="4">
        <v>45588</v>
      </c>
      <c r="H952" s="4">
        <v>45599</v>
      </c>
      <c r="I952" s="4">
        <v>45608</v>
      </c>
      <c r="J952">
        <f t="shared" si="70"/>
        <v>9</v>
      </c>
      <c r="K952" t="str">
        <f t="array" ref="K952">_xlfn.IFS(J952=1,"Day Use",J952&lt;=3,"Short Stay",J952&lt;=7,"Extended Stay",J952&gt;=8,"Long Stay")</f>
        <v>Long Stay</v>
      </c>
      <c r="L952" t="s">
        <v>25</v>
      </c>
      <c r="M952" s="10" t="str">
        <f t="shared" si="71"/>
        <v>Premium</v>
      </c>
      <c r="N952" t="s">
        <v>26</v>
      </c>
      <c r="O952" t="s">
        <v>27</v>
      </c>
      <c r="P952">
        <f>IFERROR(VLOOKUP(TRIM(M952),Room!D:H,5,FALSE),5000)</f>
        <v>9500</v>
      </c>
      <c r="Q952">
        <f t="shared" si="72"/>
        <v>85500</v>
      </c>
      <c r="R952" s="11" t="str">
        <f t="shared" si="73"/>
        <v>Conference</v>
      </c>
      <c r="S952" s="11">
        <f t="shared" si="74"/>
        <v>4</v>
      </c>
    </row>
    <row r="953" spans="1:19">
      <c r="A953" t="s">
        <v>5052</v>
      </c>
      <c r="B953" t="s">
        <v>5053</v>
      </c>
      <c r="C953" t="s">
        <v>211</v>
      </c>
      <c r="D953" t="s">
        <v>5054</v>
      </c>
      <c r="E953" t="s">
        <v>5055</v>
      </c>
      <c r="F953" t="s">
        <v>5056</v>
      </c>
      <c r="G953" s="4">
        <v>45725</v>
      </c>
      <c r="H953" s="4">
        <v>45981</v>
      </c>
      <c r="I953" s="4">
        <v>45991</v>
      </c>
      <c r="J953">
        <f t="shared" si="70"/>
        <v>10</v>
      </c>
      <c r="K953" t="str">
        <f t="array" ref="K953">_xlfn.IFS(J953=1,"Day Use",J953&lt;=3,"Short Stay",J953&lt;=7,"Extended Stay",J953&gt;=8,"Long Stay")</f>
        <v>Long Stay</v>
      </c>
      <c r="L953" t="s">
        <v>34</v>
      </c>
      <c r="M953" s="10" t="str">
        <f t="shared" si="71"/>
        <v>Premium</v>
      </c>
      <c r="N953" t="s">
        <v>26</v>
      </c>
      <c r="O953" t="s">
        <v>42</v>
      </c>
      <c r="P953">
        <f>IFERROR(VLOOKUP(TRIM(M953),Room!D:H,5,FALSE),5000)</f>
        <v>9500</v>
      </c>
      <c r="Q953">
        <f t="shared" si="72"/>
        <v>95000</v>
      </c>
      <c r="R953" s="11" t="str">
        <f t="shared" si="73"/>
        <v>Conference</v>
      </c>
      <c r="S953" s="11">
        <f t="shared" si="74"/>
        <v>4</v>
      </c>
    </row>
    <row r="954" spans="1:19">
      <c r="A954" t="s">
        <v>5057</v>
      </c>
      <c r="B954" t="s">
        <v>5058</v>
      </c>
      <c r="C954" t="s">
        <v>679</v>
      </c>
      <c r="D954" t="s">
        <v>5059</v>
      </c>
      <c r="E954" t="s">
        <v>5060</v>
      </c>
      <c r="F954" t="s">
        <v>5061</v>
      </c>
      <c r="G954" s="4">
        <v>45978</v>
      </c>
      <c r="H954" s="4">
        <v>46008</v>
      </c>
      <c r="I954" s="4">
        <v>46017</v>
      </c>
      <c r="J954">
        <f t="shared" si="70"/>
        <v>9</v>
      </c>
      <c r="K954" t="str">
        <f t="array" ref="K954">_xlfn.IFS(J954=1,"Day Use",J954&lt;=3,"Short Stay",J954&lt;=7,"Extended Stay",J954&gt;=8,"Long Stay")</f>
        <v>Long Stay</v>
      </c>
      <c r="L954" t="s">
        <v>91</v>
      </c>
      <c r="M954" s="10" t="str">
        <f t="shared" si="71"/>
        <v>Premium</v>
      </c>
      <c r="N954" t="s">
        <v>148</v>
      </c>
      <c r="O954" t="s">
        <v>27</v>
      </c>
      <c r="P954">
        <f>IFERROR(VLOOKUP(TRIM(M954),Room!D:H,5,FALSE),5000)</f>
        <v>9500</v>
      </c>
      <c r="Q954">
        <f t="shared" si="72"/>
        <v>85500</v>
      </c>
      <c r="R954" s="11" t="str">
        <f t="shared" si="73"/>
        <v>Conference</v>
      </c>
      <c r="S954" s="11">
        <f t="shared" si="74"/>
        <v>4</v>
      </c>
    </row>
    <row r="955" spans="1:19">
      <c r="A955" t="s">
        <v>5062</v>
      </c>
      <c r="B955" t="s">
        <v>5063</v>
      </c>
      <c r="C955" t="s">
        <v>253</v>
      </c>
      <c r="D955" t="s">
        <v>5064</v>
      </c>
      <c r="E955" t="s">
        <v>5065</v>
      </c>
      <c r="F955" t="s">
        <v>5066</v>
      </c>
      <c r="G955" s="4">
        <v>45495</v>
      </c>
      <c r="H955" s="4">
        <v>45869</v>
      </c>
      <c r="I955" s="4">
        <v>45878</v>
      </c>
      <c r="J955">
        <f t="shared" si="70"/>
        <v>9</v>
      </c>
      <c r="K955" t="str">
        <f t="array" ref="K955">_xlfn.IFS(J955=1,"Day Use",J955&lt;=3,"Short Stay",J955&lt;=7,"Extended Stay",J955&gt;=8,"Long Stay")</f>
        <v>Long Stay</v>
      </c>
      <c r="L955" t="s">
        <v>196</v>
      </c>
      <c r="M955" s="10" t="str">
        <f t="shared" si="71"/>
        <v>Premium</v>
      </c>
      <c r="N955" t="s">
        <v>26</v>
      </c>
      <c r="O955" t="s">
        <v>58</v>
      </c>
      <c r="P955">
        <f>IFERROR(VLOOKUP(TRIM(M955),Room!D:H,5,FALSE),5000)</f>
        <v>9500</v>
      </c>
      <c r="Q955">
        <f t="shared" si="72"/>
        <v>85500</v>
      </c>
      <c r="R955" s="11" t="str">
        <f t="shared" si="73"/>
        <v>Conference</v>
      </c>
      <c r="S955" s="11">
        <f t="shared" si="74"/>
        <v>4</v>
      </c>
    </row>
    <row r="956" spans="1:19">
      <c r="A956" t="s">
        <v>5067</v>
      </c>
      <c r="B956" t="s">
        <v>5068</v>
      </c>
      <c r="C956" t="s">
        <v>137</v>
      </c>
      <c r="D956" t="s">
        <v>5069</v>
      </c>
      <c r="E956" t="s">
        <v>5070</v>
      </c>
      <c r="F956" t="s">
        <v>5071</v>
      </c>
      <c r="G956" s="4">
        <v>45634</v>
      </c>
      <c r="H956" s="4">
        <v>45639</v>
      </c>
      <c r="I956" s="4">
        <v>45641</v>
      </c>
      <c r="J956">
        <f t="shared" si="70"/>
        <v>2</v>
      </c>
      <c r="K956" t="str">
        <f t="array" ref="K956">_xlfn.IFS(J956=1,"Day Use",J956&lt;=3,"Short Stay",J956&lt;=7,"Extended Stay",J956&gt;=8,"Long Stay")</f>
        <v>Short Stay</v>
      </c>
      <c r="L956" t="s">
        <v>34</v>
      </c>
      <c r="M956" s="10" t="str">
        <f t="shared" si="71"/>
        <v>Standard</v>
      </c>
      <c r="N956" t="s">
        <v>26</v>
      </c>
      <c r="O956" t="s">
        <v>27</v>
      </c>
      <c r="P956">
        <f>IFERROR(VLOOKUP(TRIM(M956),Room!D:H,5,FALSE),5000)</f>
        <v>3200</v>
      </c>
      <c r="Q956">
        <f t="shared" si="72"/>
        <v>6400</v>
      </c>
      <c r="R956" s="11" t="str">
        <f t="shared" si="73"/>
        <v>Other</v>
      </c>
      <c r="S956" s="11">
        <f t="shared" si="74"/>
        <v>2</v>
      </c>
    </row>
    <row r="957" spans="1:19">
      <c r="A957" t="s">
        <v>5072</v>
      </c>
      <c r="B957" t="s">
        <v>5073</v>
      </c>
      <c r="C957" t="s">
        <v>5074</v>
      </c>
      <c r="D957" t="s">
        <v>5075</v>
      </c>
      <c r="E957" t="s">
        <v>5076</v>
      </c>
      <c r="F957" t="s">
        <v>5077</v>
      </c>
      <c r="G957" s="4">
        <v>45355</v>
      </c>
      <c r="H957" s="4">
        <v>45553</v>
      </c>
      <c r="I957" s="4">
        <v>45561</v>
      </c>
      <c r="J957">
        <f t="shared" si="70"/>
        <v>8</v>
      </c>
      <c r="K957" t="str">
        <f t="array" ref="K957">_xlfn.IFS(J957=1,"Day Use",J957&lt;=3,"Short Stay",J957&lt;=7,"Extended Stay",J957&gt;=8,"Long Stay")</f>
        <v>Long Stay</v>
      </c>
      <c r="L957" t="s">
        <v>141</v>
      </c>
      <c r="M957" s="10" t="str">
        <f t="shared" si="71"/>
        <v>Premium</v>
      </c>
      <c r="N957" t="s">
        <v>26</v>
      </c>
      <c r="O957" t="s">
        <v>35</v>
      </c>
      <c r="P957">
        <f>IFERROR(VLOOKUP(TRIM(M957),Room!D:H,5,FALSE),5000)</f>
        <v>9500</v>
      </c>
      <c r="Q957">
        <f t="shared" si="72"/>
        <v>76000</v>
      </c>
      <c r="R957" s="11" t="str">
        <f t="shared" si="73"/>
        <v>Conference</v>
      </c>
      <c r="S957" s="11">
        <f t="shared" si="74"/>
        <v>4</v>
      </c>
    </row>
    <row r="958" spans="1:19">
      <c r="A958" t="s">
        <v>5078</v>
      </c>
      <c r="B958" t="s">
        <v>5079</v>
      </c>
      <c r="C958" t="s">
        <v>157</v>
      </c>
      <c r="D958" t="s">
        <v>5080</v>
      </c>
      <c r="E958" t="s">
        <v>5081</v>
      </c>
      <c r="F958" t="s">
        <v>5082</v>
      </c>
      <c r="G958" s="4">
        <v>45608</v>
      </c>
      <c r="H958" s="4">
        <v>45638</v>
      </c>
      <c r="I958" s="4">
        <v>45644</v>
      </c>
      <c r="J958">
        <f t="shared" si="70"/>
        <v>6</v>
      </c>
      <c r="K958" t="str">
        <f t="array" ref="K958">_xlfn.IFS(J958=1,"Day Use",J958&lt;=3,"Short Stay",J958&lt;=7,"Extended Stay",J958&gt;=8,"Long Stay")</f>
        <v>Extended Stay</v>
      </c>
      <c r="L958" t="s">
        <v>141</v>
      </c>
      <c r="M958" s="10" t="str">
        <f t="shared" si="71"/>
        <v>Deluxe</v>
      </c>
      <c r="N958" t="s">
        <v>26</v>
      </c>
      <c r="O958" t="s">
        <v>71</v>
      </c>
      <c r="P958">
        <f>IFERROR(VLOOKUP(TRIM(M958),Room!D:H,5,FALSE),5000)</f>
        <v>5400</v>
      </c>
      <c r="Q958">
        <f t="shared" si="72"/>
        <v>32400</v>
      </c>
      <c r="R958" s="11" t="str">
        <f t="shared" si="73"/>
        <v>Conference</v>
      </c>
      <c r="S958" s="11">
        <f t="shared" si="74"/>
        <v>3</v>
      </c>
    </row>
    <row r="959" spans="1:19">
      <c r="A959" t="s">
        <v>5083</v>
      </c>
      <c r="B959" t="s">
        <v>5084</v>
      </c>
      <c r="C959" t="s">
        <v>294</v>
      </c>
      <c r="D959" t="s">
        <v>5085</v>
      </c>
      <c r="E959" t="s">
        <v>5086</v>
      </c>
      <c r="F959" t="s">
        <v>5087</v>
      </c>
      <c r="G959" s="4">
        <v>45415</v>
      </c>
      <c r="H959" s="4">
        <v>45428</v>
      </c>
      <c r="I959" s="4">
        <v>45440</v>
      </c>
      <c r="J959">
        <f t="shared" si="70"/>
        <v>12</v>
      </c>
      <c r="K959" t="str">
        <f t="array" ref="K959">_xlfn.IFS(J959=1,"Day Use",J959&lt;=3,"Short Stay",J959&lt;=7,"Extended Stay",J959&gt;=8,"Long Stay")</f>
        <v>Long Stay</v>
      </c>
      <c r="L959" t="s">
        <v>25</v>
      </c>
      <c r="M959" s="10" t="str">
        <f t="shared" si="71"/>
        <v>Suite</v>
      </c>
      <c r="N959" t="s">
        <v>26</v>
      </c>
      <c r="O959" t="s">
        <v>42</v>
      </c>
      <c r="P959">
        <f>IFERROR(VLOOKUP(TRIM(M959),Room!D:H,5,FALSE),5000)</f>
        <v>12500</v>
      </c>
      <c r="Q959">
        <f t="shared" si="72"/>
        <v>150000</v>
      </c>
      <c r="R959" s="11" t="str">
        <f t="shared" si="73"/>
        <v>Business</v>
      </c>
      <c r="S959" s="11">
        <f t="shared" si="74"/>
        <v>5</v>
      </c>
    </row>
    <row r="960" spans="1:19">
      <c r="A960" t="s">
        <v>5088</v>
      </c>
      <c r="B960" t="s">
        <v>5089</v>
      </c>
      <c r="C960" t="s">
        <v>655</v>
      </c>
      <c r="D960" t="s">
        <v>5090</v>
      </c>
      <c r="E960" t="s">
        <v>5091</v>
      </c>
      <c r="F960" t="s">
        <v>5092</v>
      </c>
      <c r="G960" s="4">
        <v>45233</v>
      </c>
      <c r="H960" s="4">
        <v>45372</v>
      </c>
      <c r="I960" s="4">
        <v>45383</v>
      </c>
      <c r="J960">
        <f t="shared" si="70"/>
        <v>11</v>
      </c>
      <c r="K960" t="str">
        <f t="array" ref="K960">_xlfn.IFS(J960=1,"Day Use",J960&lt;=3,"Short Stay",J960&lt;=7,"Extended Stay",J960&gt;=8,"Long Stay")</f>
        <v>Long Stay</v>
      </c>
      <c r="L960" t="s">
        <v>141</v>
      </c>
      <c r="M960" s="10" t="str">
        <f t="shared" si="71"/>
        <v>Suite</v>
      </c>
      <c r="N960" t="s">
        <v>148</v>
      </c>
      <c r="O960" t="s">
        <v>58</v>
      </c>
      <c r="P960">
        <f>IFERROR(VLOOKUP(TRIM(M960),Room!D:H,5,FALSE),5000)</f>
        <v>12500</v>
      </c>
      <c r="Q960">
        <f t="shared" si="72"/>
        <v>137500</v>
      </c>
      <c r="R960" s="11" t="str">
        <f t="shared" si="73"/>
        <v>Business</v>
      </c>
      <c r="S960" s="11">
        <f t="shared" si="74"/>
        <v>5</v>
      </c>
    </row>
    <row r="961" spans="1:19">
      <c r="A961" t="s">
        <v>5093</v>
      </c>
      <c r="B961" t="s">
        <v>5094</v>
      </c>
      <c r="C961" t="s">
        <v>1682</v>
      </c>
      <c r="D961" t="s">
        <v>5095</v>
      </c>
      <c r="E961" t="s">
        <v>5096</v>
      </c>
      <c r="F961" t="s">
        <v>5097</v>
      </c>
      <c r="G961" s="4">
        <v>45241</v>
      </c>
      <c r="H961" s="4">
        <v>45504</v>
      </c>
      <c r="I961" s="4">
        <v>45508</v>
      </c>
      <c r="J961">
        <f t="shared" si="70"/>
        <v>4</v>
      </c>
      <c r="K961" t="str">
        <f t="array" ref="K961">_xlfn.IFS(J961=1,"Day Use",J961&lt;=3,"Short Stay",J961&lt;=7,"Extended Stay",J961&gt;=8,"Long Stay")</f>
        <v>Extended Stay</v>
      </c>
      <c r="L961" t="s">
        <v>84</v>
      </c>
      <c r="M961" s="10" t="str">
        <f t="shared" si="71"/>
        <v>Deluxe</v>
      </c>
      <c r="N961" t="s">
        <v>148</v>
      </c>
      <c r="O961" t="s">
        <v>27</v>
      </c>
      <c r="P961">
        <f>IFERROR(VLOOKUP(TRIM(M961),Room!D:H,5,FALSE),5000)</f>
        <v>5400</v>
      </c>
      <c r="Q961">
        <f t="shared" si="72"/>
        <v>21600</v>
      </c>
      <c r="R961" s="11" t="str">
        <f t="shared" si="73"/>
        <v>Conference</v>
      </c>
      <c r="S961" s="11">
        <f t="shared" si="74"/>
        <v>3</v>
      </c>
    </row>
    <row r="962" spans="1:19">
      <c r="A962" t="s">
        <v>5098</v>
      </c>
      <c r="B962" t="s">
        <v>5099</v>
      </c>
      <c r="C962" t="s">
        <v>1794</v>
      </c>
      <c r="D962" t="s">
        <v>5100</v>
      </c>
      <c r="E962" t="s">
        <v>5101</v>
      </c>
      <c r="F962" t="s">
        <v>5102</v>
      </c>
      <c r="G962" s="4">
        <v>45772</v>
      </c>
      <c r="H962" s="4">
        <v>45772</v>
      </c>
      <c r="I962" s="4">
        <v>45779</v>
      </c>
      <c r="J962">
        <f t="shared" ref="J962:J1025" si="75">I962-H962</f>
        <v>7</v>
      </c>
      <c r="K962" t="str">
        <f t="array" ref="K962">_xlfn.IFS(J962=1,"Day Use",J962&lt;=3,"Short Stay",J962&lt;=7,"Extended Stay",J962&gt;=8,"Long Stay")</f>
        <v>Extended Stay</v>
      </c>
      <c r="L962" t="s">
        <v>25</v>
      </c>
      <c r="M962" s="10" t="str">
        <f t="shared" ref="M962:M1025" si="76">IF($J962&lt;=3,"Standard",IF($J962&lt;=6,"Deluxe",IF($J962&lt;=10,"Premium","Suite")))</f>
        <v>Premium</v>
      </c>
      <c r="N962" t="s">
        <v>26</v>
      </c>
      <c r="O962" t="s">
        <v>58</v>
      </c>
      <c r="P962">
        <f>IFERROR(VLOOKUP(TRIM(M962),Room!D:H,5,FALSE),5000)</f>
        <v>9500</v>
      </c>
      <c r="Q962">
        <f t="shared" si="72"/>
        <v>66500</v>
      </c>
      <c r="R962" s="11" t="str">
        <f t="shared" si="73"/>
        <v>Conference</v>
      </c>
      <c r="S962" s="11">
        <f t="shared" si="74"/>
        <v>4</v>
      </c>
    </row>
    <row r="963" spans="1:19">
      <c r="A963" t="s">
        <v>5103</v>
      </c>
      <c r="B963" t="s">
        <v>5104</v>
      </c>
      <c r="C963" t="s">
        <v>3929</v>
      </c>
      <c r="D963" t="s">
        <v>5105</v>
      </c>
      <c r="E963" t="s">
        <v>5106</v>
      </c>
      <c r="F963" t="s">
        <v>5107</v>
      </c>
      <c r="G963" s="4">
        <v>45674</v>
      </c>
      <c r="H963" s="4">
        <v>45674</v>
      </c>
      <c r="I963" s="4">
        <v>45682</v>
      </c>
      <c r="J963">
        <f t="shared" si="75"/>
        <v>8</v>
      </c>
      <c r="K963" t="str">
        <f t="array" ref="K963">_xlfn.IFS(J963=1,"Day Use",J963&lt;=3,"Short Stay",J963&lt;=7,"Extended Stay",J963&gt;=8,"Long Stay")</f>
        <v>Long Stay</v>
      </c>
      <c r="L963" t="s">
        <v>84</v>
      </c>
      <c r="M963" s="10" t="str">
        <f t="shared" si="76"/>
        <v>Premium</v>
      </c>
      <c r="N963" t="s">
        <v>57</v>
      </c>
      <c r="O963" t="s">
        <v>71</v>
      </c>
      <c r="P963">
        <f>IFERROR(VLOOKUP(TRIM(M963),Room!D:H,5,FALSE),5000)</f>
        <v>9500</v>
      </c>
      <c r="Q963">
        <f t="shared" ref="Q963:Q1026" si="77">P963*J963</f>
        <v>76000</v>
      </c>
      <c r="R963" s="11" t="str">
        <f t="shared" ref="R963:R1026" si="78">IF(ISNUMBER(SEARCH("Suite",D963)),"Honeymoon",IF(P963&gt;10000,"Business",IF(P963&gt;5000,"Conference",IF(J963&gt;=8,"Family Vacation","Other"))))</f>
        <v>Conference</v>
      </c>
      <c r="S963" s="11">
        <f t="shared" ref="S963:S1026" si="79">IF(M963="Suite",5,IF(M963="Premium",IF(Q963&gt;20000,4,3),IF(M963="Deluxe",IF(Q963&gt;=10000,3,2),IF(M963="Standard",IF(Q963&gt;=5000,2,1),1))))</f>
        <v>4</v>
      </c>
    </row>
    <row r="964" spans="1:19">
      <c r="A964" t="s">
        <v>5108</v>
      </c>
      <c r="B964" t="s">
        <v>5109</v>
      </c>
      <c r="C964" t="s">
        <v>512</v>
      </c>
      <c r="D964" t="s">
        <v>5110</v>
      </c>
      <c r="E964" t="s">
        <v>5111</v>
      </c>
      <c r="F964" t="s">
        <v>5112</v>
      </c>
      <c r="G964" s="4">
        <v>45775</v>
      </c>
      <c r="H964" s="4">
        <v>45990</v>
      </c>
      <c r="I964" s="4">
        <v>45998</v>
      </c>
      <c r="J964">
        <f t="shared" si="75"/>
        <v>8</v>
      </c>
      <c r="K964" t="str">
        <f t="array" ref="K964">_xlfn.IFS(J964=1,"Day Use",J964&lt;=3,"Short Stay",J964&lt;=7,"Extended Stay",J964&gt;=8,"Long Stay")</f>
        <v>Long Stay</v>
      </c>
      <c r="L964" t="s">
        <v>49</v>
      </c>
      <c r="M964" s="10" t="str">
        <f t="shared" si="76"/>
        <v>Premium</v>
      </c>
      <c r="N964" t="s">
        <v>26</v>
      </c>
      <c r="O964" t="s">
        <v>35</v>
      </c>
      <c r="P964">
        <f>IFERROR(VLOOKUP(TRIM(M964),Room!D:H,5,FALSE),5000)</f>
        <v>9500</v>
      </c>
      <c r="Q964">
        <f t="shared" si="77"/>
        <v>76000</v>
      </c>
      <c r="R964" s="11" t="str">
        <f t="shared" si="78"/>
        <v>Conference</v>
      </c>
      <c r="S964" s="11">
        <f t="shared" si="79"/>
        <v>4</v>
      </c>
    </row>
    <row r="965" spans="1:19">
      <c r="A965" t="s">
        <v>5113</v>
      </c>
      <c r="B965" t="s">
        <v>5114</v>
      </c>
      <c r="C965" t="s">
        <v>1539</v>
      </c>
      <c r="D965" t="s">
        <v>5115</v>
      </c>
      <c r="E965" t="s">
        <v>5116</v>
      </c>
      <c r="F965" t="s">
        <v>5117</v>
      </c>
      <c r="G965" s="4">
        <v>45422</v>
      </c>
      <c r="H965" s="4">
        <v>45755</v>
      </c>
      <c r="I965" s="4">
        <v>45759</v>
      </c>
      <c r="J965">
        <f t="shared" si="75"/>
        <v>4</v>
      </c>
      <c r="K965" t="str">
        <f t="array" ref="K965">_xlfn.IFS(J965=1,"Day Use",J965&lt;=3,"Short Stay",J965&lt;=7,"Extended Stay",J965&gt;=8,"Long Stay")</f>
        <v>Extended Stay</v>
      </c>
      <c r="L965" t="s">
        <v>34</v>
      </c>
      <c r="M965" s="10" t="str">
        <f t="shared" si="76"/>
        <v>Deluxe</v>
      </c>
      <c r="N965" t="s">
        <v>26</v>
      </c>
      <c r="O965" t="s">
        <v>35</v>
      </c>
      <c r="P965">
        <f>IFERROR(VLOOKUP(TRIM(M965),Room!D:H,5,FALSE),5000)</f>
        <v>5400</v>
      </c>
      <c r="Q965">
        <f t="shared" si="77"/>
        <v>21600</v>
      </c>
      <c r="R965" s="11" t="str">
        <f t="shared" si="78"/>
        <v>Conference</v>
      </c>
      <c r="S965" s="11">
        <f t="shared" si="79"/>
        <v>3</v>
      </c>
    </row>
    <row r="966" spans="1:19">
      <c r="A966" t="s">
        <v>5118</v>
      </c>
      <c r="B966" t="s">
        <v>5119</v>
      </c>
      <c r="C966" t="s">
        <v>2457</v>
      </c>
      <c r="D966" t="s">
        <v>5120</v>
      </c>
      <c r="E966" t="s">
        <v>5121</v>
      </c>
      <c r="F966" t="s">
        <v>5122</v>
      </c>
      <c r="G966" s="4">
        <v>45561</v>
      </c>
      <c r="H966" s="4">
        <v>45567</v>
      </c>
      <c r="I966" s="4">
        <v>45569</v>
      </c>
      <c r="J966">
        <f t="shared" si="75"/>
        <v>2</v>
      </c>
      <c r="K966" t="str">
        <f t="array" ref="K966">_xlfn.IFS(J966=1,"Day Use",J966&lt;=3,"Short Stay",J966&lt;=7,"Extended Stay",J966&gt;=8,"Long Stay")</f>
        <v>Short Stay</v>
      </c>
      <c r="L966" t="s">
        <v>141</v>
      </c>
      <c r="M966" s="10" t="str">
        <f t="shared" si="76"/>
        <v>Standard</v>
      </c>
      <c r="N966" t="s">
        <v>26</v>
      </c>
      <c r="O966" t="s">
        <v>42</v>
      </c>
      <c r="P966">
        <f>IFERROR(VLOOKUP(TRIM(M966),Room!D:H,5,FALSE),5000)</f>
        <v>3200</v>
      </c>
      <c r="Q966">
        <f t="shared" si="77"/>
        <v>6400</v>
      </c>
      <c r="R966" s="11" t="str">
        <f t="shared" si="78"/>
        <v>Other</v>
      </c>
      <c r="S966" s="11">
        <f t="shared" si="79"/>
        <v>2</v>
      </c>
    </row>
    <row r="967" spans="1:19">
      <c r="A967" t="s">
        <v>5123</v>
      </c>
      <c r="B967" t="s">
        <v>5124</v>
      </c>
      <c r="C967" t="s">
        <v>871</v>
      </c>
      <c r="D967" t="s">
        <v>5125</v>
      </c>
      <c r="E967" t="s">
        <v>5126</v>
      </c>
      <c r="F967" t="s">
        <v>5127</v>
      </c>
      <c r="G967" s="4">
        <v>45566</v>
      </c>
      <c r="H967" s="4">
        <v>45589</v>
      </c>
      <c r="I967" s="4">
        <v>45593</v>
      </c>
      <c r="J967">
        <f t="shared" si="75"/>
        <v>4</v>
      </c>
      <c r="K967" t="str">
        <f t="array" ref="K967">_xlfn.IFS(J967=1,"Day Use",J967&lt;=3,"Short Stay",J967&lt;=7,"Extended Stay",J967&gt;=8,"Long Stay")</f>
        <v>Extended Stay</v>
      </c>
      <c r="L967" t="s">
        <v>141</v>
      </c>
      <c r="M967" s="10" t="str">
        <f t="shared" si="76"/>
        <v>Deluxe</v>
      </c>
      <c r="N967" t="s">
        <v>26</v>
      </c>
      <c r="O967" t="s">
        <v>35</v>
      </c>
      <c r="P967">
        <f>IFERROR(VLOOKUP(TRIM(M967),Room!D:H,5,FALSE),5000)</f>
        <v>5400</v>
      </c>
      <c r="Q967">
        <f t="shared" si="77"/>
        <v>21600</v>
      </c>
      <c r="R967" s="11" t="str">
        <f t="shared" si="78"/>
        <v>Conference</v>
      </c>
      <c r="S967" s="11">
        <f t="shared" si="79"/>
        <v>3</v>
      </c>
    </row>
    <row r="968" spans="1:19">
      <c r="A968" t="s">
        <v>5128</v>
      </c>
      <c r="B968" t="s">
        <v>5129</v>
      </c>
      <c r="C968" t="s">
        <v>1826</v>
      </c>
      <c r="D968" t="s">
        <v>5130</v>
      </c>
      <c r="E968" t="s">
        <v>5131</v>
      </c>
      <c r="F968" t="s">
        <v>5132</v>
      </c>
      <c r="G968" s="4">
        <v>45758</v>
      </c>
      <c r="H968" s="4">
        <v>45884</v>
      </c>
      <c r="I968" s="4">
        <v>45897</v>
      </c>
      <c r="J968">
        <f t="shared" si="75"/>
        <v>13</v>
      </c>
      <c r="K968" t="str">
        <f t="array" ref="K968">_xlfn.IFS(J968=1,"Day Use",J968&lt;=3,"Short Stay",J968&lt;=7,"Extended Stay",J968&gt;=8,"Long Stay")</f>
        <v>Long Stay</v>
      </c>
      <c r="L968" t="s">
        <v>34</v>
      </c>
      <c r="M968" s="10" t="str">
        <f t="shared" si="76"/>
        <v>Suite</v>
      </c>
      <c r="N968" t="s">
        <v>26</v>
      </c>
      <c r="O968" t="s">
        <v>58</v>
      </c>
      <c r="P968">
        <f>IFERROR(VLOOKUP(TRIM(M968),Room!D:H,5,FALSE),5000)</f>
        <v>12500</v>
      </c>
      <c r="Q968">
        <f t="shared" si="77"/>
        <v>162500</v>
      </c>
      <c r="R968" s="11" t="str">
        <f t="shared" si="78"/>
        <v>Business</v>
      </c>
      <c r="S968" s="11">
        <f t="shared" si="79"/>
        <v>5</v>
      </c>
    </row>
    <row r="969" spans="1:19">
      <c r="A969" t="s">
        <v>5133</v>
      </c>
      <c r="B969" t="s">
        <v>5134</v>
      </c>
      <c r="C969" t="s">
        <v>3448</v>
      </c>
      <c r="D969" t="s">
        <v>5135</v>
      </c>
      <c r="E969" t="s">
        <v>5136</v>
      </c>
      <c r="F969" t="s">
        <v>5137</v>
      </c>
      <c r="G969" s="4">
        <v>45303</v>
      </c>
      <c r="H969" s="4">
        <v>45464</v>
      </c>
      <c r="I969" s="4">
        <v>45470</v>
      </c>
      <c r="J969">
        <f t="shared" si="75"/>
        <v>6</v>
      </c>
      <c r="K969" t="str">
        <f t="array" ref="K969">_xlfn.IFS(J969=1,"Day Use",J969&lt;=3,"Short Stay",J969&lt;=7,"Extended Stay",J969&gt;=8,"Long Stay")</f>
        <v>Extended Stay</v>
      </c>
      <c r="L969" t="s">
        <v>84</v>
      </c>
      <c r="M969" s="10" t="str">
        <f t="shared" si="76"/>
        <v>Deluxe</v>
      </c>
      <c r="N969" t="s">
        <v>26</v>
      </c>
      <c r="O969" t="s">
        <v>35</v>
      </c>
      <c r="P969">
        <f>IFERROR(VLOOKUP(TRIM(M969),Room!D:H,5,FALSE),5000)</f>
        <v>5400</v>
      </c>
      <c r="Q969">
        <f t="shared" si="77"/>
        <v>32400</v>
      </c>
      <c r="R969" s="11" t="str">
        <f t="shared" si="78"/>
        <v>Conference</v>
      </c>
      <c r="S969" s="11">
        <f t="shared" si="79"/>
        <v>3</v>
      </c>
    </row>
    <row r="970" spans="1:19">
      <c r="A970" t="s">
        <v>5138</v>
      </c>
      <c r="B970" t="s">
        <v>5139</v>
      </c>
      <c r="C970" t="s">
        <v>253</v>
      </c>
      <c r="D970" t="s">
        <v>5140</v>
      </c>
      <c r="E970" t="s">
        <v>5141</v>
      </c>
      <c r="F970" t="s">
        <v>5142</v>
      </c>
      <c r="G970" s="4">
        <v>45833</v>
      </c>
      <c r="H970" s="4">
        <v>45890</v>
      </c>
      <c r="I970" s="4">
        <v>45892</v>
      </c>
      <c r="J970">
        <f t="shared" si="75"/>
        <v>2</v>
      </c>
      <c r="K970" t="str">
        <f t="array" ref="K970">_xlfn.IFS(J970=1,"Day Use",J970&lt;=3,"Short Stay",J970&lt;=7,"Extended Stay",J970&gt;=8,"Long Stay")</f>
        <v>Short Stay</v>
      </c>
      <c r="L970" t="s">
        <v>34</v>
      </c>
      <c r="M970" s="10" t="str">
        <f t="shared" si="76"/>
        <v>Standard</v>
      </c>
      <c r="N970" t="s">
        <v>148</v>
      </c>
      <c r="O970" t="s">
        <v>35</v>
      </c>
      <c r="P970">
        <f>IFERROR(VLOOKUP(TRIM(M970),Room!D:H,5,FALSE),5000)</f>
        <v>3200</v>
      </c>
      <c r="Q970">
        <f t="shared" si="77"/>
        <v>6400</v>
      </c>
      <c r="R970" s="11" t="str">
        <f t="shared" si="78"/>
        <v>Other</v>
      </c>
      <c r="S970" s="11">
        <f t="shared" si="79"/>
        <v>2</v>
      </c>
    </row>
    <row r="971" spans="1:19">
      <c r="A971" t="s">
        <v>5143</v>
      </c>
      <c r="B971" t="s">
        <v>5144</v>
      </c>
      <c r="C971" t="s">
        <v>3975</v>
      </c>
      <c r="D971" t="s">
        <v>5145</v>
      </c>
      <c r="E971" t="s">
        <v>5146</v>
      </c>
      <c r="F971" t="s">
        <v>5147</v>
      </c>
      <c r="G971" s="4">
        <v>45365</v>
      </c>
      <c r="H971" s="4">
        <v>45907</v>
      </c>
      <c r="I971" s="4">
        <v>45919</v>
      </c>
      <c r="J971">
        <f t="shared" si="75"/>
        <v>12</v>
      </c>
      <c r="K971" t="str">
        <f t="array" ref="K971">_xlfn.IFS(J971=1,"Day Use",J971&lt;=3,"Short Stay",J971&lt;=7,"Extended Stay",J971&gt;=8,"Long Stay")</f>
        <v>Long Stay</v>
      </c>
      <c r="L971" t="s">
        <v>84</v>
      </c>
      <c r="M971" s="10" t="str">
        <f t="shared" si="76"/>
        <v>Suite</v>
      </c>
      <c r="N971" t="s">
        <v>148</v>
      </c>
      <c r="O971" t="s">
        <v>58</v>
      </c>
      <c r="P971">
        <f>IFERROR(VLOOKUP(TRIM(M971),Room!D:H,5,FALSE),5000)</f>
        <v>12500</v>
      </c>
      <c r="Q971">
        <f t="shared" si="77"/>
        <v>150000</v>
      </c>
      <c r="R971" s="11" t="str">
        <f t="shared" si="78"/>
        <v>Business</v>
      </c>
      <c r="S971" s="11">
        <f t="shared" si="79"/>
        <v>5</v>
      </c>
    </row>
    <row r="972" spans="1:19">
      <c r="A972" t="s">
        <v>5148</v>
      </c>
      <c r="B972" t="s">
        <v>5149</v>
      </c>
      <c r="C972" t="s">
        <v>180</v>
      </c>
      <c r="D972" t="s">
        <v>5150</v>
      </c>
      <c r="E972" t="s">
        <v>5151</v>
      </c>
      <c r="F972" t="s">
        <v>5152</v>
      </c>
      <c r="G972" s="4">
        <v>45416</v>
      </c>
      <c r="H972" s="4">
        <v>45906</v>
      </c>
      <c r="I972" s="4">
        <v>45918</v>
      </c>
      <c r="J972">
        <f t="shared" si="75"/>
        <v>12</v>
      </c>
      <c r="K972" t="str">
        <f t="array" ref="K972">_xlfn.IFS(J972=1,"Day Use",J972&lt;=3,"Short Stay",J972&lt;=7,"Extended Stay",J972&gt;=8,"Long Stay")</f>
        <v>Long Stay</v>
      </c>
      <c r="L972" t="s">
        <v>84</v>
      </c>
      <c r="M972" s="10" t="str">
        <f t="shared" si="76"/>
        <v>Suite</v>
      </c>
      <c r="N972" t="s">
        <v>57</v>
      </c>
      <c r="O972" t="s">
        <v>35</v>
      </c>
      <c r="P972">
        <f>IFERROR(VLOOKUP(TRIM(M972),Room!D:H,5,FALSE),5000)</f>
        <v>12500</v>
      </c>
      <c r="Q972">
        <f t="shared" si="77"/>
        <v>150000</v>
      </c>
      <c r="R972" s="11" t="str">
        <f t="shared" si="78"/>
        <v>Business</v>
      </c>
      <c r="S972" s="11">
        <f t="shared" si="79"/>
        <v>5</v>
      </c>
    </row>
    <row r="973" spans="1:19">
      <c r="A973" t="s">
        <v>5153</v>
      </c>
      <c r="B973" t="s">
        <v>5154</v>
      </c>
      <c r="C973" t="s">
        <v>5155</v>
      </c>
      <c r="D973" t="s">
        <v>5156</v>
      </c>
      <c r="E973" t="s">
        <v>5157</v>
      </c>
      <c r="F973" t="s">
        <v>5158</v>
      </c>
      <c r="G973" s="4">
        <v>45609</v>
      </c>
      <c r="H973" s="4">
        <v>45832</v>
      </c>
      <c r="I973" s="4">
        <v>45843</v>
      </c>
      <c r="J973">
        <f t="shared" si="75"/>
        <v>11</v>
      </c>
      <c r="K973" t="str">
        <f t="array" ref="K973">_xlfn.IFS(J973=1,"Day Use",J973&lt;=3,"Short Stay",J973&lt;=7,"Extended Stay",J973&gt;=8,"Long Stay")</f>
        <v>Long Stay</v>
      </c>
      <c r="L973" t="s">
        <v>34</v>
      </c>
      <c r="M973" s="10" t="str">
        <f t="shared" si="76"/>
        <v>Suite</v>
      </c>
      <c r="N973" t="s">
        <v>26</v>
      </c>
      <c r="O973" t="s">
        <v>42</v>
      </c>
      <c r="P973">
        <f>IFERROR(VLOOKUP(TRIM(M973),Room!D:H,5,FALSE),5000)</f>
        <v>12500</v>
      </c>
      <c r="Q973">
        <f t="shared" si="77"/>
        <v>137500</v>
      </c>
      <c r="R973" s="11" t="str">
        <f t="shared" si="78"/>
        <v>Business</v>
      </c>
      <c r="S973" s="11">
        <f t="shared" si="79"/>
        <v>5</v>
      </c>
    </row>
    <row r="974" spans="1:19">
      <c r="A974" t="s">
        <v>5159</v>
      </c>
      <c r="B974" t="s">
        <v>5160</v>
      </c>
      <c r="C974" t="s">
        <v>449</v>
      </c>
      <c r="D974" t="s">
        <v>5161</v>
      </c>
      <c r="E974" t="s">
        <v>5162</v>
      </c>
      <c r="F974" t="s">
        <v>5163</v>
      </c>
      <c r="G974" s="4">
        <v>45325</v>
      </c>
      <c r="H974" s="4">
        <v>45557</v>
      </c>
      <c r="I974" s="4">
        <v>45560</v>
      </c>
      <c r="J974">
        <f t="shared" si="75"/>
        <v>3</v>
      </c>
      <c r="K974" t="str">
        <f t="array" ref="K974">_xlfn.IFS(J974=1,"Day Use",J974&lt;=3,"Short Stay",J974&lt;=7,"Extended Stay",J974&gt;=8,"Long Stay")</f>
        <v>Short Stay</v>
      </c>
      <c r="L974" t="s">
        <v>56</v>
      </c>
      <c r="M974" s="10" t="str">
        <f t="shared" si="76"/>
        <v>Standard</v>
      </c>
      <c r="N974" t="s">
        <v>372</v>
      </c>
      <c r="O974" t="s">
        <v>35</v>
      </c>
      <c r="P974">
        <f>IFERROR(VLOOKUP(TRIM(M974),Room!D:H,5,FALSE),5000)</f>
        <v>3200</v>
      </c>
      <c r="Q974">
        <f t="shared" si="77"/>
        <v>9600</v>
      </c>
      <c r="R974" s="11" t="str">
        <f t="shared" si="78"/>
        <v>Other</v>
      </c>
      <c r="S974" s="11">
        <f t="shared" si="79"/>
        <v>2</v>
      </c>
    </row>
    <row r="975" spans="1:19">
      <c r="A975" t="s">
        <v>5164</v>
      </c>
      <c r="B975" t="s">
        <v>5165</v>
      </c>
      <c r="C975" t="s">
        <v>853</v>
      </c>
      <c r="D975" t="s">
        <v>5166</v>
      </c>
      <c r="E975" t="s">
        <v>5167</v>
      </c>
      <c r="F975" t="s">
        <v>5168</v>
      </c>
      <c r="G975" s="4">
        <v>45525</v>
      </c>
      <c r="H975" s="4">
        <v>45929</v>
      </c>
      <c r="I975" s="4">
        <v>45931</v>
      </c>
      <c r="J975">
        <f t="shared" si="75"/>
        <v>2</v>
      </c>
      <c r="K975" t="str">
        <f t="array" ref="K975">_xlfn.IFS(J975=1,"Day Use",J975&lt;=3,"Short Stay",J975&lt;=7,"Extended Stay",J975&gt;=8,"Long Stay")</f>
        <v>Short Stay</v>
      </c>
      <c r="L975" t="s">
        <v>141</v>
      </c>
      <c r="M975" s="10" t="str">
        <f t="shared" si="76"/>
        <v>Standard</v>
      </c>
      <c r="N975" t="s">
        <v>26</v>
      </c>
      <c r="O975" t="s">
        <v>35</v>
      </c>
      <c r="P975">
        <f>IFERROR(VLOOKUP(TRIM(M975),Room!D:H,5,FALSE),5000)</f>
        <v>3200</v>
      </c>
      <c r="Q975">
        <f t="shared" si="77"/>
        <v>6400</v>
      </c>
      <c r="R975" s="11" t="str">
        <f t="shared" si="78"/>
        <v>Other</v>
      </c>
      <c r="S975" s="11">
        <f t="shared" si="79"/>
        <v>2</v>
      </c>
    </row>
    <row r="976" spans="1:19">
      <c r="A976" t="s">
        <v>5169</v>
      </c>
      <c r="B976" t="s">
        <v>5170</v>
      </c>
      <c r="C976" t="s">
        <v>593</v>
      </c>
      <c r="D976" t="s">
        <v>5171</v>
      </c>
      <c r="E976" t="s">
        <v>5172</v>
      </c>
      <c r="F976" t="s">
        <v>5173</v>
      </c>
      <c r="G976" s="4">
        <v>45519</v>
      </c>
      <c r="H976" s="4">
        <v>45533</v>
      </c>
      <c r="I976" s="4">
        <v>45546</v>
      </c>
      <c r="J976">
        <f t="shared" si="75"/>
        <v>13</v>
      </c>
      <c r="K976" t="str">
        <f t="array" ref="K976">_xlfn.IFS(J976=1,"Day Use",J976&lt;=3,"Short Stay",J976&lt;=7,"Extended Stay",J976&gt;=8,"Long Stay")</f>
        <v>Long Stay</v>
      </c>
      <c r="L976" t="s">
        <v>91</v>
      </c>
      <c r="M976" s="10" t="str">
        <f t="shared" si="76"/>
        <v>Suite</v>
      </c>
      <c r="N976" t="s">
        <v>26</v>
      </c>
      <c r="O976" t="s">
        <v>27</v>
      </c>
      <c r="P976">
        <f>IFERROR(VLOOKUP(TRIM(M976),Room!D:H,5,FALSE),5000)</f>
        <v>12500</v>
      </c>
      <c r="Q976">
        <f t="shared" si="77"/>
        <v>162500</v>
      </c>
      <c r="R976" s="11" t="str">
        <f t="shared" si="78"/>
        <v>Business</v>
      </c>
      <c r="S976" s="11">
        <f t="shared" si="79"/>
        <v>5</v>
      </c>
    </row>
    <row r="977" spans="1:19">
      <c r="A977" t="s">
        <v>5174</v>
      </c>
      <c r="B977" t="s">
        <v>5175</v>
      </c>
      <c r="C977" t="s">
        <v>4252</v>
      </c>
      <c r="D977" t="s">
        <v>5176</v>
      </c>
      <c r="E977" t="s">
        <v>5177</v>
      </c>
      <c r="F977" t="s">
        <v>5178</v>
      </c>
      <c r="G977" s="4">
        <v>45544</v>
      </c>
      <c r="H977" s="4">
        <v>45683</v>
      </c>
      <c r="I977" s="4">
        <v>45693</v>
      </c>
      <c r="J977">
        <f t="shared" si="75"/>
        <v>10</v>
      </c>
      <c r="K977" t="str">
        <f t="array" ref="K977">_xlfn.IFS(J977=1,"Day Use",J977&lt;=3,"Short Stay",J977&lt;=7,"Extended Stay",J977&gt;=8,"Long Stay")</f>
        <v>Long Stay</v>
      </c>
      <c r="L977" t="s">
        <v>84</v>
      </c>
      <c r="M977" s="10" t="str">
        <f t="shared" si="76"/>
        <v>Premium</v>
      </c>
      <c r="N977" t="s">
        <v>26</v>
      </c>
      <c r="O977" t="s">
        <v>35</v>
      </c>
      <c r="P977">
        <f>IFERROR(VLOOKUP(TRIM(M977),Room!D:H,5,FALSE),5000)</f>
        <v>9500</v>
      </c>
      <c r="Q977">
        <f t="shared" si="77"/>
        <v>95000</v>
      </c>
      <c r="R977" s="11" t="str">
        <f t="shared" si="78"/>
        <v>Conference</v>
      </c>
      <c r="S977" s="11">
        <f t="shared" si="79"/>
        <v>4</v>
      </c>
    </row>
    <row r="978" spans="1:19">
      <c r="A978" t="s">
        <v>5179</v>
      </c>
      <c r="B978" t="s">
        <v>5180</v>
      </c>
      <c r="C978" t="s">
        <v>2073</v>
      </c>
      <c r="D978" t="s">
        <v>5181</v>
      </c>
      <c r="E978" t="s">
        <v>5182</v>
      </c>
      <c r="F978" t="s">
        <v>5183</v>
      </c>
      <c r="G978" s="4">
        <v>45595</v>
      </c>
      <c r="H978" s="4">
        <v>45600</v>
      </c>
      <c r="I978" s="4">
        <v>45603</v>
      </c>
      <c r="J978">
        <f t="shared" si="75"/>
        <v>3</v>
      </c>
      <c r="K978" t="str">
        <f t="array" ref="K978">_xlfn.IFS(J978=1,"Day Use",J978&lt;=3,"Short Stay",J978&lt;=7,"Extended Stay",J978&gt;=8,"Long Stay")</f>
        <v>Short Stay</v>
      </c>
      <c r="L978" t="s">
        <v>84</v>
      </c>
      <c r="M978" s="10" t="str">
        <f t="shared" si="76"/>
        <v>Standard</v>
      </c>
      <c r="N978" t="s">
        <v>26</v>
      </c>
      <c r="O978" t="s">
        <v>58</v>
      </c>
      <c r="P978">
        <f>IFERROR(VLOOKUP(TRIM(M978),Room!D:H,5,FALSE),5000)</f>
        <v>3200</v>
      </c>
      <c r="Q978">
        <f t="shared" si="77"/>
        <v>9600</v>
      </c>
      <c r="R978" s="11" t="str">
        <f t="shared" si="78"/>
        <v>Other</v>
      </c>
      <c r="S978" s="11">
        <f t="shared" si="79"/>
        <v>2</v>
      </c>
    </row>
    <row r="979" spans="1:19">
      <c r="A979" t="s">
        <v>5184</v>
      </c>
      <c r="B979" t="s">
        <v>5185</v>
      </c>
      <c r="C979" t="s">
        <v>1008</v>
      </c>
      <c r="D979" t="s">
        <v>5186</v>
      </c>
      <c r="E979" t="s">
        <v>5187</v>
      </c>
      <c r="F979" t="s">
        <v>5188</v>
      </c>
      <c r="G979" s="4">
        <v>45564</v>
      </c>
      <c r="H979" s="4">
        <v>45682</v>
      </c>
      <c r="I979" s="4">
        <v>45693</v>
      </c>
      <c r="J979">
        <f t="shared" si="75"/>
        <v>11</v>
      </c>
      <c r="K979" t="str">
        <f t="array" ref="K979">_xlfn.IFS(J979=1,"Day Use",J979&lt;=3,"Short Stay",J979&lt;=7,"Extended Stay",J979&gt;=8,"Long Stay")</f>
        <v>Long Stay</v>
      </c>
      <c r="L979" t="s">
        <v>34</v>
      </c>
      <c r="M979" s="10" t="str">
        <f t="shared" si="76"/>
        <v>Suite</v>
      </c>
      <c r="N979" t="s">
        <v>57</v>
      </c>
      <c r="O979" t="s">
        <v>42</v>
      </c>
      <c r="P979">
        <f>IFERROR(VLOOKUP(TRIM(M979),Room!D:H,5,FALSE),5000)</f>
        <v>12500</v>
      </c>
      <c r="Q979">
        <f t="shared" si="77"/>
        <v>137500</v>
      </c>
      <c r="R979" s="11" t="str">
        <f t="shared" si="78"/>
        <v>Business</v>
      </c>
      <c r="S979" s="11">
        <f t="shared" si="79"/>
        <v>5</v>
      </c>
    </row>
    <row r="980" spans="1:19">
      <c r="A980" t="s">
        <v>5189</v>
      </c>
      <c r="B980" t="s">
        <v>5190</v>
      </c>
      <c r="C980" t="s">
        <v>67</v>
      </c>
      <c r="D980" t="s">
        <v>5191</v>
      </c>
      <c r="E980" t="s">
        <v>5192</v>
      </c>
      <c r="F980" t="s">
        <v>5193</v>
      </c>
      <c r="G980" s="4">
        <v>45727</v>
      </c>
      <c r="H980" s="4">
        <v>45946</v>
      </c>
      <c r="I980" s="4">
        <v>45949</v>
      </c>
      <c r="J980">
        <f t="shared" si="75"/>
        <v>3</v>
      </c>
      <c r="K980" t="str">
        <f t="array" ref="K980">_xlfn.IFS(J980=1,"Day Use",J980&lt;=3,"Short Stay",J980&lt;=7,"Extended Stay",J980&gt;=8,"Long Stay")</f>
        <v>Short Stay</v>
      </c>
      <c r="L980" t="s">
        <v>196</v>
      </c>
      <c r="M980" s="10" t="str">
        <f t="shared" si="76"/>
        <v>Standard</v>
      </c>
      <c r="N980" t="s">
        <v>57</v>
      </c>
      <c r="O980" t="s">
        <v>27</v>
      </c>
      <c r="P980">
        <f>IFERROR(VLOOKUP(TRIM(M980),Room!D:H,5,FALSE),5000)</f>
        <v>3200</v>
      </c>
      <c r="Q980">
        <f t="shared" si="77"/>
        <v>9600</v>
      </c>
      <c r="R980" s="11" t="str">
        <f t="shared" si="78"/>
        <v>Other</v>
      </c>
      <c r="S980" s="11">
        <f t="shared" si="79"/>
        <v>2</v>
      </c>
    </row>
    <row r="981" spans="1:19">
      <c r="A981" t="s">
        <v>5194</v>
      </c>
      <c r="B981" t="s">
        <v>5195</v>
      </c>
      <c r="C981" t="s">
        <v>2244</v>
      </c>
      <c r="D981" t="s">
        <v>5196</v>
      </c>
      <c r="E981" t="s">
        <v>5197</v>
      </c>
      <c r="F981" t="s">
        <v>5198</v>
      </c>
      <c r="G981" s="4">
        <v>45563</v>
      </c>
      <c r="H981" s="4">
        <v>45740</v>
      </c>
      <c r="I981" s="4">
        <v>45748</v>
      </c>
      <c r="J981">
        <f t="shared" si="75"/>
        <v>8</v>
      </c>
      <c r="K981" t="str">
        <f t="array" ref="K981">_xlfn.IFS(J981=1,"Day Use",J981&lt;=3,"Short Stay",J981&lt;=7,"Extended Stay",J981&gt;=8,"Long Stay")</f>
        <v>Long Stay</v>
      </c>
      <c r="L981" t="s">
        <v>34</v>
      </c>
      <c r="M981" s="10" t="str">
        <f t="shared" si="76"/>
        <v>Premium</v>
      </c>
      <c r="N981" t="s">
        <v>26</v>
      </c>
      <c r="O981" t="s">
        <v>27</v>
      </c>
      <c r="P981">
        <f>IFERROR(VLOOKUP(TRIM(M981),Room!D:H,5,FALSE),5000)</f>
        <v>9500</v>
      </c>
      <c r="Q981">
        <f t="shared" si="77"/>
        <v>76000</v>
      </c>
      <c r="R981" s="11" t="str">
        <f t="shared" si="78"/>
        <v>Conference</v>
      </c>
      <c r="S981" s="11">
        <f t="shared" si="79"/>
        <v>4</v>
      </c>
    </row>
    <row r="982" spans="1:19">
      <c r="A982" t="s">
        <v>5199</v>
      </c>
      <c r="B982" t="s">
        <v>5200</v>
      </c>
      <c r="C982" t="s">
        <v>786</v>
      </c>
      <c r="D982" t="s">
        <v>5201</v>
      </c>
      <c r="E982" t="s">
        <v>5202</v>
      </c>
      <c r="F982" t="s">
        <v>5203</v>
      </c>
      <c r="G982" s="4">
        <v>45908</v>
      </c>
      <c r="H982" s="4">
        <v>45948</v>
      </c>
      <c r="I982" s="4">
        <v>45950</v>
      </c>
      <c r="J982">
        <f t="shared" si="75"/>
        <v>2</v>
      </c>
      <c r="K982" t="str">
        <f t="array" ref="K982">_xlfn.IFS(J982=1,"Day Use",J982&lt;=3,"Short Stay",J982&lt;=7,"Extended Stay",J982&gt;=8,"Long Stay")</f>
        <v>Short Stay</v>
      </c>
      <c r="L982" t="s">
        <v>34</v>
      </c>
      <c r="M982" s="10" t="str">
        <f t="shared" si="76"/>
        <v>Standard</v>
      </c>
      <c r="N982" t="s">
        <v>26</v>
      </c>
      <c r="O982" t="s">
        <v>42</v>
      </c>
      <c r="P982">
        <f>IFERROR(VLOOKUP(TRIM(M982),Room!D:H,5,FALSE),5000)</f>
        <v>3200</v>
      </c>
      <c r="Q982">
        <f t="shared" si="77"/>
        <v>6400</v>
      </c>
      <c r="R982" s="11" t="str">
        <f t="shared" si="78"/>
        <v>Other</v>
      </c>
      <c r="S982" s="11">
        <f t="shared" si="79"/>
        <v>2</v>
      </c>
    </row>
    <row r="983" spans="1:19">
      <c r="A983" t="s">
        <v>5204</v>
      </c>
      <c r="B983" t="s">
        <v>5205</v>
      </c>
      <c r="C983" t="s">
        <v>3586</v>
      </c>
      <c r="D983" t="s">
        <v>5206</v>
      </c>
      <c r="E983" t="s">
        <v>5207</v>
      </c>
      <c r="F983" t="s">
        <v>5208</v>
      </c>
      <c r="G983" s="4">
        <v>45549</v>
      </c>
      <c r="H983" s="4">
        <v>45567</v>
      </c>
      <c r="I983" s="4">
        <v>45569</v>
      </c>
      <c r="J983">
        <f t="shared" si="75"/>
        <v>2</v>
      </c>
      <c r="K983" t="str">
        <f t="array" ref="K983">_xlfn.IFS(J983=1,"Day Use",J983&lt;=3,"Short Stay",J983&lt;=7,"Extended Stay",J983&gt;=8,"Long Stay")</f>
        <v>Short Stay</v>
      </c>
      <c r="L983" t="s">
        <v>49</v>
      </c>
      <c r="M983" s="10" t="str">
        <f t="shared" si="76"/>
        <v>Standard</v>
      </c>
      <c r="N983" t="s">
        <v>57</v>
      </c>
      <c r="O983" t="s">
        <v>58</v>
      </c>
      <c r="P983">
        <f>IFERROR(VLOOKUP(TRIM(M983),Room!D:H,5,FALSE),5000)</f>
        <v>3200</v>
      </c>
      <c r="Q983">
        <f t="shared" si="77"/>
        <v>6400</v>
      </c>
      <c r="R983" s="11" t="str">
        <f t="shared" si="78"/>
        <v>Other</v>
      </c>
      <c r="S983" s="11">
        <f t="shared" si="79"/>
        <v>2</v>
      </c>
    </row>
    <row r="984" spans="1:19">
      <c r="A984" t="s">
        <v>5209</v>
      </c>
      <c r="B984" t="s">
        <v>5210</v>
      </c>
      <c r="C984" t="s">
        <v>351</v>
      </c>
      <c r="D984" t="s">
        <v>5211</v>
      </c>
      <c r="E984" t="s">
        <v>5212</v>
      </c>
      <c r="F984" t="s">
        <v>5213</v>
      </c>
      <c r="G984" s="4">
        <v>45538</v>
      </c>
      <c r="H984" s="4">
        <v>45559</v>
      </c>
      <c r="I984" s="4">
        <v>45565</v>
      </c>
      <c r="J984">
        <f t="shared" si="75"/>
        <v>6</v>
      </c>
      <c r="K984" t="str">
        <f t="array" ref="K984">_xlfn.IFS(J984=1,"Day Use",J984&lt;=3,"Short Stay",J984&lt;=7,"Extended Stay",J984&gt;=8,"Long Stay")</f>
        <v>Extended Stay</v>
      </c>
      <c r="L984" t="s">
        <v>49</v>
      </c>
      <c r="M984" s="10" t="str">
        <f t="shared" si="76"/>
        <v>Deluxe</v>
      </c>
      <c r="N984" t="s">
        <v>26</v>
      </c>
      <c r="O984" t="s">
        <v>42</v>
      </c>
      <c r="P984">
        <f>IFERROR(VLOOKUP(TRIM(M984),Room!D:H,5,FALSE),5000)</f>
        <v>5400</v>
      </c>
      <c r="Q984">
        <f t="shared" si="77"/>
        <v>32400</v>
      </c>
      <c r="R984" s="11" t="str">
        <f t="shared" si="78"/>
        <v>Conference</v>
      </c>
      <c r="S984" s="11">
        <f t="shared" si="79"/>
        <v>3</v>
      </c>
    </row>
    <row r="985" spans="1:19">
      <c r="A985" t="s">
        <v>5214</v>
      </c>
      <c r="B985" t="s">
        <v>5215</v>
      </c>
      <c r="C985" t="s">
        <v>61</v>
      </c>
      <c r="D985" t="s">
        <v>5216</v>
      </c>
      <c r="E985" t="s">
        <v>5217</v>
      </c>
      <c r="F985" t="s">
        <v>5218</v>
      </c>
      <c r="G985" s="4">
        <v>45204</v>
      </c>
      <c r="H985" s="4">
        <v>45383</v>
      </c>
      <c r="I985" s="4">
        <v>45395</v>
      </c>
      <c r="J985">
        <f t="shared" si="75"/>
        <v>12</v>
      </c>
      <c r="K985" t="str">
        <f t="array" ref="K985">_xlfn.IFS(J985=1,"Day Use",J985&lt;=3,"Short Stay",J985&lt;=7,"Extended Stay",J985&gt;=8,"Long Stay")</f>
        <v>Long Stay</v>
      </c>
      <c r="L985" t="s">
        <v>196</v>
      </c>
      <c r="M985" s="10" t="str">
        <f t="shared" si="76"/>
        <v>Suite</v>
      </c>
      <c r="N985" t="s">
        <v>26</v>
      </c>
      <c r="O985" t="s">
        <v>71</v>
      </c>
      <c r="P985">
        <f>IFERROR(VLOOKUP(TRIM(M985),Room!D:H,5,FALSE),5000)</f>
        <v>12500</v>
      </c>
      <c r="Q985">
        <f t="shared" si="77"/>
        <v>150000</v>
      </c>
      <c r="R985" s="11" t="str">
        <f t="shared" si="78"/>
        <v>Business</v>
      </c>
      <c r="S985" s="11">
        <f t="shared" si="79"/>
        <v>5</v>
      </c>
    </row>
    <row r="986" spans="1:19">
      <c r="A986" t="s">
        <v>5219</v>
      </c>
      <c r="B986" t="s">
        <v>5220</v>
      </c>
      <c r="C986" t="s">
        <v>151</v>
      </c>
      <c r="D986" t="s">
        <v>5221</v>
      </c>
      <c r="E986" t="s">
        <v>5222</v>
      </c>
      <c r="F986" t="s">
        <v>5223</v>
      </c>
      <c r="G986" s="4">
        <v>45396</v>
      </c>
      <c r="H986" s="4">
        <v>45415</v>
      </c>
      <c r="I986" s="4">
        <v>45425</v>
      </c>
      <c r="J986">
        <f t="shared" si="75"/>
        <v>10</v>
      </c>
      <c r="K986" t="str">
        <f t="array" ref="K986">_xlfn.IFS(J986=1,"Day Use",J986&lt;=3,"Short Stay",J986&lt;=7,"Extended Stay",J986&gt;=8,"Long Stay")</f>
        <v>Long Stay</v>
      </c>
      <c r="L986" t="s">
        <v>84</v>
      </c>
      <c r="M986" s="10" t="str">
        <f t="shared" si="76"/>
        <v>Premium</v>
      </c>
      <c r="N986" t="s">
        <v>26</v>
      </c>
      <c r="O986" t="s">
        <v>71</v>
      </c>
      <c r="P986">
        <f>IFERROR(VLOOKUP(TRIM(M986),Room!D:H,5,FALSE),5000)</f>
        <v>9500</v>
      </c>
      <c r="Q986">
        <f t="shared" si="77"/>
        <v>95000</v>
      </c>
      <c r="R986" s="11" t="str">
        <f t="shared" si="78"/>
        <v>Conference</v>
      </c>
      <c r="S986" s="11">
        <f t="shared" si="79"/>
        <v>4</v>
      </c>
    </row>
    <row r="987" spans="1:19">
      <c r="A987" t="s">
        <v>5224</v>
      </c>
      <c r="B987" t="s">
        <v>5225</v>
      </c>
      <c r="C987" t="s">
        <v>2297</v>
      </c>
      <c r="D987" t="s">
        <v>5226</v>
      </c>
      <c r="E987" t="s">
        <v>5227</v>
      </c>
      <c r="F987" t="s">
        <v>5228</v>
      </c>
      <c r="G987" s="4">
        <v>45563</v>
      </c>
      <c r="H987" s="4">
        <v>45581</v>
      </c>
      <c r="I987" s="4">
        <v>45587</v>
      </c>
      <c r="J987">
        <f t="shared" si="75"/>
        <v>6</v>
      </c>
      <c r="K987" t="str">
        <f t="array" ref="K987">_xlfn.IFS(J987=1,"Day Use",J987&lt;=3,"Short Stay",J987&lt;=7,"Extended Stay",J987&gt;=8,"Long Stay")</f>
        <v>Extended Stay</v>
      </c>
      <c r="L987" t="s">
        <v>25</v>
      </c>
      <c r="M987" s="10" t="str">
        <f t="shared" si="76"/>
        <v>Deluxe</v>
      </c>
      <c r="N987" t="s">
        <v>26</v>
      </c>
      <c r="O987" t="s">
        <v>58</v>
      </c>
      <c r="P987">
        <f>IFERROR(VLOOKUP(TRIM(M987),Room!D:H,5,FALSE),5000)</f>
        <v>5400</v>
      </c>
      <c r="Q987">
        <f t="shared" si="77"/>
        <v>32400</v>
      </c>
      <c r="R987" s="11" t="str">
        <f t="shared" si="78"/>
        <v>Conference</v>
      </c>
      <c r="S987" s="11">
        <f t="shared" si="79"/>
        <v>3</v>
      </c>
    </row>
    <row r="988" spans="1:19">
      <c r="A988" t="s">
        <v>5229</v>
      </c>
      <c r="B988" t="s">
        <v>5230</v>
      </c>
      <c r="C988" t="s">
        <v>5231</v>
      </c>
      <c r="D988" t="s">
        <v>5232</v>
      </c>
      <c r="E988" t="s">
        <v>5233</v>
      </c>
      <c r="F988" t="s">
        <v>5234</v>
      </c>
      <c r="G988" s="4">
        <v>45342</v>
      </c>
      <c r="H988" s="4">
        <v>45363</v>
      </c>
      <c r="I988" s="4">
        <v>45369</v>
      </c>
      <c r="J988">
        <f t="shared" si="75"/>
        <v>6</v>
      </c>
      <c r="K988" t="str">
        <f t="array" ref="K988">_xlfn.IFS(J988=1,"Day Use",J988&lt;=3,"Short Stay",J988&lt;=7,"Extended Stay",J988&gt;=8,"Long Stay")</f>
        <v>Extended Stay</v>
      </c>
      <c r="L988" t="s">
        <v>25</v>
      </c>
      <c r="M988" s="10" t="str">
        <f t="shared" si="76"/>
        <v>Deluxe</v>
      </c>
      <c r="N988" t="s">
        <v>57</v>
      </c>
      <c r="O988" t="s">
        <v>27</v>
      </c>
      <c r="P988">
        <f>IFERROR(VLOOKUP(TRIM(M988),Room!D:H,5,FALSE),5000)</f>
        <v>5400</v>
      </c>
      <c r="Q988">
        <f t="shared" si="77"/>
        <v>32400</v>
      </c>
      <c r="R988" s="11" t="str">
        <f t="shared" si="78"/>
        <v>Conference</v>
      </c>
      <c r="S988" s="11">
        <f t="shared" si="79"/>
        <v>3</v>
      </c>
    </row>
    <row r="989" spans="1:19">
      <c r="A989" t="s">
        <v>5235</v>
      </c>
      <c r="B989" t="s">
        <v>5236</v>
      </c>
      <c r="C989" t="s">
        <v>1036</v>
      </c>
      <c r="D989" t="s">
        <v>5237</v>
      </c>
      <c r="E989" t="s">
        <v>5238</v>
      </c>
      <c r="F989" t="s">
        <v>5239</v>
      </c>
      <c r="G989" s="4">
        <v>45510</v>
      </c>
      <c r="H989" s="4">
        <v>45519</v>
      </c>
      <c r="I989" s="4">
        <v>45531</v>
      </c>
      <c r="J989">
        <f t="shared" si="75"/>
        <v>12</v>
      </c>
      <c r="K989" t="str">
        <f t="array" ref="K989">_xlfn.IFS(J989=1,"Day Use",J989&lt;=3,"Short Stay",J989&lt;=7,"Extended Stay",J989&gt;=8,"Long Stay")</f>
        <v>Long Stay</v>
      </c>
      <c r="L989" t="s">
        <v>91</v>
      </c>
      <c r="M989" s="10" t="str">
        <f t="shared" si="76"/>
        <v>Suite</v>
      </c>
      <c r="N989" t="s">
        <v>26</v>
      </c>
      <c r="O989" t="s">
        <v>42</v>
      </c>
      <c r="P989">
        <f>IFERROR(VLOOKUP(TRIM(M989),Room!D:H,5,FALSE),5000)</f>
        <v>12500</v>
      </c>
      <c r="Q989">
        <f t="shared" si="77"/>
        <v>150000</v>
      </c>
      <c r="R989" s="11" t="str">
        <f t="shared" si="78"/>
        <v>Business</v>
      </c>
      <c r="S989" s="11">
        <f t="shared" si="79"/>
        <v>5</v>
      </c>
    </row>
    <row r="990" spans="1:19">
      <c r="A990" t="s">
        <v>5240</v>
      </c>
      <c r="B990" t="s">
        <v>5241</v>
      </c>
      <c r="C990" t="s">
        <v>5231</v>
      </c>
      <c r="D990" t="s">
        <v>5242</v>
      </c>
      <c r="E990" t="s">
        <v>5243</v>
      </c>
      <c r="F990" t="s">
        <v>5244</v>
      </c>
      <c r="G990" s="4">
        <v>45369</v>
      </c>
      <c r="H990" s="4">
        <v>45391</v>
      </c>
      <c r="I990" s="4">
        <v>45402</v>
      </c>
      <c r="J990">
        <f t="shared" si="75"/>
        <v>11</v>
      </c>
      <c r="K990" t="str">
        <f t="array" ref="K990">_xlfn.IFS(J990=1,"Day Use",J990&lt;=3,"Short Stay",J990&lt;=7,"Extended Stay",J990&gt;=8,"Long Stay")</f>
        <v>Long Stay</v>
      </c>
      <c r="L990" t="s">
        <v>25</v>
      </c>
      <c r="M990" s="10" t="str">
        <f t="shared" si="76"/>
        <v>Suite</v>
      </c>
      <c r="N990" t="s">
        <v>26</v>
      </c>
      <c r="O990" t="s">
        <v>35</v>
      </c>
      <c r="P990">
        <f>IFERROR(VLOOKUP(TRIM(M990),Room!D:H,5,FALSE),5000)</f>
        <v>12500</v>
      </c>
      <c r="Q990">
        <f t="shared" si="77"/>
        <v>137500</v>
      </c>
      <c r="R990" s="11" t="str">
        <f t="shared" si="78"/>
        <v>Business</v>
      </c>
      <c r="S990" s="11">
        <f t="shared" si="79"/>
        <v>5</v>
      </c>
    </row>
    <row r="991" spans="1:19">
      <c r="A991" t="s">
        <v>5245</v>
      </c>
      <c r="B991" t="s">
        <v>5246</v>
      </c>
      <c r="C991" t="s">
        <v>466</v>
      </c>
      <c r="D991" t="s">
        <v>5247</v>
      </c>
      <c r="E991" t="s">
        <v>5248</v>
      </c>
      <c r="F991" t="s">
        <v>5249</v>
      </c>
      <c r="G991" s="4">
        <v>45358</v>
      </c>
      <c r="H991" s="4">
        <v>45361</v>
      </c>
      <c r="I991" s="4">
        <v>45373</v>
      </c>
      <c r="J991">
        <f t="shared" si="75"/>
        <v>12</v>
      </c>
      <c r="K991" t="str">
        <f t="array" ref="K991">_xlfn.IFS(J991=1,"Day Use",J991&lt;=3,"Short Stay",J991&lt;=7,"Extended Stay",J991&gt;=8,"Long Stay")</f>
        <v>Long Stay</v>
      </c>
      <c r="L991" t="s">
        <v>141</v>
      </c>
      <c r="M991" s="10" t="str">
        <f t="shared" si="76"/>
        <v>Suite</v>
      </c>
      <c r="N991" t="s">
        <v>26</v>
      </c>
      <c r="O991" t="s">
        <v>71</v>
      </c>
      <c r="P991">
        <f>IFERROR(VLOOKUP(TRIM(M991),Room!D:H,5,FALSE),5000)</f>
        <v>12500</v>
      </c>
      <c r="Q991">
        <f t="shared" si="77"/>
        <v>150000</v>
      </c>
      <c r="R991" s="11" t="str">
        <f t="shared" si="78"/>
        <v>Business</v>
      </c>
      <c r="S991" s="11">
        <f t="shared" si="79"/>
        <v>5</v>
      </c>
    </row>
    <row r="992" spans="1:19">
      <c r="A992" t="s">
        <v>5250</v>
      </c>
      <c r="B992" t="s">
        <v>5251</v>
      </c>
      <c r="C992" t="s">
        <v>2154</v>
      </c>
      <c r="D992" t="s">
        <v>5252</v>
      </c>
      <c r="E992" t="s">
        <v>5253</v>
      </c>
      <c r="F992" t="s">
        <v>5254</v>
      </c>
      <c r="G992" s="4">
        <v>45648</v>
      </c>
      <c r="H992" s="4">
        <v>45838</v>
      </c>
      <c r="I992" s="4">
        <v>45852</v>
      </c>
      <c r="J992">
        <f t="shared" si="75"/>
        <v>14</v>
      </c>
      <c r="K992" t="str">
        <f t="array" ref="K992">_xlfn.IFS(J992=1,"Day Use",J992&lt;=3,"Short Stay",J992&lt;=7,"Extended Stay",J992&gt;=8,"Long Stay")</f>
        <v>Long Stay</v>
      </c>
      <c r="L992" t="s">
        <v>25</v>
      </c>
      <c r="M992" s="10" t="str">
        <f t="shared" si="76"/>
        <v>Suite</v>
      </c>
      <c r="N992" t="s">
        <v>26</v>
      </c>
      <c r="O992" t="s">
        <v>27</v>
      </c>
      <c r="P992">
        <f>IFERROR(VLOOKUP(TRIM(M992),Room!D:H,5,FALSE),5000)</f>
        <v>12500</v>
      </c>
      <c r="Q992">
        <f t="shared" si="77"/>
        <v>175000</v>
      </c>
      <c r="R992" s="11" t="str">
        <f t="shared" si="78"/>
        <v>Business</v>
      </c>
      <c r="S992" s="11">
        <f t="shared" si="79"/>
        <v>5</v>
      </c>
    </row>
    <row r="993" spans="1:19">
      <c r="A993" t="s">
        <v>5255</v>
      </c>
      <c r="B993" t="s">
        <v>5256</v>
      </c>
      <c r="C993" t="s">
        <v>1030</v>
      </c>
      <c r="D993" t="s">
        <v>5257</v>
      </c>
      <c r="E993" t="s">
        <v>5258</v>
      </c>
      <c r="F993" t="s">
        <v>5259</v>
      </c>
      <c r="G993" s="4">
        <v>45667</v>
      </c>
      <c r="H993" s="4">
        <v>45677</v>
      </c>
      <c r="I993" s="4">
        <v>45685</v>
      </c>
      <c r="J993">
        <f t="shared" si="75"/>
        <v>8</v>
      </c>
      <c r="K993" t="str">
        <f t="array" ref="K993">_xlfn.IFS(J993=1,"Day Use",J993&lt;=3,"Short Stay",J993&lt;=7,"Extended Stay",J993&gt;=8,"Long Stay")</f>
        <v>Long Stay</v>
      </c>
      <c r="L993" t="s">
        <v>49</v>
      </c>
      <c r="M993" s="10" t="str">
        <f t="shared" si="76"/>
        <v>Premium</v>
      </c>
      <c r="N993" t="s">
        <v>26</v>
      </c>
      <c r="O993" t="s">
        <v>35</v>
      </c>
      <c r="P993">
        <f>IFERROR(VLOOKUP(TRIM(M993),Room!D:H,5,FALSE),5000)</f>
        <v>9500</v>
      </c>
      <c r="Q993">
        <f t="shared" si="77"/>
        <v>76000</v>
      </c>
      <c r="R993" s="11" t="str">
        <f t="shared" si="78"/>
        <v>Conference</v>
      </c>
      <c r="S993" s="11">
        <f t="shared" si="79"/>
        <v>4</v>
      </c>
    </row>
    <row r="994" spans="1:19">
      <c r="A994" t="s">
        <v>5260</v>
      </c>
      <c r="B994" t="s">
        <v>5261</v>
      </c>
      <c r="C994" t="s">
        <v>835</v>
      </c>
      <c r="D994" t="s">
        <v>5262</v>
      </c>
      <c r="E994" t="s">
        <v>5263</v>
      </c>
      <c r="F994" t="s">
        <v>5264</v>
      </c>
      <c r="G994" s="4">
        <v>45737</v>
      </c>
      <c r="H994" s="4">
        <v>45741</v>
      </c>
      <c r="I994" s="4">
        <v>45742</v>
      </c>
      <c r="J994">
        <f t="shared" si="75"/>
        <v>1</v>
      </c>
      <c r="K994" t="str">
        <f t="array" ref="K994">_xlfn.IFS(J994=1,"Day Use",J994&lt;=3,"Short Stay",J994&lt;=7,"Extended Stay",J994&gt;=8,"Long Stay")</f>
        <v>Day Use</v>
      </c>
      <c r="L994" t="s">
        <v>25</v>
      </c>
      <c r="M994" s="10" t="str">
        <f t="shared" si="76"/>
        <v>Standard</v>
      </c>
      <c r="N994" t="s">
        <v>26</v>
      </c>
      <c r="O994" t="s">
        <v>35</v>
      </c>
      <c r="P994">
        <f>IFERROR(VLOOKUP(TRIM(M994),Room!D:H,5,FALSE),5000)</f>
        <v>3200</v>
      </c>
      <c r="Q994">
        <f t="shared" si="77"/>
        <v>3200</v>
      </c>
      <c r="R994" s="11" t="str">
        <f t="shared" si="78"/>
        <v>Other</v>
      </c>
      <c r="S994" s="11">
        <f t="shared" si="79"/>
        <v>1</v>
      </c>
    </row>
    <row r="995" spans="1:19">
      <c r="A995" t="s">
        <v>5265</v>
      </c>
      <c r="B995" t="s">
        <v>5266</v>
      </c>
      <c r="C995" t="s">
        <v>5267</v>
      </c>
      <c r="D995" t="s">
        <v>5268</v>
      </c>
      <c r="E995" t="s">
        <v>5269</v>
      </c>
      <c r="F995" t="s">
        <v>5270</v>
      </c>
      <c r="G995" s="4">
        <v>45347</v>
      </c>
      <c r="H995" s="4">
        <v>45369</v>
      </c>
      <c r="I995" s="4">
        <v>45380</v>
      </c>
      <c r="J995">
        <f t="shared" si="75"/>
        <v>11</v>
      </c>
      <c r="K995" t="str">
        <f t="array" ref="K995">_xlfn.IFS(J995=1,"Day Use",J995&lt;=3,"Short Stay",J995&lt;=7,"Extended Stay",J995&gt;=8,"Long Stay")</f>
        <v>Long Stay</v>
      </c>
      <c r="L995" t="s">
        <v>91</v>
      </c>
      <c r="M995" s="10" t="str">
        <f t="shared" si="76"/>
        <v>Suite</v>
      </c>
      <c r="N995" t="s">
        <v>26</v>
      </c>
      <c r="O995" t="s">
        <v>35</v>
      </c>
      <c r="P995">
        <f>IFERROR(VLOOKUP(TRIM(M995),Room!D:H,5,FALSE),5000)</f>
        <v>12500</v>
      </c>
      <c r="Q995">
        <f t="shared" si="77"/>
        <v>137500</v>
      </c>
      <c r="R995" s="11" t="str">
        <f t="shared" si="78"/>
        <v>Business</v>
      </c>
      <c r="S995" s="11">
        <f t="shared" si="79"/>
        <v>5</v>
      </c>
    </row>
    <row r="996" spans="1:19">
      <c r="A996" t="s">
        <v>5271</v>
      </c>
      <c r="B996" t="s">
        <v>5272</v>
      </c>
      <c r="C996" t="s">
        <v>2035</v>
      </c>
      <c r="D996" t="s">
        <v>5273</v>
      </c>
      <c r="E996" t="s">
        <v>5274</v>
      </c>
      <c r="F996" t="s">
        <v>5275</v>
      </c>
      <c r="G996" s="4">
        <v>45374</v>
      </c>
      <c r="H996" s="4">
        <v>45743</v>
      </c>
      <c r="I996" s="4">
        <v>45745</v>
      </c>
      <c r="J996">
        <f t="shared" si="75"/>
        <v>2</v>
      </c>
      <c r="K996" t="str">
        <f t="array" ref="K996">_xlfn.IFS(J996=1,"Day Use",J996&lt;=3,"Short Stay",J996&lt;=7,"Extended Stay",J996&gt;=8,"Long Stay")</f>
        <v>Short Stay</v>
      </c>
      <c r="L996" t="s">
        <v>25</v>
      </c>
      <c r="M996" s="10" t="str">
        <f t="shared" si="76"/>
        <v>Standard</v>
      </c>
      <c r="N996" t="s">
        <v>26</v>
      </c>
      <c r="O996" t="s">
        <v>35</v>
      </c>
      <c r="P996">
        <f>IFERROR(VLOOKUP(TRIM(M996),Room!D:H,5,FALSE),5000)</f>
        <v>3200</v>
      </c>
      <c r="Q996">
        <f t="shared" si="77"/>
        <v>6400</v>
      </c>
      <c r="R996" s="11" t="str">
        <f t="shared" si="78"/>
        <v>Other</v>
      </c>
      <c r="S996" s="11">
        <f t="shared" si="79"/>
        <v>2</v>
      </c>
    </row>
    <row r="997" spans="1:19">
      <c r="A997" t="s">
        <v>5276</v>
      </c>
      <c r="B997" t="s">
        <v>5277</v>
      </c>
      <c r="C997" t="s">
        <v>2815</v>
      </c>
      <c r="D997" t="s">
        <v>5278</v>
      </c>
      <c r="E997" t="s">
        <v>5279</v>
      </c>
      <c r="F997" t="s">
        <v>5280</v>
      </c>
      <c r="G997" s="4">
        <v>45418</v>
      </c>
      <c r="H997" s="4">
        <v>45992</v>
      </c>
      <c r="I997" s="4">
        <v>45999</v>
      </c>
      <c r="J997">
        <f t="shared" si="75"/>
        <v>7</v>
      </c>
      <c r="K997" t="str">
        <f t="array" ref="K997">_xlfn.IFS(J997=1,"Day Use",J997&lt;=3,"Short Stay",J997&lt;=7,"Extended Stay",J997&gt;=8,"Long Stay")</f>
        <v>Extended Stay</v>
      </c>
      <c r="L997" t="s">
        <v>25</v>
      </c>
      <c r="M997" s="10" t="str">
        <f t="shared" si="76"/>
        <v>Premium</v>
      </c>
      <c r="N997" t="s">
        <v>57</v>
      </c>
      <c r="O997" t="s">
        <v>71</v>
      </c>
      <c r="P997">
        <f>IFERROR(VLOOKUP(TRIM(M997),Room!D:H,5,FALSE),5000)</f>
        <v>9500</v>
      </c>
      <c r="Q997">
        <f t="shared" si="77"/>
        <v>66500</v>
      </c>
      <c r="R997" s="11" t="str">
        <f t="shared" si="78"/>
        <v>Conference</v>
      </c>
      <c r="S997" s="11">
        <f t="shared" si="79"/>
        <v>4</v>
      </c>
    </row>
    <row r="998" spans="1:19">
      <c r="A998" t="s">
        <v>5281</v>
      </c>
      <c r="B998" t="s">
        <v>5282</v>
      </c>
      <c r="C998" t="s">
        <v>392</v>
      </c>
      <c r="D998" t="s">
        <v>5283</v>
      </c>
      <c r="E998" t="s">
        <v>5284</v>
      </c>
      <c r="F998" t="s">
        <v>5285</v>
      </c>
      <c r="G998" s="4">
        <v>45604</v>
      </c>
      <c r="H998" s="4">
        <v>45619</v>
      </c>
      <c r="I998" s="4">
        <v>45631</v>
      </c>
      <c r="J998">
        <f t="shared" si="75"/>
        <v>12</v>
      </c>
      <c r="K998" t="str">
        <f t="array" ref="K998">_xlfn.IFS(J998=1,"Day Use",J998&lt;=3,"Short Stay",J998&lt;=7,"Extended Stay",J998&gt;=8,"Long Stay")</f>
        <v>Long Stay</v>
      </c>
      <c r="L998" t="s">
        <v>49</v>
      </c>
      <c r="M998" s="10" t="str">
        <f t="shared" si="76"/>
        <v>Suite</v>
      </c>
      <c r="N998" t="s">
        <v>26</v>
      </c>
      <c r="O998" t="s">
        <v>58</v>
      </c>
      <c r="P998">
        <f>IFERROR(VLOOKUP(TRIM(M998),Room!D:H,5,FALSE),5000)</f>
        <v>12500</v>
      </c>
      <c r="Q998">
        <f t="shared" si="77"/>
        <v>150000</v>
      </c>
      <c r="R998" s="11" t="str">
        <f t="shared" si="78"/>
        <v>Business</v>
      </c>
      <c r="S998" s="11">
        <f t="shared" si="79"/>
        <v>5</v>
      </c>
    </row>
    <row r="999" spans="1:19">
      <c r="A999" t="s">
        <v>5286</v>
      </c>
      <c r="B999" t="s">
        <v>5287</v>
      </c>
      <c r="C999" t="s">
        <v>1498</v>
      </c>
      <c r="D999" t="s">
        <v>5288</v>
      </c>
      <c r="E999" t="s">
        <v>5289</v>
      </c>
      <c r="F999" t="s">
        <v>5290</v>
      </c>
      <c r="G999" s="4">
        <v>45352</v>
      </c>
      <c r="H999" s="4">
        <v>45377</v>
      </c>
      <c r="I999" s="4">
        <v>45384</v>
      </c>
      <c r="J999">
        <f t="shared" si="75"/>
        <v>7</v>
      </c>
      <c r="K999" t="str">
        <f t="array" ref="K999">_xlfn.IFS(J999=1,"Day Use",J999&lt;=3,"Short Stay",J999&lt;=7,"Extended Stay",J999&gt;=8,"Long Stay")</f>
        <v>Extended Stay</v>
      </c>
      <c r="L999" t="s">
        <v>196</v>
      </c>
      <c r="M999" s="10" t="str">
        <f t="shared" si="76"/>
        <v>Premium</v>
      </c>
      <c r="N999" t="s">
        <v>26</v>
      </c>
      <c r="O999" t="s">
        <v>35</v>
      </c>
      <c r="P999">
        <f>IFERROR(VLOOKUP(TRIM(M999),Room!D:H,5,FALSE),5000)</f>
        <v>9500</v>
      </c>
      <c r="Q999">
        <f t="shared" si="77"/>
        <v>66500</v>
      </c>
      <c r="R999" s="11" t="str">
        <f t="shared" si="78"/>
        <v>Conference</v>
      </c>
      <c r="S999" s="11">
        <f t="shared" si="79"/>
        <v>4</v>
      </c>
    </row>
    <row r="1000" spans="1:19">
      <c r="A1000" t="s">
        <v>5291</v>
      </c>
      <c r="B1000" t="s">
        <v>5292</v>
      </c>
      <c r="C1000" t="s">
        <v>5293</v>
      </c>
      <c r="D1000" t="s">
        <v>5294</v>
      </c>
      <c r="E1000" t="s">
        <v>5295</v>
      </c>
      <c r="F1000" t="s">
        <v>5296</v>
      </c>
      <c r="G1000" s="4">
        <v>45327</v>
      </c>
      <c r="H1000" s="4">
        <v>45352</v>
      </c>
      <c r="I1000" s="4">
        <v>45354</v>
      </c>
      <c r="J1000">
        <f t="shared" si="75"/>
        <v>2</v>
      </c>
      <c r="K1000" t="str">
        <f t="array" ref="K1000">_xlfn.IFS(J1000=1,"Day Use",J1000&lt;=3,"Short Stay",J1000&lt;=7,"Extended Stay",J1000&gt;=8,"Long Stay")</f>
        <v>Short Stay</v>
      </c>
      <c r="L1000" t="s">
        <v>56</v>
      </c>
      <c r="M1000" s="10" t="str">
        <f t="shared" si="76"/>
        <v>Standard</v>
      </c>
      <c r="N1000" t="s">
        <v>57</v>
      </c>
      <c r="O1000" t="s">
        <v>27</v>
      </c>
      <c r="P1000">
        <f>IFERROR(VLOOKUP(TRIM(M1000),Room!D:H,5,FALSE),5000)</f>
        <v>3200</v>
      </c>
      <c r="Q1000">
        <f t="shared" si="77"/>
        <v>6400</v>
      </c>
      <c r="R1000" s="11" t="str">
        <f t="shared" si="78"/>
        <v>Other</v>
      </c>
      <c r="S1000" s="11">
        <f t="shared" si="79"/>
        <v>2</v>
      </c>
    </row>
    <row r="1001" spans="1:19">
      <c r="A1001" t="s">
        <v>5297</v>
      </c>
      <c r="B1001" t="s">
        <v>5298</v>
      </c>
      <c r="C1001" t="s">
        <v>2451</v>
      </c>
      <c r="D1001" t="s">
        <v>5299</v>
      </c>
      <c r="E1001" t="s">
        <v>5300</v>
      </c>
      <c r="F1001" t="s">
        <v>5301</v>
      </c>
      <c r="G1001" s="4">
        <v>45254</v>
      </c>
      <c r="H1001" s="4">
        <v>45388</v>
      </c>
      <c r="I1001" s="4">
        <v>45393</v>
      </c>
      <c r="J1001">
        <f t="shared" si="75"/>
        <v>5</v>
      </c>
      <c r="K1001" t="str">
        <f t="array" ref="K1001">_xlfn.IFS(J1001=1,"Day Use",J1001&lt;=3,"Short Stay",J1001&lt;=7,"Extended Stay",J1001&gt;=8,"Long Stay")</f>
        <v>Extended Stay</v>
      </c>
      <c r="L1001" t="s">
        <v>84</v>
      </c>
      <c r="M1001" s="10" t="str">
        <f t="shared" si="76"/>
        <v>Deluxe</v>
      </c>
      <c r="N1001" t="s">
        <v>26</v>
      </c>
      <c r="O1001" t="s">
        <v>27</v>
      </c>
      <c r="P1001">
        <f>IFERROR(VLOOKUP(TRIM(M1001),Room!D:H,5,FALSE),5000)</f>
        <v>5400</v>
      </c>
      <c r="Q1001">
        <f t="shared" si="77"/>
        <v>27000</v>
      </c>
      <c r="R1001" s="11" t="str">
        <f t="shared" si="78"/>
        <v>Conference</v>
      </c>
      <c r="S1001" s="11">
        <f t="shared" si="79"/>
        <v>3</v>
      </c>
    </row>
    <row r="1002" spans="1:19">
      <c r="A1002" t="s">
        <v>5302</v>
      </c>
      <c r="B1002" t="s">
        <v>5303</v>
      </c>
      <c r="C1002" t="s">
        <v>2196</v>
      </c>
      <c r="D1002" t="s">
        <v>5304</v>
      </c>
      <c r="E1002" t="s">
        <v>5305</v>
      </c>
      <c r="F1002" t="s">
        <v>5306</v>
      </c>
      <c r="G1002" s="4">
        <v>45381</v>
      </c>
      <c r="H1002" s="4">
        <v>45408</v>
      </c>
      <c r="I1002" s="4">
        <v>45411</v>
      </c>
      <c r="J1002">
        <f t="shared" si="75"/>
        <v>3</v>
      </c>
      <c r="K1002" t="str">
        <f t="array" ref="K1002">_xlfn.IFS(J1002=1,"Day Use",J1002&lt;=3,"Short Stay",J1002&lt;=7,"Extended Stay",J1002&gt;=8,"Long Stay")</f>
        <v>Short Stay</v>
      </c>
      <c r="L1002" t="s">
        <v>196</v>
      </c>
      <c r="M1002" s="10" t="str">
        <f t="shared" si="76"/>
        <v>Standard</v>
      </c>
      <c r="N1002" t="s">
        <v>26</v>
      </c>
      <c r="O1002" t="s">
        <v>42</v>
      </c>
      <c r="P1002">
        <f>IFERROR(VLOOKUP(TRIM(M1002),Room!D:H,5,FALSE),5000)</f>
        <v>3200</v>
      </c>
      <c r="Q1002">
        <f t="shared" si="77"/>
        <v>9600</v>
      </c>
      <c r="R1002" s="11" t="str">
        <f t="shared" si="78"/>
        <v>Other</v>
      </c>
      <c r="S1002" s="11">
        <f t="shared" si="79"/>
        <v>2</v>
      </c>
    </row>
    <row r="1003" spans="1:19">
      <c r="A1003" t="s">
        <v>5307</v>
      </c>
      <c r="B1003" t="s">
        <v>5308</v>
      </c>
      <c r="C1003" t="s">
        <v>610</v>
      </c>
      <c r="D1003" t="s">
        <v>5309</v>
      </c>
      <c r="E1003" t="s">
        <v>5310</v>
      </c>
      <c r="F1003" t="s">
        <v>5311</v>
      </c>
      <c r="G1003" s="4">
        <v>45481</v>
      </c>
      <c r="H1003" s="4">
        <v>45771</v>
      </c>
      <c r="I1003" s="4">
        <v>45780</v>
      </c>
      <c r="J1003">
        <f t="shared" si="75"/>
        <v>9</v>
      </c>
      <c r="K1003" t="str">
        <f t="array" ref="K1003">_xlfn.IFS(J1003=1,"Day Use",J1003&lt;=3,"Short Stay",J1003&lt;=7,"Extended Stay",J1003&gt;=8,"Long Stay")</f>
        <v>Long Stay</v>
      </c>
      <c r="L1003" t="s">
        <v>91</v>
      </c>
      <c r="M1003" s="10" t="str">
        <f t="shared" si="76"/>
        <v>Premium</v>
      </c>
      <c r="N1003" t="s">
        <v>26</v>
      </c>
      <c r="O1003" t="s">
        <v>58</v>
      </c>
      <c r="P1003">
        <f>IFERROR(VLOOKUP(TRIM(M1003),Room!D:H,5,FALSE),5000)</f>
        <v>9500</v>
      </c>
      <c r="Q1003">
        <f t="shared" si="77"/>
        <v>85500</v>
      </c>
      <c r="R1003" s="11" t="str">
        <f t="shared" si="78"/>
        <v>Conference</v>
      </c>
      <c r="S1003" s="11">
        <f t="shared" si="79"/>
        <v>4</v>
      </c>
    </row>
    <row r="1004" spans="1:19">
      <c r="A1004" t="s">
        <v>5312</v>
      </c>
      <c r="B1004" t="s">
        <v>5313</v>
      </c>
      <c r="C1004" t="s">
        <v>581</v>
      </c>
      <c r="D1004" t="s">
        <v>5314</v>
      </c>
      <c r="E1004" t="s">
        <v>5315</v>
      </c>
      <c r="F1004" t="s">
        <v>5316</v>
      </c>
      <c r="G1004" s="4">
        <v>45538</v>
      </c>
      <c r="H1004" s="4">
        <v>45553</v>
      </c>
      <c r="I1004" s="4">
        <v>45557</v>
      </c>
      <c r="J1004">
        <f t="shared" si="75"/>
        <v>4</v>
      </c>
      <c r="K1004" t="str">
        <f t="array" ref="K1004">_xlfn.IFS(J1004=1,"Day Use",J1004&lt;=3,"Short Stay",J1004&lt;=7,"Extended Stay",J1004&gt;=8,"Long Stay")</f>
        <v>Extended Stay</v>
      </c>
      <c r="L1004" t="s">
        <v>56</v>
      </c>
      <c r="M1004" s="10" t="str">
        <f t="shared" si="76"/>
        <v>Deluxe</v>
      </c>
      <c r="N1004" t="s">
        <v>26</v>
      </c>
      <c r="O1004" t="s">
        <v>58</v>
      </c>
      <c r="P1004">
        <f>IFERROR(VLOOKUP(TRIM(M1004),Room!D:H,5,FALSE),5000)</f>
        <v>5400</v>
      </c>
      <c r="Q1004">
        <f t="shared" si="77"/>
        <v>21600</v>
      </c>
      <c r="R1004" s="11" t="str">
        <f t="shared" si="78"/>
        <v>Conference</v>
      </c>
      <c r="S1004" s="11">
        <f t="shared" si="79"/>
        <v>3</v>
      </c>
    </row>
    <row r="1005" spans="1:19">
      <c r="A1005" t="s">
        <v>5317</v>
      </c>
      <c r="B1005" t="s">
        <v>5318</v>
      </c>
      <c r="C1005" t="s">
        <v>853</v>
      </c>
      <c r="D1005" t="s">
        <v>5319</v>
      </c>
      <c r="E1005" t="s">
        <v>5320</v>
      </c>
      <c r="F1005" t="s">
        <v>5321</v>
      </c>
      <c r="G1005" s="4">
        <v>45508</v>
      </c>
      <c r="H1005" s="4">
        <v>45531</v>
      </c>
      <c r="I1005" s="4">
        <v>45532</v>
      </c>
      <c r="J1005">
        <f t="shared" si="75"/>
        <v>1</v>
      </c>
      <c r="K1005" t="str">
        <f t="array" ref="K1005">_xlfn.IFS(J1005=1,"Day Use",J1005&lt;=3,"Short Stay",J1005&lt;=7,"Extended Stay",J1005&gt;=8,"Long Stay")</f>
        <v>Day Use</v>
      </c>
      <c r="L1005" t="s">
        <v>49</v>
      </c>
      <c r="M1005" s="10" t="str">
        <f t="shared" si="76"/>
        <v>Standard</v>
      </c>
      <c r="N1005" t="s">
        <v>26</v>
      </c>
      <c r="O1005" t="s">
        <v>71</v>
      </c>
      <c r="P1005">
        <f>IFERROR(VLOOKUP(TRIM(M1005),Room!D:H,5,FALSE),5000)</f>
        <v>3200</v>
      </c>
      <c r="Q1005">
        <f t="shared" si="77"/>
        <v>3200</v>
      </c>
      <c r="R1005" s="11" t="str">
        <f t="shared" si="78"/>
        <v>Other</v>
      </c>
      <c r="S1005" s="11">
        <f t="shared" si="79"/>
        <v>1</v>
      </c>
    </row>
    <row r="1006" spans="1:19">
      <c r="A1006" t="s">
        <v>5322</v>
      </c>
      <c r="B1006" t="s">
        <v>5323</v>
      </c>
      <c r="C1006" t="s">
        <v>449</v>
      </c>
      <c r="D1006" t="s">
        <v>5324</v>
      </c>
      <c r="E1006" t="s">
        <v>5325</v>
      </c>
      <c r="F1006" t="s">
        <v>5326</v>
      </c>
      <c r="G1006" s="4">
        <v>45293</v>
      </c>
      <c r="H1006" s="4">
        <v>45896</v>
      </c>
      <c r="I1006" s="4">
        <v>45904</v>
      </c>
      <c r="J1006">
        <f t="shared" si="75"/>
        <v>8</v>
      </c>
      <c r="K1006" t="str">
        <f t="array" ref="K1006">_xlfn.IFS(J1006=1,"Day Use",J1006&lt;=3,"Short Stay",J1006&lt;=7,"Extended Stay",J1006&gt;=8,"Long Stay")</f>
        <v>Long Stay</v>
      </c>
      <c r="L1006" t="s">
        <v>84</v>
      </c>
      <c r="M1006" s="10" t="str">
        <f t="shared" si="76"/>
        <v>Premium</v>
      </c>
      <c r="N1006" t="s">
        <v>148</v>
      </c>
      <c r="O1006" t="s">
        <v>58</v>
      </c>
      <c r="P1006">
        <f>IFERROR(VLOOKUP(TRIM(M1006),Room!D:H,5,FALSE),5000)</f>
        <v>9500</v>
      </c>
      <c r="Q1006">
        <f t="shared" si="77"/>
        <v>76000</v>
      </c>
      <c r="R1006" s="11" t="str">
        <f t="shared" si="78"/>
        <v>Conference</v>
      </c>
      <c r="S1006" s="11">
        <f t="shared" si="79"/>
        <v>4</v>
      </c>
    </row>
    <row r="1007" spans="1:19">
      <c r="A1007" t="s">
        <v>5327</v>
      </c>
      <c r="B1007" t="s">
        <v>5328</v>
      </c>
      <c r="C1007" t="s">
        <v>1207</v>
      </c>
      <c r="D1007" t="s">
        <v>5329</v>
      </c>
      <c r="E1007" t="s">
        <v>5330</v>
      </c>
      <c r="F1007" t="s">
        <v>5331</v>
      </c>
      <c r="G1007" s="4">
        <v>45598</v>
      </c>
      <c r="H1007" s="4">
        <v>45691</v>
      </c>
      <c r="I1007" s="4">
        <v>45693</v>
      </c>
      <c r="J1007">
        <f t="shared" si="75"/>
        <v>2</v>
      </c>
      <c r="K1007" t="str">
        <f t="array" ref="K1007">_xlfn.IFS(J1007=1,"Day Use",J1007&lt;=3,"Short Stay",J1007&lt;=7,"Extended Stay",J1007&gt;=8,"Long Stay")</f>
        <v>Short Stay</v>
      </c>
      <c r="L1007" t="s">
        <v>91</v>
      </c>
      <c r="M1007" s="10" t="str">
        <f t="shared" si="76"/>
        <v>Standard</v>
      </c>
      <c r="N1007" t="s">
        <v>26</v>
      </c>
      <c r="O1007" t="s">
        <v>42</v>
      </c>
      <c r="P1007">
        <f>IFERROR(VLOOKUP(TRIM(M1007),Room!D:H,5,FALSE),5000)</f>
        <v>3200</v>
      </c>
      <c r="Q1007">
        <f t="shared" si="77"/>
        <v>6400</v>
      </c>
      <c r="R1007" s="11" t="str">
        <f t="shared" si="78"/>
        <v>Other</v>
      </c>
      <c r="S1007" s="11">
        <f t="shared" si="79"/>
        <v>2</v>
      </c>
    </row>
    <row r="1008" spans="1:19">
      <c r="A1008" t="s">
        <v>5332</v>
      </c>
      <c r="B1008" t="s">
        <v>5333</v>
      </c>
      <c r="C1008" t="s">
        <v>2313</v>
      </c>
      <c r="D1008" t="s">
        <v>5334</v>
      </c>
      <c r="E1008" t="s">
        <v>5335</v>
      </c>
      <c r="F1008" t="s">
        <v>5336</v>
      </c>
      <c r="G1008" s="4">
        <v>45231</v>
      </c>
      <c r="H1008" s="4">
        <v>45905</v>
      </c>
      <c r="I1008" s="4">
        <v>45914</v>
      </c>
      <c r="J1008">
        <f t="shared" si="75"/>
        <v>9</v>
      </c>
      <c r="K1008" t="str">
        <f t="array" ref="K1008">_xlfn.IFS(J1008=1,"Day Use",J1008&lt;=3,"Short Stay",J1008&lt;=7,"Extended Stay",J1008&gt;=8,"Long Stay")</f>
        <v>Long Stay</v>
      </c>
      <c r="L1008" t="s">
        <v>91</v>
      </c>
      <c r="M1008" s="10" t="str">
        <f t="shared" si="76"/>
        <v>Premium</v>
      </c>
      <c r="N1008" t="s">
        <v>26</v>
      </c>
      <c r="O1008" t="s">
        <v>35</v>
      </c>
      <c r="P1008">
        <f>IFERROR(VLOOKUP(TRIM(M1008),Room!D:H,5,FALSE),5000)</f>
        <v>9500</v>
      </c>
      <c r="Q1008">
        <f t="shared" si="77"/>
        <v>85500</v>
      </c>
      <c r="R1008" s="11" t="str">
        <f t="shared" si="78"/>
        <v>Conference</v>
      </c>
      <c r="S1008" s="11">
        <f t="shared" si="79"/>
        <v>4</v>
      </c>
    </row>
    <row r="1009" spans="1:19">
      <c r="A1009" t="s">
        <v>5337</v>
      </c>
      <c r="B1009" t="s">
        <v>5338</v>
      </c>
      <c r="C1009" t="s">
        <v>1014</v>
      </c>
      <c r="D1009" t="s">
        <v>5339</v>
      </c>
      <c r="E1009" t="s">
        <v>5340</v>
      </c>
      <c r="F1009" t="s">
        <v>5341</v>
      </c>
      <c r="G1009" s="4">
        <v>45345</v>
      </c>
      <c r="H1009" s="4">
        <v>45608</v>
      </c>
      <c r="I1009" s="4">
        <v>45616</v>
      </c>
      <c r="J1009">
        <f t="shared" si="75"/>
        <v>8</v>
      </c>
      <c r="K1009" t="str">
        <f t="array" ref="K1009">_xlfn.IFS(J1009=1,"Day Use",J1009&lt;=3,"Short Stay",J1009&lt;=7,"Extended Stay",J1009&gt;=8,"Long Stay")</f>
        <v>Long Stay</v>
      </c>
      <c r="L1009" t="s">
        <v>91</v>
      </c>
      <c r="M1009" s="10" t="str">
        <f t="shared" si="76"/>
        <v>Premium</v>
      </c>
      <c r="N1009" t="s">
        <v>26</v>
      </c>
      <c r="O1009" t="s">
        <v>71</v>
      </c>
      <c r="P1009">
        <f>IFERROR(VLOOKUP(TRIM(M1009),Room!D:H,5,FALSE),5000)</f>
        <v>9500</v>
      </c>
      <c r="Q1009">
        <f t="shared" si="77"/>
        <v>76000</v>
      </c>
      <c r="R1009" s="11" t="str">
        <f t="shared" si="78"/>
        <v>Conference</v>
      </c>
      <c r="S1009" s="11">
        <f t="shared" si="79"/>
        <v>4</v>
      </c>
    </row>
    <row r="1010" spans="1:19">
      <c r="A1010" t="s">
        <v>5342</v>
      </c>
      <c r="B1010" t="s">
        <v>5343</v>
      </c>
      <c r="C1010" t="s">
        <v>1164</v>
      </c>
      <c r="D1010" t="s">
        <v>5344</v>
      </c>
      <c r="E1010" t="s">
        <v>5345</v>
      </c>
      <c r="F1010" t="s">
        <v>5346</v>
      </c>
      <c r="G1010" s="4">
        <v>45798</v>
      </c>
      <c r="H1010" s="4">
        <v>45985</v>
      </c>
      <c r="I1010" s="4">
        <v>45990</v>
      </c>
      <c r="J1010">
        <f t="shared" si="75"/>
        <v>5</v>
      </c>
      <c r="K1010" t="str">
        <f t="array" ref="K1010">_xlfn.IFS(J1010=1,"Day Use",J1010&lt;=3,"Short Stay",J1010&lt;=7,"Extended Stay",J1010&gt;=8,"Long Stay")</f>
        <v>Extended Stay</v>
      </c>
      <c r="L1010" t="s">
        <v>141</v>
      </c>
      <c r="M1010" s="10" t="str">
        <f t="shared" si="76"/>
        <v>Deluxe</v>
      </c>
      <c r="N1010" t="s">
        <v>148</v>
      </c>
      <c r="O1010" t="s">
        <v>58</v>
      </c>
      <c r="P1010">
        <f>IFERROR(VLOOKUP(TRIM(M1010),Room!D:H,5,FALSE),5000)</f>
        <v>5400</v>
      </c>
      <c r="Q1010">
        <f t="shared" si="77"/>
        <v>27000</v>
      </c>
      <c r="R1010" s="11" t="str">
        <f t="shared" si="78"/>
        <v>Conference</v>
      </c>
      <c r="S1010" s="11">
        <f t="shared" si="79"/>
        <v>3</v>
      </c>
    </row>
    <row r="1011" spans="1:19">
      <c r="A1011" t="s">
        <v>5347</v>
      </c>
      <c r="B1011" t="s">
        <v>5348</v>
      </c>
      <c r="C1011" t="s">
        <v>2329</v>
      </c>
      <c r="D1011" t="s">
        <v>5349</v>
      </c>
      <c r="E1011" t="s">
        <v>5350</v>
      </c>
      <c r="F1011" t="s">
        <v>5351</v>
      </c>
      <c r="G1011" s="4">
        <v>45426</v>
      </c>
      <c r="H1011" s="4">
        <v>45429</v>
      </c>
      <c r="I1011" s="4">
        <v>45441</v>
      </c>
      <c r="J1011">
        <f t="shared" si="75"/>
        <v>12</v>
      </c>
      <c r="K1011" t="str">
        <f t="array" ref="K1011">_xlfn.IFS(J1011=1,"Day Use",J1011&lt;=3,"Short Stay",J1011&lt;=7,"Extended Stay",J1011&gt;=8,"Long Stay")</f>
        <v>Long Stay</v>
      </c>
      <c r="L1011" t="s">
        <v>34</v>
      </c>
      <c r="M1011" s="10" t="str">
        <f t="shared" si="76"/>
        <v>Suite</v>
      </c>
      <c r="N1011" t="s">
        <v>26</v>
      </c>
      <c r="O1011" t="s">
        <v>71</v>
      </c>
      <c r="P1011">
        <f>IFERROR(VLOOKUP(TRIM(M1011),Room!D:H,5,FALSE),5000)</f>
        <v>12500</v>
      </c>
      <c r="Q1011">
        <f t="shared" si="77"/>
        <v>150000</v>
      </c>
      <c r="R1011" s="11" t="str">
        <f t="shared" si="78"/>
        <v>Business</v>
      </c>
      <c r="S1011" s="11">
        <f t="shared" si="79"/>
        <v>5</v>
      </c>
    </row>
    <row r="1012" spans="1:19">
      <c r="A1012" t="s">
        <v>5352</v>
      </c>
      <c r="B1012" t="s">
        <v>5353</v>
      </c>
      <c r="C1012" t="s">
        <v>847</v>
      </c>
      <c r="D1012" t="s">
        <v>5354</v>
      </c>
      <c r="E1012" t="s">
        <v>5355</v>
      </c>
      <c r="F1012" t="s">
        <v>5356</v>
      </c>
      <c r="G1012" s="4">
        <v>45356</v>
      </c>
      <c r="H1012" s="4">
        <v>45382</v>
      </c>
      <c r="I1012" s="4">
        <v>45395</v>
      </c>
      <c r="J1012">
        <f t="shared" si="75"/>
        <v>13</v>
      </c>
      <c r="K1012" t="str">
        <f t="array" ref="K1012">_xlfn.IFS(J1012=1,"Day Use",J1012&lt;=3,"Short Stay",J1012&lt;=7,"Extended Stay",J1012&gt;=8,"Long Stay")</f>
        <v>Long Stay</v>
      </c>
      <c r="L1012" t="s">
        <v>25</v>
      </c>
      <c r="M1012" s="10" t="str">
        <f t="shared" si="76"/>
        <v>Suite</v>
      </c>
      <c r="N1012" t="s">
        <v>26</v>
      </c>
      <c r="O1012" t="s">
        <v>42</v>
      </c>
      <c r="P1012">
        <f>IFERROR(VLOOKUP(TRIM(M1012),Room!D:H,5,FALSE),5000)</f>
        <v>12500</v>
      </c>
      <c r="Q1012">
        <f t="shared" si="77"/>
        <v>162500</v>
      </c>
      <c r="R1012" s="11" t="str">
        <f t="shared" si="78"/>
        <v>Business</v>
      </c>
      <c r="S1012" s="11">
        <f t="shared" si="79"/>
        <v>5</v>
      </c>
    </row>
    <row r="1013" spans="1:19">
      <c r="A1013" t="s">
        <v>5357</v>
      </c>
      <c r="B1013" t="s">
        <v>5358</v>
      </c>
      <c r="C1013" t="s">
        <v>2041</v>
      </c>
      <c r="D1013" t="s">
        <v>5359</v>
      </c>
      <c r="E1013" t="s">
        <v>5360</v>
      </c>
      <c r="F1013" t="s">
        <v>5361</v>
      </c>
      <c r="G1013" s="4">
        <v>45314</v>
      </c>
      <c r="H1013" s="4">
        <v>45377</v>
      </c>
      <c r="I1013" s="4">
        <v>45391</v>
      </c>
      <c r="J1013">
        <f t="shared" si="75"/>
        <v>14</v>
      </c>
      <c r="K1013" t="str">
        <f t="array" ref="K1013">_xlfn.IFS(J1013=1,"Day Use",J1013&lt;=3,"Short Stay",J1013&lt;=7,"Extended Stay",J1013&gt;=8,"Long Stay")</f>
        <v>Long Stay</v>
      </c>
      <c r="L1013" t="s">
        <v>141</v>
      </c>
      <c r="M1013" s="10" t="str">
        <f t="shared" si="76"/>
        <v>Suite</v>
      </c>
      <c r="N1013" t="s">
        <v>26</v>
      </c>
      <c r="O1013" t="s">
        <v>35</v>
      </c>
      <c r="P1013">
        <f>IFERROR(VLOOKUP(TRIM(M1013),Room!D:H,5,FALSE),5000)</f>
        <v>12500</v>
      </c>
      <c r="Q1013">
        <f t="shared" si="77"/>
        <v>175000</v>
      </c>
      <c r="R1013" s="11" t="str">
        <f t="shared" si="78"/>
        <v>Business</v>
      </c>
      <c r="S1013" s="11">
        <f t="shared" si="79"/>
        <v>5</v>
      </c>
    </row>
    <row r="1014" spans="1:19">
      <c r="A1014" t="s">
        <v>5362</v>
      </c>
      <c r="B1014" t="s">
        <v>5363</v>
      </c>
      <c r="C1014" t="s">
        <v>780</v>
      </c>
      <c r="D1014" t="s">
        <v>5364</v>
      </c>
      <c r="E1014" t="s">
        <v>5365</v>
      </c>
      <c r="F1014" t="s">
        <v>5366</v>
      </c>
      <c r="G1014" s="4">
        <v>45390</v>
      </c>
      <c r="H1014" s="4">
        <v>45711</v>
      </c>
      <c r="I1014" s="4">
        <v>45714</v>
      </c>
      <c r="J1014">
        <f t="shared" si="75"/>
        <v>3</v>
      </c>
      <c r="K1014" t="str">
        <f t="array" ref="K1014">_xlfn.IFS(J1014=1,"Day Use",J1014&lt;=3,"Short Stay",J1014&lt;=7,"Extended Stay",J1014&gt;=8,"Long Stay")</f>
        <v>Short Stay</v>
      </c>
      <c r="L1014" t="s">
        <v>34</v>
      </c>
      <c r="M1014" s="10" t="str">
        <f t="shared" si="76"/>
        <v>Standard</v>
      </c>
      <c r="N1014" t="s">
        <v>26</v>
      </c>
      <c r="O1014" t="s">
        <v>35</v>
      </c>
      <c r="P1014">
        <f>IFERROR(VLOOKUP(TRIM(M1014),Room!D:H,5,FALSE),5000)</f>
        <v>3200</v>
      </c>
      <c r="Q1014">
        <f t="shared" si="77"/>
        <v>9600</v>
      </c>
      <c r="R1014" s="11" t="str">
        <f t="shared" si="78"/>
        <v>Other</v>
      </c>
      <c r="S1014" s="11">
        <f t="shared" si="79"/>
        <v>2</v>
      </c>
    </row>
    <row r="1015" spans="1:19">
      <c r="A1015" t="s">
        <v>5367</v>
      </c>
      <c r="B1015" t="s">
        <v>5368</v>
      </c>
      <c r="C1015" t="s">
        <v>5369</v>
      </c>
      <c r="D1015" t="s">
        <v>5370</v>
      </c>
      <c r="E1015" t="s">
        <v>5371</v>
      </c>
      <c r="F1015" t="s">
        <v>5372</v>
      </c>
      <c r="G1015" s="4">
        <v>45464</v>
      </c>
      <c r="H1015" s="4">
        <v>45840</v>
      </c>
      <c r="I1015" s="4">
        <v>45841</v>
      </c>
      <c r="J1015">
        <f t="shared" si="75"/>
        <v>1</v>
      </c>
      <c r="K1015" t="str">
        <f t="array" ref="K1015">_xlfn.IFS(J1015=1,"Day Use",J1015&lt;=3,"Short Stay",J1015&lt;=7,"Extended Stay",J1015&gt;=8,"Long Stay")</f>
        <v>Day Use</v>
      </c>
      <c r="L1015" t="s">
        <v>84</v>
      </c>
      <c r="M1015" s="10" t="str">
        <f t="shared" si="76"/>
        <v>Standard</v>
      </c>
      <c r="N1015" t="s">
        <v>26</v>
      </c>
      <c r="O1015" t="s">
        <v>71</v>
      </c>
      <c r="P1015">
        <f>IFERROR(VLOOKUP(TRIM(M1015),Room!D:H,5,FALSE),5000)</f>
        <v>3200</v>
      </c>
      <c r="Q1015">
        <f t="shared" si="77"/>
        <v>3200</v>
      </c>
      <c r="R1015" s="11" t="str">
        <f t="shared" si="78"/>
        <v>Other</v>
      </c>
      <c r="S1015" s="11">
        <f t="shared" si="79"/>
        <v>1</v>
      </c>
    </row>
    <row r="1016" spans="1:19">
      <c r="A1016" t="s">
        <v>5373</v>
      </c>
      <c r="B1016" t="s">
        <v>5374</v>
      </c>
      <c r="C1016" t="s">
        <v>1710</v>
      </c>
      <c r="D1016" t="s">
        <v>5375</v>
      </c>
      <c r="E1016" t="s">
        <v>5376</v>
      </c>
      <c r="F1016" t="s">
        <v>5377</v>
      </c>
      <c r="G1016" s="4">
        <v>45668</v>
      </c>
      <c r="H1016" s="4">
        <v>45674</v>
      </c>
      <c r="I1016" s="4">
        <v>45677</v>
      </c>
      <c r="J1016">
        <f t="shared" si="75"/>
        <v>3</v>
      </c>
      <c r="K1016" t="str">
        <f t="array" ref="K1016">_xlfn.IFS(J1016=1,"Day Use",J1016&lt;=3,"Short Stay",J1016&lt;=7,"Extended Stay",J1016&gt;=8,"Long Stay")</f>
        <v>Short Stay</v>
      </c>
      <c r="L1016" t="s">
        <v>141</v>
      </c>
      <c r="M1016" s="10" t="str">
        <f t="shared" si="76"/>
        <v>Standard</v>
      </c>
      <c r="N1016" t="s">
        <v>26</v>
      </c>
      <c r="O1016" t="s">
        <v>71</v>
      </c>
      <c r="P1016">
        <f>IFERROR(VLOOKUP(TRIM(M1016),Room!D:H,5,FALSE),5000)</f>
        <v>3200</v>
      </c>
      <c r="Q1016">
        <f t="shared" si="77"/>
        <v>9600</v>
      </c>
      <c r="R1016" s="11" t="str">
        <f t="shared" si="78"/>
        <v>Other</v>
      </c>
      <c r="S1016" s="11">
        <f t="shared" si="79"/>
        <v>2</v>
      </c>
    </row>
    <row r="1017" spans="1:19">
      <c r="A1017" t="s">
        <v>5378</v>
      </c>
      <c r="B1017" t="s">
        <v>5379</v>
      </c>
      <c r="C1017" t="s">
        <v>247</v>
      </c>
      <c r="D1017" t="s">
        <v>5380</v>
      </c>
      <c r="E1017" t="s">
        <v>5381</v>
      </c>
      <c r="F1017" t="s">
        <v>5382</v>
      </c>
      <c r="G1017" s="4">
        <v>45516</v>
      </c>
      <c r="H1017" s="4">
        <v>45964</v>
      </c>
      <c r="I1017" s="4">
        <v>45974</v>
      </c>
      <c r="J1017">
        <f t="shared" si="75"/>
        <v>10</v>
      </c>
      <c r="K1017" t="str">
        <f t="array" ref="K1017">_xlfn.IFS(J1017=1,"Day Use",J1017&lt;=3,"Short Stay",J1017&lt;=7,"Extended Stay",J1017&gt;=8,"Long Stay")</f>
        <v>Long Stay</v>
      </c>
      <c r="L1017" t="s">
        <v>56</v>
      </c>
      <c r="M1017" s="10" t="str">
        <f t="shared" si="76"/>
        <v>Premium</v>
      </c>
      <c r="N1017" t="s">
        <v>57</v>
      </c>
      <c r="O1017" t="s">
        <v>27</v>
      </c>
      <c r="P1017">
        <f>IFERROR(VLOOKUP(TRIM(M1017),Room!D:H,5,FALSE),5000)</f>
        <v>9500</v>
      </c>
      <c r="Q1017">
        <f t="shared" si="77"/>
        <v>95000</v>
      </c>
      <c r="R1017" s="11" t="str">
        <f t="shared" si="78"/>
        <v>Conference</v>
      </c>
      <c r="S1017" s="11">
        <f t="shared" si="79"/>
        <v>4</v>
      </c>
    </row>
    <row r="1018" spans="1:19">
      <c r="A1018" t="s">
        <v>5383</v>
      </c>
      <c r="B1018" t="s">
        <v>5384</v>
      </c>
      <c r="C1018" t="s">
        <v>1146</v>
      </c>
      <c r="D1018" t="s">
        <v>5385</v>
      </c>
      <c r="E1018" t="s">
        <v>5386</v>
      </c>
      <c r="F1018" t="s">
        <v>5387</v>
      </c>
      <c r="G1018" s="4">
        <v>45532</v>
      </c>
      <c r="H1018" s="4">
        <v>45917</v>
      </c>
      <c r="I1018" s="4">
        <v>45918</v>
      </c>
      <c r="J1018">
        <f t="shared" si="75"/>
        <v>1</v>
      </c>
      <c r="K1018" t="str">
        <f t="array" ref="K1018">_xlfn.IFS(J1018=1,"Day Use",J1018&lt;=3,"Short Stay",J1018&lt;=7,"Extended Stay",J1018&gt;=8,"Long Stay")</f>
        <v>Day Use</v>
      </c>
      <c r="L1018" t="s">
        <v>25</v>
      </c>
      <c r="M1018" s="10" t="str">
        <f t="shared" si="76"/>
        <v>Standard</v>
      </c>
      <c r="N1018" t="s">
        <v>148</v>
      </c>
      <c r="O1018" t="s">
        <v>27</v>
      </c>
      <c r="P1018">
        <f>IFERROR(VLOOKUP(TRIM(M1018),Room!D:H,5,FALSE),5000)</f>
        <v>3200</v>
      </c>
      <c r="Q1018">
        <f t="shared" si="77"/>
        <v>3200</v>
      </c>
      <c r="R1018" s="11" t="str">
        <f t="shared" si="78"/>
        <v>Other</v>
      </c>
      <c r="S1018" s="11">
        <f t="shared" si="79"/>
        <v>1</v>
      </c>
    </row>
    <row r="1019" spans="1:19">
      <c r="A1019" t="s">
        <v>5388</v>
      </c>
      <c r="B1019" t="s">
        <v>5389</v>
      </c>
      <c r="C1019" t="s">
        <v>351</v>
      </c>
      <c r="D1019" t="s">
        <v>5390</v>
      </c>
      <c r="E1019" t="s">
        <v>5391</v>
      </c>
      <c r="F1019" t="s">
        <v>5392</v>
      </c>
      <c r="G1019" s="4">
        <v>45473</v>
      </c>
      <c r="H1019" s="4">
        <v>45835</v>
      </c>
      <c r="I1019" s="4">
        <v>45848</v>
      </c>
      <c r="J1019">
        <f t="shared" si="75"/>
        <v>13</v>
      </c>
      <c r="K1019" t="str">
        <f t="array" ref="K1019">_xlfn.IFS(J1019=1,"Day Use",J1019&lt;=3,"Short Stay",J1019&lt;=7,"Extended Stay",J1019&gt;=8,"Long Stay")</f>
        <v>Long Stay</v>
      </c>
      <c r="L1019" t="s">
        <v>196</v>
      </c>
      <c r="M1019" s="10" t="str">
        <f t="shared" si="76"/>
        <v>Suite</v>
      </c>
      <c r="N1019" t="s">
        <v>26</v>
      </c>
      <c r="O1019" t="s">
        <v>42</v>
      </c>
      <c r="P1019">
        <f>IFERROR(VLOOKUP(TRIM(M1019),Room!D:H,5,FALSE),5000)</f>
        <v>12500</v>
      </c>
      <c r="Q1019">
        <f t="shared" si="77"/>
        <v>162500</v>
      </c>
      <c r="R1019" s="11" t="str">
        <f t="shared" si="78"/>
        <v>Business</v>
      </c>
      <c r="S1019" s="11">
        <f t="shared" si="79"/>
        <v>5</v>
      </c>
    </row>
    <row r="1020" spans="1:19">
      <c r="A1020" t="s">
        <v>5393</v>
      </c>
      <c r="B1020" t="s">
        <v>5394</v>
      </c>
      <c r="C1020" t="s">
        <v>691</v>
      </c>
      <c r="D1020" t="s">
        <v>5395</v>
      </c>
      <c r="E1020" t="s">
        <v>5396</v>
      </c>
      <c r="F1020" t="s">
        <v>5397</v>
      </c>
      <c r="G1020" s="4">
        <v>45690</v>
      </c>
      <c r="H1020" s="4">
        <v>45712</v>
      </c>
      <c r="I1020" s="4">
        <v>45723</v>
      </c>
      <c r="J1020">
        <f t="shared" si="75"/>
        <v>11</v>
      </c>
      <c r="K1020" t="str">
        <f t="array" ref="K1020">_xlfn.IFS(J1020=1,"Day Use",J1020&lt;=3,"Short Stay",J1020&lt;=7,"Extended Stay",J1020&gt;=8,"Long Stay")</f>
        <v>Long Stay</v>
      </c>
      <c r="L1020" t="s">
        <v>49</v>
      </c>
      <c r="M1020" s="10" t="str">
        <f t="shared" si="76"/>
        <v>Suite</v>
      </c>
      <c r="N1020" t="s">
        <v>26</v>
      </c>
      <c r="O1020" t="s">
        <v>27</v>
      </c>
      <c r="P1020">
        <f>IFERROR(VLOOKUP(TRIM(M1020),Room!D:H,5,FALSE),5000)</f>
        <v>12500</v>
      </c>
      <c r="Q1020">
        <f t="shared" si="77"/>
        <v>137500</v>
      </c>
      <c r="R1020" s="11" t="str">
        <f t="shared" si="78"/>
        <v>Business</v>
      </c>
      <c r="S1020" s="11">
        <f t="shared" si="79"/>
        <v>5</v>
      </c>
    </row>
    <row r="1021" spans="1:19">
      <c r="A1021" t="s">
        <v>5398</v>
      </c>
      <c r="B1021" t="s">
        <v>5399</v>
      </c>
      <c r="C1021" t="s">
        <v>500</v>
      </c>
      <c r="D1021" t="s">
        <v>5400</v>
      </c>
      <c r="E1021" t="s">
        <v>5401</v>
      </c>
      <c r="F1021" t="s">
        <v>5402</v>
      </c>
      <c r="G1021" s="4">
        <v>45464</v>
      </c>
      <c r="H1021" s="4">
        <v>45627</v>
      </c>
      <c r="I1021" s="4">
        <v>45641</v>
      </c>
      <c r="J1021">
        <f t="shared" si="75"/>
        <v>14</v>
      </c>
      <c r="K1021" t="str">
        <f t="array" ref="K1021">_xlfn.IFS(J1021=1,"Day Use",J1021&lt;=3,"Short Stay",J1021&lt;=7,"Extended Stay",J1021&gt;=8,"Long Stay")</f>
        <v>Long Stay</v>
      </c>
      <c r="L1021" t="s">
        <v>25</v>
      </c>
      <c r="M1021" s="10" t="str">
        <f t="shared" si="76"/>
        <v>Suite</v>
      </c>
      <c r="N1021" t="s">
        <v>148</v>
      </c>
      <c r="O1021" t="s">
        <v>27</v>
      </c>
      <c r="P1021">
        <f>IFERROR(VLOOKUP(TRIM(M1021),Room!D:H,5,FALSE),5000)</f>
        <v>12500</v>
      </c>
      <c r="Q1021">
        <f t="shared" si="77"/>
        <v>175000</v>
      </c>
      <c r="R1021" s="11" t="str">
        <f t="shared" si="78"/>
        <v>Business</v>
      </c>
      <c r="S1021" s="11">
        <f t="shared" si="79"/>
        <v>5</v>
      </c>
    </row>
    <row r="1022" spans="1:19">
      <c r="A1022" t="s">
        <v>5403</v>
      </c>
      <c r="B1022" t="s">
        <v>5404</v>
      </c>
      <c r="C1022" t="s">
        <v>587</v>
      </c>
      <c r="D1022" t="s">
        <v>5405</v>
      </c>
      <c r="E1022" t="s">
        <v>5406</v>
      </c>
      <c r="F1022" t="s">
        <v>5407</v>
      </c>
      <c r="G1022" s="4">
        <v>45282</v>
      </c>
      <c r="H1022" s="4">
        <v>45848</v>
      </c>
      <c r="I1022" s="4">
        <v>45860</v>
      </c>
      <c r="J1022">
        <f t="shared" si="75"/>
        <v>12</v>
      </c>
      <c r="K1022" t="str">
        <f t="array" ref="K1022">_xlfn.IFS(J1022=1,"Day Use",J1022&lt;=3,"Short Stay",J1022&lt;=7,"Extended Stay",J1022&gt;=8,"Long Stay")</f>
        <v>Long Stay</v>
      </c>
      <c r="L1022" t="s">
        <v>84</v>
      </c>
      <c r="M1022" s="10" t="str">
        <f t="shared" si="76"/>
        <v>Suite</v>
      </c>
      <c r="N1022" t="s">
        <v>26</v>
      </c>
      <c r="O1022" t="s">
        <v>27</v>
      </c>
      <c r="P1022">
        <f>IFERROR(VLOOKUP(TRIM(M1022),Room!D:H,5,FALSE),5000)</f>
        <v>12500</v>
      </c>
      <c r="Q1022">
        <f t="shared" si="77"/>
        <v>150000</v>
      </c>
      <c r="R1022" s="11" t="str">
        <f t="shared" si="78"/>
        <v>Business</v>
      </c>
      <c r="S1022" s="11">
        <f t="shared" si="79"/>
        <v>5</v>
      </c>
    </row>
    <row r="1023" spans="1:19">
      <c r="A1023" t="s">
        <v>5408</v>
      </c>
      <c r="B1023" t="s">
        <v>5409</v>
      </c>
      <c r="C1023" t="s">
        <v>80</v>
      </c>
      <c r="D1023" t="s">
        <v>5410</v>
      </c>
      <c r="E1023" t="s">
        <v>5411</v>
      </c>
      <c r="F1023" t="s">
        <v>5412</v>
      </c>
      <c r="G1023" s="4">
        <v>45282</v>
      </c>
      <c r="H1023" s="4">
        <v>45597</v>
      </c>
      <c r="I1023" s="4">
        <v>45600</v>
      </c>
      <c r="J1023">
        <f t="shared" si="75"/>
        <v>3</v>
      </c>
      <c r="K1023" t="str">
        <f t="array" ref="K1023">_xlfn.IFS(J1023=1,"Day Use",J1023&lt;=3,"Short Stay",J1023&lt;=7,"Extended Stay",J1023&gt;=8,"Long Stay")</f>
        <v>Short Stay</v>
      </c>
      <c r="L1023" t="s">
        <v>56</v>
      </c>
      <c r="M1023" s="10" t="str">
        <f t="shared" si="76"/>
        <v>Standard</v>
      </c>
      <c r="N1023" t="s">
        <v>26</v>
      </c>
      <c r="O1023" t="s">
        <v>71</v>
      </c>
      <c r="P1023">
        <f>IFERROR(VLOOKUP(TRIM(M1023),Room!D:H,5,FALSE),5000)</f>
        <v>3200</v>
      </c>
      <c r="Q1023">
        <f t="shared" si="77"/>
        <v>9600</v>
      </c>
      <c r="R1023" s="11" t="str">
        <f t="shared" si="78"/>
        <v>Other</v>
      </c>
      <c r="S1023" s="11">
        <f t="shared" si="79"/>
        <v>2</v>
      </c>
    </row>
    <row r="1024" spans="1:19">
      <c r="A1024" t="s">
        <v>5413</v>
      </c>
      <c r="B1024" t="s">
        <v>5414</v>
      </c>
      <c r="C1024" t="s">
        <v>506</v>
      </c>
      <c r="D1024" t="s">
        <v>5415</v>
      </c>
      <c r="E1024" t="s">
        <v>5416</v>
      </c>
      <c r="F1024" t="s">
        <v>5417</v>
      </c>
      <c r="G1024" s="4">
        <v>45464</v>
      </c>
      <c r="H1024" s="4">
        <v>45473</v>
      </c>
      <c r="I1024" s="4">
        <v>45481</v>
      </c>
      <c r="J1024">
        <f t="shared" si="75"/>
        <v>8</v>
      </c>
      <c r="K1024" t="str">
        <f t="array" ref="K1024">_xlfn.IFS(J1024=1,"Day Use",J1024&lt;=3,"Short Stay",J1024&lt;=7,"Extended Stay",J1024&gt;=8,"Long Stay")</f>
        <v>Long Stay</v>
      </c>
      <c r="L1024" t="s">
        <v>84</v>
      </c>
      <c r="M1024" s="10" t="str">
        <f t="shared" si="76"/>
        <v>Premium</v>
      </c>
      <c r="N1024" t="s">
        <v>148</v>
      </c>
      <c r="O1024" t="s">
        <v>58</v>
      </c>
      <c r="P1024">
        <f>IFERROR(VLOOKUP(TRIM(M1024),Room!D:H,5,FALSE),5000)</f>
        <v>9500</v>
      </c>
      <c r="Q1024">
        <f t="shared" si="77"/>
        <v>76000</v>
      </c>
      <c r="R1024" s="11" t="str">
        <f t="shared" si="78"/>
        <v>Conference</v>
      </c>
      <c r="S1024" s="11">
        <f t="shared" si="79"/>
        <v>4</v>
      </c>
    </row>
    <row r="1025" spans="1:19">
      <c r="A1025" t="s">
        <v>5418</v>
      </c>
      <c r="B1025" t="s">
        <v>5419</v>
      </c>
      <c r="C1025" t="s">
        <v>2451</v>
      </c>
      <c r="D1025" t="s">
        <v>5420</v>
      </c>
      <c r="E1025" t="s">
        <v>5421</v>
      </c>
      <c r="F1025" t="s">
        <v>5422</v>
      </c>
      <c r="G1025" s="4">
        <v>45517</v>
      </c>
      <c r="H1025" s="4">
        <v>45698</v>
      </c>
      <c r="I1025" s="4">
        <v>45709</v>
      </c>
      <c r="J1025">
        <f t="shared" si="75"/>
        <v>11</v>
      </c>
      <c r="K1025" t="str">
        <f t="array" ref="K1025">_xlfn.IFS(J1025=1,"Day Use",J1025&lt;=3,"Short Stay",J1025&lt;=7,"Extended Stay",J1025&gt;=8,"Long Stay")</f>
        <v>Long Stay</v>
      </c>
      <c r="L1025" t="s">
        <v>49</v>
      </c>
      <c r="M1025" s="10" t="str">
        <f t="shared" si="76"/>
        <v>Suite</v>
      </c>
      <c r="N1025" t="s">
        <v>134</v>
      </c>
      <c r="O1025" t="s">
        <v>35</v>
      </c>
      <c r="P1025">
        <f>IFERROR(VLOOKUP(TRIM(M1025),Room!D:H,5,FALSE),5000)</f>
        <v>12500</v>
      </c>
      <c r="Q1025">
        <f t="shared" si="77"/>
        <v>137500</v>
      </c>
      <c r="R1025" s="11" t="str">
        <f t="shared" si="78"/>
        <v>Business</v>
      </c>
      <c r="S1025" s="11">
        <f t="shared" si="79"/>
        <v>5</v>
      </c>
    </row>
    <row r="1026" spans="1:19">
      <c r="A1026" t="s">
        <v>5423</v>
      </c>
      <c r="B1026" t="s">
        <v>5424</v>
      </c>
      <c r="C1026" t="s">
        <v>5425</v>
      </c>
      <c r="D1026" t="s">
        <v>5426</v>
      </c>
      <c r="E1026" t="s">
        <v>5427</v>
      </c>
      <c r="F1026" t="s">
        <v>5428</v>
      </c>
      <c r="G1026" s="4">
        <v>45935</v>
      </c>
      <c r="H1026" s="4">
        <v>45973</v>
      </c>
      <c r="I1026" s="4">
        <v>45977</v>
      </c>
      <c r="J1026">
        <f t="shared" ref="J1026:J1089" si="80">I1026-H1026</f>
        <v>4</v>
      </c>
      <c r="K1026" t="str">
        <f t="array" ref="K1026">_xlfn.IFS(J1026=1,"Day Use",J1026&lt;=3,"Short Stay",J1026&lt;=7,"Extended Stay",J1026&gt;=8,"Long Stay")</f>
        <v>Extended Stay</v>
      </c>
      <c r="L1026" t="s">
        <v>56</v>
      </c>
      <c r="M1026" s="10" t="str">
        <f t="shared" ref="M1026:M1089" si="81">IF($J1026&lt;=3,"Standard",IF($J1026&lt;=6,"Deluxe",IF($J1026&lt;=10,"Premium","Suite")))</f>
        <v>Deluxe</v>
      </c>
      <c r="N1026" t="s">
        <v>26</v>
      </c>
      <c r="O1026" t="s">
        <v>71</v>
      </c>
      <c r="P1026">
        <f>IFERROR(VLOOKUP(TRIM(M1026),Room!D:H,5,FALSE),5000)</f>
        <v>5400</v>
      </c>
      <c r="Q1026">
        <f t="shared" si="77"/>
        <v>21600</v>
      </c>
      <c r="R1026" s="11" t="str">
        <f t="shared" si="78"/>
        <v>Conference</v>
      </c>
      <c r="S1026" s="11">
        <f t="shared" si="79"/>
        <v>3</v>
      </c>
    </row>
    <row r="1027" spans="1:19">
      <c r="A1027" t="s">
        <v>5429</v>
      </c>
      <c r="B1027" t="s">
        <v>5430</v>
      </c>
      <c r="C1027" t="s">
        <v>311</v>
      </c>
      <c r="D1027" t="s">
        <v>5431</v>
      </c>
      <c r="E1027" t="s">
        <v>5432</v>
      </c>
      <c r="F1027" t="s">
        <v>5433</v>
      </c>
      <c r="G1027" s="4">
        <v>45485</v>
      </c>
      <c r="H1027" s="4">
        <v>45698</v>
      </c>
      <c r="I1027" s="4">
        <v>45706</v>
      </c>
      <c r="J1027">
        <f t="shared" si="80"/>
        <v>8</v>
      </c>
      <c r="K1027" t="str">
        <f t="array" ref="K1027">_xlfn.IFS(J1027=1,"Day Use",J1027&lt;=3,"Short Stay",J1027&lt;=7,"Extended Stay",J1027&gt;=8,"Long Stay")</f>
        <v>Long Stay</v>
      </c>
      <c r="L1027" t="s">
        <v>84</v>
      </c>
      <c r="M1027" s="10" t="str">
        <f t="shared" si="81"/>
        <v>Premium</v>
      </c>
      <c r="N1027" t="s">
        <v>26</v>
      </c>
      <c r="O1027" t="s">
        <v>27</v>
      </c>
      <c r="P1027">
        <f>IFERROR(VLOOKUP(TRIM(M1027),Room!D:H,5,FALSE),5000)</f>
        <v>9500</v>
      </c>
      <c r="Q1027">
        <f t="shared" ref="Q1027:Q1090" si="82">P1027*J1027</f>
        <v>76000</v>
      </c>
      <c r="R1027" s="11" t="str">
        <f t="shared" ref="R1027:R1090" si="83">IF(ISNUMBER(SEARCH("Suite",D1027)),"Honeymoon",IF(P1027&gt;10000,"Business",IF(P1027&gt;5000,"Conference",IF(J1027&gt;=8,"Family Vacation","Other"))))</f>
        <v>Conference</v>
      </c>
      <c r="S1027" s="11">
        <f t="shared" ref="S1027:S1090" si="84">IF(M1027="Suite",5,IF(M1027="Premium",IF(Q1027&gt;20000,4,3),IF(M1027="Deluxe",IF(Q1027&gt;=10000,3,2),IF(M1027="Standard",IF(Q1027&gt;=5000,2,1),1))))</f>
        <v>4</v>
      </c>
    </row>
    <row r="1028" spans="1:19">
      <c r="A1028" t="s">
        <v>5434</v>
      </c>
      <c r="B1028" t="s">
        <v>5435</v>
      </c>
      <c r="C1028" t="s">
        <v>4740</v>
      </c>
      <c r="D1028" t="s">
        <v>5436</v>
      </c>
      <c r="E1028" t="s">
        <v>5437</v>
      </c>
      <c r="F1028" t="s">
        <v>5438</v>
      </c>
      <c r="G1028" s="4">
        <v>45258</v>
      </c>
      <c r="H1028" s="4">
        <v>45932</v>
      </c>
      <c r="I1028" s="4">
        <v>45942</v>
      </c>
      <c r="J1028">
        <f t="shared" si="80"/>
        <v>10</v>
      </c>
      <c r="K1028" t="str">
        <f t="array" ref="K1028">_xlfn.IFS(J1028=1,"Day Use",J1028&lt;=3,"Short Stay",J1028&lt;=7,"Extended Stay",J1028&gt;=8,"Long Stay")</f>
        <v>Long Stay</v>
      </c>
      <c r="L1028" t="s">
        <v>56</v>
      </c>
      <c r="M1028" s="10" t="str">
        <f t="shared" si="81"/>
        <v>Premium</v>
      </c>
      <c r="N1028" t="s">
        <v>26</v>
      </c>
      <c r="O1028" t="s">
        <v>71</v>
      </c>
      <c r="P1028">
        <f>IFERROR(VLOOKUP(TRIM(M1028),Room!D:H,5,FALSE),5000)</f>
        <v>9500</v>
      </c>
      <c r="Q1028">
        <f t="shared" si="82"/>
        <v>95000</v>
      </c>
      <c r="R1028" s="11" t="str">
        <f t="shared" si="83"/>
        <v>Conference</v>
      </c>
      <c r="S1028" s="11">
        <f t="shared" si="84"/>
        <v>4</v>
      </c>
    </row>
    <row r="1029" spans="1:19">
      <c r="A1029" t="s">
        <v>5439</v>
      </c>
      <c r="B1029" t="s">
        <v>5440</v>
      </c>
      <c r="C1029" t="s">
        <v>4751</v>
      </c>
      <c r="D1029" t="s">
        <v>5441</v>
      </c>
      <c r="E1029" t="s">
        <v>5442</v>
      </c>
      <c r="F1029" t="s">
        <v>5443</v>
      </c>
      <c r="G1029" s="4">
        <v>45662</v>
      </c>
      <c r="H1029" s="4">
        <v>45683</v>
      </c>
      <c r="I1029" s="4">
        <v>45687</v>
      </c>
      <c r="J1029">
        <f t="shared" si="80"/>
        <v>4</v>
      </c>
      <c r="K1029" t="str">
        <f t="array" ref="K1029">_xlfn.IFS(J1029=1,"Day Use",J1029&lt;=3,"Short Stay",J1029&lt;=7,"Extended Stay",J1029&gt;=8,"Long Stay")</f>
        <v>Extended Stay</v>
      </c>
      <c r="L1029" t="s">
        <v>56</v>
      </c>
      <c r="M1029" s="10" t="str">
        <f t="shared" si="81"/>
        <v>Deluxe</v>
      </c>
      <c r="N1029" t="s">
        <v>148</v>
      </c>
      <c r="O1029" t="s">
        <v>42</v>
      </c>
      <c r="P1029">
        <f>IFERROR(VLOOKUP(TRIM(M1029),Room!D:H,5,FALSE),5000)</f>
        <v>5400</v>
      </c>
      <c r="Q1029">
        <f t="shared" si="82"/>
        <v>21600</v>
      </c>
      <c r="R1029" s="11" t="str">
        <f t="shared" si="83"/>
        <v>Conference</v>
      </c>
      <c r="S1029" s="11">
        <f t="shared" si="84"/>
        <v>3</v>
      </c>
    </row>
    <row r="1030" spans="1:19">
      <c r="A1030" t="s">
        <v>5444</v>
      </c>
      <c r="B1030" t="s">
        <v>5445</v>
      </c>
      <c r="C1030" t="s">
        <v>5155</v>
      </c>
      <c r="D1030" t="s">
        <v>5446</v>
      </c>
      <c r="E1030" t="s">
        <v>5447</v>
      </c>
      <c r="F1030" t="s">
        <v>5448</v>
      </c>
      <c r="G1030" s="4">
        <v>45491</v>
      </c>
      <c r="H1030" s="4">
        <v>45509</v>
      </c>
      <c r="I1030" s="4">
        <v>45521</v>
      </c>
      <c r="J1030">
        <f t="shared" si="80"/>
        <v>12</v>
      </c>
      <c r="K1030" t="str">
        <f t="array" ref="K1030">_xlfn.IFS(J1030=1,"Day Use",J1030&lt;=3,"Short Stay",J1030&lt;=7,"Extended Stay",J1030&gt;=8,"Long Stay")</f>
        <v>Long Stay</v>
      </c>
      <c r="L1030" t="s">
        <v>56</v>
      </c>
      <c r="M1030" s="10" t="str">
        <f t="shared" si="81"/>
        <v>Suite</v>
      </c>
      <c r="N1030" t="s">
        <v>26</v>
      </c>
      <c r="O1030" t="s">
        <v>58</v>
      </c>
      <c r="P1030">
        <f>IFERROR(VLOOKUP(TRIM(M1030),Room!D:H,5,FALSE),5000)</f>
        <v>12500</v>
      </c>
      <c r="Q1030">
        <f t="shared" si="82"/>
        <v>150000</v>
      </c>
      <c r="R1030" s="11" t="str">
        <f t="shared" si="83"/>
        <v>Business</v>
      </c>
      <c r="S1030" s="11">
        <f t="shared" si="84"/>
        <v>5</v>
      </c>
    </row>
    <row r="1031" spans="1:19">
      <c r="A1031" t="s">
        <v>5449</v>
      </c>
      <c r="B1031" t="s">
        <v>5450</v>
      </c>
      <c r="C1031" t="s">
        <v>1972</v>
      </c>
      <c r="D1031" t="s">
        <v>5451</v>
      </c>
      <c r="E1031" t="s">
        <v>5452</v>
      </c>
      <c r="F1031" t="s">
        <v>5453</v>
      </c>
      <c r="G1031" s="4">
        <v>45561</v>
      </c>
      <c r="H1031" s="4">
        <v>45577</v>
      </c>
      <c r="I1031" s="4">
        <v>45587</v>
      </c>
      <c r="J1031">
        <f t="shared" si="80"/>
        <v>10</v>
      </c>
      <c r="K1031" t="str">
        <f t="array" ref="K1031">_xlfn.IFS(J1031=1,"Day Use",J1031&lt;=3,"Short Stay",J1031&lt;=7,"Extended Stay",J1031&gt;=8,"Long Stay")</f>
        <v>Long Stay</v>
      </c>
      <c r="L1031" t="s">
        <v>196</v>
      </c>
      <c r="M1031" s="10" t="str">
        <f t="shared" si="81"/>
        <v>Premium</v>
      </c>
      <c r="N1031" t="s">
        <v>26</v>
      </c>
      <c r="O1031" t="s">
        <v>42</v>
      </c>
      <c r="P1031">
        <f>IFERROR(VLOOKUP(TRIM(M1031),Room!D:H,5,FALSE),5000)</f>
        <v>9500</v>
      </c>
      <c r="Q1031">
        <f t="shared" si="82"/>
        <v>95000</v>
      </c>
      <c r="R1031" s="11" t="str">
        <f t="shared" si="83"/>
        <v>Conference</v>
      </c>
      <c r="S1031" s="11">
        <f t="shared" si="84"/>
        <v>4</v>
      </c>
    </row>
    <row r="1032" spans="1:19">
      <c r="A1032" t="s">
        <v>5454</v>
      </c>
      <c r="B1032" t="s">
        <v>5455</v>
      </c>
      <c r="C1032" t="s">
        <v>1271</v>
      </c>
      <c r="D1032" t="s">
        <v>5456</v>
      </c>
      <c r="E1032" t="s">
        <v>5457</v>
      </c>
      <c r="F1032" t="s">
        <v>5458</v>
      </c>
      <c r="G1032" s="4">
        <v>45319</v>
      </c>
      <c r="H1032" s="4">
        <v>45592</v>
      </c>
      <c r="I1032" s="4">
        <v>45601</v>
      </c>
      <c r="J1032">
        <f t="shared" si="80"/>
        <v>9</v>
      </c>
      <c r="K1032" t="str">
        <f t="array" ref="K1032">_xlfn.IFS(J1032=1,"Day Use",J1032&lt;=3,"Short Stay",J1032&lt;=7,"Extended Stay",J1032&gt;=8,"Long Stay")</f>
        <v>Long Stay</v>
      </c>
      <c r="L1032" t="s">
        <v>49</v>
      </c>
      <c r="M1032" s="10" t="str">
        <f t="shared" si="81"/>
        <v>Premium</v>
      </c>
      <c r="N1032" t="s">
        <v>26</v>
      </c>
      <c r="O1032" t="s">
        <v>71</v>
      </c>
      <c r="P1032">
        <f>IFERROR(VLOOKUP(TRIM(M1032),Room!D:H,5,FALSE),5000)</f>
        <v>9500</v>
      </c>
      <c r="Q1032">
        <f t="shared" si="82"/>
        <v>85500</v>
      </c>
      <c r="R1032" s="11" t="str">
        <f t="shared" si="83"/>
        <v>Conference</v>
      </c>
      <c r="S1032" s="11">
        <f t="shared" si="84"/>
        <v>4</v>
      </c>
    </row>
    <row r="1033" spans="1:19">
      <c r="A1033" t="s">
        <v>5459</v>
      </c>
      <c r="B1033" t="s">
        <v>5460</v>
      </c>
      <c r="C1033" t="s">
        <v>247</v>
      </c>
      <c r="D1033" t="s">
        <v>5461</v>
      </c>
      <c r="E1033" t="s">
        <v>5462</v>
      </c>
      <c r="F1033" t="s">
        <v>5463</v>
      </c>
      <c r="G1033" s="4">
        <v>45546</v>
      </c>
      <c r="H1033" s="4">
        <v>45984</v>
      </c>
      <c r="I1033" s="4">
        <v>45996</v>
      </c>
      <c r="J1033">
        <f t="shared" si="80"/>
        <v>12</v>
      </c>
      <c r="K1033" t="str">
        <f t="array" ref="K1033">_xlfn.IFS(J1033=1,"Day Use",J1033&lt;=3,"Short Stay",J1033&lt;=7,"Extended Stay",J1033&gt;=8,"Long Stay")</f>
        <v>Long Stay</v>
      </c>
      <c r="L1033" t="s">
        <v>91</v>
      </c>
      <c r="M1033" s="10" t="str">
        <f t="shared" si="81"/>
        <v>Suite</v>
      </c>
      <c r="N1033" t="s">
        <v>26</v>
      </c>
      <c r="O1033" t="s">
        <v>27</v>
      </c>
      <c r="P1033">
        <f>IFERROR(VLOOKUP(TRIM(M1033),Room!D:H,5,FALSE),5000)</f>
        <v>12500</v>
      </c>
      <c r="Q1033">
        <f t="shared" si="82"/>
        <v>150000</v>
      </c>
      <c r="R1033" s="11" t="str">
        <f t="shared" si="83"/>
        <v>Business</v>
      </c>
      <c r="S1033" s="11">
        <f t="shared" si="84"/>
        <v>5</v>
      </c>
    </row>
    <row r="1034" spans="1:19">
      <c r="A1034" t="s">
        <v>5464</v>
      </c>
      <c r="B1034" t="s">
        <v>5465</v>
      </c>
      <c r="C1034" t="s">
        <v>3494</v>
      </c>
      <c r="D1034" t="s">
        <v>5466</v>
      </c>
      <c r="E1034" t="s">
        <v>5467</v>
      </c>
      <c r="F1034" t="s">
        <v>5468</v>
      </c>
      <c r="G1034" s="4">
        <v>45834</v>
      </c>
      <c r="H1034" s="4">
        <v>45864</v>
      </c>
      <c r="I1034" s="4">
        <v>45870</v>
      </c>
      <c r="J1034">
        <f t="shared" si="80"/>
        <v>6</v>
      </c>
      <c r="K1034" t="str">
        <f t="array" ref="K1034">_xlfn.IFS(J1034=1,"Day Use",J1034&lt;=3,"Short Stay",J1034&lt;=7,"Extended Stay",J1034&gt;=8,"Long Stay")</f>
        <v>Extended Stay</v>
      </c>
      <c r="L1034" t="s">
        <v>141</v>
      </c>
      <c r="M1034" s="10" t="str">
        <f t="shared" si="81"/>
        <v>Deluxe</v>
      </c>
      <c r="N1034" t="s">
        <v>26</v>
      </c>
      <c r="O1034" t="s">
        <v>71</v>
      </c>
      <c r="P1034">
        <f>IFERROR(VLOOKUP(TRIM(M1034),Room!D:H,5,FALSE),5000)</f>
        <v>5400</v>
      </c>
      <c r="Q1034">
        <f t="shared" si="82"/>
        <v>32400</v>
      </c>
      <c r="R1034" s="11" t="str">
        <f t="shared" si="83"/>
        <v>Conference</v>
      </c>
      <c r="S1034" s="11">
        <f t="shared" si="84"/>
        <v>3</v>
      </c>
    </row>
    <row r="1035" spans="1:19">
      <c r="A1035" t="s">
        <v>5469</v>
      </c>
      <c r="B1035" t="s">
        <v>5470</v>
      </c>
      <c r="C1035" t="s">
        <v>1757</v>
      </c>
      <c r="D1035" t="s">
        <v>5471</v>
      </c>
      <c r="E1035" t="s">
        <v>5472</v>
      </c>
      <c r="F1035" t="s">
        <v>5473</v>
      </c>
      <c r="G1035" s="4">
        <v>45491</v>
      </c>
      <c r="H1035" s="4">
        <v>45865</v>
      </c>
      <c r="I1035" s="4">
        <v>45873</v>
      </c>
      <c r="J1035">
        <f t="shared" si="80"/>
        <v>8</v>
      </c>
      <c r="K1035" t="str">
        <f t="array" ref="K1035">_xlfn.IFS(J1035=1,"Day Use",J1035&lt;=3,"Short Stay",J1035&lt;=7,"Extended Stay",J1035&gt;=8,"Long Stay")</f>
        <v>Long Stay</v>
      </c>
      <c r="L1035" t="s">
        <v>91</v>
      </c>
      <c r="M1035" s="10" t="str">
        <f t="shared" si="81"/>
        <v>Premium</v>
      </c>
      <c r="N1035" t="s">
        <v>26</v>
      </c>
      <c r="O1035" t="s">
        <v>58</v>
      </c>
      <c r="P1035">
        <f>IFERROR(VLOOKUP(TRIM(M1035),Room!D:H,5,FALSE),5000)</f>
        <v>9500</v>
      </c>
      <c r="Q1035">
        <f t="shared" si="82"/>
        <v>76000</v>
      </c>
      <c r="R1035" s="11" t="str">
        <f t="shared" si="83"/>
        <v>Conference</v>
      </c>
      <c r="S1035" s="11">
        <f t="shared" si="84"/>
        <v>4</v>
      </c>
    </row>
    <row r="1036" spans="1:19">
      <c r="A1036" t="s">
        <v>5474</v>
      </c>
      <c r="B1036" t="s">
        <v>5475</v>
      </c>
      <c r="C1036" t="s">
        <v>443</v>
      </c>
      <c r="D1036" t="s">
        <v>5476</v>
      </c>
      <c r="E1036" t="s">
        <v>5477</v>
      </c>
      <c r="F1036" t="s">
        <v>5478</v>
      </c>
      <c r="G1036" s="4">
        <v>45383</v>
      </c>
      <c r="H1036" s="4">
        <v>45801</v>
      </c>
      <c r="I1036" s="4">
        <v>45809</v>
      </c>
      <c r="J1036">
        <f t="shared" si="80"/>
        <v>8</v>
      </c>
      <c r="K1036" t="str">
        <f t="array" ref="K1036">_xlfn.IFS(J1036=1,"Day Use",J1036&lt;=3,"Short Stay",J1036&lt;=7,"Extended Stay",J1036&gt;=8,"Long Stay")</f>
        <v>Long Stay</v>
      </c>
      <c r="L1036" t="s">
        <v>84</v>
      </c>
      <c r="M1036" s="10" t="str">
        <f t="shared" si="81"/>
        <v>Premium</v>
      </c>
      <c r="N1036" t="s">
        <v>57</v>
      </c>
      <c r="O1036" t="s">
        <v>71</v>
      </c>
      <c r="P1036">
        <f>IFERROR(VLOOKUP(TRIM(M1036),Room!D:H,5,FALSE),5000)</f>
        <v>9500</v>
      </c>
      <c r="Q1036">
        <f t="shared" si="82"/>
        <v>76000</v>
      </c>
      <c r="R1036" s="11" t="str">
        <f t="shared" si="83"/>
        <v>Conference</v>
      </c>
      <c r="S1036" s="11">
        <f t="shared" si="84"/>
        <v>4</v>
      </c>
    </row>
    <row r="1037" spans="1:19">
      <c r="A1037" t="s">
        <v>5479</v>
      </c>
      <c r="B1037" t="s">
        <v>5480</v>
      </c>
      <c r="C1037" t="s">
        <v>415</v>
      </c>
      <c r="D1037" t="s">
        <v>5481</v>
      </c>
      <c r="E1037" t="s">
        <v>5482</v>
      </c>
      <c r="F1037" t="s">
        <v>5483</v>
      </c>
      <c r="G1037" s="4">
        <v>45609</v>
      </c>
      <c r="H1037" s="4">
        <v>45624</v>
      </c>
      <c r="I1037" s="4">
        <v>45633</v>
      </c>
      <c r="J1037">
        <f t="shared" si="80"/>
        <v>9</v>
      </c>
      <c r="K1037" t="str">
        <f t="array" ref="K1037">_xlfn.IFS(J1037=1,"Day Use",J1037&lt;=3,"Short Stay",J1037&lt;=7,"Extended Stay",J1037&gt;=8,"Long Stay")</f>
        <v>Long Stay</v>
      </c>
      <c r="L1037" t="s">
        <v>49</v>
      </c>
      <c r="M1037" s="10" t="str">
        <f t="shared" si="81"/>
        <v>Premium</v>
      </c>
      <c r="N1037" t="s">
        <v>26</v>
      </c>
      <c r="O1037" t="s">
        <v>42</v>
      </c>
      <c r="P1037">
        <f>IFERROR(VLOOKUP(TRIM(M1037),Room!D:H,5,FALSE),5000)</f>
        <v>9500</v>
      </c>
      <c r="Q1037">
        <f t="shared" si="82"/>
        <v>85500</v>
      </c>
      <c r="R1037" s="11" t="str">
        <f t="shared" si="83"/>
        <v>Conference</v>
      </c>
      <c r="S1037" s="11">
        <f t="shared" si="84"/>
        <v>4</v>
      </c>
    </row>
    <row r="1038" spans="1:19">
      <c r="A1038" t="s">
        <v>5484</v>
      </c>
      <c r="B1038" t="s">
        <v>5485</v>
      </c>
      <c r="C1038" t="s">
        <v>223</v>
      </c>
      <c r="D1038" t="s">
        <v>5486</v>
      </c>
      <c r="E1038" t="s">
        <v>5487</v>
      </c>
      <c r="F1038" t="s">
        <v>5488</v>
      </c>
      <c r="G1038" s="4">
        <v>45344</v>
      </c>
      <c r="H1038" s="4">
        <v>45365</v>
      </c>
      <c r="I1038" s="4">
        <v>45379</v>
      </c>
      <c r="J1038">
        <f t="shared" si="80"/>
        <v>14</v>
      </c>
      <c r="K1038" t="str">
        <f t="array" ref="K1038">_xlfn.IFS(J1038=1,"Day Use",J1038&lt;=3,"Short Stay",J1038&lt;=7,"Extended Stay",J1038&gt;=8,"Long Stay")</f>
        <v>Long Stay</v>
      </c>
      <c r="L1038" t="s">
        <v>196</v>
      </c>
      <c r="M1038" s="10" t="str">
        <f t="shared" si="81"/>
        <v>Suite</v>
      </c>
      <c r="N1038" t="s">
        <v>26</v>
      </c>
      <c r="O1038" t="s">
        <v>42</v>
      </c>
      <c r="P1038">
        <f>IFERROR(VLOOKUP(TRIM(M1038),Room!D:H,5,FALSE),5000)</f>
        <v>12500</v>
      </c>
      <c r="Q1038">
        <f t="shared" si="82"/>
        <v>175000</v>
      </c>
      <c r="R1038" s="11" t="str">
        <f t="shared" si="83"/>
        <v>Business</v>
      </c>
      <c r="S1038" s="11">
        <f t="shared" si="84"/>
        <v>5</v>
      </c>
    </row>
    <row r="1039" spans="1:19">
      <c r="A1039" t="s">
        <v>5489</v>
      </c>
      <c r="B1039" t="s">
        <v>5490</v>
      </c>
      <c r="C1039" t="s">
        <v>621</v>
      </c>
      <c r="D1039" t="s">
        <v>5491</v>
      </c>
      <c r="E1039" t="s">
        <v>5492</v>
      </c>
      <c r="F1039" t="s">
        <v>5493</v>
      </c>
      <c r="G1039" s="4">
        <v>45321</v>
      </c>
      <c r="H1039" s="4">
        <v>45346</v>
      </c>
      <c r="I1039" s="4">
        <v>45359</v>
      </c>
      <c r="J1039">
        <f t="shared" si="80"/>
        <v>13</v>
      </c>
      <c r="K1039" t="str">
        <f t="array" ref="K1039">_xlfn.IFS(J1039=1,"Day Use",J1039&lt;=3,"Short Stay",J1039&lt;=7,"Extended Stay",J1039&gt;=8,"Long Stay")</f>
        <v>Long Stay</v>
      </c>
      <c r="L1039" t="s">
        <v>141</v>
      </c>
      <c r="M1039" s="10" t="str">
        <f t="shared" si="81"/>
        <v>Suite</v>
      </c>
      <c r="N1039" t="s">
        <v>26</v>
      </c>
      <c r="O1039" t="s">
        <v>27</v>
      </c>
      <c r="P1039">
        <f>IFERROR(VLOOKUP(TRIM(M1039),Room!D:H,5,FALSE),5000)</f>
        <v>12500</v>
      </c>
      <c r="Q1039">
        <f t="shared" si="82"/>
        <v>162500</v>
      </c>
      <c r="R1039" s="11" t="str">
        <f t="shared" si="83"/>
        <v>Business</v>
      </c>
      <c r="S1039" s="11">
        <f t="shared" si="84"/>
        <v>5</v>
      </c>
    </row>
    <row r="1040" spans="1:19">
      <c r="A1040" t="s">
        <v>5494</v>
      </c>
      <c r="B1040" t="s">
        <v>5495</v>
      </c>
      <c r="C1040" t="s">
        <v>3061</v>
      </c>
      <c r="D1040" t="s">
        <v>5496</v>
      </c>
      <c r="E1040" t="s">
        <v>5497</v>
      </c>
      <c r="F1040" t="s">
        <v>5498</v>
      </c>
      <c r="G1040" s="4">
        <v>45348</v>
      </c>
      <c r="H1040" s="4">
        <v>45371</v>
      </c>
      <c r="I1040" s="4">
        <v>45374</v>
      </c>
      <c r="J1040">
        <f t="shared" si="80"/>
        <v>3</v>
      </c>
      <c r="K1040" t="str">
        <f t="array" ref="K1040">_xlfn.IFS(J1040=1,"Day Use",J1040&lt;=3,"Short Stay",J1040&lt;=7,"Extended Stay",J1040&gt;=8,"Long Stay")</f>
        <v>Short Stay</v>
      </c>
      <c r="L1040" t="s">
        <v>49</v>
      </c>
      <c r="M1040" s="10" t="str">
        <f t="shared" si="81"/>
        <v>Standard</v>
      </c>
      <c r="N1040" t="s">
        <v>57</v>
      </c>
      <c r="O1040" t="s">
        <v>58</v>
      </c>
      <c r="P1040">
        <f>IFERROR(VLOOKUP(TRIM(M1040),Room!D:H,5,FALSE),5000)</f>
        <v>3200</v>
      </c>
      <c r="Q1040">
        <f t="shared" si="82"/>
        <v>9600</v>
      </c>
      <c r="R1040" s="11" t="str">
        <f t="shared" si="83"/>
        <v>Other</v>
      </c>
      <c r="S1040" s="11">
        <f t="shared" si="84"/>
        <v>2</v>
      </c>
    </row>
    <row r="1041" spans="1:19">
      <c r="A1041" t="s">
        <v>5499</v>
      </c>
      <c r="B1041" t="s">
        <v>5500</v>
      </c>
      <c r="C1041" t="s">
        <v>961</v>
      </c>
      <c r="D1041" t="s">
        <v>5501</v>
      </c>
      <c r="E1041" t="s">
        <v>5502</v>
      </c>
      <c r="F1041" t="s">
        <v>5503</v>
      </c>
      <c r="G1041" s="4">
        <v>45588</v>
      </c>
      <c r="H1041" s="4">
        <v>45848</v>
      </c>
      <c r="I1041" s="4">
        <v>45852</v>
      </c>
      <c r="J1041">
        <f t="shared" si="80"/>
        <v>4</v>
      </c>
      <c r="K1041" t="str">
        <f t="array" ref="K1041">_xlfn.IFS(J1041=1,"Day Use",J1041&lt;=3,"Short Stay",J1041&lt;=7,"Extended Stay",J1041&gt;=8,"Long Stay")</f>
        <v>Extended Stay</v>
      </c>
      <c r="L1041" t="s">
        <v>25</v>
      </c>
      <c r="M1041" s="10" t="str">
        <f t="shared" si="81"/>
        <v>Deluxe</v>
      </c>
      <c r="N1041" t="s">
        <v>57</v>
      </c>
      <c r="O1041" t="s">
        <v>42</v>
      </c>
      <c r="P1041">
        <f>IFERROR(VLOOKUP(TRIM(M1041),Room!D:H,5,FALSE),5000)</f>
        <v>5400</v>
      </c>
      <c r="Q1041">
        <f t="shared" si="82"/>
        <v>21600</v>
      </c>
      <c r="R1041" s="11" t="str">
        <f t="shared" si="83"/>
        <v>Conference</v>
      </c>
      <c r="S1041" s="11">
        <f t="shared" si="84"/>
        <v>3</v>
      </c>
    </row>
    <row r="1042" spans="1:19">
      <c r="A1042" t="s">
        <v>5504</v>
      </c>
      <c r="B1042" t="s">
        <v>5505</v>
      </c>
      <c r="C1042" t="s">
        <v>199</v>
      </c>
      <c r="D1042" t="s">
        <v>5506</v>
      </c>
      <c r="E1042" t="s">
        <v>5507</v>
      </c>
      <c r="F1042" t="s">
        <v>5508</v>
      </c>
      <c r="G1042" s="4">
        <v>45830</v>
      </c>
      <c r="H1042" s="4">
        <v>45838</v>
      </c>
      <c r="I1042" s="4">
        <v>45846</v>
      </c>
      <c r="J1042">
        <f t="shared" si="80"/>
        <v>8</v>
      </c>
      <c r="K1042" t="str">
        <f t="array" ref="K1042">_xlfn.IFS(J1042=1,"Day Use",J1042&lt;=3,"Short Stay",J1042&lt;=7,"Extended Stay",J1042&gt;=8,"Long Stay")</f>
        <v>Long Stay</v>
      </c>
      <c r="L1042" t="s">
        <v>34</v>
      </c>
      <c r="M1042" s="10" t="str">
        <f t="shared" si="81"/>
        <v>Premium</v>
      </c>
      <c r="N1042" t="s">
        <v>26</v>
      </c>
      <c r="O1042" t="s">
        <v>58</v>
      </c>
      <c r="P1042">
        <f>IFERROR(VLOOKUP(TRIM(M1042),Room!D:H,5,FALSE),5000)</f>
        <v>9500</v>
      </c>
      <c r="Q1042">
        <f t="shared" si="82"/>
        <v>76000</v>
      </c>
      <c r="R1042" s="11" t="str">
        <f t="shared" si="83"/>
        <v>Conference</v>
      </c>
      <c r="S1042" s="11">
        <f t="shared" si="84"/>
        <v>4</v>
      </c>
    </row>
    <row r="1043" spans="1:19">
      <c r="A1043" t="s">
        <v>5509</v>
      </c>
      <c r="B1043" t="s">
        <v>5510</v>
      </c>
      <c r="C1043" t="s">
        <v>1036</v>
      </c>
      <c r="D1043" t="s">
        <v>5511</v>
      </c>
      <c r="E1043" t="s">
        <v>5512</v>
      </c>
      <c r="F1043" t="s">
        <v>5513</v>
      </c>
      <c r="G1043" s="4">
        <v>45525</v>
      </c>
      <c r="H1043" s="4">
        <v>45538</v>
      </c>
      <c r="I1043" s="4">
        <v>45545</v>
      </c>
      <c r="J1043">
        <f t="shared" si="80"/>
        <v>7</v>
      </c>
      <c r="K1043" t="str">
        <f t="array" ref="K1043">_xlfn.IFS(J1043=1,"Day Use",J1043&lt;=3,"Short Stay",J1043&lt;=7,"Extended Stay",J1043&gt;=8,"Long Stay")</f>
        <v>Extended Stay</v>
      </c>
      <c r="L1043" t="s">
        <v>49</v>
      </c>
      <c r="M1043" s="10" t="str">
        <f t="shared" si="81"/>
        <v>Premium</v>
      </c>
      <c r="N1043" t="s">
        <v>26</v>
      </c>
      <c r="O1043" t="s">
        <v>71</v>
      </c>
      <c r="P1043">
        <f>IFERROR(VLOOKUP(TRIM(M1043),Room!D:H,5,FALSE),5000)</f>
        <v>9500</v>
      </c>
      <c r="Q1043">
        <f t="shared" si="82"/>
        <v>66500</v>
      </c>
      <c r="R1043" s="11" t="str">
        <f t="shared" si="83"/>
        <v>Conference</v>
      </c>
      <c r="S1043" s="11">
        <f t="shared" si="84"/>
        <v>4</v>
      </c>
    </row>
    <row r="1044" spans="1:19">
      <c r="A1044" t="s">
        <v>5514</v>
      </c>
      <c r="B1044" t="s">
        <v>5515</v>
      </c>
      <c r="C1044" t="s">
        <v>882</v>
      </c>
      <c r="D1044" t="s">
        <v>5516</v>
      </c>
      <c r="E1044" t="s">
        <v>5517</v>
      </c>
      <c r="F1044" t="s">
        <v>5518</v>
      </c>
      <c r="G1044" s="4">
        <v>45547</v>
      </c>
      <c r="H1044" s="4">
        <v>45571</v>
      </c>
      <c r="I1044" s="4">
        <v>45577</v>
      </c>
      <c r="J1044">
        <f t="shared" si="80"/>
        <v>6</v>
      </c>
      <c r="K1044" t="str">
        <f t="array" ref="K1044">_xlfn.IFS(J1044=1,"Day Use",J1044&lt;=3,"Short Stay",J1044&lt;=7,"Extended Stay",J1044&gt;=8,"Long Stay")</f>
        <v>Extended Stay</v>
      </c>
      <c r="L1044" t="s">
        <v>84</v>
      </c>
      <c r="M1044" s="10" t="str">
        <f t="shared" si="81"/>
        <v>Deluxe</v>
      </c>
      <c r="N1044" t="s">
        <v>26</v>
      </c>
      <c r="O1044" t="s">
        <v>58</v>
      </c>
      <c r="P1044">
        <f>IFERROR(VLOOKUP(TRIM(M1044),Room!D:H,5,FALSE),5000)</f>
        <v>5400</v>
      </c>
      <c r="Q1044">
        <f t="shared" si="82"/>
        <v>32400</v>
      </c>
      <c r="R1044" s="11" t="str">
        <f t="shared" si="83"/>
        <v>Conference</v>
      </c>
      <c r="S1044" s="11">
        <f t="shared" si="84"/>
        <v>3</v>
      </c>
    </row>
    <row r="1045" spans="1:19">
      <c r="A1045" t="s">
        <v>5519</v>
      </c>
      <c r="B1045" t="s">
        <v>5520</v>
      </c>
      <c r="C1045" t="s">
        <v>500</v>
      </c>
      <c r="D1045" t="s">
        <v>5521</v>
      </c>
      <c r="E1045" t="s">
        <v>5522</v>
      </c>
      <c r="F1045" t="s">
        <v>5523</v>
      </c>
      <c r="G1045" s="4">
        <v>45229</v>
      </c>
      <c r="H1045" s="4">
        <v>45908</v>
      </c>
      <c r="I1045" s="4">
        <v>45909</v>
      </c>
      <c r="J1045">
        <f t="shared" si="80"/>
        <v>1</v>
      </c>
      <c r="K1045" t="str">
        <f t="array" ref="K1045">_xlfn.IFS(J1045=1,"Day Use",J1045&lt;=3,"Short Stay",J1045&lt;=7,"Extended Stay",J1045&gt;=8,"Long Stay")</f>
        <v>Day Use</v>
      </c>
      <c r="L1045" t="s">
        <v>84</v>
      </c>
      <c r="M1045" s="10" t="str">
        <f t="shared" si="81"/>
        <v>Standard</v>
      </c>
      <c r="N1045" t="s">
        <v>57</v>
      </c>
      <c r="O1045" t="s">
        <v>27</v>
      </c>
      <c r="P1045">
        <f>IFERROR(VLOOKUP(TRIM(M1045),Room!D:H,5,FALSE),5000)</f>
        <v>3200</v>
      </c>
      <c r="Q1045">
        <f t="shared" si="82"/>
        <v>3200</v>
      </c>
      <c r="R1045" s="11" t="str">
        <f t="shared" si="83"/>
        <v>Other</v>
      </c>
      <c r="S1045" s="11">
        <f t="shared" si="84"/>
        <v>1</v>
      </c>
    </row>
    <row r="1046" spans="1:19">
      <c r="A1046" t="s">
        <v>5524</v>
      </c>
      <c r="B1046" t="s">
        <v>5525</v>
      </c>
      <c r="C1046" t="s">
        <v>5267</v>
      </c>
      <c r="D1046" t="s">
        <v>5526</v>
      </c>
      <c r="E1046" t="s">
        <v>5527</v>
      </c>
      <c r="F1046" t="s">
        <v>5528</v>
      </c>
      <c r="G1046" s="4">
        <v>45744</v>
      </c>
      <c r="H1046" s="4">
        <v>45871</v>
      </c>
      <c r="I1046" s="4">
        <v>45881</v>
      </c>
      <c r="J1046">
        <f t="shared" si="80"/>
        <v>10</v>
      </c>
      <c r="K1046" t="str">
        <f t="array" ref="K1046">_xlfn.IFS(J1046=1,"Day Use",J1046&lt;=3,"Short Stay",J1046&lt;=7,"Extended Stay",J1046&gt;=8,"Long Stay")</f>
        <v>Long Stay</v>
      </c>
      <c r="L1046" t="s">
        <v>91</v>
      </c>
      <c r="M1046" s="10" t="str">
        <f t="shared" si="81"/>
        <v>Premium</v>
      </c>
      <c r="N1046" t="s">
        <v>134</v>
      </c>
      <c r="O1046" t="s">
        <v>27</v>
      </c>
      <c r="P1046">
        <f>IFERROR(VLOOKUP(TRIM(M1046),Room!D:H,5,FALSE),5000)</f>
        <v>9500</v>
      </c>
      <c r="Q1046">
        <f t="shared" si="82"/>
        <v>95000</v>
      </c>
      <c r="R1046" s="11" t="str">
        <f t="shared" si="83"/>
        <v>Conference</v>
      </c>
      <c r="S1046" s="11">
        <f t="shared" si="84"/>
        <v>4</v>
      </c>
    </row>
    <row r="1047" spans="1:19">
      <c r="A1047" t="s">
        <v>5529</v>
      </c>
      <c r="B1047" t="s">
        <v>5530</v>
      </c>
      <c r="C1047" t="s">
        <v>3257</v>
      </c>
      <c r="D1047" t="s">
        <v>5531</v>
      </c>
      <c r="E1047" t="s">
        <v>5532</v>
      </c>
      <c r="F1047" t="s">
        <v>5533</v>
      </c>
      <c r="G1047" s="4">
        <v>45376</v>
      </c>
      <c r="H1047" s="4">
        <v>45761</v>
      </c>
      <c r="I1047" s="4">
        <v>45766</v>
      </c>
      <c r="J1047">
        <f t="shared" si="80"/>
        <v>5</v>
      </c>
      <c r="K1047" t="str">
        <f t="array" ref="K1047">_xlfn.IFS(J1047=1,"Day Use",J1047&lt;=3,"Short Stay",J1047&lt;=7,"Extended Stay",J1047&gt;=8,"Long Stay")</f>
        <v>Extended Stay</v>
      </c>
      <c r="L1047" t="s">
        <v>196</v>
      </c>
      <c r="M1047" s="10" t="str">
        <f t="shared" si="81"/>
        <v>Deluxe</v>
      </c>
      <c r="N1047" t="s">
        <v>372</v>
      </c>
      <c r="O1047" t="s">
        <v>35</v>
      </c>
      <c r="P1047">
        <f>IFERROR(VLOOKUP(TRIM(M1047),Room!D:H,5,FALSE),5000)</f>
        <v>5400</v>
      </c>
      <c r="Q1047">
        <f t="shared" si="82"/>
        <v>27000</v>
      </c>
      <c r="R1047" s="11" t="str">
        <f t="shared" si="83"/>
        <v>Conference</v>
      </c>
      <c r="S1047" s="11">
        <f t="shared" si="84"/>
        <v>3</v>
      </c>
    </row>
    <row r="1048" spans="1:19">
      <c r="A1048" t="s">
        <v>5534</v>
      </c>
      <c r="B1048" t="s">
        <v>5535</v>
      </c>
      <c r="C1048" t="s">
        <v>2863</v>
      </c>
      <c r="D1048" t="s">
        <v>5536</v>
      </c>
      <c r="E1048" t="s">
        <v>5537</v>
      </c>
      <c r="F1048" t="s">
        <v>5538</v>
      </c>
      <c r="G1048" s="4">
        <v>45280</v>
      </c>
      <c r="H1048" s="4">
        <v>45507</v>
      </c>
      <c r="I1048" s="4">
        <v>45514</v>
      </c>
      <c r="J1048">
        <f t="shared" si="80"/>
        <v>7</v>
      </c>
      <c r="K1048" t="str">
        <f t="array" ref="K1048">_xlfn.IFS(J1048=1,"Day Use",J1048&lt;=3,"Short Stay",J1048&lt;=7,"Extended Stay",J1048&gt;=8,"Long Stay")</f>
        <v>Extended Stay</v>
      </c>
      <c r="L1048" t="s">
        <v>49</v>
      </c>
      <c r="M1048" s="10" t="str">
        <f t="shared" si="81"/>
        <v>Premium</v>
      </c>
      <c r="N1048" t="s">
        <v>26</v>
      </c>
      <c r="O1048" t="s">
        <v>42</v>
      </c>
      <c r="P1048">
        <f>IFERROR(VLOOKUP(TRIM(M1048),Room!D:H,5,FALSE),5000)</f>
        <v>9500</v>
      </c>
      <c r="Q1048">
        <f t="shared" si="82"/>
        <v>66500</v>
      </c>
      <c r="R1048" s="11" t="str">
        <f t="shared" si="83"/>
        <v>Conference</v>
      </c>
      <c r="S1048" s="11">
        <f t="shared" si="84"/>
        <v>4</v>
      </c>
    </row>
    <row r="1049" spans="1:19">
      <c r="A1049" t="s">
        <v>5539</v>
      </c>
      <c r="B1049" t="s">
        <v>5540</v>
      </c>
      <c r="C1049" t="s">
        <v>130</v>
      </c>
      <c r="D1049" t="s">
        <v>5541</v>
      </c>
      <c r="E1049" t="s">
        <v>5542</v>
      </c>
      <c r="F1049" t="s">
        <v>5543</v>
      </c>
      <c r="G1049" s="4">
        <v>45255</v>
      </c>
      <c r="H1049" s="4">
        <v>45339</v>
      </c>
      <c r="I1049" s="4">
        <v>45343</v>
      </c>
      <c r="J1049">
        <f t="shared" si="80"/>
        <v>4</v>
      </c>
      <c r="K1049" t="str">
        <f t="array" ref="K1049">_xlfn.IFS(J1049=1,"Day Use",J1049&lt;=3,"Short Stay",J1049&lt;=7,"Extended Stay",J1049&gt;=8,"Long Stay")</f>
        <v>Extended Stay</v>
      </c>
      <c r="L1049" t="s">
        <v>25</v>
      </c>
      <c r="M1049" s="10" t="str">
        <f t="shared" si="81"/>
        <v>Deluxe</v>
      </c>
      <c r="N1049" t="s">
        <v>134</v>
      </c>
      <c r="O1049" t="s">
        <v>42</v>
      </c>
      <c r="P1049">
        <f>IFERROR(VLOOKUP(TRIM(M1049),Room!D:H,5,FALSE),5000)</f>
        <v>5400</v>
      </c>
      <c r="Q1049">
        <f t="shared" si="82"/>
        <v>21600</v>
      </c>
      <c r="R1049" s="11" t="str">
        <f t="shared" si="83"/>
        <v>Conference</v>
      </c>
      <c r="S1049" s="11">
        <f t="shared" si="84"/>
        <v>3</v>
      </c>
    </row>
    <row r="1050" spans="1:19">
      <c r="A1050" t="s">
        <v>5544</v>
      </c>
      <c r="B1050" t="s">
        <v>5545</v>
      </c>
      <c r="C1050" t="s">
        <v>4081</v>
      </c>
      <c r="D1050" t="s">
        <v>5546</v>
      </c>
      <c r="E1050" t="s">
        <v>5547</v>
      </c>
      <c r="F1050" t="s">
        <v>5548</v>
      </c>
      <c r="G1050" s="4">
        <v>45478</v>
      </c>
      <c r="H1050" s="4">
        <v>45943</v>
      </c>
      <c r="I1050" s="4">
        <v>45947</v>
      </c>
      <c r="J1050">
        <f t="shared" si="80"/>
        <v>4</v>
      </c>
      <c r="K1050" t="str">
        <f t="array" ref="K1050">_xlfn.IFS(J1050=1,"Day Use",J1050&lt;=3,"Short Stay",J1050&lt;=7,"Extended Stay",J1050&gt;=8,"Long Stay")</f>
        <v>Extended Stay</v>
      </c>
      <c r="L1050" t="s">
        <v>141</v>
      </c>
      <c r="M1050" s="10" t="str">
        <f t="shared" si="81"/>
        <v>Deluxe</v>
      </c>
      <c r="N1050" t="s">
        <v>372</v>
      </c>
      <c r="O1050" t="s">
        <v>58</v>
      </c>
      <c r="P1050">
        <f>IFERROR(VLOOKUP(TRIM(M1050),Room!D:H,5,FALSE),5000)</f>
        <v>5400</v>
      </c>
      <c r="Q1050">
        <f t="shared" si="82"/>
        <v>21600</v>
      </c>
      <c r="R1050" s="11" t="str">
        <f t="shared" si="83"/>
        <v>Conference</v>
      </c>
      <c r="S1050" s="11">
        <f t="shared" si="84"/>
        <v>3</v>
      </c>
    </row>
    <row r="1051" spans="1:19">
      <c r="A1051" t="s">
        <v>5549</v>
      </c>
      <c r="B1051" t="s">
        <v>5550</v>
      </c>
      <c r="C1051" t="s">
        <v>1594</v>
      </c>
      <c r="D1051" t="s">
        <v>5551</v>
      </c>
      <c r="E1051" t="s">
        <v>5552</v>
      </c>
      <c r="F1051" t="s">
        <v>5553</v>
      </c>
      <c r="G1051" s="4">
        <v>45256</v>
      </c>
      <c r="H1051" s="4">
        <v>45656</v>
      </c>
      <c r="I1051" s="4">
        <v>45665</v>
      </c>
      <c r="J1051">
        <f t="shared" si="80"/>
        <v>9</v>
      </c>
      <c r="K1051" t="str">
        <f t="array" ref="K1051">_xlfn.IFS(J1051=1,"Day Use",J1051&lt;=3,"Short Stay",J1051&lt;=7,"Extended Stay",J1051&gt;=8,"Long Stay")</f>
        <v>Long Stay</v>
      </c>
      <c r="L1051" t="s">
        <v>34</v>
      </c>
      <c r="M1051" s="10" t="str">
        <f t="shared" si="81"/>
        <v>Premium</v>
      </c>
      <c r="N1051" t="s">
        <v>26</v>
      </c>
      <c r="O1051" t="s">
        <v>27</v>
      </c>
      <c r="P1051">
        <f>IFERROR(VLOOKUP(TRIM(M1051),Room!D:H,5,FALSE),5000)</f>
        <v>9500</v>
      </c>
      <c r="Q1051">
        <f t="shared" si="82"/>
        <v>85500</v>
      </c>
      <c r="R1051" s="11" t="str">
        <f t="shared" si="83"/>
        <v>Conference</v>
      </c>
      <c r="S1051" s="11">
        <f t="shared" si="84"/>
        <v>4</v>
      </c>
    </row>
    <row r="1052" spans="1:19">
      <c r="A1052" t="s">
        <v>5554</v>
      </c>
      <c r="B1052" t="s">
        <v>5555</v>
      </c>
      <c r="C1052" t="s">
        <v>1367</v>
      </c>
      <c r="D1052" t="s">
        <v>5556</v>
      </c>
      <c r="E1052" t="s">
        <v>5557</v>
      </c>
      <c r="F1052" t="s">
        <v>5558</v>
      </c>
      <c r="G1052" s="4">
        <v>45352</v>
      </c>
      <c r="H1052" s="4">
        <v>45656</v>
      </c>
      <c r="I1052" s="4">
        <v>45662</v>
      </c>
      <c r="J1052">
        <f t="shared" si="80"/>
        <v>6</v>
      </c>
      <c r="K1052" t="str">
        <f t="array" ref="K1052">_xlfn.IFS(J1052=1,"Day Use",J1052&lt;=3,"Short Stay",J1052&lt;=7,"Extended Stay",J1052&gt;=8,"Long Stay")</f>
        <v>Extended Stay</v>
      </c>
      <c r="L1052" t="s">
        <v>196</v>
      </c>
      <c r="M1052" s="10" t="str">
        <f t="shared" si="81"/>
        <v>Deluxe</v>
      </c>
      <c r="N1052" t="s">
        <v>26</v>
      </c>
      <c r="O1052" t="s">
        <v>42</v>
      </c>
      <c r="P1052">
        <f>IFERROR(VLOOKUP(TRIM(M1052),Room!D:H,5,FALSE),5000)</f>
        <v>5400</v>
      </c>
      <c r="Q1052">
        <f t="shared" si="82"/>
        <v>32400</v>
      </c>
      <c r="R1052" s="11" t="str">
        <f t="shared" si="83"/>
        <v>Conference</v>
      </c>
      <c r="S1052" s="11">
        <f t="shared" si="84"/>
        <v>3</v>
      </c>
    </row>
    <row r="1053" spans="1:19">
      <c r="A1053" t="s">
        <v>5559</v>
      </c>
      <c r="B1053" t="s">
        <v>5560</v>
      </c>
      <c r="C1053" t="s">
        <v>2689</v>
      </c>
      <c r="D1053" t="s">
        <v>5561</v>
      </c>
      <c r="E1053" t="s">
        <v>5562</v>
      </c>
      <c r="F1053" t="s">
        <v>5563</v>
      </c>
      <c r="G1053" s="4">
        <v>45834</v>
      </c>
      <c r="H1053" s="4">
        <v>46012</v>
      </c>
      <c r="I1053" s="4">
        <v>46022</v>
      </c>
      <c r="J1053">
        <f t="shared" si="80"/>
        <v>10</v>
      </c>
      <c r="K1053" t="str">
        <f t="array" ref="K1053">_xlfn.IFS(J1053=1,"Day Use",J1053&lt;=3,"Short Stay",J1053&lt;=7,"Extended Stay",J1053&gt;=8,"Long Stay")</f>
        <v>Long Stay</v>
      </c>
      <c r="L1053" t="s">
        <v>25</v>
      </c>
      <c r="M1053" s="10" t="str">
        <f t="shared" si="81"/>
        <v>Premium</v>
      </c>
      <c r="N1053" t="s">
        <v>26</v>
      </c>
      <c r="O1053" t="s">
        <v>27</v>
      </c>
      <c r="P1053">
        <f>IFERROR(VLOOKUP(TRIM(M1053),Room!D:H,5,FALSE),5000)</f>
        <v>9500</v>
      </c>
      <c r="Q1053">
        <f t="shared" si="82"/>
        <v>95000</v>
      </c>
      <c r="R1053" s="11" t="str">
        <f t="shared" si="83"/>
        <v>Conference</v>
      </c>
      <c r="S1053" s="11">
        <f t="shared" si="84"/>
        <v>4</v>
      </c>
    </row>
    <row r="1054" spans="1:19">
      <c r="A1054" t="s">
        <v>5564</v>
      </c>
      <c r="B1054" t="s">
        <v>5565</v>
      </c>
      <c r="C1054" t="s">
        <v>351</v>
      </c>
      <c r="D1054" t="s">
        <v>5566</v>
      </c>
      <c r="E1054" t="s">
        <v>5567</v>
      </c>
      <c r="F1054" t="s">
        <v>5568</v>
      </c>
      <c r="G1054" s="4">
        <v>45692</v>
      </c>
      <c r="H1054" s="4">
        <v>45717</v>
      </c>
      <c r="I1054" s="4">
        <v>45726</v>
      </c>
      <c r="J1054">
        <f t="shared" si="80"/>
        <v>9</v>
      </c>
      <c r="K1054" t="str">
        <f t="array" ref="K1054">_xlfn.IFS(J1054=1,"Day Use",J1054&lt;=3,"Short Stay",J1054&lt;=7,"Extended Stay",J1054&gt;=8,"Long Stay")</f>
        <v>Long Stay</v>
      </c>
      <c r="L1054" t="s">
        <v>91</v>
      </c>
      <c r="M1054" s="10" t="str">
        <f t="shared" si="81"/>
        <v>Premium</v>
      </c>
      <c r="N1054" t="s">
        <v>26</v>
      </c>
      <c r="O1054" t="s">
        <v>27</v>
      </c>
      <c r="P1054">
        <f>IFERROR(VLOOKUP(TRIM(M1054),Room!D:H,5,FALSE),5000)</f>
        <v>9500</v>
      </c>
      <c r="Q1054">
        <f t="shared" si="82"/>
        <v>85500</v>
      </c>
      <c r="R1054" s="11" t="str">
        <f t="shared" si="83"/>
        <v>Conference</v>
      </c>
      <c r="S1054" s="11">
        <f t="shared" si="84"/>
        <v>4</v>
      </c>
    </row>
    <row r="1055" spans="1:19">
      <c r="A1055" t="s">
        <v>5569</v>
      </c>
      <c r="B1055" t="s">
        <v>5570</v>
      </c>
      <c r="C1055" t="s">
        <v>1036</v>
      </c>
      <c r="D1055" t="s">
        <v>5571</v>
      </c>
      <c r="E1055" t="s">
        <v>5572</v>
      </c>
      <c r="F1055" t="s">
        <v>5573</v>
      </c>
      <c r="G1055" s="4">
        <v>45580</v>
      </c>
      <c r="H1055" s="4">
        <v>45817</v>
      </c>
      <c r="I1055" s="4">
        <v>45821</v>
      </c>
      <c r="J1055">
        <f t="shared" si="80"/>
        <v>4</v>
      </c>
      <c r="K1055" t="str">
        <f t="array" ref="K1055">_xlfn.IFS(J1055=1,"Day Use",J1055&lt;=3,"Short Stay",J1055&lt;=7,"Extended Stay",J1055&gt;=8,"Long Stay")</f>
        <v>Extended Stay</v>
      </c>
      <c r="L1055" t="s">
        <v>141</v>
      </c>
      <c r="M1055" s="10" t="str">
        <f t="shared" si="81"/>
        <v>Deluxe</v>
      </c>
      <c r="N1055" t="s">
        <v>372</v>
      </c>
      <c r="O1055" t="s">
        <v>27</v>
      </c>
      <c r="P1055">
        <f>IFERROR(VLOOKUP(TRIM(M1055),Room!D:H,5,FALSE),5000)</f>
        <v>5400</v>
      </c>
      <c r="Q1055">
        <f t="shared" si="82"/>
        <v>21600</v>
      </c>
      <c r="R1055" s="11" t="str">
        <f t="shared" si="83"/>
        <v>Conference</v>
      </c>
      <c r="S1055" s="11">
        <f t="shared" si="84"/>
        <v>3</v>
      </c>
    </row>
    <row r="1056" spans="1:19">
      <c r="A1056" t="s">
        <v>5574</v>
      </c>
      <c r="B1056" t="s">
        <v>5575</v>
      </c>
      <c r="C1056" t="s">
        <v>357</v>
      </c>
      <c r="D1056" t="s">
        <v>5576</v>
      </c>
      <c r="E1056" t="s">
        <v>5577</v>
      </c>
      <c r="F1056" t="s">
        <v>5578</v>
      </c>
      <c r="G1056" s="4">
        <v>45702</v>
      </c>
      <c r="H1056" s="4">
        <v>45941</v>
      </c>
      <c r="I1056" s="4">
        <v>45943</v>
      </c>
      <c r="J1056">
        <f t="shared" si="80"/>
        <v>2</v>
      </c>
      <c r="K1056" t="str">
        <f t="array" ref="K1056">_xlfn.IFS(J1056=1,"Day Use",J1056&lt;=3,"Short Stay",J1056&lt;=7,"Extended Stay",J1056&gt;=8,"Long Stay")</f>
        <v>Short Stay</v>
      </c>
      <c r="L1056" t="s">
        <v>25</v>
      </c>
      <c r="M1056" s="10" t="str">
        <f t="shared" si="81"/>
        <v>Standard</v>
      </c>
      <c r="N1056" t="s">
        <v>26</v>
      </c>
      <c r="O1056" t="s">
        <v>35</v>
      </c>
      <c r="P1056">
        <f>IFERROR(VLOOKUP(TRIM(M1056),Room!D:H,5,FALSE),5000)</f>
        <v>3200</v>
      </c>
      <c r="Q1056">
        <f t="shared" si="82"/>
        <v>6400</v>
      </c>
      <c r="R1056" s="11" t="str">
        <f t="shared" si="83"/>
        <v>Other</v>
      </c>
      <c r="S1056" s="11">
        <f t="shared" si="84"/>
        <v>2</v>
      </c>
    </row>
    <row r="1057" spans="1:19">
      <c r="A1057" t="s">
        <v>5579</v>
      </c>
      <c r="B1057" t="s">
        <v>5580</v>
      </c>
      <c r="C1057" t="s">
        <v>1361</v>
      </c>
      <c r="D1057" t="s">
        <v>5581</v>
      </c>
      <c r="E1057" t="s">
        <v>5582</v>
      </c>
      <c r="F1057" t="s">
        <v>5583</v>
      </c>
      <c r="G1057" s="4">
        <v>45624</v>
      </c>
      <c r="H1057" s="4">
        <v>45944</v>
      </c>
      <c r="I1057" s="4">
        <v>45949</v>
      </c>
      <c r="J1057">
        <f t="shared" si="80"/>
        <v>5</v>
      </c>
      <c r="K1057" t="str">
        <f t="array" ref="K1057">_xlfn.IFS(J1057=1,"Day Use",J1057&lt;=3,"Short Stay",J1057&lt;=7,"Extended Stay",J1057&gt;=8,"Long Stay")</f>
        <v>Extended Stay</v>
      </c>
      <c r="L1057" t="s">
        <v>91</v>
      </c>
      <c r="M1057" s="10" t="str">
        <f t="shared" si="81"/>
        <v>Deluxe</v>
      </c>
      <c r="N1057" t="s">
        <v>26</v>
      </c>
      <c r="O1057" t="s">
        <v>27</v>
      </c>
      <c r="P1057">
        <f>IFERROR(VLOOKUP(TRIM(M1057),Room!D:H,5,FALSE),5000)</f>
        <v>5400</v>
      </c>
      <c r="Q1057">
        <f t="shared" si="82"/>
        <v>27000</v>
      </c>
      <c r="R1057" s="11" t="str">
        <f t="shared" si="83"/>
        <v>Conference</v>
      </c>
      <c r="S1057" s="11">
        <f t="shared" si="84"/>
        <v>3</v>
      </c>
    </row>
    <row r="1058" spans="1:19">
      <c r="A1058" t="s">
        <v>5584</v>
      </c>
      <c r="B1058" t="s">
        <v>5585</v>
      </c>
      <c r="C1058" t="s">
        <v>265</v>
      </c>
      <c r="D1058" t="s">
        <v>5586</v>
      </c>
      <c r="E1058" t="s">
        <v>5587</v>
      </c>
      <c r="F1058" t="s">
        <v>5588</v>
      </c>
      <c r="G1058" s="4">
        <v>45877</v>
      </c>
      <c r="H1058" s="4">
        <v>46020</v>
      </c>
      <c r="I1058" s="4">
        <v>46022</v>
      </c>
      <c r="J1058">
        <f t="shared" si="80"/>
        <v>2</v>
      </c>
      <c r="K1058" t="str">
        <f t="array" ref="K1058">_xlfn.IFS(J1058=1,"Day Use",J1058&lt;=3,"Short Stay",J1058&lt;=7,"Extended Stay",J1058&gt;=8,"Long Stay")</f>
        <v>Short Stay</v>
      </c>
      <c r="L1058" t="s">
        <v>34</v>
      </c>
      <c r="M1058" s="10" t="str">
        <f t="shared" si="81"/>
        <v>Standard</v>
      </c>
      <c r="N1058" t="s">
        <v>26</v>
      </c>
      <c r="O1058" t="s">
        <v>35</v>
      </c>
      <c r="P1058">
        <f>IFERROR(VLOOKUP(TRIM(M1058),Room!D:H,5,FALSE),5000)</f>
        <v>3200</v>
      </c>
      <c r="Q1058">
        <f t="shared" si="82"/>
        <v>6400</v>
      </c>
      <c r="R1058" s="11" t="str">
        <f t="shared" si="83"/>
        <v>Other</v>
      </c>
      <c r="S1058" s="11">
        <f t="shared" si="84"/>
        <v>2</v>
      </c>
    </row>
    <row r="1059" spans="1:19">
      <c r="A1059" t="s">
        <v>5589</v>
      </c>
      <c r="B1059" t="s">
        <v>5590</v>
      </c>
      <c r="C1059" t="s">
        <v>1090</v>
      </c>
      <c r="D1059" t="s">
        <v>5591</v>
      </c>
      <c r="E1059" t="s">
        <v>5592</v>
      </c>
      <c r="F1059" t="s">
        <v>5593</v>
      </c>
      <c r="G1059" s="4">
        <v>45343</v>
      </c>
      <c r="H1059" s="4">
        <v>45475</v>
      </c>
      <c r="I1059" s="4">
        <v>45478</v>
      </c>
      <c r="J1059">
        <f t="shared" si="80"/>
        <v>3</v>
      </c>
      <c r="K1059" t="str">
        <f t="array" ref="K1059">_xlfn.IFS(J1059=1,"Day Use",J1059&lt;=3,"Short Stay",J1059&lt;=7,"Extended Stay",J1059&gt;=8,"Long Stay")</f>
        <v>Short Stay</v>
      </c>
      <c r="L1059" t="s">
        <v>56</v>
      </c>
      <c r="M1059" s="10" t="str">
        <f t="shared" si="81"/>
        <v>Standard</v>
      </c>
      <c r="N1059" t="s">
        <v>26</v>
      </c>
      <c r="O1059" t="s">
        <v>35</v>
      </c>
      <c r="P1059">
        <f>IFERROR(VLOOKUP(TRIM(M1059),Room!D:H,5,FALSE),5000)</f>
        <v>3200</v>
      </c>
      <c r="Q1059">
        <f t="shared" si="82"/>
        <v>9600</v>
      </c>
      <c r="R1059" s="11" t="str">
        <f t="shared" si="83"/>
        <v>Other</v>
      </c>
      <c r="S1059" s="11">
        <f t="shared" si="84"/>
        <v>2</v>
      </c>
    </row>
    <row r="1060" spans="1:19">
      <c r="A1060" t="s">
        <v>5594</v>
      </c>
      <c r="B1060" t="s">
        <v>5595</v>
      </c>
      <c r="C1060" t="s">
        <v>421</v>
      </c>
      <c r="D1060" t="s">
        <v>5596</v>
      </c>
      <c r="E1060" t="s">
        <v>5597</v>
      </c>
      <c r="F1060" t="s">
        <v>5598</v>
      </c>
      <c r="G1060" s="4">
        <v>45385</v>
      </c>
      <c r="H1060" s="4">
        <v>45411</v>
      </c>
      <c r="I1060" s="4">
        <v>45425</v>
      </c>
      <c r="J1060">
        <f t="shared" si="80"/>
        <v>14</v>
      </c>
      <c r="K1060" t="str">
        <f t="array" ref="K1060">_xlfn.IFS(J1060=1,"Day Use",J1060&lt;=3,"Short Stay",J1060&lt;=7,"Extended Stay",J1060&gt;=8,"Long Stay")</f>
        <v>Long Stay</v>
      </c>
      <c r="L1060" t="s">
        <v>56</v>
      </c>
      <c r="M1060" s="10" t="str">
        <f t="shared" si="81"/>
        <v>Suite</v>
      </c>
      <c r="N1060" t="s">
        <v>26</v>
      </c>
      <c r="O1060" t="s">
        <v>58</v>
      </c>
      <c r="P1060">
        <f>IFERROR(VLOOKUP(TRIM(M1060),Room!D:H,5,FALSE),5000)</f>
        <v>12500</v>
      </c>
      <c r="Q1060">
        <f t="shared" si="82"/>
        <v>175000</v>
      </c>
      <c r="R1060" s="11" t="str">
        <f t="shared" si="83"/>
        <v>Business</v>
      </c>
      <c r="S1060" s="11">
        <f t="shared" si="84"/>
        <v>5</v>
      </c>
    </row>
    <row r="1061" spans="1:19">
      <c r="A1061" t="s">
        <v>5599</v>
      </c>
      <c r="B1061" t="s">
        <v>5600</v>
      </c>
      <c r="C1061" t="s">
        <v>229</v>
      </c>
      <c r="D1061" t="s">
        <v>5601</v>
      </c>
      <c r="E1061" t="s">
        <v>5602</v>
      </c>
      <c r="F1061" t="s">
        <v>5603</v>
      </c>
      <c r="G1061" s="4">
        <v>45601</v>
      </c>
      <c r="H1061" s="4">
        <v>45720</v>
      </c>
      <c r="I1061" s="4">
        <v>45726</v>
      </c>
      <c r="J1061">
        <f t="shared" si="80"/>
        <v>6</v>
      </c>
      <c r="K1061" t="str">
        <f t="array" ref="K1061">_xlfn.IFS(J1061=1,"Day Use",J1061&lt;=3,"Short Stay",J1061&lt;=7,"Extended Stay",J1061&gt;=8,"Long Stay")</f>
        <v>Extended Stay</v>
      </c>
      <c r="L1061" t="s">
        <v>56</v>
      </c>
      <c r="M1061" s="10" t="str">
        <f t="shared" si="81"/>
        <v>Deluxe</v>
      </c>
      <c r="N1061" t="s">
        <v>26</v>
      </c>
      <c r="O1061" t="s">
        <v>71</v>
      </c>
      <c r="P1061">
        <f>IFERROR(VLOOKUP(TRIM(M1061),Room!D:H,5,FALSE),5000)</f>
        <v>5400</v>
      </c>
      <c r="Q1061">
        <f t="shared" si="82"/>
        <v>32400</v>
      </c>
      <c r="R1061" s="11" t="str">
        <f t="shared" si="83"/>
        <v>Conference</v>
      </c>
      <c r="S1061" s="11">
        <f t="shared" si="84"/>
        <v>3</v>
      </c>
    </row>
    <row r="1062" spans="1:19">
      <c r="A1062" t="s">
        <v>5604</v>
      </c>
      <c r="B1062" t="s">
        <v>5605</v>
      </c>
      <c r="C1062" t="s">
        <v>30</v>
      </c>
      <c r="D1062" t="s">
        <v>5606</v>
      </c>
      <c r="E1062" t="s">
        <v>5607</v>
      </c>
      <c r="F1062" t="s">
        <v>5608</v>
      </c>
      <c r="G1062" s="4">
        <v>45357</v>
      </c>
      <c r="H1062" s="4">
        <v>45997</v>
      </c>
      <c r="I1062" s="4">
        <v>46002</v>
      </c>
      <c r="J1062">
        <f t="shared" si="80"/>
        <v>5</v>
      </c>
      <c r="K1062" t="str">
        <f t="array" ref="K1062">_xlfn.IFS(J1062=1,"Day Use",J1062&lt;=3,"Short Stay",J1062&lt;=7,"Extended Stay",J1062&gt;=8,"Long Stay")</f>
        <v>Extended Stay</v>
      </c>
      <c r="L1062" t="s">
        <v>34</v>
      </c>
      <c r="M1062" s="10" t="str">
        <f t="shared" si="81"/>
        <v>Deluxe</v>
      </c>
      <c r="N1062" t="s">
        <v>26</v>
      </c>
      <c r="O1062" t="s">
        <v>58</v>
      </c>
      <c r="P1062">
        <f>IFERROR(VLOOKUP(TRIM(M1062),Room!D:H,5,FALSE),5000)</f>
        <v>5400</v>
      </c>
      <c r="Q1062">
        <f t="shared" si="82"/>
        <v>27000</v>
      </c>
      <c r="R1062" s="11" t="str">
        <f t="shared" si="83"/>
        <v>Conference</v>
      </c>
      <c r="S1062" s="11">
        <f t="shared" si="84"/>
        <v>3</v>
      </c>
    </row>
    <row r="1063" spans="1:19">
      <c r="A1063" t="s">
        <v>5609</v>
      </c>
      <c r="B1063" t="s">
        <v>5610</v>
      </c>
      <c r="C1063" t="s">
        <v>2041</v>
      </c>
      <c r="D1063" t="s">
        <v>5611</v>
      </c>
      <c r="E1063" t="s">
        <v>5612</v>
      </c>
      <c r="F1063" t="s">
        <v>5613</v>
      </c>
      <c r="G1063" s="4">
        <v>45710</v>
      </c>
      <c r="H1063" s="4">
        <v>45729</v>
      </c>
      <c r="I1063" s="4">
        <v>45743</v>
      </c>
      <c r="J1063">
        <f t="shared" si="80"/>
        <v>14</v>
      </c>
      <c r="K1063" t="str">
        <f t="array" ref="K1063">_xlfn.IFS(J1063=1,"Day Use",J1063&lt;=3,"Short Stay",J1063&lt;=7,"Extended Stay",J1063&gt;=8,"Long Stay")</f>
        <v>Long Stay</v>
      </c>
      <c r="L1063" t="s">
        <v>49</v>
      </c>
      <c r="M1063" s="10" t="str">
        <f t="shared" si="81"/>
        <v>Suite</v>
      </c>
      <c r="N1063" t="s">
        <v>26</v>
      </c>
      <c r="O1063" t="s">
        <v>71</v>
      </c>
      <c r="P1063">
        <f>IFERROR(VLOOKUP(TRIM(M1063),Room!D:H,5,FALSE),5000)</f>
        <v>12500</v>
      </c>
      <c r="Q1063">
        <f t="shared" si="82"/>
        <v>175000</v>
      </c>
      <c r="R1063" s="11" t="str">
        <f t="shared" si="83"/>
        <v>Business</v>
      </c>
      <c r="S1063" s="11">
        <f t="shared" si="84"/>
        <v>5</v>
      </c>
    </row>
    <row r="1064" spans="1:19">
      <c r="A1064" t="s">
        <v>5614</v>
      </c>
      <c r="B1064" t="s">
        <v>5615</v>
      </c>
      <c r="C1064" t="s">
        <v>2420</v>
      </c>
      <c r="D1064" t="s">
        <v>5616</v>
      </c>
      <c r="E1064" t="s">
        <v>5617</v>
      </c>
      <c r="F1064" t="s">
        <v>5618</v>
      </c>
      <c r="G1064" s="4">
        <v>45800</v>
      </c>
      <c r="H1064" s="4">
        <v>45809</v>
      </c>
      <c r="I1064" s="4">
        <v>45810</v>
      </c>
      <c r="J1064">
        <f t="shared" si="80"/>
        <v>1</v>
      </c>
      <c r="K1064" t="str">
        <f t="array" ref="K1064">_xlfn.IFS(J1064=1,"Day Use",J1064&lt;=3,"Short Stay",J1064&lt;=7,"Extended Stay",J1064&gt;=8,"Long Stay")</f>
        <v>Day Use</v>
      </c>
      <c r="L1064" t="s">
        <v>56</v>
      </c>
      <c r="M1064" s="10" t="str">
        <f t="shared" si="81"/>
        <v>Standard</v>
      </c>
      <c r="N1064" t="s">
        <v>57</v>
      </c>
      <c r="O1064" t="s">
        <v>35</v>
      </c>
      <c r="P1064">
        <f>IFERROR(VLOOKUP(TRIM(M1064),Room!D:H,5,FALSE),5000)</f>
        <v>3200</v>
      </c>
      <c r="Q1064">
        <f t="shared" si="82"/>
        <v>3200</v>
      </c>
      <c r="R1064" s="11" t="str">
        <f t="shared" si="83"/>
        <v>Other</v>
      </c>
      <c r="S1064" s="11">
        <f t="shared" si="84"/>
        <v>1</v>
      </c>
    </row>
    <row r="1065" spans="1:19">
      <c r="A1065" t="s">
        <v>5619</v>
      </c>
      <c r="B1065" t="s">
        <v>5620</v>
      </c>
      <c r="C1065" t="s">
        <v>271</v>
      </c>
      <c r="D1065" t="s">
        <v>5621</v>
      </c>
      <c r="E1065" t="s">
        <v>5622</v>
      </c>
      <c r="F1065" t="s">
        <v>5623</v>
      </c>
      <c r="G1065" s="4">
        <v>45382</v>
      </c>
      <c r="H1065" s="4">
        <v>45487</v>
      </c>
      <c r="I1065" s="4">
        <v>45490</v>
      </c>
      <c r="J1065">
        <f t="shared" si="80"/>
        <v>3</v>
      </c>
      <c r="K1065" t="str">
        <f t="array" ref="K1065">_xlfn.IFS(J1065=1,"Day Use",J1065&lt;=3,"Short Stay",J1065&lt;=7,"Extended Stay",J1065&gt;=8,"Long Stay")</f>
        <v>Short Stay</v>
      </c>
      <c r="L1065" t="s">
        <v>25</v>
      </c>
      <c r="M1065" s="10" t="str">
        <f t="shared" si="81"/>
        <v>Standard</v>
      </c>
      <c r="N1065" t="s">
        <v>57</v>
      </c>
      <c r="O1065" t="s">
        <v>71</v>
      </c>
      <c r="P1065">
        <f>IFERROR(VLOOKUP(TRIM(M1065),Room!D:H,5,FALSE),5000)</f>
        <v>3200</v>
      </c>
      <c r="Q1065">
        <f t="shared" si="82"/>
        <v>9600</v>
      </c>
      <c r="R1065" s="11" t="str">
        <f t="shared" si="83"/>
        <v>Other</v>
      </c>
      <c r="S1065" s="11">
        <f t="shared" si="84"/>
        <v>2</v>
      </c>
    </row>
    <row r="1066" spans="1:19">
      <c r="A1066" t="s">
        <v>5624</v>
      </c>
      <c r="B1066" t="s">
        <v>5625</v>
      </c>
      <c r="C1066" t="s">
        <v>2742</v>
      </c>
      <c r="D1066" t="s">
        <v>5626</v>
      </c>
      <c r="E1066" t="s">
        <v>5627</v>
      </c>
      <c r="F1066" t="s">
        <v>5628</v>
      </c>
      <c r="G1066" s="4">
        <v>45334</v>
      </c>
      <c r="H1066" s="4">
        <v>45337</v>
      </c>
      <c r="I1066" s="4">
        <v>45343</v>
      </c>
      <c r="J1066">
        <f t="shared" si="80"/>
        <v>6</v>
      </c>
      <c r="K1066" t="str">
        <f t="array" ref="K1066">_xlfn.IFS(J1066=1,"Day Use",J1066&lt;=3,"Short Stay",J1066&lt;=7,"Extended Stay",J1066&gt;=8,"Long Stay")</f>
        <v>Extended Stay</v>
      </c>
      <c r="L1066" t="s">
        <v>49</v>
      </c>
      <c r="M1066" s="10" t="str">
        <f t="shared" si="81"/>
        <v>Deluxe</v>
      </c>
      <c r="N1066" t="s">
        <v>26</v>
      </c>
      <c r="O1066" t="s">
        <v>42</v>
      </c>
      <c r="P1066">
        <f>IFERROR(VLOOKUP(TRIM(M1066),Room!D:H,5,FALSE),5000)</f>
        <v>5400</v>
      </c>
      <c r="Q1066">
        <f t="shared" si="82"/>
        <v>32400</v>
      </c>
      <c r="R1066" s="11" t="str">
        <f t="shared" si="83"/>
        <v>Conference</v>
      </c>
      <c r="S1066" s="11">
        <f t="shared" si="84"/>
        <v>3</v>
      </c>
    </row>
    <row r="1067" spans="1:19">
      <c r="A1067" t="s">
        <v>5629</v>
      </c>
      <c r="B1067" t="s">
        <v>5630</v>
      </c>
      <c r="C1067" t="s">
        <v>1096</v>
      </c>
      <c r="D1067" t="s">
        <v>5631</v>
      </c>
      <c r="E1067" t="s">
        <v>5632</v>
      </c>
      <c r="F1067" t="s">
        <v>5633</v>
      </c>
      <c r="G1067" s="4">
        <v>45325</v>
      </c>
      <c r="H1067" s="4">
        <v>45834</v>
      </c>
      <c r="I1067" s="4">
        <v>45841</v>
      </c>
      <c r="J1067">
        <f t="shared" si="80"/>
        <v>7</v>
      </c>
      <c r="K1067" t="str">
        <f t="array" ref="K1067">_xlfn.IFS(J1067=1,"Day Use",J1067&lt;=3,"Short Stay",J1067&lt;=7,"Extended Stay",J1067&gt;=8,"Long Stay")</f>
        <v>Extended Stay</v>
      </c>
      <c r="L1067" t="s">
        <v>25</v>
      </c>
      <c r="M1067" s="10" t="str">
        <f t="shared" si="81"/>
        <v>Premium</v>
      </c>
      <c r="N1067" t="s">
        <v>26</v>
      </c>
      <c r="O1067" t="s">
        <v>71</v>
      </c>
      <c r="P1067">
        <f>IFERROR(VLOOKUP(TRIM(M1067),Room!D:H,5,FALSE),5000)</f>
        <v>9500</v>
      </c>
      <c r="Q1067">
        <f t="shared" si="82"/>
        <v>66500</v>
      </c>
      <c r="R1067" s="11" t="str">
        <f t="shared" si="83"/>
        <v>Conference</v>
      </c>
      <c r="S1067" s="11">
        <f t="shared" si="84"/>
        <v>4</v>
      </c>
    </row>
    <row r="1068" spans="1:19">
      <c r="A1068" t="s">
        <v>5634</v>
      </c>
      <c r="B1068" t="s">
        <v>5635</v>
      </c>
      <c r="C1068" t="s">
        <v>2101</v>
      </c>
      <c r="D1068" t="s">
        <v>5636</v>
      </c>
      <c r="E1068" t="s">
        <v>5637</v>
      </c>
      <c r="F1068" t="s">
        <v>5638</v>
      </c>
      <c r="G1068" s="4">
        <v>45520</v>
      </c>
      <c r="H1068" s="4">
        <v>45522</v>
      </c>
      <c r="I1068" s="4">
        <v>45528</v>
      </c>
      <c r="J1068">
        <f t="shared" si="80"/>
        <v>6</v>
      </c>
      <c r="K1068" t="str">
        <f t="array" ref="K1068">_xlfn.IFS(J1068=1,"Day Use",J1068&lt;=3,"Short Stay",J1068&lt;=7,"Extended Stay",J1068&gt;=8,"Long Stay")</f>
        <v>Extended Stay</v>
      </c>
      <c r="L1068" t="s">
        <v>34</v>
      </c>
      <c r="M1068" s="10" t="str">
        <f t="shared" si="81"/>
        <v>Deluxe</v>
      </c>
      <c r="N1068" t="s">
        <v>26</v>
      </c>
      <c r="O1068" t="s">
        <v>35</v>
      </c>
      <c r="P1068">
        <f>IFERROR(VLOOKUP(TRIM(M1068),Room!D:H,5,FALSE),5000)</f>
        <v>5400</v>
      </c>
      <c r="Q1068">
        <f t="shared" si="82"/>
        <v>32400</v>
      </c>
      <c r="R1068" s="11" t="str">
        <f t="shared" si="83"/>
        <v>Conference</v>
      </c>
      <c r="S1068" s="11">
        <f t="shared" si="84"/>
        <v>3</v>
      </c>
    </row>
    <row r="1069" spans="1:19">
      <c r="A1069" t="s">
        <v>5639</v>
      </c>
      <c r="B1069" t="s">
        <v>5640</v>
      </c>
      <c r="C1069" t="s">
        <v>835</v>
      </c>
      <c r="D1069" t="s">
        <v>5641</v>
      </c>
      <c r="E1069" t="s">
        <v>5642</v>
      </c>
      <c r="F1069" t="s">
        <v>5643</v>
      </c>
      <c r="G1069" s="4">
        <v>45852</v>
      </c>
      <c r="H1069" s="4">
        <v>45856</v>
      </c>
      <c r="I1069" s="4">
        <v>45860</v>
      </c>
      <c r="J1069">
        <f t="shared" si="80"/>
        <v>4</v>
      </c>
      <c r="K1069" t="str">
        <f t="array" ref="K1069">_xlfn.IFS(J1069=1,"Day Use",J1069&lt;=3,"Short Stay",J1069&lt;=7,"Extended Stay",J1069&gt;=8,"Long Stay")</f>
        <v>Extended Stay</v>
      </c>
      <c r="L1069" t="s">
        <v>91</v>
      </c>
      <c r="M1069" s="10" t="str">
        <f t="shared" si="81"/>
        <v>Deluxe</v>
      </c>
      <c r="N1069" t="s">
        <v>26</v>
      </c>
      <c r="O1069" t="s">
        <v>27</v>
      </c>
      <c r="P1069">
        <f>IFERROR(VLOOKUP(TRIM(M1069),Room!D:H,5,FALSE),5000)</f>
        <v>5400</v>
      </c>
      <c r="Q1069">
        <f t="shared" si="82"/>
        <v>21600</v>
      </c>
      <c r="R1069" s="11" t="str">
        <f t="shared" si="83"/>
        <v>Conference</v>
      </c>
      <c r="S1069" s="11">
        <f t="shared" si="84"/>
        <v>3</v>
      </c>
    </row>
    <row r="1070" spans="1:19">
      <c r="A1070" t="s">
        <v>5644</v>
      </c>
      <c r="B1070" t="s">
        <v>5645</v>
      </c>
      <c r="C1070" t="s">
        <v>604</v>
      </c>
      <c r="D1070" t="s">
        <v>5646</v>
      </c>
      <c r="E1070" t="s">
        <v>5647</v>
      </c>
      <c r="F1070" t="s">
        <v>5648</v>
      </c>
      <c r="G1070" s="4">
        <v>45570</v>
      </c>
      <c r="H1070" s="4">
        <v>45597</v>
      </c>
      <c r="I1070" s="4">
        <v>45599</v>
      </c>
      <c r="J1070">
        <f t="shared" si="80"/>
        <v>2</v>
      </c>
      <c r="K1070" t="str">
        <f t="array" ref="K1070">_xlfn.IFS(J1070=1,"Day Use",J1070&lt;=3,"Short Stay",J1070&lt;=7,"Extended Stay",J1070&gt;=8,"Long Stay")</f>
        <v>Short Stay</v>
      </c>
      <c r="L1070" t="s">
        <v>49</v>
      </c>
      <c r="M1070" s="10" t="str">
        <f t="shared" si="81"/>
        <v>Standard</v>
      </c>
      <c r="N1070" t="s">
        <v>26</v>
      </c>
      <c r="O1070" t="s">
        <v>42</v>
      </c>
      <c r="P1070">
        <f>IFERROR(VLOOKUP(TRIM(M1070),Room!D:H,5,FALSE),5000)</f>
        <v>3200</v>
      </c>
      <c r="Q1070">
        <f t="shared" si="82"/>
        <v>6400</v>
      </c>
      <c r="R1070" s="11" t="str">
        <f t="shared" si="83"/>
        <v>Other</v>
      </c>
      <c r="S1070" s="11">
        <f t="shared" si="84"/>
        <v>2</v>
      </c>
    </row>
    <row r="1071" spans="1:19">
      <c r="A1071" t="s">
        <v>5649</v>
      </c>
      <c r="B1071" t="s">
        <v>5650</v>
      </c>
      <c r="C1071" t="s">
        <v>1710</v>
      </c>
      <c r="D1071" t="s">
        <v>5651</v>
      </c>
      <c r="E1071" t="s">
        <v>5652</v>
      </c>
      <c r="F1071" t="s">
        <v>5653</v>
      </c>
      <c r="G1071" s="4">
        <v>45698</v>
      </c>
      <c r="H1071" s="4">
        <v>45968</v>
      </c>
      <c r="I1071" s="4">
        <v>45969</v>
      </c>
      <c r="J1071">
        <f t="shared" si="80"/>
        <v>1</v>
      </c>
      <c r="K1071" t="str">
        <f t="array" ref="K1071">_xlfn.IFS(J1071=1,"Day Use",J1071&lt;=3,"Short Stay",J1071&lt;=7,"Extended Stay",J1071&gt;=8,"Long Stay")</f>
        <v>Day Use</v>
      </c>
      <c r="L1071" t="s">
        <v>141</v>
      </c>
      <c r="M1071" s="10" t="str">
        <f t="shared" si="81"/>
        <v>Standard</v>
      </c>
      <c r="N1071" t="s">
        <v>26</v>
      </c>
      <c r="O1071" t="s">
        <v>35</v>
      </c>
      <c r="P1071">
        <f>IFERROR(VLOOKUP(TRIM(M1071),Room!D:H,5,FALSE),5000)</f>
        <v>3200</v>
      </c>
      <c r="Q1071">
        <f t="shared" si="82"/>
        <v>3200</v>
      </c>
      <c r="R1071" s="11" t="str">
        <f t="shared" si="83"/>
        <v>Other</v>
      </c>
      <c r="S1071" s="11">
        <f t="shared" si="84"/>
        <v>1</v>
      </c>
    </row>
    <row r="1072" spans="1:19">
      <c r="A1072" t="s">
        <v>5654</v>
      </c>
      <c r="B1072" t="s">
        <v>5655</v>
      </c>
      <c r="C1072" t="s">
        <v>506</v>
      </c>
      <c r="D1072" t="s">
        <v>5656</v>
      </c>
      <c r="E1072" t="s">
        <v>5657</v>
      </c>
      <c r="F1072" t="s">
        <v>5658</v>
      </c>
      <c r="G1072" s="4">
        <v>45440</v>
      </c>
      <c r="H1072" s="4">
        <v>45460</v>
      </c>
      <c r="I1072" s="4">
        <v>45471</v>
      </c>
      <c r="J1072">
        <f t="shared" si="80"/>
        <v>11</v>
      </c>
      <c r="K1072" t="str">
        <f t="array" ref="K1072">_xlfn.IFS(J1072=1,"Day Use",J1072&lt;=3,"Short Stay",J1072&lt;=7,"Extended Stay",J1072&gt;=8,"Long Stay")</f>
        <v>Long Stay</v>
      </c>
      <c r="L1072" t="s">
        <v>91</v>
      </c>
      <c r="M1072" s="10" t="str">
        <f t="shared" si="81"/>
        <v>Suite</v>
      </c>
      <c r="N1072" t="s">
        <v>26</v>
      </c>
      <c r="O1072" t="s">
        <v>71</v>
      </c>
      <c r="P1072">
        <f>IFERROR(VLOOKUP(TRIM(M1072),Room!D:H,5,FALSE),5000)</f>
        <v>12500</v>
      </c>
      <c r="Q1072">
        <f t="shared" si="82"/>
        <v>137500</v>
      </c>
      <c r="R1072" s="11" t="str">
        <f t="shared" si="83"/>
        <v>Business</v>
      </c>
      <c r="S1072" s="11">
        <f t="shared" si="84"/>
        <v>5</v>
      </c>
    </row>
    <row r="1073" spans="1:19">
      <c r="A1073" t="s">
        <v>5659</v>
      </c>
      <c r="B1073" t="s">
        <v>5660</v>
      </c>
      <c r="C1073" t="s">
        <v>1682</v>
      </c>
      <c r="D1073" t="s">
        <v>5661</v>
      </c>
      <c r="E1073" t="s">
        <v>5662</v>
      </c>
      <c r="F1073" t="s">
        <v>5663</v>
      </c>
      <c r="G1073" s="4">
        <v>45568</v>
      </c>
      <c r="H1073" s="4">
        <v>45685</v>
      </c>
      <c r="I1073" s="4">
        <v>45692</v>
      </c>
      <c r="J1073">
        <f t="shared" si="80"/>
        <v>7</v>
      </c>
      <c r="K1073" t="str">
        <f t="array" ref="K1073">_xlfn.IFS(J1073=1,"Day Use",J1073&lt;=3,"Short Stay",J1073&lt;=7,"Extended Stay",J1073&gt;=8,"Long Stay")</f>
        <v>Extended Stay</v>
      </c>
      <c r="L1073" t="s">
        <v>141</v>
      </c>
      <c r="M1073" s="10" t="str">
        <f t="shared" si="81"/>
        <v>Premium</v>
      </c>
      <c r="N1073" t="s">
        <v>372</v>
      </c>
      <c r="O1073" t="s">
        <v>58</v>
      </c>
      <c r="P1073">
        <f>IFERROR(VLOOKUP(TRIM(M1073),Room!D:H,5,FALSE),5000)</f>
        <v>9500</v>
      </c>
      <c r="Q1073">
        <f t="shared" si="82"/>
        <v>66500</v>
      </c>
      <c r="R1073" s="11" t="str">
        <f t="shared" si="83"/>
        <v>Conference</v>
      </c>
      <c r="S1073" s="11">
        <f t="shared" si="84"/>
        <v>4</v>
      </c>
    </row>
    <row r="1074" spans="1:19">
      <c r="A1074" t="s">
        <v>5664</v>
      </c>
      <c r="B1074" t="s">
        <v>5665</v>
      </c>
      <c r="C1074" t="s">
        <v>1699</v>
      </c>
      <c r="D1074" t="s">
        <v>5666</v>
      </c>
      <c r="E1074" t="s">
        <v>5667</v>
      </c>
      <c r="F1074" t="s">
        <v>5668</v>
      </c>
      <c r="G1074" s="4">
        <v>45222</v>
      </c>
      <c r="H1074" s="4">
        <v>45891</v>
      </c>
      <c r="I1074" s="4">
        <v>45899</v>
      </c>
      <c r="J1074">
        <f t="shared" si="80"/>
        <v>8</v>
      </c>
      <c r="K1074" t="str">
        <f t="array" ref="K1074">_xlfn.IFS(J1074=1,"Day Use",J1074&lt;=3,"Short Stay",J1074&lt;=7,"Extended Stay",J1074&gt;=8,"Long Stay")</f>
        <v>Long Stay</v>
      </c>
      <c r="L1074" t="s">
        <v>34</v>
      </c>
      <c r="M1074" s="10" t="str">
        <f t="shared" si="81"/>
        <v>Premium</v>
      </c>
      <c r="N1074" t="s">
        <v>134</v>
      </c>
      <c r="O1074" t="s">
        <v>58</v>
      </c>
      <c r="P1074">
        <f>IFERROR(VLOOKUP(TRIM(M1074),Room!D:H,5,FALSE),5000)</f>
        <v>9500</v>
      </c>
      <c r="Q1074">
        <f t="shared" si="82"/>
        <v>76000</v>
      </c>
      <c r="R1074" s="11" t="str">
        <f t="shared" si="83"/>
        <v>Conference</v>
      </c>
      <c r="S1074" s="11">
        <f t="shared" si="84"/>
        <v>4</v>
      </c>
    </row>
    <row r="1075" spans="1:19">
      <c r="A1075" t="s">
        <v>5669</v>
      </c>
      <c r="B1075" t="s">
        <v>5670</v>
      </c>
      <c r="C1075" t="s">
        <v>1014</v>
      </c>
      <c r="D1075" t="s">
        <v>5671</v>
      </c>
      <c r="E1075" t="s">
        <v>5672</v>
      </c>
      <c r="F1075" t="s">
        <v>5673</v>
      </c>
      <c r="G1075" s="4">
        <v>45322</v>
      </c>
      <c r="H1075" s="4">
        <v>45967</v>
      </c>
      <c r="I1075" s="4">
        <v>45975</v>
      </c>
      <c r="J1075">
        <f t="shared" si="80"/>
        <v>8</v>
      </c>
      <c r="K1075" t="str">
        <f t="array" ref="K1075">_xlfn.IFS(J1075=1,"Day Use",J1075&lt;=3,"Short Stay",J1075&lt;=7,"Extended Stay",J1075&gt;=8,"Long Stay")</f>
        <v>Long Stay</v>
      </c>
      <c r="L1075" t="s">
        <v>34</v>
      </c>
      <c r="M1075" s="10" t="str">
        <f t="shared" si="81"/>
        <v>Premium</v>
      </c>
      <c r="N1075" t="s">
        <v>26</v>
      </c>
      <c r="O1075" t="s">
        <v>27</v>
      </c>
      <c r="P1075">
        <f>IFERROR(VLOOKUP(TRIM(M1075),Room!D:H,5,FALSE),5000)</f>
        <v>9500</v>
      </c>
      <c r="Q1075">
        <f t="shared" si="82"/>
        <v>76000</v>
      </c>
      <c r="R1075" s="11" t="str">
        <f t="shared" si="83"/>
        <v>Conference</v>
      </c>
      <c r="S1075" s="11">
        <f t="shared" si="84"/>
        <v>4</v>
      </c>
    </row>
    <row r="1076" spans="1:19">
      <c r="A1076" t="s">
        <v>5674</v>
      </c>
      <c r="B1076" t="s">
        <v>5675</v>
      </c>
      <c r="C1076" t="s">
        <v>1175</v>
      </c>
      <c r="D1076" t="s">
        <v>5676</v>
      </c>
      <c r="E1076" t="s">
        <v>5677</v>
      </c>
      <c r="F1076" t="s">
        <v>5678</v>
      </c>
      <c r="G1076" s="4">
        <v>45858</v>
      </c>
      <c r="H1076" s="4">
        <v>45879</v>
      </c>
      <c r="I1076" s="4">
        <v>45882</v>
      </c>
      <c r="J1076">
        <f t="shared" si="80"/>
        <v>3</v>
      </c>
      <c r="K1076" t="str">
        <f t="array" ref="K1076">_xlfn.IFS(J1076=1,"Day Use",J1076&lt;=3,"Short Stay",J1076&lt;=7,"Extended Stay",J1076&gt;=8,"Long Stay")</f>
        <v>Short Stay</v>
      </c>
      <c r="L1076" t="s">
        <v>34</v>
      </c>
      <c r="M1076" s="10" t="str">
        <f t="shared" si="81"/>
        <v>Standard</v>
      </c>
      <c r="N1076" t="s">
        <v>26</v>
      </c>
      <c r="O1076" t="s">
        <v>35</v>
      </c>
      <c r="P1076">
        <f>IFERROR(VLOOKUP(TRIM(M1076),Room!D:H,5,FALSE),5000)</f>
        <v>3200</v>
      </c>
      <c r="Q1076">
        <f t="shared" si="82"/>
        <v>9600</v>
      </c>
      <c r="R1076" s="11" t="str">
        <f t="shared" si="83"/>
        <v>Other</v>
      </c>
      <c r="S1076" s="11">
        <f t="shared" si="84"/>
        <v>2</v>
      </c>
    </row>
    <row r="1077" spans="1:19">
      <c r="A1077" t="s">
        <v>5679</v>
      </c>
      <c r="B1077" t="s">
        <v>5680</v>
      </c>
      <c r="C1077" t="s">
        <v>639</v>
      </c>
      <c r="D1077" t="s">
        <v>5681</v>
      </c>
      <c r="E1077" t="s">
        <v>5682</v>
      </c>
      <c r="F1077" t="s">
        <v>5683</v>
      </c>
      <c r="G1077" s="4">
        <v>45460</v>
      </c>
      <c r="H1077" s="4">
        <v>45588</v>
      </c>
      <c r="I1077" s="4">
        <v>45598</v>
      </c>
      <c r="J1077">
        <f t="shared" si="80"/>
        <v>10</v>
      </c>
      <c r="K1077" t="str">
        <f t="array" ref="K1077">_xlfn.IFS(J1077=1,"Day Use",J1077&lt;=3,"Short Stay",J1077&lt;=7,"Extended Stay",J1077&gt;=8,"Long Stay")</f>
        <v>Long Stay</v>
      </c>
      <c r="L1077" t="s">
        <v>141</v>
      </c>
      <c r="M1077" s="10" t="str">
        <f t="shared" si="81"/>
        <v>Premium</v>
      </c>
      <c r="N1077" t="s">
        <v>26</v>
      </c>
      <c r="O1077" t="s">
        <v>58</v>
      </c>
      <c r="P1077">
        <f>IFERROR(VLOOKUP(TRIM(M1077),Room!D:H,5,FALSE),5000)</f>
        <v>9500</v>
      </c>
      <c r="Q1077">
        <f t="shared" si="82"/>
        <v>95000</v>
      </c>
      <c r="R1077" s="11" t="str">
        <f t="shared" si="83"/>
        <v>Conference</v>
      </c>
      <c r="S1077" s="11">
        <f t="shared" si="84"/>
        <v>4</v>
      </c>
    </row>
    <row r="1078" spans="1:19">
      <c r="A1078" t="s">
        <v>5684</v>
      </c>
      <c r="B1078" t="s">
        <v>5685</v>
      </c>
      <c r="C1078" t="s">
        <v>1282</v>
      </c>
      <c r="D1078" t="s">
        <v>5686</v>
      </c>
      <c r="E1078" t="s">
        <v>5687</v>
      </c>
      <c r="F1078" t="s">
        <v>5688</v>
      </c>
      <c r="G1078" s="4">
        <v>45663</v>
      </c>
      <c r="H1078" s="4">
        <v>45745</v>
      </c>
      <c r="I1078" s="4">
        <v>45754</v>
      </c>
      <c r="J1078">
        <f t="shared" si="80"/>
        <v>9</v>
      </c>
      <c r="K1078" t="str">
        <f t="array" ref="K1078">_xlfn.IFS(J1078=1,"Day Use",J1078&lt;=3,"Short Stay",J1078&lt;=7,"Extended Stay",J1078&gt;=8,"Long Stay")</f>
        <v>Long Stay</v>
      </c>
      <c r="L1078" t="s">
        <v>196</v>
      </c>
      <c r="M1078" s="10" t="str">
        <f t="shared" si="81"/>
        <v>Premium</v>
      </c>
      <c r="N1078" t="s">
        <v>26</v>
      </c>
      <c r="O1078" t="s">
        <v>58</v>
      </c>
      <c r="P1078">
        <f>IFERROR(VLOOKUP(TRIM(M1078),Room!D:H,5,FALSE),5000)</f>
        <v>9500</v>
      </c>
      <c r="Q1078">
        <f t="shared" si="82"/>
        <v>85500</v>
      </c>
      <c r="R1078" s="11" t="str">
        <f t="shared" si="83"/>
        <v>Conference</v>
      </c>
      <c r="S1078" s="11">
        <f t="shared" si="84"/>
        <v>4</v>
      </c>
    </row>
    <row r="1079" spans="1:19">
      <c r="A1079" t="s">
        <v>5689</v>
      </c>
      <c r="B1079" t="s">
        <v>5690</v>
      </c>
      <c r="C1079" t="s">
        <v>2101</v>
      </c>
      <c r="D1079" t="s">
        <v>5691</v>
      </c>
      <c r="E1079" t="s">
        <v>5692</v>
      </c>
      <c r="F1079" t="s">
        <v>5693</v>
      </c>
      <c r="G1079" s="4">
        <v>45291</v>
      </c>
      <c r="H1079" s="4">
        <v>45298</v>
      </c>
      <c r="I1079" s="4">
        <v>45303</v>
      </c>
      <c r="J1079">
        <f t="shared" si="80"/>
        <v>5</v>
      </c>
      <c r="K1079" t="str">
        <f t="array" ref="K1079">_xlfn.IFS(J1079=1,"Day Use",J1079&lt;=3,"Short Stay",J1079&lt;=7,"Extended Stay",J1079&gt;=8,"Long Stay")</f>
        <v>Extended Stay</v>
      </c>
      <c r="L1079" t="s">
        <v>56</v>
      </c>
      <c r="M1079" s="10" t="str">
        <f t="shared" si="81"/>
        <v>Deluxe</v>
      </c>
      <c r="N1079" t="s">
        <v>26</v>
      </c>
      <c r="O1079" t="s">
        <v>58</v>
      </c>
      <c r="P1079">
        <f>IFERROR(VLOOKUP(TRIM(M1079),Room!D:H,5,FALSE),5000)</f>
        <v>5400</v>
      </c>
      <c r="Q1079">
        <f t="shared" si="82"/>
        <v>27000</v>
      </c>
      <c r="R1079" s="11" t="str">
        <f t="shared" si="83"/>
        <v>Conference</v>
      </c>
      <c r="S1079" s="11">
        <f t="shared" si="84"/>
        <v>3</v>
      </c>
    </row>
    <row r="1080" spans="1:19">
      <c r="A1080" t="s">
        <v>5694</v>
      </c>
      <c r="B1080" t="s">
        <v>5695</v>
      </c>
      <c r="C1080" t="s">
        <v>1431</v>
      </c>
      <c r="D1080" t="s">
        <v>5696</v>
      </c>
      <c r="E1080" t="s">
        <v>5697</v>
      </c>
      <c r="F1080" t="s">
        <v>5698</v>
      </c>
      <c r="G1080" s="4">
        <v>45205</v>
      </c>
      <c r="H1080" s="4">
        <v>45310</v>
      </c>
      <c r="I1080" s="4">
        <v>45323</v>
      </c>
      <c r="J1080">
        <f t="shared" si="80"/>
        <v>13</v>
      </c>
      <c r="K1080" t="str">
        <f t="array" ref="K1080">_xlfn.IFS(J1080=1,"Day Use",J1080&lt;=3,"Short Stay",J1080&lt;=7,"Extended Stay",J1080&gt;=8,"Long Stay")</f>
        <v>Long Stay</v>
      </c>
      <c r="L1080" t="s">
        <v>56</v>
      </c>
      <c r="M1080" s="10" t="str">
        <f t="shared" si="81"/>
        <v>Suite</v>
      </c>
      <c r="N1080" t="s">
        <v>148</v>
      </c>
      <c r="O1080" t="s">
        <v>35</v>
      </c>
      <c r="P1080">
        <f>IFERROR(VLOOKUP(TRIM(M1080),Room!D:H,5,FALSE),5000)</f>
        <v>12500</v>
      </c>
      <c r="Q1080">
        <f t="shared" si="82"/>
        <v>162500</v>
      </c>
      <c r="R1080" s="11" t="str">
        <f t="shared" si="83"/>
        <v>Business</v>
      </c>
      <c r="S1080" s="11">
        <f t="shared" si="84"/>
        <v>5</v>
      </c>
    </row>
    <row r="1081" spans="1:19">
      <c r="A1081" t="s">
        <v>5699</v>
      </c>
      <c r="B1081" t="s">
        <v>5700</v>
      </c>
      <c r="C1081" t="s">
        <v>2451</v>
      </c>
      <c r="D1081" t="s">
        <v>5701</v>
      </c>
      <c r="E1081" t="s">
        <v>5702</v>
      </c>
      <c r="F1081" t="s">
        <v>5703</v>
      </c>
      <c r="G1081" s="4">
        <v>45281</v>
      </c>
      <c r="H1081" s="4">
        <v>45387</v>
      </c>
      <c r="I1081" s="4">
        <v>45399</v>
      </c>
      <c r="J1081">
        <f t="shared" si="80"/>
        <v>12</v>
      </c>
      <c r="K1081" t="str">
        <f t="array" ref="K1081">_xlfn.IFS(J1081=1,"Day Use",J1081&lt;=3,"Short Stay",J1081&lt;=7,"Extended Stay",J1081&gt;=8,"Long Stay")</f>
        <v>Long Stay</v>
      </c>
      <c r="L1081" t="s">
        <v>196</v>
      </c>
      <c r="M1081" s="10" t="str">
        <f t="shared" si="81"/>
        <v>Suite</v>
      </c>
      <c r="N1081" t="s">
        <v>26</v>
      </c>
      <c r="O1081" t="s">
        <v>71</v>
      </c>
      <c r="P1081">
        <f>IFERROR(VLOOKUP(TRIM(M1081),Room!D:H,5,FALSE),5000)</f>
        <v>12500</v>
      </c>
      <c r="Q1081">
        <f t="shared" si="82"/>
        <v>150000</v>
      </c>
      <c r="R1081" s="11" t="str">
        <f t="shared" si="83"/>
        <v>Business</v>
      </c>
      <c r="S1081" s="11">
        <f t="shared" si="84"/>
        <v>5</v>
      </c>
    </row>
    <row r="1082" spans="1:19">
      <c r="A1082" t="s">
        <v>5704</v>
      </c>
      <c r="B1082" t="s">
        <v>5705</v>
      </c>
      <c r="C1082" t="s">
        <v>2154</v>
      </c>
      <c r="D1082" t="s">
        <v>5706</v>
      </c>
      <c r="E1082" t="s">
        <v>5707</v>
      </c>
      <c r="F1082" t="s">
        <v>5708</v>
      </c>
      <c r="G1082" s="4">
        <v>45495</v>
      </c>
      <c r="H1082" s="4">
        <v>45622</v>
      </c>
      <c r="I1082" s="4">
        <v>45629</v>
      </c>
      <c r="J1082">
        <f t="shared" si="80"/>
        <v>7</v>
      </c>
      <c r="K1082" t="str">
        <f t="array" ref="K1082">_xlfn.IFS(J1082=1,"Day Use",J1082&lt;=3,"Short Stay",J1082&lt;=7,"Extended Stay",J1082&gt;=8,"Long Stay")</f>
        <v>Extended Stay</v>
      </c>
      <c r="L1082" t="s">
        <v>141</v>
      </c>
      <c r="M1082" s="10" t="str">
        <f t="shared" si="81"/>
        <v>Premium</v>
      </c>
      <c r="N1082" t="s">
        <v>148</v>
      </c>
      <c r="O1082" t="s">
        <v>27</v>
      </c>
      <c r="P1082">
        <f>IFERROR(VLOOKUP(TRIM(M1082),Room!D:H,5,FALSE),5000)</f>
        <v>9500</v>
      </c>
      <c r="Q1082">
        <f t="shared" si="82"/>
        <v>66500</v>
      </c>
      <c r="R1082" s="11" t="str">
        <f t="shared" si="83"/>
        <v>Conference</v>
      </c>
      <c r="S1082" s="11">
        <f t="shared" si="84"/>
        <v>4</v>
      </c>
    </row>
    <row r="1083" spans="1:19">
      <c r="A1083" t="s">
        <v>5709</v>
      </c>
      <c r="B1083" t="s">
        <v>5710</v>
      </c>
      <c r="C1083" t="s">
        <v>1660</v>
      </c>
      <c r="D1083" t="s">
        <v>5711</v>
      </c>
      <c r="E1083" t="s">
        <v>5712</v>
      </c>
      <c r="F1083" t="s">
        <v>5713</v>
      </c>
      <c r="G1083" s="4">
        <v>45736</v>
      </c>
      <c r="H1083" s="4">
        <v>45745</v>
      </c>
      <c r="I1083" s="4">
        <v>45753</v>
      </c>
      <c r="J1083">
        <f t="shared" si="80"/>
        <v>8</v>
      </c>
      <c r="K1083" t="str">
        <f t="array" ref="K1083">_xlfn.IFS(J1083=1,"Day Use",J1083&lt;=3,"Short Stay",J1083&lt;=7,"Extended Stay",J1083&gt;=8,"Long Stay")</f>
        <v>Long Stay</v>
      </c>
      <c r="L1083" t="s">
        <v>56</v>
      </c>
      <c r="M1083" s="10" t="str">
        <f t="shared" si="81"/>
        <v>Premium</v>
      </c>
      <c r="N1083" t="s">
        <v>26</v>
      </c>
      <c r="O1083" t="s">
        <v>35</v>
      </c>
      <c r="P1083">
        <f>IFERROR(VLOOKUP(TRIM(M1083),Room!D:H,5,FALSE),5000)</f>
        <v>9500</v>
      </c>
      <c r="Q1083">
        <f t="shared" si="82"/>
        <v>76000</v>
      </c>
      <c r="R1083" s="11" t="str">
        <f t="shared" si="83"/>
        <v>Conference</v>
      </c>
      <c r="S1083" s="11">
        <f t="shared" si="84"/>
        <v>4</v>
      </c>
    </row>
    <row r="1084" spans="1:19">
      <c r="A1084" t="s">
        <v>5714</v>
      </c>
      <c r="B1084" t="s">
        <v>5715</v>
      </c>
      <c r="C1084" t="s">
        <v>4751</v>
      </c>
      <c r="D1084" t="s">
        <v>5716</v>
      </c>
      <c r="E1084" t="s">
        <v>5717</v>
      </c>
      <c r="F1084" t="s">
        <v>5718</v>
      </c>
      <c r="G1084" s="4">
        <v>45584</v>
      </c>
      <c r="H1084" s="4">
        <v>45647</v>
      </c>
      <c r="I1084" s="4">
        <v>45654</v>
      </c>
      <c r="J1084">
        <f t="shared" si="80"/>
        <v>7</v>
      </c>
      <c r="K1084" t="str">
        <f t="array" ref="K1084">_xlfn.IFS(J1084=1,"Day Use",J1084&lt;=3,"Short Stay",J1084&lt;=7,"Extended Stay",J1084&gt;=8,"Long Stay")</f>
        <v>Extended Stay</v>
      </c>
      <c r="L1084" t="s">
        <v>141</v>
      </c>
      <c r="M1084" s="10" t="str">
        <f t="shared" si="81"/>
        <v>Premium</v>
      </c>
      <c r="N1084" t="s">
        <v>26</v>
      </c>
      <c r="O1084" t="s">
        <v>71</v>
      </c>
      <c r="P1084">
        <f>IFERROR(VLOOKUP(TRIM(M1084),Room!D:H,5,FALSE),5000)</f>
        <v>9500</v>
      </c>
      <c r="Q1084">
        <f t="shared" si="82"/>
        <v>66500</v>
      </c>
      <c r="R1084" s="11" t="str">
        <f t="shared" si="83"/>
        <v>Conference</v>
      </c>
      <c r="S1084" s="11">
        <f t="shared" si="84"/>
        <v>4</v>
      </c>
    </row>
    <row r="1085" spans="1:19">
      <c r="A1085" t="s">
        <v>5719</v>
      </c>
      <c r="B1085" t="s">
        <v>5720</v>
      </c>
      <c r="C1085" t="s">
        <v>4740</v>
      </c>
      <c r="D1085" t="s">
        <v>5721</v>
      </c>
      <c r="E1085" t="s">
        <v>5722</v>
      </c>
      <c r="F1085" t="s">
        <v>5723</v>
      </c>
      <c r="G1085" s="4">
        <v>45361</v>
      </c>
      <c r="H1085" s="4">
        <v>45760</v>
      </c>
      <c r="I1085" s="4">
        <v>45774</v>
      </c>
      <c r="J1085">
        <f t="shared" si="80"/>
        <v>14</v>
      </c>
      <c r="K1085" t="str">
        <f t="array" ref="K1085">_xlfn.IFS(J1085=1,"Day Use",J1085&lt;=3,"Short Stay",J1085&lt;=7,"Extended Stay",J1085&gt;=8,"Long Stay")</f>
        <v>Long Stay</v>
      </c>
      <c r="L1085" t="s">
        <v>91</v>
      </c>
      <c r="M1085" s="10" t="str">
        <f t="shared" si="81"/>
        <v>Suite</v>
      </c>
      <c r="N1085" t="s">
        <v>26</v>
      </c>
      <c r="O1085" t="s">
        <v>42</v>
      </c>
      <c r="P1085">
        <f>IFERROR(VLOOKUP(TRIM(M1085),Room!D:H,5,FALSE),5000)</f>
        <v>12500</v>
      </c>
      <c r="Q1085">
        <f t="shared" si="82"/>
        <v>175000</v>
      </c>
      <c r="R1085" s="11" t="str">
        <f t="shared" si="83"/>
        <v>Business</v>
      </c>
      <c r="S1085" s="11">
        <f t="shared" si="84"/>
        <v>5</v>
      </c>
    </row>
    <row r="1086" spans="1:19">
      <c r="A1086" t="s">
        <v>5724</v>
      </c>
      <c r="B1086" t="s">
        <v>5725</v>
      </c>
      <c r="C1086" t="s">
        <v>835</v>
      </c>
      <c r="D1086" t="s">
        <v>5726</v>
      </c>
      <c r="E1086" t="s">
        <v>5727</v>
      </c>
      <c r="F1086" t="s">
        <v>5728</v>
      </c>
      <c r="G1086" s="4">
        <v>45600</v>
      </c>
      <c r="H1086" s="4">
        <v>45619</v>
      </c>
      <c r="I1086" s="4">
        <v>45627</v>
      </c>
      <c r="J1086">
        <f t="shared" si="80"/>
        <v>8</v>
      </c>
      <c r="K1086" t="str">
        <f t="array" ref="K1086">_xlfn.IFS(J1086=1,"Day Use",J1086&lt;=3,"Short Stay",J1086&lt;=7,"Extended Stay",J1086&gt;=8,"Long Stay")</f>
        <v>Long Stay</v>
      </c>
      <c r="L1086" t="s">
        <v>91</v>
      </c>
      <c r="M1086" s="10" t="str">
        <f t="shared" si="81"/>
        <v>Premium</v>
      </c>
      <c r="N1086" t="s">
        <v>26</v>
      </c>
      <c r="O1086" t="s">
        <v>71</v>
      </c>
      <c r="P1086">
        <f>IFERROR(VLOOKUP(TRIM(M1086),Room!D:H,5,FALSE),5000)</f>
        <v>9500</v>
      </c>
      <c r="Q1086">
        <f t="shared" si="82"/>
        <v>76000</v>
      </c>
      <c r="R1086" s="11" t="str">
        <f t="shared" si="83"/>
        <v>Conference</v>
      </c>
      <c r="S1086" s="11">
        <f t="shared" si="84"/>
        <v>4</v>
      </c>
    </row>
    <row r="1087" spans="1:19">
      <c r="A1087" t="s">
        <v>5729</v>
      </c>
      <c r="B1087" t="s">
        <v>5730</v>
      </c>
      <c r="C1087" t="s">
        <v>4648</v>
      </c>
      <c r="D1087" t="s">
        <v>5731</v>
      </c>
      <c r="E1087" t="s">
        <v>5732</v>
      </c>
      <c r="F1087" t="s">
        <v>5733</v>
      </c>
      <c r="G1087" s="4">
        <v>45429</v>
      </c>
      <c r="H1087" s="4">
        <v>45871</v>
      </c>
      <c r="I1087" s="4">
        <v>45875</v>
      </c>
      <c r="J1087">
        <f t="shared" si="80"/>
        <v>4</v>
      </c>
      <c r="K1087" t="str">
        <f t="array" ref="K1087">_xlfn.IFS(J1087=1,"Day Use",J1087&lt;=3,"Short Stay",J1087&lt;=7,"Extended Stay",J1087&gt;=8,"Long Stay")</f>
        <v>Extended Stay</v>
      </c>
      <c r="L1087" t="s">
        <v>49</v>
      </c>
      <c r="M1087" s="10" t="str">
        <f t="shared" si="81"/>
        <v>Deluxe</v>
      </c>
      <c r="N1087" t="s">
        <v>148</v>
      </c>
      <c r="O1087" t="s">
        <v>58</v>
      </c>
      <c r="P1087">
        <f>IFERROR(VLOOKUP(TRIM(M1087),Room!D:H,5,FALSE),5000)</f>
        <v>5400</v>
      </c>
      <c r="Q1087">
        <f t="shared" si="82"/>
        <v>21600</v>
      </c>
      <c r="R1087" s="11" t="str">
        <f t="shared" si="83"/>
        <v>Conference</v>
      </c>
      <c r="S1087" s="11">
        <f t="shared" si="84"/>
        <v>3</v>
      </c>
    </row>
    <row r="1088" spans="1:19">
      <c r="A1088" t="s">
        <v>5734</v>
      </c>
      <c r="B1088" t="s">
        <v>5735</v>
      </c>
      <c r="C1088" t="s">
        <v>38</v>
      </c>
      <c r="D1088" t="s">
        <v>5736</v>
      </c>
      <c r="E1088" t="s">
        <v>5737</v>
      </c>
      <c r="F1088" t="s">
        <v>5738</v>
      </c>
      <c r="G1088" s="4">
        <v>45272</v>
      </c>
      <c r="H1088" s="4">
        <v>45295</v>
      </c>
      <c r="I1088" s="4">
        <v>45307</v>
      </c>
      <c r="J1088">
        <f t="shared" si="80"/>
        <v>12</v>
      </c>
      <c r="K1088" t="str">
        <f t="array" ref="K1088">_xlfn.IFS(J1088=1,"Day Use",J1088&lt;=3,"Short Stay",J1088&lt;=7,"Extended Stay",J1088&gt;=8,"Long Stay")</f>
        <v>Long Stay</v>
      </c>
      <c r="L1088" t="s">
        <v>34</v>
      </c>
      <c r="M1088" s="10" t="str">
        <f t="shared" si="81"/>
        <v>Suite</v>
      </c>
      <c r="N1088" t="s">
        <v>26</v>
      </c>
      <c r="O1088" t="s">
        <v>58</v>
      </c>
      <c r="P1088">
        <f>IFERROR(VLOOKUP(TRIM(M1088),Room!D:H,5,FALSE),5000)</f>
        <v>12500</v>
      </c>
      <c r="Q1088">
        <f t="shared" si="82"/>
        <v>150000</v>
      </c>
      <c r="R1088" s="11" t="str">
        <f t="shared" si="83"/>
        <v>Business</v>
      </c>
      <c r="S1088" s="11">
        <f t="shared" si="84"/>
        <v>5</v>
      </c>
    </row>
    <row r="1089" spans="1:19">
      <c r="A1089" t="s">
        <v>5739</v>
      </c>
      <c r="B1089" t="s">
        <v>5740</v>
      </c>
      <c r="C1089" t="s">
        <v>339</v>
      </c>
      <c r="D1089" t="s">
        <v>5741</v>
      </c>
      <c r="E1089" t="s">
        <v>5742</v>
      </c>
      <c r="F1089" t="s">
        <v>5743</v>
      </c>
      <c r="G1089" s="4">
        <v>45215</v>
      </c>
      <c r="H1089" s="4">
        <v>45460</v>
      </c>
      <c r="I1089" s="4">
        <v>45472</v>
      </c>
      <c r="J1089">
        <f t="shared" si="80"/>
        <v>12</v>
      </c>
      <c r="K1089" t="str">
        <f t="array" ref="K1089">_xlfn.IFS(J1089=1,"Day Use",J1089&lt;=3,"Short Stay",J1089&lt;=7,"Extended Stay",J1089&gt;=8,"Long Stay")</f>
        <v>Long Stay</v>
      </c>
      <c r="L1089" t="s">
        <v>25</v>
      </c>
      <c r="M1089" s="10" t="str">
        <f t="shared" si="81"/>
        <v>Suite</v>
      </c>
      <c r="N1089" t="s">
        <v>26</v>
      </c>
      <c r="O1089" t="s">
        <v>42</v>
      </c>
      <c r="P1089">
        <f>IFERROR(VLOOKUP(TRIM(M1089),Room!D:H,5,FALSE),5000)</f>
        <v>12500</v>
      </c>
      <c r="Q1089">
        <f t="shared" si="82"/>
        <v>150000</v>
      </c>
      <c r="R1089" s="11" t="str">
        <f t="shared" si="83"/>
        <v>Business</v>
      </c>
      <c r="S1089" s="11">
        <f t="shared" si="84"/>
        <v>5</v>
      </c>
    </row>
    <row r="1090" spans="1:19">
      <c r="A1090" t="s">
        <v>5744</v>
      </c>
      <c r="B1090" t="s">
        <v>5745</v>
      </c>
      <c r="C1090" t="s">
        <v>5746</v>
      </c>
      <c r="D1090" t="s">
        <v>5747</v>
      </c>
      <c r="E1090" t="s">
        <v>5748</v>
      </c>
      <c r="F1090" t="s">
        <v>5749</v>
      </c>
      <c r="G1090" s="4">
        <v>45270</v>
      </c>
      <c r="H1090" s="4">
        <v>46003</v>
      </c>
      <c r="I1090" s="4">
        <v>46014</v>
      </c>
      <c r="J1090">
        <f t="shared" ref="J1090:J1153" si="85">I1090-H1090</f>
        <v>11</v>
      </c>
      <c r="K1090" t="str">
        <f t="array" ref="K1090">_xlfn.IFS(J1090=1,"Day Use",J1090&lt;=3,"Short Stay",J1090&lt;=7,"Extended Stay",J1090&gt;=8,"Long Stay")</f>
        <v>Long Stay</v>
      </c>
      <c r="L1090" t="s">
        <v>56</v>
      </c>
      <c r="M1090" s="10" t="str">
        <f t="shared" ref="M1090:M1153" si="86">IF($J1090&lt;=3,"Standard",IF($J1090&lt;=6,"Deluxe",IF($J1090&lt;=10,"Premium","Suite")))</f>
        <v>Suite</v>
      </c>
      <c r="N1090" t="s">
        <v>26</v>
      </c>
      <c r="O1090" t="s">
        <v>35</v>
      </c>
      <c r="P1090">
        <f>IFERROR(VLOOKUP(TRIM(M1090),Room!D:H,5,FALSE),5000)</f>
        <v>12500</v>
      </c>
      <c r="Q1090">
        <f t="shared" si="82"/>
        <v>137500</v>
      </c>
      <c r="R1090" s="11" t="str">
        <f t="shared" si="83"/>
        <v>Business</v>
      </c>
      <c r="S1090" s="11">
        <f t="shared" si="84"/>
        <v>5</v>
      </c>
    </row>
    <row r="1091" spans="1:19">
      <c r="A1091" t="s">
        <v>5750</v>
      </c>
      <c r="B1091" t="s">
        <v>5751</v>
      </c>
      <c r="C1091" t="s">
        <v>80</v>
      </c>
      <c r="D1091" t="s">
        <v>5752</v>
      </c>
      <c r="E1091" t="s">
        <v>5753</v>
      </c>
      <c r="F1091" t="s">
        <v>5754</v>
      </c>
      <c r="G1091" s="4">
        <v>45567</v>
      </c>
      <c r="H1091" s="4">
        <v>45584</v>
      </c>
      <c r="I1091" s="4">
        <v>45596</v>
      </c>
      <c r="J1091">
        <f t="shared" si="85"/>
        <v>12</v>
      </c>
      <c r="K1091" t="str">
        <f t="array" ref="K1091">_xlfn.IFS(J1091=1,"Day Use",J1091&lt;=3,"Short Stay",J1091&lt;=7,"Extended Stay",J1091&gt;=8,"Long Stay")</f>
        <v>Long Stay</v>
      </c>
      <c r="L1091" t="s">
        <v>84</v>
      </c>
      <c r="M1091" s="10" t="str">
        <f t="shared" si="86"/>
        <v>Suite</v>
      </c>
      <c r="N1091" t="s">
        <v>26</v>
      </c>
      <c r="O1091" t="s">
        <v>58</v>
      </c>
      <c r="P1091">
        <f>IFERROR(VLOOKUP(TRIM(M1091),Room!D:H,5,FALSE),5000)</f>
        <v>12500</v>
      </c>
      <c r="Q1091">
        <f t="shared" ref="Q1091:Q1154" si="87">P1091*J1091</f>
        <v>150000</v>
      </c>
      <c r="R1091" s="11" t="str">
        <f t="shared" ref="R1091:R1154" si="88">IF(ISNUMBER(SEARCH("Suite",D1091)),"Honeymoon",IF(P1091&gt;10000,"Business",IF(P1091&gt;5000,"Conference",IF(J1091&gt;=8,"Family Vacation","Other"))))</f>
        <v>Business</v>
      </c>
      <c r="S1091" s="11">
        <f t="shared" ref="S1091:S1154" si="89">IF(M1091="Suite",5,IF(M1091="Premium",IF(Q1091&gt;20000,4,3),IF(M1091="Deluxe",IF(Q1091&gt;=10000,3,2),IF(M1091="Standard",IF(Q1091&gt;=5000,2,1),1))))</f>
        <v>5</v>
      </c>
    </row>
    <row r="1092" spans="1:19">
      <c r="A1092" t="s">
        <v>5755</v>
      </c>
      <c r="B1092" t="s">
        <v>5756</v>
      </c>
      <c r="C1092" t="s">
        <v>3448</v>
      </c>
      <c r="D1092" t="s">
        <v>5757</v>
      </c>
      <c r="E1092" t="s">
        <v>5758</v>
      </c>
      <c r="F1092" t="s">
        <v>5759</v>
      </c>
      <c r="G1092" s="4">
        <v>45248</v>
      </c>
      <c r="H1092" s="4">
        <v>45923</v>
      </c>
      <c r="I1092" s="4">
        <v>45928</v>
      </c>
      <c r="J1092">
        <f t="shared" si="85"/>
        <v>5</v>
      </c>
      <c r="K1092" t="str">
        <f t="array" ref="K1092">_xlfn.IFS(J1092=1,"Day Use",J1092&lt;=3,"Short Stay",J1092&lt;=7,"Extended Stay",J1092&gt;=8,"Long Stay")</f>
        <v>Extended Stay</v>
      </c>
      <c r="L1092" t="s">
        <v>141</v>
      </c>
      <c r="M1092" s="10" t="str">
        <f t="shared" si="86"/>
        <v>Deluxe</v>
      </c>
      <c r="N1092" t="s">
        <v>57</v>
      </c>
      <c r="O1092" t="s">
        <v>42</v>
      </c>
      <c r="P1092">
        <f>IFERROR(VLOOKUP(TRIM(M1092),Room!D:H,5,FALSE),5000)</f>
        <v>5400</v>
      </c>
      <c r="Q1092">
        <f t="shared" si="87"/>
        <v>27000</v>
      </c>
      <c r="R1092" s="11" t="str">
        <f t="shared" si="88"/>
        <v>Conference</v>
      </c>
      <c r="S1092" s="11">
        <f t="shared" si="89"/>
        <v>3</v>
      </c>
    </row>
    <row r="1093" spans="1:19">
      <c r="A1093" t="s">
        <v>5760</v>
      </c>
      <c r="B1093" t="s">
        <v>5761</v>
      </c>
      <c r="C1093" t="s">
        <v>1008</v>
      </c>
      <c r="D1093" t="s">
        <v>5762</v>
      </c>
      <c r="E1093" t="s">
        <v>5763</v>
      </c>
      <c r="F1093" t="s">
        <v>5764</v>
      </c>
      <c r="G1093" s="4">
        <v>45303</v>
      </c>
      <c r="H1093" s="4">
        <v>45673</v>
      </c>
      <c r="I1093" s="4">
        <v>45687</v>
      </c>
      <c r="J1093">
        <f t="shared" si="85"/>
        <v>14</v>
      </c>
      <c r="K1093" t="str">
        <f t="array" ref="K1093">_xlfn.IFS(J1093=1,"Day Use",J1093&lt;=3,"Short Stay",J1093&lt;=7,"Extended Stay",J1093&gt;=8,"Long Stay")</f>
        <v>Long Stay</v>
      </c>
      <c r="L1093" t="s">
        <v>84</v>
      </c>
      <c r="M1093" s="10" t="str">
        <f t="shared" si="86"/>
        <v>Suite</v>
      </c>
      <c r="N1093" t="s">
        <v>26</v>
      </c>
      <c r="O1093" t="s">
        <v>71</v>
      </c>
      <c r="P1093">
        <f>IFERROR(VLOOKUP(TRIM(M1093),Room!D:H,5,FALSE),5000)</f>
        <v>12500</v>
      </c>
      <c r="Q1093">
        <f t="shared" si="87"/>
        <v>175000</v>
      </c>
      <c r="R1093" s="11" t="str">
        <f t="shared" si="88"/>
        <v>Business</v>
      </c>
      <c r="S1093" s="11">
        <f t="shared" si="89"/>
        <v>5</v>
      </c>
    </row>
    <row r="1094" spans="1:19">
      <c r="A1094" t="s">
        <v>5765</v>
      </c>
      <c r="B1094" t="s">
        <v>5766</v>
      </c>
      <c r="C1094" t="s">
        <v>38</v>
      </c>
      <c r="D1094" t="s">
        <v>5767</v>
      </c>
      <c r="E1094" t="s">
        <v>5768</v>
      </c>
      <c r="F1094" t="s">
        <v>5769</v>
      </c>
      <c r="G1094" s="4">
        <v>45246</v>
      </c>
      <c r="H1094" s="4">
        <v>45779</v>
      </c>
      <c r="I1094" s="4">
        <v>45792</v>
      </c>
      <c r="J1094">
        <f t="shared" si="85"/>
        <v>13</v>
      </c>
      <c r="K1094" t="str">
        <f t="array" ref="K1094">_xlfn.IFS(J1094=1,"Day Use",J1094&lt;=3,"Short Stay",J1094&lt;=7,"Extended Stay",J1094&gt;=8,"Long Stay")</f>
        <v>Long Stay</v>
      </c>
      <c r="L1094" t="s">
        <v>141</v>
      </c>
      <c r="M1094" s="10" t="str">
        <f t="shared" si="86"/>
        <v>Suite</v>
      </c>
      <c r="N1094" t="s">
        <v>57</v>
      </c>
      <c r="O1094" t="s">
        <v>35</v>
      </c>
      <c r="P1094">
        <f>IFERROR(VLOOKUP(TRIM(M1094),Room!D:H,5,FALSE),5000)</f>
        <v>12500</v>
      </c>
      <c r="Q1094">
        <f t="shared" si="87"/>
        <v>162500</v>
      </c>
      <c r="R1094" s="11" t="str">
        <f t="shared" si="88"/>
        <v>Business</v>
      </c>
      <c r="S1094" s="11">
        <f t="shared" si="89"/>
        <v>5</v>
      </c>
    </row>
    <row r="1095" spans="1:19">
      <c r="A1095" t="s">
        <v>5770</v>
      </c>
      <c r="B1095" t="s">
        <v>5771</v>
      </c>
      <c r="C1095" t="s">
        <v>100</v>
      </c>
      <c r="D1095" t="s">
        <v>5772</v>
      </c>
      <c r="E1095" t="s">
        <v>5773</v>
      </c>
      <c r="F1095" t="s">
        <v>5774</v>
      </c>
      <c r="G1095" s="4">
        <v>45369</v>
      </c>
      <c r="H1095" s="4">
        <v>45384</v>
      </c>
      <c r="I1095" s="4">
        <v>45388</v>
      </c>
      <c r="J1095">
        <f t="shared" si="85"/>
        <v>4</v>
      </c>
      <c r="K1095" t="str">
        <f t="array" ref="K1095">_xlfn.IFS(J1095=1,"Day Use",J1095&lt;=3,"Short Stay",J1095&lt;=7,"Extended Stay",J1095&gt;=8,"Long Stay")</f>
        <v>Extended Stay</v>
      </c>
      <c r="L1095" t="s">
        <v>49</v>
      </c>
      <c r="M1095" s="10" t="str">
        <f t="shared" si="86"/>
        <v>Deluxe</v>
      </c>
      <c r="N1095" t="s">
        <v>57</v>
      </c>
      <c r="O1095" t="s">
        <v>27</v>
      </c>
      <c r="P1095">
        <f>IFERROR(VLOOKUP(TRIM(M1095),Room!D:H,5,FALSE),5000)</f>
        <v>5400</v>
      </c>
      <c r="Q1095">
        <f t="shared" si="87"/>
        <v>21600</v>
      </c>
      <c r="R1095" s="11" t="str">
        <f t="shared" si="88"/>
        <v>Conference</v>
      </c>
      <c r="S1095" s="11">
        <f t="shared" si="89"/>
        <v>3</v>
      </c>
    </row>
    <row r="1096" spans="1:19">
      <c r="A1096" t="s">
        <v>5775</v>
      </c>
      <c r="B1096" t="s">
        <v>5776</v>
      </c>
      <c r="C1096" t="s">
        <v>2041</v>
      </c>
      <c r="D1096" t="s">
        <v>5777</v>
      </c>
      <c r="E1096" t="s">
        <v>5778</v>
      </c>
      <c r="F1096" t="s">
        <v>5779</v>
      </c>
      <c r="G1096" s="4">
        <v>45548</v>
      </c>
      <c r="H1096" s="4">
        <v>45664</v>
      </c>
      <c r="I1096" s="4">
        <v>45674</v>
      </c>
      <c r="J1096">
        <f t="shared" si="85"/>
        <v>10</v>
      </c>
      <c r="K1096" t="str">
        <f t="array" ref="K1096">_xlfn.IFS(J1096=1,"Day Use",J1096&lt;=3,"Short Stay",J1096&lt;=7,"Extended Stay",J1096&gt;=8,"Long Stay")</f>
        <v>Long Stay</v>
      </c>
      <c r="L1096" t="s">
        <v>141</v>
      </c>
      <c r="M1096" s="10" t="str">
        <f t="shared" si="86"/>
        <v>Premium</v>
      </c>
      <c r="N1096" t="s">
        <v>148</v>
      </c>
      <c r="O1096" t="s">
        <v>71</v>
      </c>
      <c r="P1096">
        <f>IFERROR(VLOOKUP(TRIM(M1096),Room!D:H,5,FALSE),5000)</f>
        <v>9500</v>
      </c>
      <c r="Q1096">
        <f t="shared" si="87"/>
        <v>95000</v>
      </c>
      <c r="R1096" s="11" t="str">
        <f t="shared" si="88"/>
        <v>Conference</v>
      </c>
      <c r="S1096" s="11">
        <f t="shared" si="89"/>
        <v>4</v>
      </c>
    </row>
    <row r="1097" spans="1:19">
      <c r="A1097" t="s">
        <v>5780</v>
      </c>
      <c r="B1097" t="s">
        <v>5781</v>
      </c>
      <c r="C1097" t="s">
        <v>415</v>
      </c>
      <c r="D1097" t="s">
        <v>5782</v>
      </c>
      <c r="E1097" t="s">
        <v>5783</v>
      </c>
      <c r="F1097" t="s">
        <v>5784</v>
      </c>
      <c r="G1097" s="4">
        <v>45310</v>
      </c>
      <c r="H1097" s="4">
        <v>45311</v>
      </c>
      <c r="I1097" s="4">
        <v>45319</v>
      </c>
      <c r="J1097">
        <f t="shared" si="85"/>
        <v>8</v>
      </c>
      <c r="K1097" t="str">
        <f t="array" ref="K1097">_xlfn.IFS(J1097=1,"Day Use",J1097&lt;=3,"Short Stay",J1097&lt;=7,"Extended Stay",J1097&gt;=8,"Long Stay")</f>
        <v>Long Stay</v>
      </c>
      <c r="L1097" t="s">
        <v>49</v>
      </c>
      <c r="M1097" s="10" t="str">
        <f t="shared" si="86"/>
        <v>Premium</v>
      </c>
      <c r="N1097" t="s">
        <v>26</v>
      </c>
      <c r="O1097" t="s">
        <v>27</v>
      </c>
      <c r="P1097">
        <f>IFERROR(VLOOKUP(TRIM(M1097),Room!D:H,5,FALSE),5000)</f>
        <v>9500</v>
      </c>
      <c r="Q1097">
        <f t="shared" si="87"/>
        <v>76000</v>
      </c>
      <c r="R1097" s="11" t="str">
        <f t="shared" si="88"/>
        <v>Conference</v>
      </c>
      <c r="S1097" s="11">
        <f t="shared" si="89"/>
        <v>4</v>
      </c>
    </row>
    <row r="1098" spans="1:19">
      <c r="A1098" t="s">
        <v>5785</v>
      </c>
      <c r="B1098" t="s">
        <v>5786</v>
      </c>
      <c r="C1098" t="s">
        <v>1324</v>
      </c>
      <c r="D1098" t="s">
        <v>5787</v>
      </c>
      <c r="E1098" t="s">
        <v>5788</v>
      </c>
      <c r="F1098" t="s">
        <v>5789</v>
      </c>
      <c r="G1098" s="4">
        <v>45702</v>
      </c>
      <c r="H1098" s="4">
        <v>45729</v>
      </c>
      <c r="I1098" s="4">
        <v>45742</v>
      </c>
      <c r="J1098">
        <f t="shared" si="85"/>
        <v>13</v>
      </c>
      <c r="K1098" t="str">
        <f t="array" ref="K1098">_xlfn.IFS(J1098=1,"Day Use",J1098&lt;=3,"Short Stay",J1098&lt;=7,"Extended Stay",J1098&gt;=8,"Long Stay")</f>
        <v>Long Stay</v>
      </c>
      <c r="L1098" t="s">
        <v>91</v>
      </c>
      <c r="M1098" s="10" t="str">
        <f t="shared" si="86"/>
        <v>Suite</v>
      </c>
      <c r="N1098" t="s">
        <v>26</v>
      </c>
      <c r="O1098" t="s">
        <v>58</v>
      </c>
      <c r="P1098">
        <f>IFERROR(VLOOKUP(TRIM(M1098),Room!D:H,5,FALSE),5000)</f>
        <v>12500</v>
      </c>
      <c r="Q1098">
        <f t="shared" si="87"/>
        <v>162500</v>
      </c>
      <c r="R1098" s="11" t="str">
        <f t="shared" si="88"/>
        <v>Business</v>
      </c>
      <c r="S1098" s="11">
        <f t="shared" si="89"/>
        <v>5</v>
      </c>
    </row>
    <row r="1099" spans="1:19">
      <c r="A1099" t="s">
        <v>5790</v>
      </c>
      <c r="B1099" t="s">
        <v>5791</v>
      </c>
      <c r="C1099" t="s">
        <v>100</v>
      </c>
      <c r="D1099" t="s">
        <v>5792</v>
      </c>
      <c r="E1099" t="s">
        <v>5793</v>
      </c>
      <c r="F1099" t="s">
        <v>5794</v>
      </c>
      <c r="G1099" s="4">
        <v>45502</v>
      </c>
      <c r="H1099" s="4">
        <v>45513</v>
      </c>
      <c r="I1099" s="4">
        <v>45514</v>
      </c>
      <c r="J1099">
        <f t="shared" si="85"/>
        <v>1</v>
      </c>
      <c r="K1099" t="str">
        <f t="array" ref="K1099">_xlfn.IFS(J1099=1,"Day Use",J1099&lt;=3,"Short Stay",J1099&lt;=7,"Extended Stay",J1099&gt;=8,"Long Stay")</f>
        <v>Day Use</v>
      </c>
      <c r="L1099" t="s">
        <v>56</v>
      </c>
      <c r="M1099" s="10" t="str">
        <f t="shared" si="86"/>
        <v>Standard</v>
      </c>
      <c r="N1099" t="s">
        <v>26</v>
      </c>
      <c r="O1099" t="s">
        <v>35</v>
      </c>
      <c r="P1099">
        <f>IFERROR(VLOOKUP(TRIM(M1099),Room!D:H,5,FALSE),5000)</f>
        <v>3200</v>
      </c>
      <c r="Q1099">
        <f t="shared" si="87"/>
        <v>3200</v>
      </c>
      <c r="R1099" s="11" t="str">
        <f t="shared" si="88"/>
        <v>Other</v>
      </c>
      <c r="S1099" s="11">
        <f t="shared" si="89"/>
        <v>1</v>
      </c>
    </row>
    <row r="1100" spans="1:19">
      <c r="A1100" t="s">
        <v>5795</v>
      </c>
      <c r="B1100" t="s">
        <v>5796</v>
      </c>
      <c r="C1100" t="s">
        <v>100</v>
      </c>
      <c r="D1100" t="s">
        <v>5797</v>
      </c>
      <c r="E1100" t="s">
        <v>5798</v>
      </c>
      <c r="F1100" t="s">
        <v>5799</v>
      </c>
      <c r="G1100" s="4">
        <v>45300</v>
      </c>
      <c r="H1100" s="4">
        <v>45501</v>
      </c>
      <c r="I1100" s="4">
        <v>45504</v>
      </c>
      <c r="J1100">
        <f t="shared" si="85"/>
        <v>3</v>
      </c>
      <c r="K1100" t="str">
        <f t="array" ref="K1100">_xlfn.IFS(J1100=1,"Day Use",J1100&lt;=3,"Short Stay",J1100&lt;=7,"Extended Stay",J1100&gt;=8,"Long Stay")</f>
        <v>Short Stay</v>
      </c>
      <c r="L1100" t="s">
        <v>91</v>
      </c>
      <c r="M1100" s="10" t="str">
        <f t="shared" si="86"/>
        <v>Standard</v>
      </c>
      <c r="N1100" t="s">
        <v>26</v>
      </c>
      <c r="O1100" t="s">
        <v>71</v>
      </c>
      <c r="P1100">
        <f>IFERROR(VLOOKUP(TRIM(M1100),Room!D:H,5,FALSE),5000)</f>
        <v>3200</v>
      </c>
      <c r="Q1100">
        <f t="shared" si="87"/>
        <v>9600</v>
      </c>
      <c r="R1100" s="11" t="str">
        <f t="shared" si="88"/>
        <v>Other</v>
      </c>
      <c r="S1100" s="11">
        <f t="shared" si="89"/>
        <v>2</v>
      </c>
    </row>
    <row r="1101" spans="1:19">
      <c r="A1101" t="s">
        <v>5800</v>
      </c>
      <c r="B1101" t="s">
        <v>5801</v>
      </c>
      <c r="C1101" t="s">
        <v>4740</v>
      </c>
      <c r="D1101" t="s">
        <v>5802</v>
      </c>
      <c r="E1101" t="s">
        <v>5803</v>
      </c>
      <c r="F1101" t="s">
        <v>5804</v>
      </c>
      <c r="G1101" s="4">
        <v>45295</v>
      </c>
      <c r="H1101" s="4">
        <v>45318</v>
      </c>
      <c r="I1101" s="4">
        <v>45328</v>
      </c>
      <c r="J1101">
        <f t="shared" si="85"/>
        <v>10</v>
      </c>
      <c r="K1101" t="str">
        <f t="array" ref="K1101">_xlfn.IFS(J1101=1,"Day Use",J1101&lt;=3,"Short Stay",J1101&lt;=7,"Extended Stay",J1101&gt;=8,"Long Stay")</f>
        <v>Long Stay</v>
      </c>
      <c r="L1101" t="s">
        <v>141</v>
      </c>
      <c r="M1101" s="10" t="str">
        <f t="shared" si="86"/>
        <v>Premium</v>
      </c>
      <c r="N1101" t="s">
        <v>372</v>
      </c>
      <c r="O1101" t="s">
        <v>27</v>
      </c>
      <c r="P1101">
        <f>IFERROR(VLOOKUP(TRIM(M1101),Room!D:H,5,FALSE),5000)</f>
        <v>9500</v>
      </c>
      <c r="Q1101">
        <f t="shared" si="87"/>
        <v>95000</v>
      </c>
      <c r="R1101" s="11" t="str">
        <f t="shared" si="88"/>
        <v>Conference</v>
      </c>
      <c r="S1101" s="11">
        <f t="shared" si="89"/>
        <v>4</v>
      </c>
    </row>
    <row r="1102" spans="1:19">
      <c r="A1102" t="s">
        <v>5805</v>
      </c>
      <c r="B1102" t="s">
        <v>5806</v>
      </c>
      <c r="C1102" t="s">
        <v>581</v>
      </c>
      <c r="D1102" t="s">
        <v>5807</v>
      </c>
      <c r="E1102" t="s">
        <v>5808</v>
      </c>
      <c r="F1102" t="s">
        <v>5809</v>
      </c>
      <c r="G1102" s="4">
        <v>45412</v>
      </c>
      <c r="H1102" s="4">
        <v>45422</v>
      </c>
      <c r="I1102" s="4">
        <v>45432</v>
      </c>
      <c r="J1102">
        <f t="shared" si="85"/>
        <v>10</v>
      </c>
      <c r="K1102" t="str">
        <f t="array" ref="K1102">_xlfn.IFS(J1102=1,"Day Use",J1102&lt;=3,"Short Stay",J1102&lt;=7,"Extended Stay",J1102&gt;=8,"Long Stay")</f>
        <v>Long Stay</v>
      </c>
      <c r="L1102" t="s">
        <v>196</v>
      </c>
      <c r="M1102" s="10" t="str">
        <f t="shared" si="86"/>
        <v>Premium</v>
      </c>
      <c r="N1102" t="s">
        <v>57</v>
      </c>
      <c r="O1102" t="s">
        <v>42</v>
      </c>
      <c r="P1102">
        <f>IFERROR(VLOOKUP(TRIM(M1102),Room!D:H,5,FALSE),5000)</f>
        <v>9500</v>
      </c>
      <c r="Q1102">
        <f t="shared" si="87"/>
        <v>95000</v>
      </c>
      <c r="R1102" s="11" t="str">
        <f t="shared" si="88"/>
        <v>Conference</v>
      </c>
      <c r="S1102" s="11">
        <f t="shared" si="89"/>
        <v>4</v>
      </c>
    </row>
    <row r="1103" spans="1:19">
      <c r="A1103" t="s">
        <v>5810</v>
      </c>
      <c r="B1103" t="s">
        <v>5811</v>
      </c>
      <c r="C1103" t="s">
        <v>157</v>
      </c>
      <c r="D1103" t="s">
        <v>5812</v>
      </c>
      <c r="E1103" t="s">
        <v>5813</v>
      </c>
      <c r="F1103" t="s">
        <v>5814</v>
      </c>
      <c r="G1103" s="4">
        <v>45508</v>
      </c>
      <c r="H1103" s="4">
        <v>45508</v>
      </c>
      <c r="I1103" s="4">
        <v>45509</v>
      </c>
      <c r="J1103">
        <f t="shared" si="85"/>
        <v>1</v>
      </c>
      <c r="K1103" t="str">
        <f t="array" ref="K1103">_xlfn.IFS(J1103=1,"Day Use",J1103&lt;=3,"Short Stay",J1103&lt;=7,"Extended Stay",J1103&gt;=8,"Long Stay")</f>
        <v>Day Use</v>
      </c>
      <c r="L1103" t="s">
        <v>84</v>
      </c>
      <c r="M1103" s="10" t="str">
        <f t="shared" si="86"/>
        <v>Standard</v>
      </c>
      <c r="N1103" t="s">
        <v>57</v>
      </c>
      <c r="O1103" t="s">
        <v>35</v>
      </c>
      <c r="P1103">
        <f>IFERROR(VLOOKUP(TRIM(M1103),Room!D:H,5,FALSE),5000)</f>
        <v>3200</v>
      </c>
      <c r="Q1103">
        <f t="shared" si="87"/>
        <v>3200</v>
      </c>
      <c r="R1103" s="11" t="str">
        <f t="shared" si="88"/>
        <v>Other</v>
      </c>
      <c r="S1103" s="11">
        <f t="shared" si="89"/>
        <v>1</v>
      </c>
    </row>
    <row r="1104" spans="1:19">
      <c r="A1104" t="s">
        <v>5815</v>
      </c>
      <c r="B1104" t="s">
        <v>5816</v>
      </c>
      <c r="C1104" t="s">
        <v>835</v>
      </c>
      <c r="D1104" t="s">
        <v>5817</v>
      </c>
      <c r="E1104" t="s">
        <v>5818</v>
      </c>
      <c r="F1104" t="s">
        <v>5819</v>
      </c>
      <c r="G1104" s="4">
        <v>45325</v>
      </c>
      <c r="H1104" s="4">
        <v>45990</v>
      </c>
      <c r="I1104" s="4">
        <v>46002</v>
      </c>
      <c r="J1104">
        <f t="shared" si="85"/>
        <v>12</v>
      </c>
      <c r="K1104" t="str">
        <f t="array" ref="K1104">_xlfn.IFS(J1104=1,"Day Use",J1104&lt;=3,"Short Stay",J1104&lt;=7,"Extended Stay",J1104&gt;=8,"Long Stay")</f>
        <v>Long Stay</v>
      </c>
      <c r="L1104" t="s">
        <v>84</v>
      </c>
      <c r="M1104" s="10" t="str">
        <f t="shared" si="86"/>
        <v>Suite</v>
      </c>
      <c r="N1104" t="s">
        <v>26</v>
      </c>
      <c r="O1104" t="s">
        <v>35</v>
      </c>
      <c r="P1104">
        <f>IFERROR(VLOOKUP(TRIM(M1104),Room!D:H,5,FALSE),5000)</f>
        <v>12500</v>
      </c>
      <c r="Q1104">
        <f t="shared" si="87"/>
        <v>150000</v>
      </c>
      <c r="R1104" s="11" t="str">
        <f t="shared" si="88"/>
        <v>Business</v>
      </c>
      <c r="S1104" s="11">
        <f t="shared" si="89"/>
        <v>5</v>
      </c>
    </row>
    <row r="1105" spans="1:19">
      <c r="A1105" t="s">
        <v>5820</v>
      </c>
      <c r="B1105" t="s">
        <v>5821</v>
      </c>
      <c r="C1105" t="s">
        <v>282</v>
      </c>
      <c r="D1105" t="s">
        <v>5822</v>
      </c>
      <c r="E1105" t="s">
        <v>5823</v>
      </c>
      <c r="F1105" t="s">
        <v>5824</v>
      </c>
      <c r="G1105" s="4">
        <v>45501</v>
      </c>
      <c r="H1105" s="4">
        <v>45503</v>
      </c>
      <c r="I1105" s="4">
        <v>45509</v>
      </c>
      <c r="J1105">
        <f t="shared" si="85"/>
        <v>6</v>
      </c>
      <c r="K1105" t="str">
        <f t="array" ref="K1105">_xlfn.IFS(J1105=1,"Day Use",J1105&lt;=3,"Short Stay",J1105&lt;=7,"Extended Stay",J1105&gt;=8,"Long Stay")</f>
        <v>Extended Stay</v>
      </c>
      <c r="L1105" t="s">
        <v>196</v>
      </c>
      <c r="M1105" s="10" t="str">
        <f t="shared" si="86"/>
        <v>Deluxe</v>
      </c>
      <c r="N1105" t="s">
        <v>26</v>
      </c>
      <c r="O1105" t="s">
        <v>71</v>
      </c>
      <c r="P1105">
        <f>IFERROR(VLOOKUP(TRIM(M1105),Room!D:H,5,FALSE),5000)</f>
        <v>5400</v>
      </c>
      <c r="Q1105">
        <f t="shared" si="87"/>
        <v>32400</v>
      </c>
      <c r="R1105" s="11" t="str">
        <f t="shared" si="88"/>
        <v>Conference</v>
      </c>
      <c r="S1105" s="11">
        <f t="shared" si="89"/>
        <v>3</v>
      </c>
    </row>
    <row r="1106" spans="1:19">
      <c r="A1106" t="s">
        <v>5825</v>
      </c>
      <c r="B1106" t="s">
        <v>5826</v>
      </c>
      <c r="C1106" t="s">
        <v>1288</v>
      </c>
      <c r="D1106" t="s">
        <v>5827</v>
      </c>
      <c r="E1106" t="s">
        <v>5828</v>
      </c>
      <c r="F1106" t="s">
        <v>5829</v>
      </c>
      <c r="G1106" s="4">
        <v>45228</v>
      </c>
      <c r="H1106" s="4">
        <v>45880</v>
      </c>
      <c r="I1106" s="4">
        <v>45885</v>
      </c>
      <c r="J1106">
        <f t="shared" si="85"/>
        <v>5</v>
      </c>
      <c r="K1106" t="str">
        <f t="array" ref="K1106">_xlfn.IFS(J1106=1,"Day Use",J1106&lt;=3,"Short Stay",J1106&lt;=7,"Extended Stay",J1106&gt;=8,"Long Stay")</f>
        <v>Extended Stay</v>
      </c>
      <c r="L1106" t="s">
        <v>141</v>
      </c>
      <c r="M1106" s="10" t="str">
        <f t="shared" si="86"/>
        <v>Deluxe</v>
      </c>
      <c r="N1106" t="s">
        <v>148</v>
      </c>
      <c r="O1106" t="s">
        <v>35</v>
      </c>
      <c r="P1106">
        <f>IFERROR(VLOOKUP(TRIM(M1106),Room!D:H,5,FALSE),5000)</f>
        <v>5400</v>
      </c>
      <c r="Q1106">
        <f t="shared" si="87"/>
        <v>27000</v>
      </c>
      <c r="R1106" s="11" t="str">
        <f t="shared" si="88"/>
        <v>Conference</v>
      </c>
      <c r="S1106" s="11">
        <f t="shared" si="89"/>
        <v>3</v>
      </c>
    </row>
    <row r="1107" spans="1:19">
      <c r="A1107" t="s">
        <v>5830</v>
      </c>
      <c r="B1107" t="s">
        <v>5831</v>
      </c>
      <c r="C1107" t="s">
        <v>1164</v>
      </c>
      <c r="D1107" t="s">
        <v>5832</v>
      </c>
      <c r="E1107" t="s">
        <v>5833</v>
      </c>
      <c r="F1107" t="s">
        <v>5834</v>
      </c>
      <c r="G1107" s="4">
        <v>45364</v>
      </c>
      <c r="H1107" s="4">
        <v>45391</v>
      </c>
      <c r="I1107" s="4">
        <v>45398</v>
      </c>
      <c r="J1107">
        <f t="shared" si="85"/>
        <v>7</v>
      </c>
      <c r="K1107" t="str">
        <f t="array" ref="K1107">_xlfn.IFS(J1107=1,"Day Use",J1107&lt;=3,"Short Stay",J1107&lt;=7,"Extended Stay",J1107&gt;=8,"Long Stay")</f>
        <v>Extended Stay</v>
      </c>
      <c r="L1107" t="s">
        <v>196</v>
      </c>
      <c r="M1107" s="10" t="str">
        <f t="shared" si="86"/>
        <v>Premium</v>
      </c>
      <c r="N1107" t="s">
        <v>26</v>
      </c>
      <c r="O1107" t="s">
        <v>58</v>
      </c>
      <c r="P1107">
        <f>IFERROR(VLOOKUP(TRIM(M1107),Room!D:H,5,FALSE),5000)</f>
        <v>9500</v>
      </c>
      <c r="Q1107">
        <f t="shared" si="87"/>
        <v>66500</v>
      </c>
      <c r="R1107" s="11" t="str">
        <f t="shared" si="88"/>
        <v>Conference</v>
      </c>
      <c r="S1107" s="11">
        <f t="shared" si="89"/>
        <v>4</v>
      </c>
    </row>
    <row r="1108" spans="1:19">
      <c r="A1108" t="s">
        <v>5835</v>
      </c>
      <c r="B1108" t="s">
        <v>5836</v>
      </c>
      <c r="C1108" t="s">
        <v>882</v>
      </c>
      <c r="D1108" t="s">
        <v>5837</v>
      </c>
      <c r="E1108" t="s">
        <v>5838</v>
      </c>
      <c r="F1108" t="s">
        <v>5839</v>
      </c>
      <c r="G1108" s="4">
        <v>45452</v>
      </c>
      <c r="H1108" s="4">
        <v>45458</v>
      </c>
      <c r="I1108" s="4">
        <v>45461</v>
      </c>
      <c r="J1108">
        <f t="shared" si="85"/>
        <v>3</v>
      </c>
      <c r="K1108" t="str">
        <f t="array" ref="K1108">_xlfn.IFS(J1108=1,"Day Use",J1108&lt;=3,"Short Stay",J1108&lt;=7,"Extended Stay",J1108&gt;=8,"Long Stay")</f>
        <v>Short Stay</v>
      </c>
      <c r="L1108" t="s">
        <v>25</v>
      </c>
      <c r="M1108" s="10" t="str">
        <f t="shared" si="86"/>
        <v>Standard</v>
      </c>
      <c r="N1108" t="s">
        <v>26</v>
      </c>
      <c r="O1108" t="s">
        <v>42</v>
      </c>
      <c r="P1108">
        <f>IFERROR(VLOOKUP(TRIM(M1108),Room!D:H,5,FALSE),5000)</f>
        <v>3200</v>
      </c>
      <c r="Q1108">
        <f t="shared" si="87"/>
        <v>9600</v>
      </c>
      <c r="R1108" s="11" t="str">
        <f t="shared" si="88"/>
        <v>Other</v>
      </c>
      <c r="S1108" s="11">
        <f t="shared" si="89"/>
        <v>2</v>
      </c>
    </row>
    <row r="1109" spans="1:19">
      <c r="A1109" t="s">
        <v>5840</v>
      </c>
      <c r="B1109" t="s">
        <v>5841</v>
      </c>
      <c r="C1109" t="s">
        <v>1568</v>
      </c>
      <c r="D1109" t="s">
        <v>5842</v>
      </c>
      <c r="E1109" t="s">
        <v>5843</v>
      </c>
      <c r="F1109" t="s">
        <v>5844</v>
      </c>
      <c r="G1109" s="4">
        <v>45733</v>
      </c>
      <c r="H1109" s="4">
        <v>45788</v>
      </c>
      <c r="I1109" s="4">
        <v>45802</v>
      </c>
      <c r="J1109">
        <f t="shared" si="85"/>
        <v>14</v>
      </c>
      <c r="K1109" t="str">
        <f t="array" ref="K1109">_xlfn.IFS(J1109=1,"Day Use",J1109&lt;=3,"Short Stay",J1109&lt;=7,"Extended Stay",J1109&gt;=8,"Long Stay")</f>
        <v>Long Stay</v>
      </c>
      <c r="L1109" t="s">
        <v>49</v>
      </c>
      <c r="M1109" s="10" t="str">
        <f t="shared" si="86"/>
        <v>Suite</v>
      </c>
      <c r="N1109" t="s">
        <v>26</v>
      </c>
      <c r="O1109" t="s">
        <v>27</v>
      </c>
      <c r="P1109">
        <f>IFERROR(VLOOKUP(TRIM(M1109),Room!D:H,5,FALSE),5000)</f>
        <v>12500</v>
      </c>
      <c r="Q1109">
        <f t="shared" si="87"/>
        <v>175000</v>
      </c>
      <c r="R1109" s="11" t="str">
        <f t="shared" si="88"/>
        <v>Business</v>
      </c>
      <c r="S1109" s="11">
        <f t="shared" si="89"/>
        <v>5</v>
      </c>
    </row>
    <row r="1110" spans="1:19">
      <c r="A1110" t="s">
        <v>5845</v>
      </c>
      <c r="B1110" t="s">
        <v>5846</v>
      </c>
      <c r="C1110" t="s">
        <v>2636</v>
      </c>
      <c r="D1110" t="s">
        <v>5847</v>
      </c>
      <c r="E1110" t="s">
        <v>5848</v>
      </c>
      <c r="F1110" t="s">
        <v>5849</v>
      </c>
      <c r="G1110" s="4">
        <v>45234</v>
      </c>
      <c r="H1110" s="4">
        <v>45687</v>
      </c>
      <c r="I1110" s="4">
        <v>45699</v>
      </c>
      <c r="J1110">
        <f t="shared" si="85"/>
        <v>12</v>
      </c>
      <c r="K1110" t="str">
        <f t="array" ref="K1110">_xlfn.IFS(J1110=1,"Day Use",J1110&lt;=3,"Short Stay",J1110&lt;=7,"Extended Stay",J1110&gt;=8,"Long Stay")</f>
        <v>Long Stay</v>
      </c>
      <c r="L1110" t="s">
        <v>34</v>
      </c>
      <c r="M1110" s="10" t="str">
        <f t="shared" si="86"/>
        <v>Suite</v>
      </c>
      <c r="N1110" t="s">
        <v>148</v>
      </c>
      <c r="O1110" t="s">
        <v>71</v>
      </c>
      <c r="P1110">
        <f>IFERROR(VLOOKUP(TRIM(M1110),Room!D:H,5,FALSE),5000)</f>
        <v>12500</v>
      </c>
      <c r="Q1110">
        <f t="shared" si="87"/>
        <v>150000</v>
      </c>
      <c r="R1110" s="11" t="str">
        <f t="shared" si="88"/>
        <v>Business</v>
      </c>
      <c r="S1110" s="11">
        <f t="shared" si="89"/>
        <v>5</v>
      </c>
    </row>
    <row r="1111" spans="1:19">
      <c r="A1111" t="s">
        <v>5850</v>
      </c>
      <c r="B1111" t="s">
        <v>5851</v>
      </c>
      <c r="C1111" t="s">
        <v>265</v>
      </c>
      <c r="D1111" t="s">
        <v>5852</v>
      </c>
      <c r="E1111" t="s">
        <v>5853</v>
      </c>
      <c r="F1111" t="s">
        <v>5854</v>
      </c>
      <c r="G1111" s="4">
        <v>45577</v>
      </c>
      <c r="H1111" s="4">
        <v>45618</v>
      </c>
      <c r="I1111" s="4">
        <v>45619</v>
      </c>
      <c r="J1111">
        <f t="shared" si="85"/>
        <v>1</v>
      </c>
      <c r="K1111" t="str">
        <f t="array" ref="K1111">_xlfn.IFS(J1111=1,"Day Use",J1111&lt;=3,"Short Stay",J1111&lt;=7,"Extended Stay",J1111&gt;=8,"Long Stay")</f>
        <v>Day Use</v>
      </c>
      <c r="L1111" t="s">
        <v>91</v>
      </c>
      <c r="M1111" s="10" t="str">
        <f t="shared" si="86"/>
        <v>Standard</v>
      </c>
      <c r="N1111" t="s">
        <v>26</v>
      </c>
      <c r="O1111" t="s">
        <v>42</v>
      </c>
      <c r="P1111">
        <f>IFERROR(VLOOKUP(TRIM(M1111),Room!D:H,5,FALSE),5000)</f>
        <v>3200</v>
      </c>
      <c r="Q1111">
        <f t="shared" si="87"/>
        <v>3200</v>
      </c>
      <c r="R1111" s="11" t="str">
        <f t="shared" si="88"/>
        <v>Other</v>
      </c>
      <c r="S1111" s="11">
        <f t="shared" si="89"/>
        <v>1</v>
      </c>
    </row>
    <row r="1112" spans="1:19">
      <c r="A1112" t="s">
        <v>5855</v>
      </c>
      <c r="B1112" t="s">
        <v>5856</v>
      </c>
      <c r="C1112" t="s">
        <v>351</v>
      </c>
      <c r="D1112" t="s">
        <v>5857</v>
      </c>
      <c r="E1112" t="s">
        <v>5858</v>
      </c>
      <c r="F1112" t="s">
        <v>5859</v>
      </c>
      <c r="G1112" s="4">
        <v>45306</v>
      </c>
      <c r="H1112" s="4">
        <v>46014</v>
      </c>
      <c r="I1112" s="4">
        <v>46021</v>
      </c>
      <c r="J1112">
        <f t="shared" si="85"/>
        <v>7</v>
      </c>
      <c r="K1112" t="str">
        <f t="array" ref="K1112">_xlfn.IFS(J1112=1,"Day Use",J1112&lt;=3,"Short Stay",J1112&lt;=7,"Extended Stay",J1112&gt;=8,"Long Stay")</f>
        <v>Extended Stay</v>
      </c>
      <c r="L1112" t="s">
        <v>25</v>
      </c>
      <c r="M1112" s="10" t="str">
        <f t="shared" si="86"/>
        <v>Premium</v>
      </c>
      <c r="N1112" t="s">
        <v>26</v>
      </c>
      <c r="O1112" t="s">
        <v>42</v>
      </c>
      <c r="P1112">
        <f>IFERROR(VLOOKUP(TRIM(M1112),Room!D:H,5,FALSE),5000)</f>
        <v>9500</v>
      </c>
      <c r="Q1112">
        <f t="shared" si="87"/>
        <v>66500</v>
      </c>
      <c r="R1112" s="11" t="str">
        <f t="shared" si="88"/>
        <v>Conference</v>
      </c>
      <c r="S1112" s="11">
        <f t="shared" si="89"/>
        <v>4</v>
      </c>
    </row>
    <row r="1113" spans="1:19">
      <c r="A1113" t="s">
        <v>5860</v>
      </c>
      <c r="B1113" t="s">
        <v>5861</v>
      </c>
      <c r="C1113" t="s">
        <v>1763</v>
      </c>
      <c r="D1113" t="s">
        <v>5862</v>
      </c>
      <c r="E1113" t="s">
        <v>5863</v>
      </c>
      <c r="F1113" t="s">
        <v>5864</v>
      </c>
      <c r="G1113" s="4">
        <v>45319</v>
      </c>
      <c r="H1113" s="4">
        <v>45648</v>
      </c>
      <c r="I1113" s="4">
        <v>45651</v>
      </c>
      <c r="J1113">
        <f t="shared" si="85"/>
        <v>3</v>
      </c>
      <c r="K1113" t="str">
        <f t="array" ref="K1113">_xlfn.IFS(J1113=1,"Day Use",J1113&lt;=3,"Short Stay",J1113&lt;=7,"Extended Stay",J1113&gt;=8,"Long Stay")</f>
        <v>Short Stay</v>
      </c>
      <c r="L1113" t="s">
        <v>196</v>
      </c>
      <c r="M1113" s="10" t="str">
        <f t="shared" si="86"/>
        <v>Standard</v>
      </c>
      <c r="N1113" t="s">
        <v>26</v>
      </c>
      <c r="O1113" t="s">
        <v>58</v>
      </c>
      <c r="P1113">
        <f>IFERROR(VLOOKUP(TRIM(M1113),Room!D:H,5,FALSE),5000)</f>
        <v>3200</v>
      </c>
      <c r="Q1113">
        <f t="shared" si="87"/>
        <v>9600</v>
      </c>
      <c r="R1113" s="11" t="str">
        <f t="shared" si="88"/>
        <v>Other</v>
      </c>
      <c r="S1113" s="11">
        <f t="shared" si="89"/>
        <v>2</v>
      </c>
    </row>
    <row r="1114" spans="1:19">
      <c r="A1114" t="s">
        <v>5865</v>
      </c>
      <c r="B1114" t="s">
        <v>5866</v>
      </c>
      <c r="C1114" t="s">
        <v>241</v>
      </c>
      <c r="D1114" t="s">
        <v>5867</v>
      </c>
      <c r="E1114" t="s">
        <v>5868</v>
      </c>
      <c r="F1114" t="s">
        <v>5869</v>
      </c>
      <c r="G1114" s="4">
        <v>45473</v>
      </c>
      <c r="H1114" s="4">
        <v>45478</v>
      </c>
      <c r="I1114" s="4">
        <v>45479</v>
      </c>
      <c r="J1114">
        <f t="shared" si="85"/>
        <v>1</v>
      </c>
      <c r="K1114" t="str">
        <f t="array" ref="K1114">_xlfn.IFS(J1114=1,"Day Use",J1114&lt;=3,"Short Stay",J1114&lt;=7,"Extended Stay",J1114&gt;=8,"Long Stay")</f>
        <v>Day Use</v>
      </c>
      <c r="L1114" t="s">
        <v>25</v>
      </c>
      <c r="M1114" s="10" t="str">
        <f t="shared" si="86"/>
        <v>Standard</v>
      </c>
      <c r="N1114" t="s">
        <v>26</v>
      </c>
      <c r="O1114" t="s">
        <v>71</v>
      </c>
      <c r="P1114">
        <f>IFERROR(VLOOKUP(TRIM(M1114),Room!D:H,5,FALSE),5000)</f>
        <v>3200</v>
      </c>
      <c r="Q1114">
        <f t="shared" si="87"/>
        <v>3200</v>
      </c>
      <c r="R1114" s="11" t="str">
        <f t="shared" si="88"/>
        <v>Other</v>
      </c>
      <c r="S1114" s="11">
        <f t="shared" si="89"/>
        <v>1</v>
      </c>
    </row>
    <row r="1115" spans="1:19">
      <c r="A1115" t="s">
        <v>5870</v>
      </c>
      <c r="B1115" t="s">
        <v>5871</v>
      </c>
      <c r="C1115" t="s">
        <v>1114</v>
      </c>
      <c r="D1115" t="s">
        <v>5872</v>
      </c>
      <c r="E1115" t="s">
        <v>5873</v>
      </c>
      <c r="F1115" t="s">
        <v>5874</v>
      </c>
      <c r="G1115" s="4">
        <v>45407</v>
      </c>
      <c r="H1115" s="4">
        <v>45425</v>
      </c>
      <c r="I1115" s="4">
        <v>45439</v>
      </c>
      <c r="J1115">
        <f t="shared" si="85"/>
        <v>14</v>
      </c>
      <c r="K1115" t="str">
        <f t="array" ref="K1115">_xlfn.IFS(J1115=1,"Day Use",J1115&lt;=3,"Short Stay",J1115&lt;=7,"Extended Stay",J1115&gt;=8,"Long Stay")</f>
        <v>Long Stay</v>
      </c>
      <c r="L1115" t="s">
        <v>56</v>
      </c>
      <c r="M1115" s="10" t="str">
        <f t="shared" si="86"/>
        <v>Suite</v>
      </c>
      <c r="N1115" t="s">
        <v>26</v>
      </c>
      <c r="O1115" t="s">
        <v>58</v>
      </c>
      <c r="P1115">
        <f>IFERROR(VLOOKUP(TRIM(M1115),Room!D:H,5,FALSE),5000)</f>
        <v>12500</v>
      </c>
      <c r="Q1115">
        <f t="shared" si="87"/>
        <v>175000</v>
      </c>
      <c r="R1115" s="11" t="str">
        <f t="shared" si="88"/>
        <v>Business</v>
      </c>
      <c r="S1115" s="11">
        <f t="shared" si="89"/>
        <v>5</v>
      </c>
    </row>
    <row r="1116" spans="1:19">
      <c r="A1116" t="s">
        <v>5875</v>
      </c>
      <c r="B1116" t="s">
        <v>5876</v>
      </c>
      <c r="C1116" t="s">
        <v>2154</v>
      </c>
      <c r="D1116" t="s">
        <v>5877</v>
      </c>
      <c r="E1116" t="s">
        <v>5878</v>
      </c>
      <c r="F1116" t="s">
        <v>5879</v>
      </c>
      <c r="G1116" s="4">
        <v>45535</v>
      </c>
      <c r="H1116" s="4">
        <v>45545</v>
      </c>
      <c r="I1116" s="4">
        <v>45558</v>
      </c>
      <c r="J1116">
        <f t="shared" si="85"/>
        <v>13</v>
      </c>
      <c r="K1116" t="str">
        <f t="array" ref="K1116">_xlfn.IFS(J1116=1,"Day Use",J1116&lt;=3,"Short Stay",J1116&lt;=7,"Extended Stay",J1116&gt;=8,"Long Stay")</f>
        <v>Long Stay</v>
      </c>
      <c r="L1116" t="s">
        <v>49</v>
      </c>
      <c r="M1116" s="10" t="str">
        <f t="shared" si="86"/>
        <v>Suite</v>
      </c>
      <c r="N1116" t="s">
        <v>26</v>
      </c>
      <c r="O1116" t="s">
        <v>58</v>
      </c>
      <c r="P1116">
        <f>IFERROR(VLOOKUP(TRIM(M1116),Room!D:H,5,FALSE),5000)</f>
        <v>12500</v>
      </c>
      <c r="Q1116">
        <f t="shared" si="87"/>
        <v>162500</v>
      </c>
      <c r="R1116" s="11" t="str">
        <f t="shared" si="88"/>
        <v>Business</v>
      </c>
      <c r="S1116" s="11">
        <f t="shared" si="89"/>
        <v>5</v>
      </c>
    </row>
    <row r="1117" spans="1:19">
      <c r="A1117" t="s">
        <v>5880</v>
      </c>
      <c r="B1117" t="s">
        <v>5881</v>
      </c>
      <c r="C1117" t="s">
        <v>1757</v>
      </c>
      <c r="D1117" t="s">
        <v>5882</v>
      </c>
      <c r="E1117" t="s">
        <v>5883</v>
      </c>
      <c r="F1117" t="s">
        <v>5884</v>
      </c>
      <c r="G1117" s="4">
        <v>45306</v>
      </c>
      <c r="H1117" s="4">
        <v>45794</v>
      </c>
      <c r="I1117" s="4">
        <v>45796</v>
      </c>
      <c r="J1117">
        <f t="shared" si="85"/>
        <v>2</v>
      </c>
      <c r="K1117" t="str">
        <f t="array" ref="K1117">_xlfn.IFS(J1117=1,"Day Use",J1117&lt;=3,"Short Stay",J1117&lt;=7,"Extended Stay",J1117&gt;=8,"Long Stay")</f>
        <v>Short Stay</v>
      </c>
      <c r="L1117" t="s">
        <v>34</v>
      </c>
      <c r="M1117" s="10" t="str">
        <f t="shared" si="86"/>
        <v>Standard</v>
      </c>
      <c r="N1117" t="s">
        <v>57</v>
      </c>
      <c r="O1117" t="s">
        <v>58</v>
      </c>
      <c r="P1117">
        <f>IFERROR(VLOOKUP(TRIM(M1117),Room!D:H,5,FALSE),5000)</f>
        <v>3200</v>
      </c>
      <c r="Q1117">
        <f t="shared" si="87"/>
        <v>6400</v>
      </c>
      <c r="R1117" s="11" t="str">
        <f t="shared" si="88"/>
        <v>Other</v>
      </c>
      <c r="S1117" s="11">
        <f t="shared" si="89"/>
        <v>2</v>
      </c>
    </row>
    <row r="1118" spans="1:19">
      <c r="A1118" t="s">
        <v>5885</v>
      </c>
      <c r="B1118" t="s">
        <v>5886</v>
      </c>
      <c r="C1118" t="s">
        <v>768</v>
      </c>
      <c r="D1118" t="s">
        <v>5887</v>
      </c>
      <c r="E1118" t="s">
        <v>5888</v>
      </c>
      <c r="F1118" t="s">
        <v>5889</v>
      </c>
      <c r="G1118" s="4">
        <v>45381</v>
      </c>
      <c r="H1118" s="4">
        <v>45411</v>
      </c>
      <c r="I1118" s="4">
        <v>45417</v>
      </c>
      <c r="J1118">
        <f t="shared" si="85"/>
        <v>6</v>
      </c>
      <c r="K1118" t="str">
        <f t="array" ref="K1118">_xlfn.IFS(J1118=1,"Day Use",J1118&lt;=3,"Short Stay",J1118&lt;=7,"Extended Stay",J1118&gt;=8,"Long Stay")</f>
        <v>Extended Stay</v>
      </c>
      <c r="L1118" t="s">
        <v>141</v>
      </c>
      <c r="M1118" s="10" t="str">
        <f t="shared" si="86"/>
        <v>Deluxe</v>
      </c>
      <c r="N1118" t="s">
        <v>26</v>
      </c>
      <c r="O1118" t="s">
        <v>42</v>
      </c>
      <c r="P1118">
        <f>IFERROR(VLOOKUP(TRIM(M1118),Room!D:H,5,FALSE),5000)</f>
        <v>5400</v>
      </c>
      <c r="Q1118">
        <f t="shared" si="87"/>
        <v>32400</v>
      </c>
      <c r="R1118" s="11" t="str">
        <f t="shared" si="88"/>
        <v>Conference</v>
      </c>
      <c r="S1118" s="11">
        <f t="shared" si="89"/>
        <v>3</v>
      </c>
    </row>
    <row r="1119" spans="1:19">
      <c r="A1119" t="s">
        <v>5890</v>
      </c>
      <c r="B1119" t="s">
        <v>5891</v>
      </c>
      <c r="C1119" t="s">
        <v>1207</v>
      </c>
      <c r="D1119" t="s">
        <v>5892</v>
      </c>
      <c r="E1119" t="s">
        <v>5893</v>
      </c>
      <c r="F1119" t="s">
        <v>5894</v>
      </c>
      <c r="G1119" s="4">
        <v>45305</v>
      </c>
      <c r="H1119" s="4">
        <v>45744</v>
      </c>
      <c r="I1119" s="4">
        <v>45746</v>
      </c>
      <c r="J1119">
        <f t="shared" si="85"/>
        <v>2</v>
      </c>
      <c r="K1119" t="str">
        <f t="array" ref="K1119">_xlfn.IFS(J1119=1,"Day Use",J1119&lt;=3,"Short Stay",J1119&lt;=7,"Extended Stay",J1119&gt;=8,"Long Stay")</f>
        <v>Short Stay</v>
      </c>
      <c r="L1119" t="s">
        <v>34</v>
      </c>
      <c r="M1119" s="10" t="str">
        <f t="shared" si="86"/>
        <v>Standard</v>
      </c>
      <c r="N1119" t="s">
        <v>57</v>
      </c>
      <c r="O1119" t="s">
        <v>27</v>
      </c>
      <c r="P1119">
        <f>IFERROR(VLOOKUP(TRIM(M1119),Room!D:H,5,FALSE),5000)</f>
        <v>3200</v>
      </c>
      <c r="Q1119">
        <f t="shared" si="87"/>
        <v>6400</v>
      </c>
      <c r="R1119" s="11" t="str">
        <f t="shared" si="88"/>
        <v>Other</v>
      </c>
      <c r="S1119" s="11">
        <f t="shared" si="89"/>
        <v>2</v>
      </c>
    </row>
    <row r="1120" spans="1:19">
      <c r="A1120" t="s">
        <v>5895</v>
      </c>
      <c r="B1120" t="s">
        <v>5896</v>
      </c>
      <c r="C1120" t="s">
        <v>587</v>
      </c>
      <c r="D1120" t="s">
        <v>5897</v>
      </c>
      <c r="E1120" t="s">
        <v>5898</v>
      </c>
      <c r="F1120" t="s">
        <v>5899</v>
      </c>
      <c r="G1120" s="4">
        <v>45349</v>
      </c>
      <c r="H1120" s="4">
        <v>45615</v>
      </c>
      <c r="I1120" s="4">
        <v>45625</v>
      </c>
      <c r="J1120">
        <f t="shared" si="85"/>
        <v>10</v>
      </c>
      <c r="K1120" t="str">
        <f t="array" ref="K1120">_xlfn.IFS(J1120=1,"Day Use",J1120&lt;=3,"Short Stay",J1120&lt;=7,"Extended Stay",J1120&gt;=8,"Long Stay")</f>
        <v>Long Stay</v>
      </c>
      <c r="L1120" t="s">
        <v>84</v>
      </c>
      <c r="M1120" s="10" t="str">
        <f t="shared" si="86"/>
        <v>Premium</v>
      </c>
      <c r="N1120" t="s">
        <v>26</v>
      </c>
      <c r="O1120" t="s">
        <v>27</v>
      </c>
      <c r="P1120">
        <f>IFERROR(VLOOKUP(TRIM(M1120),Room!D:H,5,FALSE),5000)</f>
        <v>9500</v>
      </c>
      <c r="Q1120">
        <f t="shared" si="87"/>
        <v>95000</v>
      </c>
      <c r="R1120" s="11" t="str">
        <f t="shared" si="88"/>
        <v>Conference</v>
      </c>
      <c r="S1120" s="11">
        <f t="shared" si="89"/>
        <v>4</v>
      </c>
    </row>
    <row r="1121" spans="1:19">
      <c r="A1121" t="s">
        <v>5900</v>
      </c>
      <c r="B1121" t="s">
        <v>5901</v>
      </c>
      <c r="C1121" t="s">
        <v>547</v>
      </c>
      <c r="D1121" t="s">
        <v>5902</v>
      </c>
      <c r="E1121" t="s">
        <v>5903</v>
      </c>
      <c r="F1121" t="s">
        <v>5904</v>
      </c>
      <c r="G1121" s="4">
        <v>45519</v>
      </c>
      <c r="H1121" s="4">
        <v>45964</v>
      </c>
      <c r="I1121" s="4">
        <v>45978</v>
      </c>
      <c r="J1121">
        <f t="shared" si="85"/>
        <v>14</v>
      </c>
      <c r="K1121" t="str">
        <f t="array" ref="K1121">_xlfn.IFS(J1121=1,"Day Use",J1121&lt;=3,"Short Stay",J1121&lt;=7,"Extended Stay",J1121&gt;=8,"Long Stay")</f>
        <v>Long Stay</v>
      </c>
      <c r="L1121" t="s">
        <v>25</v>
      </c>
      <c r="M1121" s="10" t="str">
        <f t="shared" si="86"/>
        <v>Suite</v>
      </c>
      <c r="N1121" t="s">
        <v>26</v>
      </c>
      <c r="O1121" t="s">
        <v>71</v>
      </c>
      <c r="P1121">
        <f>IFERROR(VLOOKUP(TRIM(M1121),Room!D:H,5,FALSE),5000)</f>
        <v>12500</v>
      </c>
      <c r="Q1121">
        <f t="shared" si="87"/>
        <v>175000</v>
      </c>
      <c r="R1121" s="11" t="str">
        <f t="shared" si="88"/>
        <v>Business</v>
      </c>
      <c r="S1121" s="11">
        <f t="shared" si="89"/>
        <v>5</v>
      </c>
    </row>
    <row r="1122" spans="1:19">
      <c r="A1122" t="s">
        <v>5905</v>
      </c>
      <c r="B1122" t="s">
        <v>5906</v>
      </c>
      <c r="C1122" t="s">
        <v>5907</v>
      </c>
      <c r="D1122" t="s">
        <v>5908</v>
      </c>
      <c r="E1122" t="s">
        <v>5909</v>
      </c>
      <c r="F1122" t="s">
        <v>5910</v>
      </c>
      <c r="G1122" s="4">
        <v>45245</v>
      </c>
      <c r="H1122" s="4">
        <v>45770</v>
      </c>
      <c r="I1122" s="4">
        <v>45772</v>
      </c>
      <c r="J1122">
        <f t="shared" si="85"/>
        <v>2</v>
      </c>
      <c r="K1122" t="str">
        <f t="array" ref="K1122">_xlfn.IFS(J1122=1,"Day Use",J1122&lt;=3,"Short Stay",J1122&lt;=7,"Extended Stay",J1122&gt;=8,"Long Stay")</f>
        <v>Short Stay</v>
      </c>
      <c r="L1122" t="s">
        <v>141</v>
      </c>
      <c r="M1122" s="10" t="str">
        <f t="shared" si="86"/>
        <v>Standard</v>
      </c>
      <c r="N1122" t="s">
        <v>26</v>
      </c>
      <c r="O1122" t="s">
        <v>42</v>
      </c>
      <c r="P1122">
        <f>IFERROR(VLOOKUP(TRIM(M1122),Room!D:H,5,FALSE),5000)</f>
        <v>3200</v>
      </c>
      <c r="Q1122">
        <f t="shared" si="87"/>
        <v>6400</v>
      </c>
      <c r="R1122" s="11" t="str">
        <f t="shared" si="88"/>
        <v>Other</v>
      </c>
      <c r="S1122" s="11">
        <f t="shared" si="89"/>
        <v>2</v>
      </c>
    </row>
    <row r="1123" spans="1:19">
      <c r="A1123" t="s">
        <v>5911</v>
      </c>
      <c r="B1123" t="s">
        <v>5912</v>
      </c>
      <c r="C1123" t="s">
        <v>621</v>
      </c>
      <c r="D1123" t="s">
        <v>5913</v>
      </c>
      <c r="E1123" t="s">
        <v>5914</v>
      </c>
      <c r="F1123" t="s">
        <v>5915</v>
      </c>
      <c r="G1123" s="4">
        <v>45288</v>
      </c>
      <c r="H1123" s="4">
        <v>45673</v>
      </c>
      <c r="I1123" s="4">
        <v>45679</v>
      </c>
      <c r="J1123">
        <f t="shared" si="85"/>
        <v>6</v>
      </c>
      <c r="K1123" t="str">
        <f t="array" ref="K1123">_xlfn.IFS(J1123=1,"Day Use",J1123&lt;=3,"Short Stay",J1123&lt;=7,"Extended Stay",J1123&gt;=8,"Long Stay")</f>
        <v>Extended Stay</v>
      </c>
      <c r="L1123" t="s">
        <v>84</v>
      </c>
      <c r="M1123" s="10" t="str">
        <f t="shared" si="86"/>
        <v>Deluxe</v>
      </c>
      <c r="N1123" t="s">
        <v>26</v>
      </c>
      <c r="O1123" t="s">
        <v>27</v>
      </c>
      <c r="P1123">
        <f>IFERROR(VLOOKUP(TRIM(M1123),Room!D:H,5,FALSE),5000)</f>
        <v>5400</v>
      </c>
      <c r="Q1123">
        <f t="shared" si="87"/>
        <v>32400</v>
      </c>
      <c r="R1123" s="11" t="str">
        <f t="shared" si="88"/>
        <v>Conference</v>
      </c>
      <c r="S1123" s="11">
        <f t="shared" si="89"/>
        <v>3</v>
      </c>
    </row>
    <row r="1124" spans="1:19">
      <c r="A1124" t="s">
        <v>5916</v>
      </c>
      <c r="B1124" t="s">
        <v>5917</v>
      </c>
      <c r="C1124" t="s">
        <v>4740</v>
      </c>
      <c r="D1124" t="s">
        <v>5918</v>
      </c>
      <c r="E1124" t="s">
        <v>5919</v>
      </c>
      <c r="F1124" t="s">
        <v>5920</v>
      </c>
      <c r="G1124" s="4">
        <v>45802</v>
      </c>
      <c r="H1124" s="4">
        <v>45826</v>
      </c>
      <c r="I1124" s="4">
        <v>45835</v>
      </c>
      <c r="J1124">
        <f t="shared" si="85"/>
        <v>9</v>
      </c>
      <c r="K1124" t="str">
        <f t="array" ref="K1124">_xlfn.IFS(J1124=1,"Day Use",J1124&lt;=3,"Short Stay",J1124&lt;=7,"Extended Stay",J1124&gt;=8,"Long Stay")</f>
        <v>Long Stay</v>
      </c>
      <c r="L1124" t="s">
        <v>34</v>
      </c>
      <c r="M1124" s="10" t="str">
        <f t="shared" si="86"/>
        <v>Premium</v>
      </c>
      <c r="N1124" t="s">
        <v>26</v>
      </c>
      <c r="O1124" t="s">
        <v>35</v>
      </c>
      <c r="P1124">
        <f>IFERROR(VLOOKUP(TRIM(M1124),Room!D:H,5,FALSE),5000)</f>
        <v>9500</v>
      </c>
      <c r="Q1124">
        <f t="shared" si="87"/>
        <v>85500</v>
      </c>
      <c r="R1124" s="11" t="str">
        <f t="shared" si="88"/>
        <v>Conference</v>
      </c>
      <c r="S1124" s="11">
        <f t="shared" si="89"/>
        <v>4</v>
      </c>
    </row>
    <row r="1125" spans="1:19">
      <c r="A1125" t="s">
        <v>5921</v>
      </c>
      <c r="B1125" t="s">
        <v>5922</v>
      </c>
      <c r="C1125" t="s">
        <v>708</v>
      </c>
      <c r="D1125" t="s">
        <v>5923</v>
      </c>
      <c r="E1125" t="s">
        <v>5924</v>
      </c>
      <c r="F1125" t="s">
        <v>5925</v>
      </c>
      <c r="G1125" s="4">
        <v>45406</v>
      </c>
      <c r="H1125" s="4">
        <v>45414</v>
      </c>
      <c r="I1125" s="4">
        <v>45418</v>
      </c>
      <c r="J1125">
        <f t="shared" si="85"/>
        <v>4</v>
      </c>
      <c r="K1125" t="str">
        <f t="array" ref="K1125">_xlfn.IFS(J1125=1,"Day Use",J1125&lt;=3,"Short Stay",J1125&lt;=7,"Extended Stay",J1125&gt;=8,"Long Stay")</f>
        <v>Extended Stay</v>
      </c>
      <c r="L1125" t="s">
        <v>141</v>
      </c>
      <c r="M1125" s="10" t="str">
        <f t="shared" si="86"/>
        <v>Deluxe</v>
      </c>
      <c r="N1125" t="s">
        <v>148</v>
      </c>
      <c r="O1125" t="s">
        <v>35</v>
      </c>
      <c r="P1125">
        <f>IFERROR(VLOOKUP(TRIM(M1125),Room!D:H,5,FALSE),5000)</f>
        <v>5400</v>
      </c>
      <c r="Q1125">
        <f t="shared" si="87"/>
        <v>21600</v>
      </c>
      <c r="R1125" s="11" t="str">
        <f t="shared" si="88"/>
        <v>Conference</v>
      </c>
      <c r="S1125" s="11">
        <f t="shared" si="89"/>
        <v>3</v>
      </c>
    </row>
    <row r="1126" spans="1:19">
      <c r="A1126" t="s">
        <v>5926</v>
      </c>
      <c r="B1126" t="s">
        <v>5927</v>
      </c>
      <c r="C1126" t="s">
        <v>939</v>
      </c>
      <c r="D1126" t="s">
        <v>5928</v>
      </c>
      <c r="E1126" t="s">
        <v>5929</v>
      </c>
      <c r="F1126" t="s">
        <v>5930</v>
      </c>
      <c r="G1126" s="4">
        <v>45368</v>
      </c>
      <c r="H1126" s="4">
        <v>45477</v>
      </c>
      <c r="I1126" s="4">
        <v>45482</v>
      </c>
      <c r="J1126">
        <f t="shared" si="85"/>
        <v>5</v>
      </c>
      <c r="K1126" t="str">
        <f t="array" ref="K1126">_xlfn.IFS(J1126=1,"Day Use",J1126&lt;=3,"Short Stay",J1126&lt;=7,"Extended Stay",J1126&gt;=8,"Long Stay")</f>
        <v>Extended Stay</v>
      </c>
      <c r="L1126" t="s">
        <v>49</v>
      </c>
      <c r="M1126" s="10" t="str">
        <f t="shared" si="86"/>
        <v>Deluxe</v>
      </c>
      <c r="N1126" t="s">
        <v>26</v>
      </c>
      <c r="O1126" t="s">
        <v>27</v>
      </c>
      <c r="P1126">
        <f>IFERROR(VLOOKUP(TRIM(M1126),Room!D:H,5,FALSE),5000)</f>
        <v>5400</v>
      </c>
      <c r="Q1126">
        <f t="shared" si="87"/>
        <v>27000</v>
      </c>
      <c r="R1126" s="11" t="str">
        <f t="shared" si="88"/>
        <v>Conference</v>
      </c>
      <c r="S1126" s="11">
        <f t="shared" si="89"/>
        <v>3</v>
      </c>
    </row>
    <row r="1127" spans="1:19">
      <c r="A1127" t="s">
        <v>5931</v>
      </c>
      <c r="B1127" t="s">
        <v>5932</v>
      </c>
      <c r="C1127" t="s">
        <v>5425</v>
      </c>
      <c r="D1127" t="s">
        <v>5933</v>
      </c>
      <c r="E1127" t="s">
        <v>5934</v>
      </c>
      <c r="F1127" t="s">
        <v>5935</v>
      </c>
      <c r="G1127" s="4">
        <v>45869</v>
      </c>
      <c r="H1127" s="4">
        <v>45971</v>
      </c>
      <c r="I1127" s="4">
        <v>45977</v>
      </c>
      <c r="J1127">
        <f t="shared" si="85"/>
        <v>6</v>
      </c>
      <c r="K1127" t="str">
        <f t="array" ref="K1127">_xlfn.IFS(J1127=1,"Day Use",J1127&lt;=3,"Short Stay",J1127&lt;=7,"Extended Stay",J1127&gt;=8,"Long Stay")</f>
        <v>Extended Stay</v>
      </c>
      <c r="L1127" t="s">
        <v>34</v>
      </c>
      <c r="M1127" s="10" t="str">
        <f t="shared" si="86"/>
        <v>Deluxe</v>
      </c>
      <c r="N1127" t="s">
        <v>134</v>
      </c>
      <c r="O1127" t="s">
        <v>27</v>
      </c>
      <c r="P1127">
        <f>IFERROR(VLOOKUP(TRIM(M1127),Room!D:H,5,FALSE),5000)</f>
        <v>5400</v>
      </c>
      <c r="Q1127">
        <f t="shared" si="87"/>
        <v>32400</v>
      </c>
      <c r="R1127" s="11" t="str">
        <f t="shared" si="88"/>
        <v>Conference</v>
      </c>
      <c r="S1127" s="11">
        <f t="shared" si="89"/>
        <v>3</v>
      </c>
    </row>
    <row r="1128" spans="1:19">
      <c r="A1128" t="s">
        <v>5936</v>
      </c>
      <c r="B1128" t="s">
        <v>5937</v>
      </c>
      <c r="C1128" t="s">
        <v>865</v>
      </c>
      <c r="D1128" t="s">
        <v>5938</v>
      </c>
      <c r="E1128" t="s">
        <v>5939</v>
      </c>
      <c r="F1128" t="s">
        <v>5940</v>
      </c>
      <c r="G1128" s="4">
        <v>45746</v>
      </c>
      <c r="H1128" s="4">
        <v>45900</v>
      </c>
      <c r="I1128" s="4">
        <v>45904</v>
      </c>
      <c r="J1128">
        <f t="shared" si="85"/>
        <v>4</v>
      </c>
      <c r="K1128" t="str">
        <f t="array" ref="K1128">_xlfn.IFS(J1128=1,"Day Use",J1128&lt;=3,"Short Stay",J1128&lt;=7,"Extended Stay",J1128&gt;=8,"Long Stay")</f>
        <v>Extended Stay</v>
      </c>
      <c r="L1128" t="s">
        <v>56</v>
      </c>
      <c r="M1128" s="10" t="str">
        <f t="shared" si="86"/>
        <v>Deluxe</v>
      </c>
      <c r="N1128" t="s">
        <v>26</v>
      </c>
      <c r="O1128" t="s">
        <v>35</v>
      </c>
      <c r="P1128">
        <f>IFERROR(VLOOKUP(TRIM(M1128),Room!D:H,5,FALSE),5000)</f>
        <v>5400</v>
      </c>
      <c r="Q1128">
        <f t="shared" si="87"/>
        <v>21600</v>
      </c>
      <c r="R1128" s="11" t="str">
        <f t="shared" si="88"/>
        <v>Conference</v>
      </c>
      <c r="S1128" s="11">
        <f t="shared" si="89"/>
        <v>3</v>
      </c>
    </row>
    <row r="1129" spans="1:19">
      <c r="A1129" t="s">
        <v>5941</v>
      </c>
      <c r="B1129" t="s">
        <v>5942</v>
      </c>
      <c r="C1129" t="s">
        <v>3112</v>
      </c>
      <c r="D1129" t="s">
        <v>5943</v>
      </c>
      <c r="E1129" t="s">
        <v>5944</v>
      </c>
      <c r="F1129" t="s">
        <v>5945</v>
      </c>
      <c r="G1129" s="4">
        <v>45367</v>
      </c>
      <c r="H1129" s="4">
        <v>45379</v>
      </c>
      <c r="I1129" s="4">
        <v>45387</v>
      </c>
      <c r="J1129">
        <f t="shared" si="85"/>
        <v>8</v>
      </c>
      <c r="K1129" t="str">
        <f t="array" ref="K1129">_xlfn.IFS(J1129=1,"Day Use",J1129&lt;=3,"Short Stay",J1129&lt;=7,"Extended Stay",J1129&gt;=8,"Long Stay")</f>
        <v>Long Stay</v>
      </c>
      <c r="L1129" t="s">
        <v>25</v>
      </c>
      <c r="M1129" s="10" t="str">
        <f t="shared" si="86"/>
        <v>Premium</v>
      </c>
      <c r="N1129" t="s">
        <v>148</v>
      </c>
      <c r="O1129" t="s">
        <v>58</v>
      </c>
      <c r="P1129">
        <f>IFERROR(VLOOKUP(TRIM(M1129),Room!D:H,5,FALSE),5000)</f>
        <v>9500</v>
      </c>
      <c r="Q1129">
        <f t="shared" si="87"/>
        <v>76000</v>
      </c>
      <c r="R1129" s="11" t="str">
        <f t="shared" si="88"/>
        <v>Conference</v>
      </c>
      <c r="S1129" s="11">
        <f t="shared" si="89"/>
        <v>4</v>
      </c>
    </row>
    <row r="1130" spans="1:19">
      <c r="A1130" t="s">
        <v>5946</v>
      </c>
      <c r="B1130" t="s">
        <v>5947</v>
      </c>
      <c r="C1130" t="s">
        <v>2663</v>
      </c>
      <c r="D1130" t="s">
        <v>5948</v>
      </c>
      <c r="E1130" t="s">
        <v>5949</v>
      </c>
      <c r="F1130" t="s">
        <v>5950</v>
      </c>
      <c r="G1130" s="4">
        <v>45261</v>
      </c>
      <c r="H1130" s="4">
        <v>45676</v>
      </c>
      <c r="I1130" s="4">
        <v>45684</v>
      </c>
      <c r="J1130">
        <f t="shared" si="85"/>
        <v>8</v>
      </c>
      <c r="K1130" t="str">
        <f t="array" ref="K1130">_xlfn.IFS(J1130=1,"Day Use",J1130&lt;=3,"Short Stay",J1130&lt;=7,"Extended Stay",J1130&gt;=8,"Long Stay")</f>
        <v>Long Stay</v>
      </c>
      <c r="L1130" t="s">
        <v>141</v>
      </c>
      <c r="M1130" s="10" t="str">
        <f t="shared" si="86"/>
        <v>Premium</v>
      </c>
      <c r="N1130" t="s">
        <v>26</v>
      </c>
      <c r="O1130" t="s">
        <v>42</v>
      </c>
      <c r="P1130">
        <f>IFERROR(VLOOKUP(TRIM(M1130),Room!D:H,5,FALSE),5000)</f>
        <v>9500</v>
      </c>
      <c r="Q1130">
        <f t="shared" si="87"/>
        <v>76000</v>
      </c>
      <c r="R1130" s="11" t="str">
        <f t="shared" si="88"/>
        <v>Conference</v>
      </c>
      <c r="S1130" s="11">
        <f t="shared" si="89"/>
        <v>4</v>
      </c>
    </row>
    <row r="1131" spans="1:19">
      <c r="A1131" t="s">
        <v>5951</v>
      </c>
      <c r="B1131" t="s">
        <v>5952</v>
      </c>
      <c r="C1131" t="s">
        <v>3448</v>
      </c>
      <c r="D1131" t="s">
        <v>5953</v>
      </c>
      <c r="E1131" t="s">
        <v>5954</v>
      </c>
      <c r="F1131" t="s">
        <v>5955</v>
      </c>
      <c r="G1131" s="4">
        <v>45496</v>
      </c>
      <c r="H1131" s="4">
        <v>45885</v>
      </c>
      <c r="I1131" s="4">
        <v>45890</v>
      </c>
      <c r="J1131">
        <f t="shared" si="85"/>
        <v>5</v>
      </c>
      <c r="K1131" t="str">
        <f t="array" ref="K1131">_xlfn.IFS(J1131=1,"Day Use",J1131&lt;=3,"Short Stay",J1131&lt;=7,"Extended Stay",J1131&gt;=8,"Long Stay")</f>
        <v>Extended Stay</v>
      </c>
      <c r="L1131" t="s">
        <v>34</v>
      </c>
      <c r="M1131" s="10" t="str">
        <f t="shared" si="86"/>
        <v>Deluxe</v>
      </c>
      <c r="N1131" t="s">
        <v>148</v>
      </c>
      <c r="O1131" t="s">
        <v>58</v>
      </c>
      <c r="P1131">
        <f>IFERROR(VLOOKUP(TRIM(M1131),Room!D:H,5,FALSE),5000)</f>
        <v>5400</v>
      </c>
      <c r="Q1131">
        <f t="shared" si="87"/>
        <v>27000</v>
      </c>
      <c r="R1131" s="11" t="str">
        <f t="shared" si="88"/>
        <v>Conference</v>
      </c>
      <c r="S1131" s="11">
        <f t="shared" si="89"/>
        <v>3</v>
      </c>
    </row>
    <row r="1132" spans="1:19">
      <c r="A1132" t="s">
        <v>5956</v>
      </c>
      <c r="B1132" t="s">
        <v>5957</v>
      </c>
      <c r="C1132" t="s">
        <v>363</v>
      </c>
      <c r="D1132" t="s">
        <v>5958</v>
      </c>
      <c r="E1132" t="s">
        <v>5959</v>
      </c>
      <c r="F1132" t="s">
        <v>5960</v>
      </c>
      <c r="G1132" s="4">
        <v>45673</v>
      </c>
      <c r="H1132" s="4">
        <v>45814</v>
      </c>
      <c r="I1132" s="4">
        <v>45816</v>
      </c>
      <c r="J1132">
        <f t="shared" si="85"/>
        <v>2</v>
      </c>
      <c r="K1132" t="str">
        <f t="array" ref="K1132">_xlfn.IFS(J1132=1,"Day Use",J1132&lt;=3,"Short Stay",J1132&lt;=7,"Extended Stay",J1132&gt;=8,"Long Stay")</f>
        <v>Short Stay</v>
      </c>
      <c r="L1132" t="s">
        <v>25</v>
      </c>
      <c r="M1132" s="10" t="str">
        <f t="shared" si="86"/>
        <v>Standard</v>
      </c>
      <c r="N1132" t="s">
        <v>26</v>
      </c>
      <c r="O1132" t="s">
        <v>35</v>
      </c>
      <c r="P1132">
        <f>IFERROR(VLOOKUP(TRIM(M1132),Room!D:H,5,FALSE),5000)</f>
        <v>3200</v>
      </c>
      <c r="Q1132">
        <f t="shared" si="87"/>
        <v>6400</v>
      </c>
      <c r="R1132" s="11" t="str">
        <f t="shared" si="88"/>
        <v>Other</v>
      </c>
      <c r="S1132" s="11">
        <f t="shared" si="89"/>
        <v>2</v>
      </c>
    </row>
    <row r="1133" spans="1:19">
      <c r="A1133" t="s">
        <v>5961</v>
      </c>
      <c r="B1133" t="s">
        <v>5962</v>
      </c>
      <c r="C1133" t="s">
        <v>1626</v>
      </c>
      <c r="D1133" t="s">
        <v>5963</v>
      </c>
      <c r="E1133" t="s">
        <v>5964</v>
      </c>
      <c r="F1133" t="s">
        <v>5965</v>
      </c>
      <c r="G1133" s="4">
        <v>45282</v>
      </c>
      <c r="H1133" s="4">
        <v>45904</v>
      </c>
      <c r="I1133" s="4">
        <v>45912</v>
      </c>
      <c r="J1133">
        <f t="shared" si="85"/>
        <v>8</v>
      </c>
      <c r="K1133" t="str">
        <f t="array" ref="K1133">_xlfn.IFS(J1133=1,"Day Use",J1133&lt;=3,"Short Stay",J1133&lt;=7,"Extended Stay",J1133&gt;=8,"Long Stay")</f>
        <v>Long Stay</v>
      </c>
      <c r="L1133" t="s">
        <v>56</v>
      </c>
      <c r="M1133" s="10" t="str">
        <f t="shared" si="86"/>
        <v>Premium</v>
      </c>
      <c r="N1133" t="s">
        <v>26</v>
      </c>
      <c r="O1133" t="s">
        <v>71</v>
      </c>
      <c r="P1133">
        <f>IFERROR(VLOOKUP(TRIM(M1133),Room!D:H,5,FALSE),5000)</f>
        <v>9500</v>
      </c>
      <c r="Q1133">
        <f t="shared" si="87"/>
        <v>76000</v>
      </c>
      <c r="R1133" s="11" t="str">
        <f t="shared" si="88"/>
        <v>Conference</v>
      </c>
      <c r="S1133" s="11">
        <f t="shared" si="89"/>
        <v>4</v>
      </c>
    </row>
    <row r="1134" spans="1:19">
      <c r="A1134" t="s">
        <v>5966</v>
      </c>
      <c r="B1134" t="s">
        <v>5967</v>
      </c>
      <c r="C1134" t="s">
        <v>4328</v>
      </c>
      <c r="D1134" t="s">
        <v>5968</v>
      </c>
      <c r="E1134" t="s">
        <v>5969</v>
      </c>
      <c r="F1134" t="s">
        <v>5970</v>
      </c>
      <c r="G1134" s="4">
        <v>45908</v>
      </c>
      <c r="H1134" s="4">
        <v>45928</v>
      </c>
      <c r="I1134" s="4">
        <v>45930</v>
      </c>
      <c r="J1134">
        <f t="shared" si="85"/>
        <v>2</v>
      </c>
      <c r="K1134" t="str">
        <f t="array" ref="K1134">_xlfn.IFS(J1134=1,"Day Use",J1134&lt;=3,"Short Stay",J1134&lt;=7,"Extended Stay",J1134&gt;=8,"Long Stay")</f>
        <v>Short Stay</v>
      </c>
      <c r="L1134" t="s">
        <v>25</v>
      </c>
      <c r="M1134" s="10" t="str">
        <f t="shared" si="86"/>
        <v>Standard</v>
      </c>
      <c r="N1134" t="s">
        <v>26</v>
      </c>
      <c r="O1134" t="s">
        <v>27</v>
      </c>
      <c r="P1134">
        <f>IFERROR(VLOOKUP(TRIM(M1134),Room!D:H,5,FALSE),5000)</f>
        <v>3200</v>
      </c>
      <c r="Q1134">
        <f t="shared" si="87"/>
        <v>6400</v>
      </c>
      <c r="R1134" s="11" t="str">
        <f t="shared" si="88"/>
        <v>Other</v>
      </c>
      <c r="S1134" s="11">
        <f t="shared" si="89"/>
        <v>2</v>
      </c>
    </row>
    <row r="1135" spans="1:19">
      <c r="A1135" t="s">
        <v>5971</v>
      </c>
      <c r="B1135" t="s">
        <v>5972</v>
      </c>
      <c r="C1135" t="s">
        <v>357</v>
      </c>
      <c r="D1135" t="s">
        <v>5973</v>
      </c>
      <c r="E1135" t="s">
        <v>5974</v>
      </c>
      <c r="F1135" t="s">
        <v>5975</v>
      </c>
      <c r="G1135" s="4">
        <v>45219</v>
      </c>
      <c r="H1135" s="4">
        <v>45354</v>
      </c>
      <c r="I1135" s="4">
        <v>45359</v>
      </c>
      <c r="J1135">
        <f t="shared" si="85"/>
        <v>5</v>
      </c>
      <c r="K1135" t="str">
        <f t="array" ref="K1135">_xlfn.IFS(J1135=1,"Day Use",J1135&lt;=3,"Short Stay",J1135&lt;=7,"Extended Stay",J1135&gt;=8,"Long Stay")</f>
        <v>Extended Stay</v>
      </c>
      <c r="L1135" t="s">
        <v>25</v>
      </c>
      <c r="M1135" s="10" t="str">
        <f t="shared" si="86"/>
        <v>Deluxe</v>
      </c>
      <c r="N1135" t="s">
        <v>26</v>
      </c>
      <c r="O1135" t="s">
        <v>27</v>
      </c>
      <c r="P1135">
        <f>IFERROR(VLOOKUP(TRIM(M1135),Room!D:H,5,FALSE),5000)</f>
        <v>5400</v>
      </c>
      <c r="Q1135">
        <f t="shared" si="87"/>
        <v>27000</v>
      </c>
      <c r="R1135" s="11" t="str">
        <f t="shared" si="88"/>
        <v>Conference</v>
      </c>
      <c r="S1135" s="11">
        <f t="shared" si="89"/>
        <v>3</v>
      </c>
    </row>
    <row r="1136" spans="1:19">
      <c r="A1136" t="s">
        <v>5976</v>
      </c>
      <c r="B1136" t="s">
        <v>5977</v>
      </c>
      <c r="C1136" t="s">
        <v>311</v>
      </c>
      <c r="D1136" t="s">
        <v>5978</v>
      </c>
      <c r="E1136" t="s">
        <v>5979</v>
      </c>
      <c r="F1136" t="s">
        <v>5980</v>
      </c>
      <c r="G1136" s="4">
        <v>45289</v>
      </c>
      <c r="H1136" s="4">
        <v>45901</v>
      </c>
      <c r="I1136" s="4">
        <v>45908</v>
      </c>
      <c r="J1136">
        <f t="shared" si="85"/>
        <v>7</v>
      </c>
      <c r="K1136" t="str">
        <f t="array" ref="K1136">_xlfn.IFS(J1136=1,"Day Use",J1136&lt;=3,"Short Stay",J1136&lt;=7,"Extended Stay",J1136&gt;=8,"Long Stay")</f>
        <v>Extended Stay</v>
      </c>
      <c r="L1136" t="s">
        <v>141</v>
      </c>
      <c r="M1136" s="10" t="str">
        <f t="shared" si="86"/>
        <v>Premium</v>
      </c>
      <c r="N1136" t="s">
        <v>26</v>
      </c>
      <c r="O1136" t="s">
        <v>35</v>
      </c>
      <c r="P1136">
        <f>IFERROR(VLOOKUP(TRIM(M1136),Room!D:H,5,FALSE),5000)</f>
        <v>9500</v>
      </c>
      <c r="Q1136">
        <f t="shared" si="87"/>
        <v>66500</v>
      </c>
      <c r="R1136" s="11" t="str">
        <f t="shared" si="88"/>
        <v>Conference</v>
      </c>
      <c r="S1136" s="11">
        <f t="shared" si="89"/>
        <v>4</v>
      </c>
    </row>
    <row r="1137" spans="1:19">
      <c r="A1137" t="s">
        <v>5981</v>
      </c>
      <c r="B1137" t="s">
        <v>5982</v>
      </c>
      <c r="C1137" t="s">
        <v>3762</v>
      </c>
      <c r="D1137" t="s">
        <v>5983</v>
      </c>
      <c r="E1137" t="s">
        <v>5984</v>
      </c>
      <c r="F1137" t="s">
        <v>5985</v>
      </c>
      <c r="G1137" s="4">
        <v>45507</v>
      </c>
      <c r="H1137" s="4">
        <v>45610</v>
      </c>
      <c r="I1137" s="4">
        <v>45624</v>
      </c>
      <c r="J1137">
        <f t="shared" si="85"/>
        <v>14</v>
      </c>
      <c r="K1137" t="str">
        <f t="array" ref="K1137">_xlfn.IFS(J1137=1,"Day Use",J1137&lt;=3,"Short Stay",J1137&lt;=7,"Extended Stay",J1137&gt;=8,"Long Stay")</f>
        <v>Long Stay</v>
      </c>
      <c r="L1137" t="s">
        <v>84</v>
      </c>
      <c r="M1137" s="10" t="str">
        <f t="shared" si="86"/>
        <v>Suite</v>
      </c>
      <c r="N1137" t="s">
        <v>26</v>
      </c>
      <c r="O1137" t="s">
        <v>58</v>
      </c>
      <c r="P1137">
        <f>IFERROR(VLOOKUP(TRIM(M1137),Room!D:H,5,FALSE),5000)</f>
        <v>12500</v>
      </c>
      <c r="Q1137">
        <f t="shared" si="87"/>
        <v>175000</v>
      </c>
      <c r="R1137" s="11" t="str">
        <f t="shared" si="88"/>
        <v>Business</v>
      </c>
      <c r="S1137" s="11">
        <f t="shared" si="89"/>
        <v>5</v>
      </c>
    </row>
    <row r="1138" spans="1:19">
      <c r="A1138" t="s">
        <v>5986</v>
      </c>
      <c r="B1138" t="s">
        <v>5987</v>
      </c>
      <c r="C1138" t="s">
        <v>1282</v>
      </c>
      <c r="D1138" t="s">
        <v>5988</v>
      </c>
      <c r="E1138" t="s">
        <v>5989</v>
      </c>
      <c r="F1138" t="s">
        <v>5990</v>
      </c>
      <c r="G1138" s="4">
        <v>45327</v>
      </c>
      <c r="H1138" s="4">
        <v>45341</v>
      </c>
      <c r="I1138" s="4">
        <v>45348</v>
      </c>
      <c r="J1138">
        <f t="shared" si="85"/>
        <v>7</v>
      </c>
      <c r="K1138" t="str">
        <f t="array" ref="K1138">_xlfn.IFS(J1138=1,"Day Use",J1138&lt;=3,"Short Stay",J1138&lt;=7,"Extended Stay",J1138&gt;=8,"Long Stay")</f>
        <v>Extended Stay</v>
      </c>
      <c r="L1138" t="s">
        <v>84</v>
      </c>
      <c r="M1138" s="10" t="str">
        <f t="shared" si="86"/>
        <v>Premium</v>
      </c>
      <c r="N1138" t="s">
        <v>26</v>
      </c>
      <c r="O1138" t="s">
        <v>27</v>
      </c>
      <c r="P1138">
        <f>IFERROR(VLOOKUP(TRIM(M1138),Room!D:H,5,FALSE),5000)</f>
        <v>9500</v>
      </c>
      <c r="Q1138">
        <f t="shared" si="87"/>
        <v>66500</v>
      </c>
      <c r="R1138" s="11" t="str">
        <f t="shared" si="88"/>
        <v>Conference</v>
      </c>
      <c r="S1138" s="11">
        <f t="shared" si="89"/>
        <v>4</v>
      </c>
    </row>
    <row r="1139" spans="1:19">
      <c r="A1139" t="s">
        <v>5991</v>
      </c>
      <c r="B1139" t="s">
        <v>5992</v>
      </c>
      <c r="C1139" t="s">
        <v>1096</v>
      </c>
      <c r="D1139" t="s">
        <v>5993</v>
      </c>
      <c r="E1139" t="s">
        <v>5994</v>
      </c>
      <c r="F1139" t="s">
        <v>5995</v>
      </c>
      <c r="G1139" s="4">
        <v>45555</v>
      </c>
      <c r="H1139" s="4">
        <v>45862</v>
      </c>
      <c r="I1139" s="4">
        <v>45864</v>
      </c>
      <c r="J1139">
        <f t="shared" si="85"/>
        <v>2</v>
      </c>
      <c r="K1139" t="str">
        <f t="array" ref="K1139">_xlfn.IFS(J1139=1,"Day Use",J1139&lt;=3,"Short Stay",J1139&lt;=7,"Extended Stay",J1139&gt;=8,"Long Stay")</f>
        <v>Short Stay</v>
      </c>
      <c r="L1139" t="s">
        <v>141</v>
      </c>
      <c r="M1139" s="10" t="str">
        <f t="shared" si="86"/>
        <v>Standard</v>
      </c>
      <c r="N1139" t="s">
        <v>26</v>
      </c>
      <c r="O1139" t="s">
        <v>42</v>
      </c>
      <c r="P1139">
        <f>IFERROR(VLOOKUP(TRIM(M1139),Room!D:H,5,FALSE),5000)</f>
        <v>3200</v>
      </c>
      <c r="Q1139">
        <f t="shared" si="87"/>
        <v>6400</v>
      </c>
      <c r="R1139" s="11" t="str">
        <f t="shared" si="88"/>
        <v>Other</v>
      </c>
      <c r="S1139" s="11">
        <f t="shared" si="89"/>
        <v>2</v>
      </c>
    </row>
    <row r="1140" spans="1:19">
      <c r="A1140" t="s">
        <v>5996</v>
      </c>
      <c r="B1140" t="s">
        <v>5997</v>
      </c>
      <c r="C1140" t="s">
        <v>38</v>
      </c>
      <c r="D1140" t="s">
        <v>5998</v>
      </c>
      <c r="E1140" t="s">
        <v>5999</v>
      </c>
      <c r="F1140" t="s">
        <v>6000</v>
      </c>
      <c r="G1140" s="4">
        <v>45349</v>
      </c>
      <c r="H1140" s="4">
        <v>45762</v>
      </c>
      <c r="I1140" s="4">
        <v>45764</v>
      </c>
      <c r="J1140">
        <f t="shared" si="85"/>
        <v>2</v>
      </c>
      <c r="K1140" t="str">
        <f t="array" ref="K1140">_xlfn.IFS(J1140=1,"Day Use",J1140&lt;=3,"Short Stay",J1140&lt;=7,"Extended Stay",J1140&gt;=8,"Long Stay")</f>
        <v>Short Stay</v>
      </c>
      <c r="L1140" t="s">
        <v>84</v>
      </c>
      <c r="M1140" s="10" t="str">
        <f t="shared" si="86"/>
        <v>Standard</v>
      </c>
      <c r="N1140" t="s">
        <v>26</v>
      </c>
      <c r="O1140" t="s">
        <v>71</v>
      </c>
      <c r="P1140">
        <f>IFERROR(VLOOKUP(TRIM(M1140),Room!D:H,5,FALSE),5000)</f>
        <v>3200</v>
      </c>
      <c r="Q1140">
        <f t="shared" si="87"/>
        <v>6400</v>
      </c>
      <c r="R1140" s="11" t="str">
        <f t="shared" si="88"/>
        <v>Other</v>
      </c>
      <c r="S1140" s="11">
        <f t="shared" si="89"/>
        <v>2</v>
      </c>
    </row>
    <row r="1141" spans="1:19">
      <c r="A1141" t="s">
        <v>6001</v>
      </c>
      <c r="B1141" t="s">
        <v>6002</v>
      </c>
      <c r="C1141" t="s">
        <v>841</v>
      </c>
      <c r="D1141" t="s">
        <v>6003</v>
      </c>
      <c r="E1141" t="s">
        <v>6004</v>
      </c>
      <c r="F1141" t="s">
        <v>6005</v>
      </c>
      <c r="G1141" s="4">
        <v>45334</v>
      </c>
      <c r="H1141" s="4">
        <v>45360</v>
      </c>
      <c r="I1141" s="4">
        <v>45364</v>
      </c>
      <c r="J1141">
        <f t="shared" si="85"/>
        <v>4</v>
      </c>
      <c r="K1141" t="str">
        <f t="array" ref="K1141">_xlfn.IFS(J1141=1,"Day Use",J1141&lt;=3,"Short Stay",J1141&lt;=7,"Extended Stay",J1141&gt;=8,"Long Stay")</f>
        <v>Extended Stay</v>
      </c>
      <c r="L1141" t="s">
        <v>25</v>
      </c>
      <c r="M1141" s="10" t="str">
        <f t="shared" si="86"/>
        <v>Deluxe</v>
      </c>
      <c r="N1141" t="s">
        <v>26</v>
      </c>
      <c r="O1141" t="s">
        <v>27</v>
      </c>
      <c r="P1141">
        <f>IFERROR(VLOOKUP(TRIM(M1141),Room!D:H,5,FALSE),5000)</f>
        <v>5400</v>
      </c>
      <c r="Q1141">
        <f t="shared" si="87"/>
        <v>21600</v>
      </c>
      <c r="R1141" s="11" t="str">
        <f t="shared" si="88"/>
        <v>Conference</v>
      </c>
      <c r="S1141" s="11">
        <f t="shared" si="89"/>
        <v>3</v>
      </c>
    </row>
    <row r="1142" spans="1:19">
      <c r="A1142" t="s">
        <v>6006</v>
      </c>
      <c r="B1142" t="s">
        <v>6007</v>
      </c>
      <c r="C1142" t="s">
        <v>311</v>
      </c>
      <c r="D1142" t="s">
        <v>6008</v>
      </c>
      <c r="E1142" t="s">
        <v>6009</v>
      </c>
      <c r="F1142" t="s">
        <v>6010</v>
      </c>
      <c r="G1142" s="4">
        <v>45407</v>
      </c>
      <c r="H1142" s="4">
        <v>45427</v>
      </c>
      <c r="I1142" s="4">
        <v>45438</v>
      </c>
      <c r="J1142">
        <f t="shared" si="85"/>
        <v>11</v>
      </c>
      <c r="K1142" t="str">
        <f t="array" ref="K1142">_xlfn.IFS(J1142=1,"Day Use",J1142&lt;=3,"Short Stay",J1142&lt;=7,"Extended Stay",J1142&gt;=8,"Long Stay")</f>
        <v>Long Stay</v>
      </c>
      <c r="L1142" t="s">
        <v>56</v>
      </c>
      <c r="M1142" s="10" t="str">
        <f t="shared" si="86"/>
        <v>Suite</v>
      </c>
      <c r="N1142" t="s">
        <v>26</v>
      </c>
      <c r="O1142" t="s">
        <v>58</v>
      </c>
      <c r="P1142">
        <f>IFERROR(VLOOKUP(TRIM(M1142),Room!D:H,5,FALSE),5000)</f>
        <v>12500</v>
      </c>
      <c r="Q1142">
        <f t="shared" si="87"/>
        <v>137500</v>
      </c>
      <c r="R1142" s="11" t="str">
        <f t="shared" si="88"/>
        <v>Business</v>
      </c>
      <c r="S1142" s="11">
        <f t="shared" si="89"/>
        <v>5</v>
      </c>
    </row>
    <row r="1143" spans="1:19">
      <c r="A1143" t="s">
        <v>6011</v>
      </c>
      <c r="B1143" t="s">
        <v>6012</v>
      </c>
      <c r="C1143" t="s">
        <v>3762</v>
      </c>
      <c r="D1143" t="s">
        <v>6013</v>
      </c>
      <c r="E1143" t="s">
        <v>6014</v>
      </c>
      <c r="F1143" t="s">
        <v>6015</v>
      </c>
      <c r="G1143" s="4">
        <v>45510</v>
      </c>
      <c r="H1143" s="4">
        <v>45517</v>
      </c>
      <c r="I1143" s="4">
        <v>45519</v>
      </c>
      <c r="J1143">
        <f t="shared" si="85"/>
        <v>2</v>
      </c>
      <c r="K1143" t="str">
        <f t="array" ref="K1143">_xlfn.IFS(J1143=1,"Day Use",J1143&lt;=3,"Short Stay",J1143&lt;=7,"Extended Stay",J1143&gt;=8,"Long Stay")</f>
        <v>Short Stay</v>
      </c>
      <c r="L1143" t="s">
        <v>141</v>
      </c>
      <c r="M1143" s="10" t="str">
        <f t="shared" si="86"/>
        <v>Standard</v>
      </c>
      <c r="N1143" t="s">
        <v>26</v>
      </c>
      <c r="O1143" t="s">
        <v>58</v>
      </c>
      <c r="P1143">
        <f>IFERROR(VLOOKUP(TRIM(M1143),Room!D:H,5,FALSE),5000)</f>
        <v>3200</v>
      </c>
      <c r="Q1143">
        <f t="shared" si="87"/>
        <v>6400</v>
      </c>
      <c r="R1143" s="11" t="str">
        <f t="shared" si="88"/>
        <v>Other</v>
      </c>
      <c r="S1143" s="11">
        <f t="shared" si="89"/>
        <v>2</v>
      </c>
    </row>
    <row r="1144" spans="1:19">
      <c r="A1144" t="s">
        <v>6016</v>
      </c>
      <c r="B1144" t="s">
        <v>6017</v>
      </c>
      <c r="C1144" t="s">
        <v>415</v>
      </c>
      <c r="D1144" t="s">
        <v>6018</v>
      </c>
      <c r="E1144" t="s">
        <v>6019</v>
      </c>
      <c r="F1144" t="s">
        <v>6020</v>
      </c>
      <c r="G1144" s="4">
        <v>45527</v>
      </c>
      <c r="H1144" s="4">
        <v>45534</v>
      </c>
      <c r="I1144" s="4">
        <v>45541</v>
      </c>
      <c r="J1144">
        <f t="shared" si="85"/>
        <v>7</v>
      </c>
      <c r="K1144" t="str">
        <f t="array" ref="K1144">_xlfn.IFS(J1144=1,"Day Use",J1144&lt;=3,"Short Stay",J1144&lt;=7,"Extended Stay",J1144&gt;=8,"Long Stay")</f>
        <v>Extended Stay</v>
      </c>
      <c r="L1144" t="s">
        <v>49</v>
      </c>
      <c r="M1144" s="10" t="str">
        <f t="shared" si="86"/>
        <v>Premium</v>
      </c>
      <c r="N1144" t="s">
        <v>26</v>
      </c>
      <c r="O1144" t="s">
        <v>71</v>
      </c>
      <c r="P1144">
        <f>IFERROR(VLOOKUP(TRIM(M1144),Room!D:H,5,FALSE),5000)</f>
        <v>9500</v>
      </c>
      <c r="Q1144">
        <f t="shared" si="87"/>
        <v>66500</v>
      </c>
      <c r="R1144" s="11" t="str">
        <f t="shared" si="88"/>
        <v>Conference</v>
      </c>
      <c r="S1144" s="11">
        <f t="shared" si="89"/>
        <v>4</v>
      </c>
    </row>
    <row r="1145" spans="1:19">
      <c r="A1145" t="s">
        <v>6021</v>
      </c>
      <c r="B1145" t="s">
        <v>6022</v>
      </c>
      <c r="C1145" t="s">
        <v>199</v>
      </c>
      <c r="D1145" t="s">
        <v>6023</v>
      </c>
      <c r="E1145" t="s">
        <v>6024</v>
      </c>
      <c r="F1145" t="s">
        <v>6025</v>
      </c>
      <c r="G1145" s="4">
        <v>45364</v>
      </c>
      <c r="H1145" s="4">
        <v>45390</v>
      </c>
      <c r="I1145" s="4">
        <v>45397</v>
      </c>
      <c r="J1145">
        <f t="shared" si="85"/>
        <v>7</v>
      </c>
      <c r="K1145" t="str">
        <f t="array" ref="K1145">_xlfn.IFS(J1145=1,"Day Use",J1145&lt;=3,"Short Stay",J1145&lt;=7,"Extended Stay",J1145&gt;=8,"Long Stay")</f>
        <v>Extended Stay</v>
      </c>
      <c r="L1145" t="s">
        <v>56</v>
      </c>
      <c r="M1145" s="10" t="str">
        <f t="shared" si="86"/>
        <v>Premium</v>
      </c>
      <c r="N1145" t="s">
        <v>26</v>
      </c>
      <c r="O1145" t="s">
        <v>35</v>
      </c>
      <c r="P1145">
        <f>IFERROR(VLOOKUP(TRIM(M1145),Room!D:H,5,FALSE),5000)</f>
        <v>9500</v>
      </c>
      <c r="Q1145">
        <f t="shared" si="87"/>
        <v>66500</v>
      </c>
      <c r="R1145" s="11" t="str">
        <f t="shared" si="88"/>
        <v>Conference</v>
      </c>
      <c r="S1145" s="11">
        <f t="shared" si="89"/>
        <v>4</v>
      </c>
    </row>
    <row r="1146" spans="1:19">
      <c r="A1146" t="s">
        <v>6026</v>
      </c>
      <c r="B1146" t="s">
        <v>6027</v>
      </c>
      <c r="C1146" t="s">
        <v>6028</v>
      </c>
      <c r="D1146" t="s">
        <v>6029</v>
      </c>
      <c r="E1146" t="s">
        <v>6030</v>
      </c>
      <c r="F1146" t="s">
        <v>6031</v>
      </c>
      <c r="G1146" s="4">
        <v>45665</v>
      </c>
      <c r="H1146" s="4">
        <v>45668</v>
      </c>
      <c r="I1146" s="4">
        <v>45671</v>
      </c>
      <c r="J1146">
        <f t="shared" si="85"/>
        <v>3</v>
      </c>
      <c r="K1146" t="str">
        <f t="array" ref="K1146">_xlfn.IFS(J1146=1,"Day Use",J1146&lt;=3,"Short Stay",J1146&lt;=7,"Extended Stay",J1146&gt;=8,"Long Stay")</f>
        <v>Short Stay</v>
      </c>
      <c r="L1146" t="s">
        <v>141</v>
      </c>
      <c r="M1146" s="10" t="str">
        <f t="shared" si="86"/>
        <v>Standard</v>
      </c>
      <c r="N1146" t="s">
        <v>26</v>
      </c>
      <c r="O1146" t="s">
        <v>58</v>
      </c>
      <c r="P1146">
        <f>IFERROR(VLOOKUP(TRIM(M1146),Room!D:H,5,FALSE),5000)</f>
        <v>3200</v>
      </c>
      <c r="Q1146">
        <f t="shared" si="87"/>
        <v>9600</v>
      </c>
      <c r="R1146" s="11" t="str">
        <f t="shared" si="88"/>
        <v>Other</v>
      </c>
      <c r="S1146" s="11">
        <f t="shared" si="89"/>
        <v>2</v>
      </c>
    </row>
    <row r="1147" spans="1:19">
      <c r="A1147" t="s">
        <v>6032</v>
      </c>
      <c r="B1147" t="s">
        <v>6033</v>
      </c>
      <c r="C1147" t="s">
        <v>6028</v>
      </c>
      <c r="D1147" t="s">
        <v>6034</v>
      </c>
      <c r="E1147" t="s">
        <v>6035</v>
      </c>
      <c r="F1147" t="s">
        <v>6036</v>
      </c>
      <c r="G1147" s="4">
        <v>45574</v>
      </c>
      <c r="H1147" s="4">
        <v>45776</v>
      </c>
      <c r="I1147" s="4">
        <v>45783</v>
      </c>
      <c r="J1147">
        <f t="shared" si="85"/>
        <v>7</v>
      </c>
      <c r="K1147" t="str">
        <f t="array" ref="K1147">_xlfn.IFS(J1147=1,"Day Use",J1147&lt;=3,"Short Stay",J1147&lt;=7,"Extended Stay",J1147&gt;=8,"Long Stay")</f>
        <v>Extended Stay</v>
      </c>
      <c r="L1147" t="s">
        <v>84</v>
      </c>
      <c r="M1147" s="10" t="str">
        <f t="shared" si="86"/>
        <v>Premium</v>
      </c>
      <c r="N1147" t="s">
        <v>148</v>
      </c>
      <c r="O1147" t="s">
        <v>27</v>
      </c>
      <c r="P1147">
        <f>IFERROR(VLOOKUP(TRIM(M1147),Room!D:H,5,FALSE),5000)</f>
        <v>9500</v>
      </c>
      <c r="Q1147">
        <f t="shared" si="87"/>
        <v>66500</v>
      </c>
      <c r="R1147" s="11" t="str">
        <f t="shared" si="88"/>
        <v>Conference</v>
      </c>
      <c r="S1147" s="11">
        <f t="shared" si="89"/>
        <v>4</v>
      </c>
    </row>
    <row r="1148" spans="1:19">
      <c r="A1148" t="s">
        <v>6037</v>
      </c>
      <c r="B1148" t="s">
        <v>6038</v>
      </c>
      <c r="C1148" t="s">
        <v>982</v>
      </c>
      <c r="D1148" t="s">
        <v>6039</v>
      </c>
      <c r="E1148" t="s">
        <v>6040</v>
      </c>
      <c r="F1148" t="s">
        <v>6041</v>
      </c>
      <c r="G1148" s="4">
        <v>45563</v>
      </c>
      <c r="H1148" s="4">
        <v>45566</v>
      </c>
      <c r="I1148" s="4">
        <v>45577</v>
      </c>
      <c r="J1148">
        <f t="shared" si="85"/>
        <v>11</v>
      </c>
      <c r="K1148" t="str">
        <f t="array" ref="K1148">_xlfn.IFS(J1148=1,"Day Use",J1148&lt;=3,"Short Stay",J1148&lt;=7,"Extended Stay",J1148&gt;=8,"Long Stay")</f>
        <v>Long Stay</v>
      </c>
      <c r="L1148" t="s">
        <v>91</v>
      </c>
      <c r="M1148" s="10" t="str">
        <f t="shared" si="86"/>
        <v>Suite</v>
      </c>
      <c r="N1148" t="s">
        <v>26</v>
      </c>
      <c r="O1148" t="s">
        <v>71</v>
      </c>
      <c r="P1148">
        <f>IFERROR(VLOOKUP(TRIM(M1148),Room!D:H,5,FALSE),5000)</f>
        <v>12500</v>
      </c>
      <c r="Q1148">
        <f t="shared" si="87"/>
        <v>137500</v>
      </c>
      <c r="R1148" s="11" t="str">
        <f t="shared" si="88"/>
        <v>Business</v>
      </c>
      <c r="S1148" s="11">
        <f t="shared" si="89"/>
        <v>5</v>
      </c>
    </row>
    <row r="1149" spans="1:19">
      <c r="A1149" t="s">
        <v>6042</v>
      </c>
      <c r="B1149" t="s">
        <v>6043</v>
      </c>
      <c r="C1149" t="s">
        <v>6044</v>
      </c>
      <c r="D1149" t="s">
        <v>6045</v>
      </c>
      <c r="E1149" t="s">
        <v>6046</v>
      </c>
      <c r="F1149" t="s">
        <v>6047</v>
      </c>
      <c r="G1149" s="4">
        <v>45293</v>
      </c>
      <c r="H1149" s="4">
        <v>45704</v>
      </c>
      <c r="I1149" s="4">
        <v>45711</v>
      </c>
      <c r="J1149">
        <f t="shared" si="85"/>
        <v>7</v>
      </c>
      <c r="K1149" t="str">
        <f t="array" ref="K1149">_xlfn.IFS(J1149=1,"Day Use",J1149&lt;=3,"Short Stay",J1149&lt;=7,"Extended Stay",J1149&gt;=8,"Long Stay")</f>
        <v>Extended Stay</v>
      </c>
      <c r="L1149" t="s">
        <v>49</v>
      </c>
      <c r="M1149" s="10" t="str">
        <f t="shared" si="86"/>
        <v>Premium</v>
      </c>
      <c r="N1149" t="s">
        <v>134</v>
      </c>
      <c r="O1149" t="s">
        <v>58</v>
      </c>
      <c r="P1149">
        <f>IFERROR(VLOOKUP(TRIM(M1149),Room!D:H,5,FALSE),5000)</f>
        <v>9500</v>
      </c>
      <c r="Q1149">
        <f t="shared" si="87"/>
        <v>66500</v>
      </c>
      <c r="R1149" s="11" t="str">
        <f t="shared" si="88"/>
        <v>Conference</v>
      </c>
      <c r="S1149" s="11">
        <f t="shared" si="89"/>
        <v>4</v>
      </c>
    </row>
    <row r="1150" spans="1:19">
      <c r="A1150" t="s">
        <v>6048</v>
      </c>
      <c r="B1150" t="s">
        <v>6049</v>
      </c>
      <c r="C1150" t="s">
        <v>124</v>
      </c>
      <c r="D1150" t="s">
        <v>6050</v>
      </c>
      <c r="E1150" t="s">
        <v>6051</v>
      </c>
      <c r="F1150" t="s">
        <v>6052</v>
      </c>
      <c r="G1150" s="4">
        <v>45267</v>
      </c>
      <c r="H1150" s="4">
        <v>45362</v>
      </c>
      <c r="I1150" s="4">
        <v>45368</v>
      </c>
      <c r="J1150">
        <f t="shared" si="85"/>
        <v>6</v>
      </c>
      <c r="K1150" t="str">
        <f t="array" ref="K1150">_xlfn.IFS(J1150=1,"Day Use",J1150&lt;=3,"Short Stay",J1150&lt;=7,"Extended Stay",J1150&gt;=8,"Long Stay")</f>
        <v>Extended Stay</v>
      </c>
      <c r="L1150" t="s">
        <v>25</v>
      </c>
      <c r="M1150" s="10" t="str">
        <f t="shared" si="86"/>
        <v>Deluxe</v>
      </c>
      <c r="N1150" t="s">
        <v>26</v>
      </c>
      <c r="O1150" t="s">
        <v>35</v>
      </c>
      <c r="P1150">
        <f>IFERROR(VLOOKUP(TRIM(M1150),Room!D:H,5,FALSE),5000)</f>
        <v>5400</v>
      </c>
      <c r="Q1150">
        <f t="shared" si="87"/>
        <v>32400</v>
      </c>
      <c r="R1150" s="11" t="str">
        <f t="shared" si="88"/>
        <v>Conference</v>
      </c>
      <c r="S1150" s="11">
        <f t="shared" si="89"/>
        <v>3</v>
      </c>
    </row>
    <row r="1151" spans="1:19">
      <c r="A1151" t="s">
        <v>6053</v>
      </c>
      <c r="B1151" t="s">
        <v>6054</v>
      </c>
      <c r="C1151" t="s">
        <v>294</v>
      </c>
      <c r="D1151" t="s">
        <v>6055</v>
      </c>
      <c r="E1151" t="s">
        <v>6056</v>
      </c>
      <c r="F1151" t="s">
        <v>6057</v>
      </c>
      <c r="G1151" s="4">
        <v>45849</v>
      </c>
      <c r="H1151" s="4">
        <v>46007</v>
      </c>
      <c r="I1151" s="4">
        <v>46020</v>
      </c>
      <c r="J1151">
        <f t="shared" si="85"/>
        <v>13</v>
      </c>
      <c r="K1151" t="str">
        <f t="array" ref="K1151">_xlfn.IFS(J1151=1,"Day Use",J1151&lt;=3,"Short Stay",J1151&lt;=7,"Extended Stay",J1151&gt;=8,"Long Stay")</f>
        <v>Long Stay</v>
      </c>
      <c r="L1151" t="s">
        <v>141</v>
      </c>
      <c r="M1151" s="10" t="str">
        <f t="shared" si="86"/>
        <v>Suite</v>
      </c>
      <c r="N1151" t="s">
        <v>26</v>
      </c>
      <c r="O1151" t="s">
        <v>58</v>
      </c>
      <c r="P1151">
        <f>IFERROR(VLOOKUP(TRIM(M1151),Room!D:H,5,FALSE),5000)</f>
        <v>12500</v>
      </c>
      <c r="Q1151">
        <f t="shared" si="87"/>
        <v>162500</v>
      </c>
      <c r="R1151" s="11" t="str">
        <f t="shared" si="88"/>
        <v>Business</v>
      </c>
      <c r="S1151" s="11">
        <f t="shared" si="89"/>
        <v>5</v>
      </c>
    </row>
    <row r="1152" spans="1:19">
      <c r="A1152" t="s">
        <v>6058</v>
      </c>
      <c r="B1152" t="s">
        <v>6059</v>
      </c>
      <c r="C1152" t="s">
        <v>927</v>
      </c>
      <c r="D1152" t="s">
        <v>6060</v>
      </c>
      <c r="E1152" t="s">
        <v>6061</v>
      </c>
      <c r="F1152" t="s">
        <v>6062</v>
      </c>
      <c r="G1152" s="4">
        <v>45330</v>
      </c>
      <c r="H1152" s="4">
        <v>45339</v>
      </c>
      <c r="I1152" s="4">
        <v>45349</v>
      </c>
      <c r="J1152">
        <f t="shared" si="85"/>
        <v>10</v>
      </c>
      <c r="K1152" t="str">
        <f t="array" ref="K1152">_xlfn.IFS(J1152=1,"Day Use",J1152&lt;=3,"Short Stay",J1152&lt;=7,"Extended Stay",J1152&gt;=8,"Long Stay")</f>
        <v>Long Stay</v>
      </c>
      <c r="L1152" t="s">
        <v>34</v>
      </c>
      <c r="M1152" s="10" t="str">
        <f t="shared" si="86"/>
        <v>Premium</v>
      </c>
      <c r="N1152" t="s">
        <v>57</v>
      </c>
      <c r="O1152" t="s">
        <v>42</v>
      </c>
      <c r="P1152">
        <f>IFERROR(VLOOKUP(TRIM(M1152),Room!D:H,5,FALSE),5000)</f>
        <v>9500</v>
      </c>
      <c r="Q1152">
        <f t="shared" si="87"/>
        <v>95000</v>
      </c>
      <c r="R1152" s="11" t="str">
        <f t="shared" si="88"/>
        <v>Conference</v>
      </c>
      <c r="S1152" s="11">
        <f t="shared" si="89"/>
        <v>4</v>
      </c>
    </row>
    <row r="1153" spans="1:19">
      <c r="A1153" t="s">
        <v>6063</v>
      </c>
      <c r="B1153" t="s">
        <v>6064</v>
      </c>
      <c r="C1153" t="s">
        <v>253</v>
      </c>
      <c r="D1153" t="s">
        <v>6065</v>
      </c>
      <c r="E1153" t="s">
        <v>6066</v>
      </c>
      <c r="F1153" t="s">
        <v>6067</v>
      </c>
      <c r="G1153" s="4">
        <v>45827</v>
      </c>
      <c r="H1153" s="4">
        <v>45834</v>
      </c>
      <c r="I1153" s="4">
        <v>45848</v>
      </c>
      <c r="J1153">
        <f t="shared" si="85"/>
        <v>14</v>
      </c>
      <c r="K1153" t="str">
        <f t="array" ref="K1153">_xlfn.IFS(J1153=1,"Day Use",J1153&lt;=3,"Short Stay",J1153&lt;=7,"Extended Stay",J1153&gt;=8,"Long Stay")</f>
        <v>Long Stay</v>
      </c>
      <c r="L1153" t="s">
        <v>25</v>
      </c>
      <c r="M1153" s="10" t="str">
        <f t="shared" si="86"/>
        <v>Suite</v>
      </c>
      <c r="N1153" t="s">
        <v>26</v>
      </c>
      <c r="O1153" t="s">
        <v>58</v>
      </c>
      <c r="P1153">
        <f>IFERROR(VLOOKUP(TRIM(M1153),Room!D:H,5,FALSE),5000)</f>
        <v>12500</v>
      </c>
      <c r="Q1153">
        <f t="shared" si="87"/>
        <v>175000</v>
      </c>
      <c r="R1153" s="11" t="str">
        <f t="shared" si="88"/>
        <v>Business</v>
      </c>
      <c r="S1153" s="11">
        <f t="shared" si="89"/>
        <v>5</v>
      </c>
    </row>
    <row r="1154" spans="1:19">
      <c r="A1154" t="s">
        <v>6068</v>
      </c>
      <c r="B1154" t="s">
        <v>6069</v>
      </c>
      <c r="C1154" t="s">
        <v>2154</v>
      </c>
      <c r="D1154" t="s">
        <v>6070</v>
      </c>
      <c r="E1154" t="s">
        <v>6071</v>
      </c>
      <c r="F1154" t="s">
        <v>6072</v>
      </c>
      <c r="G1154" s="4">
        <v>45565</v>
      </c>
      <c r="H1154" s="4">
        <v>45765</v>
      </c>
      <c r="I1154" s="4">
        <v>45773</v>
      </c>
      <c r="J1154">
        <f t="shared" ref="J1154:J1217" si="90">I1154-H1154</f>
        <v>8</v>
      </c>
      <c r="K1154" t="str">
        <f t="array" ref="K1154">_xlfn.IFS(J1154=1,"Day Use",J1154&lt;=3,"Short Stay",J1154&lt;=7,"Extended Stay",J1154&gt;=8,"Long Stay")</f>
        <v>Long Stay</v>
      </c>
      <c r="L1154" t="s">
        <v>84</v>
      </c>
      <c r="M1154" s="10" t="str">
        <f t="shared" ref="M1154:M1217" si="91">IF($J1154&lt;=3,"Standard",IF($J1154&lt;=6,"Deluxe",IF($J1154&lt;=10,"Premium","Suite")))</f>
        <v>Premium</v>
      </c>
      <c r="N1154" t="s">
        <v>26</v>
      </c>
      <c r="O1154" t="s">
        <v>71</v>
      </c>
      <c r="P1154">
        <f>IFERROR(VLOOKUP(TRIM(M1154),Room!D:H,5,FALSE),5000)</f>
        <v>9500</v>
      </c>
      <c r="Q1154">
        <f t="shared" si="87"/>
        <v>76000</v>
      </c>
      <c r="R1154" s="11" t="str">
        <f t="shared" si="88"/>
        <v>Conference</v>
      </c>
      <c r="S1154" s="11">
        <f t="shared" si="89"/>
        <v>4</v>
      </c>
    </row>
    <row r="1155" spans="1:19">
      <c r="A1155" t="s">
        <v>6073</v>
      </c>
      <c r="B1155" t="s">
        <v>6074</v>
      </c>
      <c r="C1155" t="s">
        <v>288</v>
      </c>
      <c r="D1155" t="s">
        <v>6075</v>
      </c>
      <c r="E1155" t="s">
        <v>6076</v>
      </c>
      <c r="F1155" t="s">
        <v>6077</v>
      </c>
      <c r="G1155" s="4">
        <v>45465</v>
      </c>
      <c r="H1155" s="4">
        <v>45756</v>
      </c>
      <c r="I1155" s="4">
        <v>45761</v>
      </c>
      <c r="J1155">
        <f t="shared" si="90"/>
        <v>5</v>
      </c>
      <c r="K1155" t="str">
        <f t="array" ref="K1155">_xlfn.IFS(J1155=1,"Day Use",J1155&lt;=3,"Short Stay",J1155&lt;=7,"Extended Stay",J1155&gt;=8,"Long Stay")</f>
        <v>Extended Stay</v>
      </c>
      <c r="L1155" t="s">
        <v>141</v>
      </c>
      <c r="M1155" s="10" t="str">
        <f t="shared" si="91"/>
        <v>Deluxe</v>
      </c>
      <c r="N1155" t="s">
        <v>26</v>
      </c>
      <c r="O1155" t="s">
        <v>27</v>
      </c>
      <c r="P1155">
        <f>IFERROR(VLOOKUP(TRIM(M1155),Room!D:H,5,FALSE),5000)</f>
        <v>5400</v>
      </c>
      <c r="Q1155">
        <f t="shared" ref="Q1155:Q1218" si="92">P1155*J1155</f>
        <v>27000</v>
      </c>
      <c r="R1155" s="11" t="str">
        <f t="shared" ref="R1155:R1218" si="93">IF(ISNUMBER(SEARCH("Suite",D1155)),"Honeymoon",IF(P1155&gt;10000,"Business",IF(P1155&gt;5000,"Conference",IF(J1155&gt;=8,"Family Vacation","Other"))))</f>
        <v>Conference</v>
      </c>
      <c r="S1155" s="11">
        <f t="shared" ref="S1155:S1218" si="94">IF(M1155="Suite",5,IF(M1155="Premium",IF(Q1155&gt;20000,4,3),IF(M1155="Deluxe",IF(Q1155&gt;=10000,3,2),IF(M1155="Standard",IF(Q1155&gt;=5000,2,1),1))))</f>
        <v>3</v>
      </c>
    </row>
    <row r="1156" spans="1:19">
      <c r="A1156" t="s">
        <v>6078</v>
      </c>
      <c r="B1156" t="s">
        <v>6079</v>
      </c>
      <c r="C1156" t="s">
        <v>547</v>
      </c>
      <c r="D1156" t="s">
        <v>6080</v>
      </c>
      <c r="E1156" t="s">
        <v>6081</v>
      </c>
      <c r="F1156" t="s">
        <v>6082</v>
      </c>
      <c r="G1156" s="4">
        <v>45580</v>
      </c>
      <c r="H1156" s="4">
        <v>45588</v>
      </c>
      <c r="I1156" s="4">
        <v>45596</v>
      </c>
      <c r="J1156">
        <f t="shared" si="90"/>
        <v>8</v>
      </c>
      <c r="K1156" t="str">
        <f t="array" ref="K1156">_xlfn.IFS(J1156=1,"Day Use",J1156&lt;=3,"Short Stay",J1156&lt;=7,"Extended Stay",J1156&gt;=8,"Long Stay")</f>
        <v>Long Stay</v>
      </c>
      <c r="L1156" t="s">
        <v>49</v>
      </c>
      <c r="M1156" s="10" t="str">
        <f t="shared" si="91"/>
        <v>Premium</v>
      </c>
      <c r="N1156" t="s">
        <v>26</v>
      </c>
      <c r="O1156" t="s">
        <v>42</v>
      </c>
      <c r="P1156">
        <f>IFERROR(VLOOKUP(TRIM(M1156),Room!D:H,5,FALSE),5000)</f>
        <v>9500</v>
      </c>
      <c r="Q1156">
        <f t="shared" si="92"/>
        <v>76000</v>
      </c>
      <c r="R1156" s="11" t="str">
        <f t="shared" si="93"/>
        <v>Conference</v>
      </c>
      <c r="S1156" s="11">
        <f t="shared" si="94"/>
        <v>4</v>
      </c>
    </row>
    <row r="1157" spans="1:19">
      <c r="A1157" t="s">
        <v>6083</v>
      </c>
      <c r="B1157" t="s">
        <v>6084</v>
      </c>
      <c r="C1157" t="s">
        <v>2474</v>
      </c>
      <c r="D1157" t="s">
        <v>6085</v>
      </c>
      <c r="E1157" t="s">
        <v>6086</v>
      </c>
      <c r="F1157" t="s">
        <v>6087</v>
      </c>
      <c r="G1157" s="4">
        <v>45835</v>
      </c>
      <c r="H1157" s="4">
        <v>45892</v>
      </c>
      <c r="I1157" s="4">
        <v>45894</v>
      </c>
      <c r="J1157">
        <f t="shared" si="90"/>
        <v>2</v>
      </c>
      <c r="K1157" t="str">
        <f t="array" ref="K1157">_xlfn.IFS(J1157=1,"Day Use",J1157&lt;=3,"Short Stay",J1157&lt;=7,"Extended Stay",J1157&gt;=8,"Long Stay")</f>
        <v>Short Stay</v>
      </c>
      <c r="L1157" t="s">
        <v>49</v>
      </c>
      <c r="M1157" s="10" t="str">
        <f t="shared" si="91"/>
        <v>Standard</v>
      </c>
      <c r="N1157" t="s">
        <v>26</v>
      </c>
      <c r="O1157" t="s">
        <v>35</v>
      </c>
      <c r="P1157">
        <f>IFERROR(VLOOKUP(TRIM(M1157),Room!D:H,5,FALSE),5000)</f>
        <v>3200</v>
      </c>
      <c r="Q1157">
        <f t="shared" si="92"/>
        <v>6400</v>
      </c>
      <c r="R1157" s="11" t="str">
        <f t="shared" si="93"/>
        <v>Other</v>
      </c>
      <c r="S1157" s="11">
        <f t="shared" si="94"/>
        <v>2</v>
      </c>
    </row>
    <row r="1158" spans="1:19">
      <c r="A1158" t="s">
        <v>6088</v>
      </c>
      <c r="B1158" t="s">
        <v>6089</v>
      </c>
      <c r="C1158" t="s">
        <v>500</v>
      </c>
      <c r="D1158" t="s">
        <v>6090</v>
      </c>
      <c r="E1158" t="s">
        <v>6091</v>
      </c>
      <c r="F1158" t="s">
        <v>6092</v>
      </c>
      <c r="G1158" s="4">
        <v>45421</v>
      </c>
      <c r="H1158" s="4">
        <v>45427</v>
      </c>
      <c r="I1158" s="4">
        <v>45439</v>
      </c>
      <c r="J1158">
        <f t="shared" si="90"/>
        <v>12</v>
      </c>
      <c r="K1158" t="str">
        <f t="array" ref="K1158">_xlfn.IFS(J1158=1,"Day Use",J1158&lt;=3,"Short Stay",J1158&lt;=7,"Extended Stay",J1158&gt;=8,"Long Stay")</f>
        <v>Long Stay</v>
      </c>
      <c r="L1158" t="s">
        <v>34</v>
      </c>
      <c r="M1158" s="10" t="str">
        <f t="shared" si="91"/>
        <v>Suite</v>
      </c>
      <c r="N1158" t="s">
        <v>26</v>
      </c>
      <c r="O1158" t="s">
        <v>58</v>
      </c>
      <c r="P1158">
        <f>IFERROR(VLOOKUP(TRIM(M1158),Room!D:H,5,FALSE),5000)</f>
        <v>12500</v>
      </c>
      <c r="Q1158">
        <f t="shared" si="92"/>
        <v>150000</v>
      </c>
      <c r="R1158" s="11" t="str">
        <f t="shared" si="93"/>
        <v>Business</v>
      </c>
      <c r="S1158" s="11">
        <f t="shared" si="94"/>
        <v>5</v>
      </c>
    </row>
    <row r="1159" spans="1:19">
      <c r="A1159" t="s">
        <v>6093</v>
      </c>
      <c r="B1159" t="s">
        <v>6094</v>
      </c>
      <c r="C1159" t="s">
        <v>288</v>
      </c>
      <c r="D1159" t="s">
        <v>6095</v>
      </c>
      <c r="E1159" t="s">
        <v>6096</v>
      </c>
      <c r="F1159" t="s">
        <v>6097</v>
      </c>
      <c r="G1159" s="4">
        <v>45853</v>
      </c>
      <c r="H1159" s="4">
        <v>45975</v>
      </c>
      <c r="I1159" s="4">
        <v>45979</v>
      </c>
      <c r="J1159">
        <f t="shared" si="90"/>
        <v>4</v>
      </c>
      <c r="K1159" t="str">
        <f t="array" ref="K1159">_xlfn.IFS(J1159=1,"Day Use",J1159&lt;=3,"Short Stay",J1159&lt;=7,"Extended Stay",J1159&gt;=8,"Long Stay")</f>
        <v>Extended Stay</v>
      </c>
      <c r="L1159" t="s">
        <v>56</v>
      </c>
      <c r="M1159" s="10" t="str">
        <f t="shared" si="91"/>
        <v>Deluxe</v>
      </c>
      <c r="N1159" t="s">
        <v>134</v>
      </c>
      <c r="O1159" t="s">
        <v>35</v>
      </c>
      <c r="P1159">
        <f>IFERROR(VLOOKUP(TRIM(M1159),Room!D:H,5,FALSE),5000)</f>
        <v>5400</v>
      </c>
      <c r="Q1159">
        <f t="shared" si="92"/>
        <v>21600</v>
      </c>
      <c r="R1159" s="11" t="str">
        <f t="shared" si="93"/>
        <v>Conference</v>
      </c>
      <c r="S1159" s="11">
        <f t="shared" si="94"/>
        <v>3</v>
      </c>
    </row>
    <row r="1160" spans="1:19">
      <c r="A1160" t="s">
        <v>6098</v>
      </c>
      <c r="B1160" t="s">
        <v>6099</v>
      </c>
      <c r="C1160" t="s">
        <v>5074</v>
      </c>
      <c r="D1160" t="s">
        <v>6100</v>
      </c>
      <c r="E1160" t="s">
        <v>6101</v>
      </c>
      <c r="F1160" t="s">
        <v>6102</v>
      </c>
      <c r="G1160" s="4">
        <v>45417</v>
      </c>
      <c r="H1160" s="4">
        <v>45868</v>
      </c>
      <c r="I1160" s="4">
        <v>45870</v>
      </c>
      <c r="J1160">
        <f t="shared" si="90"/>
        <v>2</v>
      </c>
      <c r="K1160" t="str">
        <f t="array" ref="K1160">_xlfn.IFS(J1160=1,"Day Use",J1160&lt;=3,"Short Stay",J1160&lt;=7,"Extended Stay",J1160&gt;=8,"Long Stay")</f>
        <v>Short Stay</v>
      </c>
      <c r="L1160" t="s">
        <v>141</v>
      </c>
      <c r="M1160" s="10" t="str">
        <f t="shared" si="91"/>
        <v>Standard</v>
      </c>
      <c r="N1160" t="s">
        <v>57</v>
      </c>
      <c r="O1160" t="s">
        <v>58</v>
      </c>
      <c r="P1160">
        <f>IFERROR(VLOOKUP(TRIM(M1160),Room!D:H,5,FALSE),5000)</f>
        <v>3200</v>
      </c>
      <c r="Q1160">
        <f t="shared" si="92"/>
        <v>6400</v>
      </c>
      <c r="R1160" s="11" t="str">
        <f t="shared" si="93"/>
        <v>Other</v>
      </c>
      <c r="S1160" s="11">
        <f t="shared" si="94"/>
        <v>2</v>
      </c>
    </row>
    <row r="1161" spans="1:19">
      <c r="A1161" t="s">
        <v>6103</v>
      </c>
      <c r="B1161" t="s">
        <v>6104</v>
      </c>
      <c r="C1161" t="s">
        <v>633</v>
      </c>
      <c r="D1161" t="s">
        <v>6105</v>
      </c>
      <c r="E1161" t="s">
        <v>6106</v>
      </c>
      <c r="F1161" t="s">
        <v>6107</v>
      </c>
      <c r="G1161" s="4">
        <v>45585</v>
      </c>
      <c r="H1161" s="4">
        <v>45602</v>
      </c>
      <c r="I1161" s="4">
        <v>45613</v>
      </c>
      <c r="J1161">
        <f t="shared" si="90"/>
        <v>11</v>
      </c>
      <c r="K1161" t="str">
        <f t="array" ref="K1161">_xlfn.IFS(J1161=1,"Day Use",J1161&lt;=3,"Short Stay",J1161&lt;=7,"Extended Stay",J1161&gt;=8,"Long Stay")</f>
        <v>Long Stay</v>
      </c>
      <c r="L1161" t="s">
        <v>34</v>
      </c>
      <c r="M1161" s="10" t="str">
        <f t="shared" si="91"/>
        <v>Suite</v>
      </c>
      <c r="N1161" t="s">
        <v>26</v>
      </c>
      <c r="O1161" t="s">
        <v>71</v>
      </c>
      <c r="P1161">
        <f>IFERROR(VLOOKUP(TRIM(M1161),Room!D:H,5,FALSE),5000)</f>
        <v>12500</v>
      </c>
      <c r="Q1161">
        <f t="shared" si="92"/>
        <v>137500</v>
      </c>
      <c r="R1161" s="11" t="str">
        <f t="shared" si="93"/>
        <v>Business</v>
      </c>
      <c r="S1161" s="11">
        <f t="shared" si="94"/>
        <v>5</v>
      </c>
    </row>
    <row r="1162" spans="1:19">
      <c r="A1162" t="s">
        <v>6108</v>
      </c>
      <c r="B1162" t="s">
        <v>6109</v>
      </c>
      <c r="C1162" t="s">
        <v>865</v>
      </c>
      <c r="D1162" t="s">
        <v>6110</v>
      </c>
      <c r="E1162" t="s">
        <v>6111</v>
      </c>
      <c r="F1162" t="s">
        <v>6112</v>
      </c>
      <c r="G1162" s="4">
        <v>45273</v>
      </c>
      <c r="H1162" s="4">
        <v>45772</v>
      </c>
      <c r="I1162" s="4">
        <v>45784</v>
      </c>
      <c r="J1162">
        <f t="shared" si="90"/>
        <v>12</v>
      </c>
      <c r="K1162" t="str">
        <f t="array" ref="K1162">_xlfn.IFS(J1162=1,"Day Use",J1162&lt;=3,"Short Stay",J1162&lt;=7,"Extended Stay",J1162&gt;=8,"Long Stay")</f>
        <v>Long Stay</v>
      </c>
      <c r="L1162" t="s">
        <v>84</v>
      </c>
      <c r="M1162" s="10" t="str">
        <f t="shared" si="91"/>
        <v>Suite</v>
      </c>
      <c r="N1162" t="s">
        <v>26</v>
      </c>
      <c r="O1162" t="s">
        <v>58</v>
      </c>
      <c r="P1162">
        <f>IFERROR(VLOOKUP(TRIM(M1162),Room!D:H,5,FALSE),5000)</f>
        <v>12500</v>
      </c>
      <c r="Q1162">
        <f t="shared" si="92"/>
        <v>150000</v>
      </c>
      <c r="R1162" s="11" t="str">
        <f t="shared" si="93"/>
        <v>Business</v>
      </c>
      <c r="S1162" s="11">
        <f t="shared" si="94"/>
        <v>5</v>
      </c>
    </row>
    <row r="1163" spans="1:19">
      <c r="A1163" t="s">
        <v>6113</v>
      </c>
      <c r="B1163" t="s">
        <v>6114</v>
      </c>
      <c r="C1163" t="s">
        <v>229</v>
      </c>
      <c r="D1163" t="s">
        <v>6115</v>
      </c>
      <c r="E1163" t="s">
        <v>6116</v>
      </c>
      <c r="F1163" t="s">
        <v>6117</v>
      </c>
      <c r="G1163" s="4">
        <v>45548</v>
      </c>
      <c r="H1163" s="4">
        <v>45566</v>
      </c>
      <c r="I1163" s="4">
        <v>45576</v>
      </c>
      <c r="J1163">
        <f t="shared" si="90"/>
        <v>10</v>
      </c>
      <c r="K1163" t="str">
        <f t="array" ref="K1163">_xlfn.IFS(J1163=1,"Day Use",J1163&lt;=3,"Short Stay",J1163&lt;=7,"Extended Stay",J1163&gt;=8,"Long Stay")</f>
        <v>Long Stay</v>
      </c>
      <c r="L1163" t="s">
        <v>91</v>
      </c>
      <c r="M1163" s="10" t="str">
        <f t="shared" si="91"/>
        <v>Premium</v>
      </c>
      <c r="N1163" t="s">
        <v>26</v>
      </c>
      <c r="O1163" t="s">
        <v>27</v>
      </c>
      <c r="P1163">
        <f>IFERROR(VLOOKUP(TRIM(M1163),Room!D:H,5,FALSE),5000)</f>
        <v>9500</v>
      </c>
      <c r="Q1163">
        <f t="shared" si="92"/>
        <v>95000</v>
      </c>
      <c r="R1163" s="11" t="str">
        <f t="shared" si="93"/>
        <v>Conference</v>
      </c>
      <c r="S1163" s="11">
        <f t="shared" si="94"/>
        <v>4</v>
      </c>
    </row>
    <row r="1164" spans="1:19">
      <c r="A1164" t="s">
        <v>6118</v>
      </c>
      <c r="B1164" t="s">
        <v>6119</v>
      </c>
      <c r="C1164" t="s">
        <v>2041</v>
      </c>
      <c r="D1164" t="s">
        <v>6120</v>
      </c>
      <c r="E1164" t="s">
        <v>6121</v>
      </c>
      <c r="F1164" t="s">
        <v>6122</v>
      </c>
      <c r="G1164" s="4">
        <v>45275</v>
      </c>
      <c r="H1164" s="4">
        <v>45923</v>
      </c>
      <c r="I1164" s="4">
        <v>45934</v>
      </c>
      <c r="J1164">
        <f t="shared" si="90"/>
        <v>11</v>
      </c>
      <c r="K1164" t="str">
        <f t="array" ref="K1164">_xlfn.IFS(J1164=1,"Day Use",J1164&lt;=3,"Short Stay",J1164&lt;=7,"Extended Stay",J1164&gt;=8,"Long Stay")</f>
        <v>Long Stay</v>
      </c>
      <c r="L1164" t="s">
        <v>49</v>
      </c>
      <c r="M1164" s="10" t="str">
        <f t="shared" si="91"/>
        <v>Suite</v>
      </c>
      <c r="N1164" t="s">
        <v>26</v>
      </c>
      <c r="O1164" t="s">
        <v>35</v>
      </c>
      <c r="P1164">
        <f>IFERROR(VLOOKUP(TRIM(M1164),Room!D:H,5,FALSE),5000)</f>
        <v>12500</v>
      </c>
      <c r="Q1164">
        <f t="shared" si="92"/>
        <v>137500</v>
      </c>
      <c r="R1164" s="11" t="str">
        <f t="shared" si="93"/>
        <v>Business</v>
      </c>
      <c r="S1164" s="11">
        <f t="shared" si="94"/>
        <v>5</v>
      </c>
    </row>
    <row r="1165" spans="1:19">
      <c r="A1165" t="s">
        <v>6123</v>
      </c>
      <c r="B1165" t="s">
        <v>6124</v>
      </c>
      <c r="C1165" t="s">
        <v>265</v>
      </c>
      <c r="D1165" t="s">
        <v>6125</v>
      </c>
      <c r="E1165" t="s">
        <v>6126</v>
      </c>
      <c r="F1165" t="s">
        <v>6127</v>
      </c>
      <c r="G1165" s="4">
        <v>45389</v>
      </c>
      <c r="H1165" s="4">
        <v>45447</v>
      </c>
      <c r="I1165" s="4">
        <v>45459</v>
      </c>
      <c r="J1165">
        <f t="shared" si="90"/>
        <v>12</v>
      </c>
      <c r="K1165" t="str">
        <f t="array" ref="K1165">_xlfn.IFS(J1165=1,"Day Use",J1165&lt;=3,"Short Stay",J1165&lt;=7,"Extended Stay",J1165&gt;=8,"Long Stay")</f>
        <v>Long Stay</v>
      </c>
      <c r="L1165" t="s">
        <v>56</v>
      </c>
      <c r="M1165" s="10" t="str">
        <f t="shared" si="91"/>
        <v>Suite</v>
      </c>
      <c r="N1165" t="s">
        <v>148</v>
      </c>
      <c r="O1165" t="s">
        <v>35</v>
      </c>
      <c r="P1165">
        <f>IFERROR(VLOOKUP(TRIM(M1165),Room!D:H,5,FALSE),5000)</f>
        <v>12500</v>
      </c>
      <c r="Q1165">
        <f t="shared" si="92"/>
        <v>150000</v>
      </c>
      <c r="R1165" s="11" t="str">
        <f t="shared" si="93"/>
        <v>Business</v>
      </c>
      <c r="S1165" s="11">
        <f t="shared" si="94"/>
        <v>5</v>
      </c>
    </row>
    <row r="1166" spans="1:19">
      <c r="A1166" t="s">
        <v>6128</v>
      </c>
      <c r="B1166" t="s">
        <v>6129</v>
      </c>
      <c r="C1166" t="s">
        <v>1030</v>
      </c>
      <c r="D1166" t="s">
        <v>6130</v>
      </c>
      <c r="E1166" t="s">
        <v>6131</v>
      </c>
      <c r="F1166" t="s">
        <v>6132</v>
      </c>
      <c r="G1166" s="4">
        <v>45847</v>
      </c>
      <c r="H1166" s="4">
        <v>45852</v>
      </c>
      <c r="I1166" s="4">
        <v>45861</v>
      </c>
      <c r="J1166">
        <f t="shared" si="90"/>
        <v>9</v>
      </c>
      <c r="K1166" t="str">
        <f t="array" ref="K1166">_xlfn.IFS(J1166=1,"Day Use",J1166&lt;=3,"Short Stay",J1166&lt;=7,"Extended Stay",J1166&gt;=8,"Long Stay")</f>
        <v>Long Stay</v>
      </c>
      <c r="L1166" t="s">
        <v>25</v>
      </c>
      <c r="M1166" s="10" t="str">
        <f t="shared" si="91"/>
        <v>Premium</v>
      </c>
      <c r="N1166" t="s">
        <v>148</v>
      </c>
      <c r="O1166" t="s">
        <v>35</v>
      </c>
      <c r="P1166">
        <f>IFERROR(VLOOKUP(TRIM(M1166),Room!D:H,5,FALSE),5000)</f>
        <v>9500</v>
      </c>
      <c r="Q1166">
        <f t="shared" si="92"/>
        <v>85500</v>
      </c>
      <c r="R1166" s="11" t="str">
        <f t="shared" si="93"/>
        <v>Conference</v>
      </c>
      <c r="S1166" s="11">
        <f t="shared" si="94"/>
        <v>4</v>
      </c>
    </row>
    <row r="1167" spans="1:19">
      <c r="A1167" t="s">
        <v>6133</v>
      </c>
      <c r="B1167" t="s">
        <v>6134</v>
      </c>
      <c r="C1167" t="s">
        <v>6135</v>
      </c>
      <c r="D1167" t="s">
        <v>6136</v>
      </c>
      <c r="E1167" t="s">
        <v>6137</v>
      </c>
      <c r="F1167" t="s">
        <v>6138</v>
      </c>
      <c r="G1167" s="4">
        <v>45470</v>
      </c>
      <c r="H1167" s="4">
        <v>45481</v>
      </c>
      <c r="I1167" s="4">
        <v>45492</v>
      </c>
      <c r="J1167">
        <f t="shared" si="90"/>
        <v>11</v>
      </c>
      <c r="K1167" t="str">
        <f t="array" ref="K1167">_xlfn.IFS(J1167=1,"Day Use",J1167&lt;=3,"Short Stay",J1167&lt;=7,"Extended Stay",J1167&gt;=8,"Long Stay")</f>
        <v>Long Stay</v>
      </c>
      <c r="L1167" t="s">
        <v>34</v>
      </c>
      <c r="M1167" s="10" t="str">
        <f t="shared" si="91"/>
        <v>Suite</v>
      </c>
      <c r="N1167" t="s">
        <v>26</v>
      </c>
      <c r="O1167" t="s">
        <v>35</v>
      </c>
      <c r="P1167">
        <f>IFERROR(VLOOKUP(TRIM(M1167),Room!D:H,5,FALSE),5000)</f>
        <v>12500</v>
      </c>
      <c r="Q1167">
        <f t="shared" si="92"/>
        <v>137500</v>
      </c>
      <c r="R1167" s="11" t="str">
        <f t="shared" si="93"/>
        <v>Business</v>
      </c>
      <c r="S1167" s="11">
        <f t="shared" si="94"/>
        <v>5</v>
      </c>
    </row>
    <row r="1168" spans="1:19">
      <c r="A1168" t="s">
        <v>6139</v>
      </c>
      <c r="B1168" t="s">
        <v>6140</v>
      </c>
      <c r="C1168" t="s">
        <v>484</v>
      </c>
      <c r="D1168" t="s">
        <v>6141</v>
      </c>
      <c r="E1168" t="s">
        <v>6142</v>
      </c>
      <c r="F1168" t="s">
        <v>6143</v>
      </c>
      <c r="G1168" s="4">
        <v>45639</v>
      </c>
      <c r="H1168" s="4">
        <v>45887</v>
      </c>
      <c r="I1168" s="4">
        <v>45891</v>
      </c>
      <c r="J1168">
        <f t="shared" si="90"/>
        <v>4</v>
      </c>
      <c r="K1168" t="str">
        <f t="array" ref="K1168">_xlfn.IFS(J1168=1,"Day Use",J1168&lt;=3,"Short Stay",J1168&lt;=7,"Extended Stay",J1168&gt;=8,"Long Stay")</f>
        <v>Extended Stay</v>
      </c>
      <c r="L1168" t="s">
        <v>91</v>
      </c>
      <c r="M1168" s="10" t="str">
        <f t="shared" si="91"/>
        <v>Deluxe</v>
      </c>
      <c r="N1168" t="s">
        <v>26</v>
      </c>
      <c r="O1168" t="s">
        <v>42</v>
      </c>
      <c r="P1168">
        <f>IFERROR(VLOOKUP(TRIM(M1168),Room!D:H,5,FALSE),5000)</f>
        <v>5400</v>
      </c>
      <c r="Q1168">
        <f t="shared" si="92"/>
        <v>21600</v>
      </c>
      <c r="R1168" s="11" t="str">
        <f t="shared" si="93"/>
        <v>Conference</v>
      </c>
      <c r="S1168" s="11">
        <f t="shared" si="94"/>
        <v>3</v>
      </c>
    </row>
    <row r="1169" spans="1:19">
      <c r="A1169" t="s">
        <v>6144</v>
      </c>
      <c r="B1169" t="s">
        <v>6145</v>
      </c>
      <c r="C1169" t="s">
        <v>1660</v>
      </c>
      <c r="D1169" t="s">
        <v>6146</v>
      </c>
      <c r="E1169" t="s">
        <v>6147</v>
      </c>
      <c r="F1169" t="s">
        <v>6148</v>
      </c>
      <c r="G1169" s="4">
        <v>45972</v>
      </c>
      <c r="H1169" s="4">
        <v>46006</v>
      </c>
      <c r="I1169" s="4">
        <v>46014</v>
      </c>
      <c r="J1169">
        <f t="shared" si="90"/>
        <v>8</v>
      </c>
      <c r="K1169" t="str">
        <f t="array" ref="K1169">_xlfn.IFS(J1169=1,"Day Use",J1169&lt;=3,"Short Stay",J1169&lt;=7,"Extended Stay",J1169&gt;=8,"Long Stay")</f>
        <v>Long Stay</v>
      </c>
      <c r="L1169" t="s">
        <v>25</v>
      </c>
      <c r="M1169" s="10" t="str">
        <f t="shared" si="91"/>
        <v>Premium</v>
      </c>
      <c r="N1169" t="s">
        <v>57</v>
      </c>
      <c r="O1169" t="s">
        <v>27</v>
      </c>
      <c r="P1169">
        <f>IFERROR(VLOOKUP(TRIM(M1169),Room!D:H,5,FALSE),5000)</f>
        <v>9500</v>
      </c>
      <c r="Q1169">
        <f t="shared" si="92"/>
        <v>76000</v>
      </c>
      <c r="R1169" s="11" t="str">
        <f t="shared" si="93"/>
        <v>Conference</v>
      </c>
      <c r="S1169" s="11">
        <f t="shared" si="94"/>
        <v>4</v>
      </c>
    </row>
    <row r="1170" spans="1:19">
      <c r="A1170" t="s">
        <v>6149</v>
      </c>
      <c r="B1170" t="s">
        <v>6150</v>
      </c>
      <c r="C1170" t="s">
        <v>192</v>
      </c>
      <c r="D1170" t="s">
        <v>6151</v>
      </c>
      <c r="E1170" t="s">
        <v>6152</v>
      </c>
      <c r="F1170" t="s">
        <v>6153</v>
      </c>
      <c r="G1170" s="4">
        <v>45560</v>
      </c>
      <c r="H1170" s="4">
        <v>45616</v>
      </c>
      <c r="I1170" s="4">
        <v>45617</v>
      </c>
      <c r="J1170">
        <f t="shared" si="90"/>
        <v>1</v>
      </c>
      <c r="K1170" t="str">
        <f t="array" ref="K1170">_xlfn.IFS(J1170=1,"Day Use",J1170&lt;=3,"Short Stay",J1170&lt;=7,"Extended Stay",J1170&gt;=8,"Long Stay")</f>
        <v>Day Use</v>
      </c>
      <c r="L1170" t="s">
        <v>25</v>
      </c>
      <c r="M1170" s="10" t="str">
        <f t="shared" si="91"/>
        <v>Standard</v>
      </c>
      <c r="N1170" t="s">
        <v>372</v>
      </c>
      <c r="O1170" t="s">
        <v>27</v>
      </c>
      <c r="P1170">
        <f>IFERROR(VLOOKUP(TRIM(M1170),Room!D:H,5,FALSE),5000)</f>
        <v>3200</v>
      </c>
      <c r="Q1170">
        <f t="shared" si="92"/>
        <v>3200</v>
      </c>
      <c r="R1170" s="11" t="str">
        <f t="shared" si="93"/>
        <v>Other</v>
      </c>
      <c r="S1170" s="11">
        <f t="shared" si="94"/>
        <v>1</v>
      </c>
    </row>
    <row r="1171" spans="1:19">
      <c r="A1171" t="s">
        <v>6154</v>
      </c>
      <c r="B1171" t="s">
        <v>6155</v>
      </c>
      <c r="C1171" t="s">
        <v>847</v>
      </c>
      <c r="D1171" t="s">
        <v>6156</v>
      </c>
      <c r="E1171" t="s">
        <v>6157</v>
      </c>
      <c r="F1171" t="s">
        <v>6158</v>
      </c>
      <c r="G1171" s="4">
        <v>45466</v>
      </c>
      <c r="H1171" s="4">
        <v>45496</v>
      </c>
      <c r="I1171" s="4">
        <v>45506</v>
      </c>
      <c r="J1171">
        <f t="shared" si="90"/>
        <v>10</v>
      </c>
      <c r="K1171" t="str">
        <f t="array" ref="K1171">_xlfn.IFS(J1171=1,"Day Use",J1171&lt;=3,"Short Stay",J1171&lt;=7,"Extended Stay",J1171&gt;=8,"Long Stay")</f>
        <v>Long Stay</v>
      </c>
      <c r="L1171" t="s">
        <v>25</v>
      </c>
      <c r="M1171" s="10" t="str">
        <f t="shared" si="91"/>
        <v>Premium</v>
      </c>
      <c r="N1171" t="s">
        <v>26</v>
      </c>
      <c r="O1171" t="s">
        <v>42</v>
      </c>
      <c r="P1171">
        <f>IFERROR(VLOOKUP(TRIM(M1171),Room!D:H,5,FALSE),5000)</f>
        <v>9500</v>
      </c>
      <c r="Q1171">
        <f t="shared" si="92"/>
        <v>95000</v>
      </c>
      <c r="R1171" s="11" t="str">
        <f t="shared" si="93"/>
        <v>Conference</v>
      </c>
      <c r="S1171" s="11">
        <f t="shared" si="94"/>
        <v>4</v>
      </c>
    </row>
    <row r="1172" spans="1:19">
      <c r="A1172" t="s">
        <v>6159</v>
      </c>
      <c r="B1172" t="s">
        <v>6160</v>
      </c>
      <c r="C1172" t="s">
        <v>351</v>
      </c>
      <c r="D1172" t="s">
        <v>6161</v>
      </c>
      <c r="E1172" t="s">
        <v>6162</v>
      </c>
      <c r="F1172" t="s">
        <v>6163</v>
      </c>
      <c r="G1172" s="4">
        <v>45635</v>
      </c>
      <c r="H1172" s="4">
        <v>45644</v>
      </c>
      <c r="I1172" s="4">
        <v>45649</v>
      </c>
      <c r="J1172">
        <f t="shared" si="90"/>
        <v>5</v>
      </c>
      <c r="K1172" t="str">
        <f t="array" ref="K1172">_xlfn.IFS(J1172=1,"Day Use",J1172&lt;=3,"Short Stay",J1172&lt;=7,"Extended Stay",J1172&gt;=8,"Long Stay")</f>
        <v>Extended Stay</v>
      </c>
      <c r="L1172" t="s">
        <v>196</v>
      </c>
      <c r="M1172" s="10" t="str">
        <f t="shared" si="91"/>
        <v>Deluxe</v>
      </c>
      <c r="N1172" t="s">
        <v>26</v>
      </c>
      <c r="O1172" t="s">
        <v>42</v>
      </c>
      <c r="P1172">
        <f>IFERROR(VLOOKUP(TRIM(M1172),Room!D:H,5,FALSE),5000)</f>
        <v>5400</v>
      </c>
      <c r="Q1172">
        <f t="shared" si="92"/>
        <v>27000</v>
      </c>
      <c r="R1172" s="11" t="str">
        <f t="shared" si="93"/>
        <v>Conference</v>
      </c>
      <c r="S1172" s="11">
        <f t="shared" si="94"/>
        <v>3</v>
      </c>
    </row>
    <row r="1173" spans="1:19">
      <c r="A1173" t="s">
        <v>6164</v>
      </c>
      <c r="B1173" t="s">
        <v>6165</v>
      </c>
      <c r="C1173" t="s">
        <v>67</v>
      </c>
      <c r="D1173" t="s">
        <v>6166</v>
      </c>
      <c r="E1173" t="s">
        <v>6167</v>
      </c>
      <c r="F1173" t="s">
        <v>6168</v>
      </c>
      <c r="G1173" s="4">
        <v>45365</v>
      </c>
      <c r="H1173" s="4">
        <v>45800</v>
      </c>
      <c r="I1173" s="4">
        <v>45805</v>
      </c>
      <c r="J1173">
        <f t="shared" si="90"/>
        <v>5</v>
      </c>
      <c r="K1173" t="str">
        <f t="array" ref="K1173">_xlfn.IFS(J1173=1,"Day Use",J1173&lt;=3,"Short Stay",J1173&lt;=7,"Extended Stay",J1173&gt;=8,"Long Stay")</f>
        <v>Extended Stay</v>
      </c>
      <c r="L1173" t="s">
        <v>25</v>
      </c>
      <c r="M1173" s="10" t="str">
        <f t="shared" si="91"/>
        <v>Deluxe</v>
      </c>
      <c r="N1173" t="s">
        <v>26</v>
      </c>
      <c r="O1173" t="s">
        <v>27</v>
      </c>
      <c r="P1173">
        <f>IFERROR(VLOOKUP(TRIM(M1173),Room!D:H,5,FALSE),5000)</f>
        <v>5400</v>
      </c>
      <c r="Q1173">
        <f t="shared" si="92"/>
        <v>27000</v>
      </c>
      <c r="R1173" s="11" t="str">
        <f t="shared" si="93"/>
        <v>Conference</v>
      </c>
      <c r="S1173" s="11">
        <f t="shared" si="94"/>
        <v>3</v>
      </c>
    </row>
    <row r="1174" spans="1:19">
      <c r="A1174" t="s">
        <v>6169</v>
      </c>
      <c r="B1174" t="s">
        <v>6170</v>
      </c>
      <c r="C1174" t="s">
        <v>1250</v>
      </c>
      <c r="D1174" t="s">
        <v>6171</v>
      </c>
      <c r="E1174" t="s">
        <v>6172</v>
      </c>
      <c r="F1174" t="s">
        <v>6173</v>
      </c>
      <c r="G1174" s="4">
        <v>45685</v>
      </c>
      <c r="H1174" s="4">
        <v>45866</v>
      </c>
      <c r="I1174" s="4">
        <v>45875</v>
      </c>
      <c r="J1174">
        <f t="shared" si="90"/>
        <v>9</v>
      </c>
      <c r="K1174" t="str">
        <f t="array" ref="K1174">_xlfn.IFS(J1174=1,"Day Use",J1174&lt;=3,"Short Stay",J1174&lt;=7,"Extended Stay",J1174&gt;=8,"Long Stay")</f>
        <v>Long Stay</v>
      </c>
      <c r="L1174" t="s">
        <v>141</v>
      </c>
      <c r="M1174" s="10" t="str">
        <f t="shared" si="91"/>
        <v>Premium</v>
      </c>
      <c r="N1174" t="s">
        <v>57</v>
      </c>
      <c r="O1174" t="s">
        <v>71</v>
      </c>
      <c r="P1174">
        <f>IFERROR(VLOOKUP(TRIM(M1174),Room!D:H,5,FALSE),5000)</f>
        <v>9500</v>
      </c>
      <c r="Q1174">
        <f t="shared" si="92"/>
        <v>85500</v>
      </c>
      <c r="R1174" s="11" t="str">
        <f t="shared" si="93"/>
        <v>Conference</v>
      </c>
      <c r="S1174" s="11">
        <f t="shared" si="94"/>
        <v>4</v>
      </c>
    </row>
    <row r="1175" spans="1:19">
      <c r="A1175" t="s">
        <v>6174</v>
      </c>
      <c r="B1175" t="s">
        <v>6175</v>
      </c>
      <c r="C1175" t="s">
        <v>2837</v>
      </c>
      <c r="D1175" t="s">
        <v>6176</v>
      </c>
      <c r="E1175" t="s">
        <v>6177</v>
      </c>
      <c r="F1175" t="s">
        <v>6178</v>
      </c>
      <c r="G1175" s="4">
        <v>45489</v>
      </c>
      <c r="H1175" s="4">
        <v>45940</v>
      </c>
      <c r="I1175" s="4">
        <v>45941</v>
      </c>
      <c r="J1175">
        <f t="shared" si="90"/>
        <v>1</v>
      </c>
      <c r="K1175" t="str">
        <f t="array" ref="K1175">_xlfn.IFS(J1175=1,"Day Use",J1175&lt;=3,"Short Stay",J1175&lt;=7,"Extended Stay",J1175&gt;=8,"Long Stay")</f>
        <v>Day Use</v>
      </c>
      <c r="L1175" t="s">
        <v>49</v>
      </c>
      <c r="M1175" s="10" t="str">
        <f t="shared" si="91"/>
        <v>Standard</v>
      </c>
      <c r="N1175" t="s">
        <v>148</v>
      </c>
      <c r="O1175" t="s">
        <v>35</v>
      </c>
      <c r="P1175">
        <f>IFERROR(VLOOKUP(TRIM(M1175),Room!D:H,5,FALSE),5000)</f>
        <v>3200</v>
      </c>
      <c r="Q1175">
        <f t="shared" si="92"/>
        <v>3200</v>
      </c>
      <c r="R1175" s="11" t="str">
        <f t="shared" si="93"/>
        <v>Other</v>
      </c>
      <c r="S1175" s="11">
        <f t="shared" si="94"/>
        <v>1</v>
      </c>
    </row>
    <row r="1176" spans="1:19">
      <c r="A1176" t="s">
        <v>6179</v>
      </c>
      <c r="B1176" t="s">
        <v>6180</v>
      </c>
      <c r="C1176" t="s">
        <v>6181</v>
      </c>
      <c r="D1176" t="s">
        <v>6182</v>
      </c>
      <c r="E1176" t="s">
        <v>6183</v>
      </c>
      <c r="F1176" t="s">
        <v>6184</v>
      </c>
      <c r="G1176" s="4">
        <v>45531</v>
      </c>
      <c r="H1176" s="4">
        <v>46006</v>
      </c>
      <c r="I1176" s="4">
        <v>46013</v>
      </c>
      <c r="J1176">
        <f t="shared" si="90"/>
        <v>7</v>
      </c>
      <c r="K1176" t="str">
        <f t="array" ref="K1176">_xlfn.IFS(J1176=1,"Day Use",J1176&lt;=3,"Short Stay",J1176&lt;=7,"Extended Stay",J1176&gt;=8,"Long Stay")</f>
        <v>Extended Stay</v>
      </c>
      <c r="L1176" t="s">
        <v>25</v>
      </c>
      <c r="M1176" s="10" t="str">
        <f t="shared" si="91"/>
        <v>Premium</v>
      </c>
      <c r="N1176" t="s">
        <v>26</v>
      </c>
      <c r="O1176" t="s">
        <v>58</v>
      </c>
      <c r="P1176">
        <f>IFERROR(VLOOKUP(TRIM(M1176),Room!D:H,5,FALSE),5000)</f>
        <v>9500</v>
      </c>
      <c r="Q1176">
        <f t="shared" si="92"/>
        <v>66500</v>
      </c>
      <c r="R1176" s="11" t="str">
        <f t="shared" si="93"/>
        <v>Conference</v>
      </c>
      <c r="S1176" s="11">
        <f t="shared" si="94"/>
        <v>4</v>
      </c>
    </row>
    <row r="1177" spans="1:19">
      <c r="A1177" t="s">
        <v>6185</v>
      </c>
      <c r="B1177" t="s">
        <v>6186</v>
      </c>
      <c r="C1177" t="s">
        <v>253</v>
      </c>
      <c r="D1177" t="s">
        <v>6187</v>
      </c>
      <c r="E1177" t="s">
        <v>6188</v>
      </c>
      <c r="F1177" t="s">
        <v>6189</v>
      </c>
      <c r="G1177" s="4">
        <v>45526</v>
      </c>
      <c r="H1177" s="4">
        <v>45533</v>
      </c>
      <c r="I1177" s="4">
        <v>45534</v>
      </c>
      <c r="J1177">
        <f t="shared" si="90"/>
        <v>1</v>
      </c>
      <c r="K1177" t="str">
        <f t="array" ref="K1177">_xlfn.IFS(J1177=1,"Day Use",J1177&lt;=3,"Short Stay",J1177&lt;=7,"Extended Stay",J1177&gt;=8,"Long Stay")</f>
        <v>Day Use</v>
      </c>
      <c r="L1177" t="s">
        <v>49</v>
      </c>
      <c r="M1177" s="10" t="str">
        <f t="shared" si="91"/>
        <v>Standard</v>
      </c>
      <c r="N1177" t="s">
        <v>148</v>
      </c>
      <c r="O1177" t="s">
        <v>27</v>
      </c>
      <c r="P1177">
        <f>IFERROR(VLOOKUP(TRIM(M1177),Room!D:H,5,FALSE),5000)</f>
        <v>3200</v>
      </c>
      <c r="Q1177">
        <f t="shared" si="92"/>
        <v>3200</v>
      </c>
      <c r="R1177" s="11" t="str">
        <f t="shared" si="93"/>
        <v>Other</v>
      </c>
      <c r="S1177" s="11">
        <f t="shared" si="94"/>
        <v>1</v>
      </c>
    </row>
    <row r="1178" spans="1:19">
      <c r="A1178" t="s">
        <v>6190</v>
      </c>
      <c r="B1178" t="s">
        <v>6191</v>
      </c>
      <c r="C1178" t="s">
        <v>1014</v>
      </c>
      <c r="D1178" t="s">
        <v>6192</v>
      </c>
      <c r="E1178" t="s">
        <v>6193</v>
      </c>
      <c r="F1178" t="s">
        <v>6194</v>
      </c>
      <c r="G1178" s="4">
        <v>45702</v>
      </c>
      <c r="H1178" s="4">
        <v>45759</v>
      </c>
      <c r="I1178" s="4">
        <v>45764</v>
      </c>
      <c r="J1178">
        <f t="shared" si="90"/>
        <v>5</v>
      </c>
      <c r="K1178" t="str">
        <f t="array" ref="K1178">_xlfn.IFS(J1178=1,"Day Use",J1178&lt;=3,"Short Stay",J1178&lt;=7,"Extended Stay",J1178&gt;=8,"Long Stay")</f>
        <v>Extended Stay</v>
      </c>
      <c r="L1178" t="s">
        <v>141</v>
      </c>
      <c r="M1178" s="10" t="str">
        <f t="shared" si="91"/>
        <v>Deluxe</v>
      </c>
      <c r="N1178" t="s">
        <v>26</v>
      </c>
      <c r="O1178" t="s">
        <v>27</v>
      </c>
      <c r="P1178">
        <f>IFERROR(VLOOKUP(TRIM(M1178),Room!D:H,5,FALSE),5000)</f>
        <v>5400</v>
      </c>
      <c r="Q1178">
        <f t="shared" si="92"/>
        <v>27000</v>
      </c>
      <c r="R1178" s="11" t="str">
        <f t="shared" si="93"/>
        <v>Conference</v>
      </c>
      <c r="S1178" s="11">
        <f t="shared" si="94"/>
        <v>3</v>
      </c>
    </row>
    <row r="1179" spans="1:19">
      <c r="A1179" t="s">
        <v>6195</v>
      </c>
      <c r="B1179" t="s">
        <v>6196</v>
      </c>
      <c r="C1179" t="s">
        <v>484</v>
      </c>
      <c r="D1179" t="s">
        <v>6197</v>
      </c>
      <c r="E1179" t="s">
        <v>6198</v>
      </c>
      <c r="F1179" t="s">
        <v>6199</v>
      </c>
      <c r="G1179" s="4">
        <v>45341</v>
      </c>
      <c r="H1179" s="4">
        <v>45361</v>
      </c>
      <c r="I1179" s="4">
        <v>45373</v>
      </c>
      <c r="J1179">
        <f t="shared" si="90"/>
        <v>12</v>
      </c>
      <c r="K1179" t="str">
        <f t="array" ref="K1179">_xlfn.IFS(J1179=1,"Day Use",J1179&lt;=3,"Short Stay",J1179&lt;=7,"Extended Stay",J1179&gt;=8,"Long Stay")</f>
        <v>Long Stay</v>
      </c>
      <c r="L1179" t="s">
        <v>141</v>
      </c>
      <c r="M1179" s="10" t="str">
        <f t="shared" si="91"/>
        <v>Suite</v>
      </c>
      <c r="N1179" t="s">
        <v>57</v>
      </c>
      <c r="O1179" t="s">
        <v>27</v>
      </c>
      <c r="P1179">
        <f>IFERROR(VLOOKUP(TRIM(M1179),Room!D:H,5,FALSE),5000)</f>
        <v>12500</v>
      </c>
      <c r="Q1179">
        <f t="shared" si="92"/>
        <v>150000</v>
      </c>
      <c r="R1179" s="11" t="str">
        <f t="shared" si="93"/>
        <v>Business</v>
      </c>
      <c r="S1179" s="11">
        <f t="shared" si="94"/>
        <v>5</v>
      </c>
    </row>
    <row r="1180" spans="1:19">
      <c r="A1180" t="s">
        <v>6200</v>
      </c>
      <c r="B1180" t="s">
        <v>6201</v>
      </c>
      <c r="C1180" t="s">
        <v>6202</v>
      </c>
      <c r="D1180" t="s">
        <v>6203</v>
      </c>
      <c r="E1180" t="s">
        <v>6204</v>
      </c>
      <c r="F1180" t="s">
        <v>6205</v>
      </c>
      <c r="G1180" s="4">
        <v>45522</v>
      </c>
      <c r="H1180" s="4">
        <v>45708</v>
      </c>
      <c r="I1180" s="4">
        <v>45719</v>
      </c>
      <c r="J1180">
        <f t="shared" si="90"/>
        <v>11</v>
      </c>
      <c r="K1180" t="str">
        <f t="array" ref="K1180">_xlfn.IFS(J1180=1,"Day Use",J1180&lt;=3,"Short Stay",J1180&lt;=7,"Extended Stay",J1180&gt;=8,"Long Stay")</f>
        <v>Long Stay</v>
      </c>
      <c r="L1180" t="s">
        <v>196</v>
      </c>
      <c r="M1180" s="10" t="str">
        <f t="shared" si="91"/>
        <v>Suite</v>
      </c>
      <c r="N1180" t="s">
        <v>148</v>
      </c>
      <c r="O1180" t="s">
        <v>27</v>
      </c>
      <c r="P1180">
        <f>IFERROR(VLOOKUP(TRIM(M1180),Room!D:H,5,FALSE),5000)</f>
        <v>12500</v>
      </c>
      <c r="Q1180">
        <f t="shared" si="92"/>
        <v>137500</v>
      </c>
      <c r="R1180" s="11" t="str">
        <f t="shared" si="93"/>
        <v>Business</v>
      </c>
      <c r="S1180" s="11">
        <f t="shared" si="94"/>
        <v>5</v>
      </c>
    </row>
    <row r="1181" spans="1:19">
      <c r="A1181" t="s">
        <v>6206</v>
      </c>
      <c r="B1181" t="s">
        <v>6207</v>
      </c>
      <c r="C1181" t="s">
        <v>639</v>
      </c>
      <c r="D1181" t="s">
        <v>6208</v>
      </c>
      <c r="E1181" t="s">
        <v>6209</v>
      </c>
      <c r="F1181" t="s">
        <v>6210</v>
      </c>
      <c r="G1181" s="4">
        <v>45785</v>
      </c>
      <c r="H1181" s="4">
        <v>45974</v>
      </c>
      <c r="I1181" s="4">
        <v>45987</v>
      </c>
      <c r="J1181">
        <f t="shared" si="90"/>
        <v>13</v>
      </c>
      <c r="K1181" t="str">
        <f t="array" ref="K1181">_xlfn.IFS(J1181=1,"Day Use",J1181&lt;=3,"Short Stay",J1181&lt;=7,"Extended Stay",J1181&gt;=8,"Long Stay")</f>
        <v>Long Stay</v>
      </c>
      <c r="L1181" t="s">
        <v>141</v>
      </c>
      <c r="M1181" s="10" t="str">
        <f t="shared" si="91"/>
        <v>Suite</v>
      </c>
      <c r="N1181" t="s">
        <v>26</v>
      </c>
      <c r="O1181" t="s">
        <v>58</v>
      </c>
      <c r="P1181">
        <f>IFERROR(VLOOKUP(TRIM(M1181),Room!D:H,5,FALSE),5000)</f>
        <v>12500</v>
      </c>
      <c r="Q1181">
        <f t="shared" si="92"/>
        <v>162500</v>
      </c>
      <c r="R1181" s="11" t="str">
        <f t="shared" si="93"/>
        <v>Business</v>
      </c>
      <c r="S1181" s="11">
        <f t="shared" si="94"/>
        <v>5</v>
      </c>
    </row>
    <row r="1182" spans="1:19">
      <c r="A1182" t="s">
        <v>6211</v>
      </c>
      <c r="B1182" t="s">
        <v>6212</v>
      </c>
      <c r="C1182" t="s">
        <v>38</v>
      </c>
      <c r="D1182" t="s">
        <v>6213</v>
      </c>
      <c r="E1182" t="s">
        <v>6214</v>
      </c>
      <c r="F1182" t="s">
        <v>6215</v>
      </c>
      <c r="G1182" s="4">
        <v>45298</v>
      </c>
      <c r="H1182" s="4">
        <v>45894</v>
      </c>
      <c r="I1182" s="4">
        <v>45908</v>
      </c>
      <c r="J1182">
        <f t="shared" si="90"/>
        <v>14</v>
      </c>
      <c r="K1182" t="str">
        <f t="array" ref="K1182">_xlfn.IFS(J1182=1,"Day Use",J1182&lt;=3,"Short Stay",J1182&lt;=7,"Extended Stay",J1182&gt;=8,"Long Stay")</f>
        <v>Long Stay</v>
      </c>
      <c r="L1182" t="s">
        <v>49</v>
      </c>
      <c r="M1182" s="10" t="str">
        <f t="shared" si="91"/>
        <v>Suite</v>
      </c>
      <c r="N1182" t="s">
        <v>26</v>
      </c>
      <c r="O1182" t="s">
        <v>58</v>
      </c>
      <c r="P1182">
        <f>IFERROR(VLOOKUP(TRIM(M1182),Room!D:H,5,FALSE),5000)</f>
        <v>12500</v>
      </c>
      <c r="Q1182">
        <f t="shared" si="92"/>
        <v>175000</v>
      </c>
      <c r="R1182" s="11" t="str">
        <f t="shared" si="93"/>
        <v>Business</v>
      </c>
      <c r="S1182" s="11">
        <f t="shared" si="94"/>
        <v>5</v>
      </c>
    </row>
    <row r="1183" spans="1:19">
      <c r="A1183" t="s">
        <v>6216</v>
      </c>
      <c r="B1183" t="s">
        <v>6217</v>
      </c>
      <c r="C1183" t="s">
        <v>1164</v>
      </c>
      <c r="D1183" t="s">
        <v>6218</v>
      </c>
      <c r="E1183" t="s">
        <v>6219</v>
      </c>
      <c r="F1183" t="s">
        <v>6220</v>
      </c>
      <c r="G1183" s="4">
        <v>45801</v>
      </c>
      <c r="H1183" s="4">
        <v>45802</v>
      </c>
      <c r="I1183" s="4">
        <v>45812</v>
      </c>
      <c r="J1183">
        <f t="shared" si="90"/>
        <v>10</v>
      </c>
      <c r="K1183" t="str">
        <f t="array" ref="K1183">_xlfn.IFS(J1183=1,"Day Use",J1183&lt;=3,"Short Stay",J1183&lt;=7,"Extended Stay",J1183&gt;=8,"Long Stay")</f>
        <v>Long Stay</v>
      </c>
      <c r="L1183" t="s">
        <v>25</v>
      </c>
      <c r="M1183" s="10" t="str">
        <f t="shared" si="91"/>
        <v>Premium</v>
      </c>
      <c r="N1183" t="s">
        <v>26</v>
      </c>
      <c r="O1183" t="s">
        <v>42</v>
      </c>
      <c r="P1183">
        <f>IFERROR(VLOOKUP(TRIM(M1183),Room!D:H,5,FALSE),5000)</f>
        <v>9500</v>
      </c>
      <c r="Q1183">
        <f t="shared" si="92"/>
        <v>95000</v>
      </c>
      <c r="R1183" s="11" t="str">
        <f t="shared" si="93"/>
        <v>Conference</v>
      </c>
      <c r="S1183" s="11">
        <f t="shared" si="94"/>
        <v>4</v>
      </c>
    </row>
    <row r="1184" spans="1:19">
      <c r="A1184" t="s">
        <v>6221</v>
      </c>
      <c r="B1184" t="s">
        <v>6222</v>
      </c>
      <c r="C1184" t="s">
        <v>927</v>
      </c>
      <c r="D1184" t="s">
        <v>6223</v>
      </c>
      <c r="E1184" t="s">
        <v>6224</v>
      </c>
      <c r="F1184" t="s">
        <v>6225</v>
      </c>
      <c r="G1184" s="4">
        <v>45382</v>
      </c>
      <c r="H1184" s="4">
        <v>45402</v>
      </c>
      <c r="I1184" s="4">
        <v>45408</v>
      </c>
      <c r="J1184">
        <f t="shared" si="90"/>
        <v>6</v>
      </c>
      <c r="K1184" t="str">
        <f t="array" ref="K1184">_xlfn.IFS(J1184=1,"Day Use",J1184&lt;=3,"Short Stay",J1184&lt;=7,"Extended Stay",J1184&gt;=8,"Long Stay")</f>
        <v>Extended Stay</v>
      </c>
      <c r="L1184" t="s">
        <v>49</v>
      </c>
      <c r="M1184" s="10" t="str">
        <f t="shared" si="91"/>
        <v>Deluxe</v>
      </c>
      <c r="N1184" t="s">
        <v>26</v>
      </c>
      <c r="O1184" t="s">
        <v>58</v>
      </c>
      <c r="P1184">
        <f>IFERROR(VLOOKUP(TRIM(M1184),Room!D:H,5,FALSE),5000)</f>
        <v>5400</v>
      </c>
      <c r="Q1184">
        <f t="shared" si="92"/>
        <v>32400</v>
      </c>
      <c r="R1184" s="11" t="str">
        <f t="shared" si="93"/>
        <v>Conference</v>
      </c>
      <c r="S1184" s="11">
        <f t="shared" si="94"/>
        <v>3</v>
      </c>
    </row>
    <row r="1185" spans="1:19">
      <c r="A1185" t="s">
        <v>6226</v>
      </c>
      <c r="B1185" t="s">
        <v>6227</v>
      </c>
      <c r="C1185" t="s">
        <v>3216</v>
      </c>
      <c r="D1185" t="s">
        <v>6228</v>
      </c>
      <c r="E1185" t="s">
        <v>6229</v>
      </c>
      <c r="F1185" t="s">
        <v>6230</v>
      </c>
      <c r="G1185" s="4">
        <v>45735</v>
      </c>
      <c r="H1185" s="4">
        <v>45955</v>
      </c>
      <c r="I1185" s="4">
        <v>45963</v>
      </c>
      <c r="J1185">
        <f t="shared" si="90"/>
        <v>8</v>
      </c>
      <c r="K1185" t="str">
        <f t="array" ref="K1185">_xlfn.IFS(J1185=1,"Day Use",J1185&lt;=3,"Short Stay",J1185&lt;=7,"Extended Stay",J1185&gt;=8,"Long Stay")</f>
        <v>Long Stay</v>
      </c>
      <c r="L1185" t="s">
        <v>56</v>
      </c>
      <c r="M1185" s="10" t="str">
        <f t="shared" si="91"/>
        <v>Premium</v>
      </c>
      <c r="N1185" t="s">
        <v>57</v>
      </c>
      <c r="O1185" t="s">
        <v>58</v>
      </c>
      <c r="P1185">
        <f>IFERROR(VLOOKUP(TRIM(M1185),Room!D:H,5,FALSE),5000)</f>
        <v>9500</v>
      </c>
      <c r="Q1185">
        <f t="shared" si="92"/>
        <v>76000</v>
      </c>
      <c r="R1185" s="11" t="str">
        <f t="shared" si="93"/>
        <v>Conference</v>
      </c>
      <c r="S1185" s="11">
        <f t="shared" si="94"/>
        <v>4</v>
      </c>
    </row>
    <row r="1186" spans="1:19">
      <c r="A1186" t="s">
        <v>6231</v>
      </c>
      <c r="B1186" t="s">
        <v>6232</v>
      </c>
      <c r="C1186" t="s">
        <v>1476</v>
      </c>
      <c r="D1186" t="s">
        <v>6233</v>
      </c>
      <c r="E1186" t="s">
        <v>6234</v>
      </c>
      <c r="F1186" t="s">
        <v>6235</v>
      </c>
      <c r="G1186" s="4">
        <v>45783</v>
      </c>
      <c r="H1186" s="4">
        <v>45961</v>
      </c>
      <c r="I1186" s="4">
        <v>45962</v>
      </c>
      <c r="J1186">
        <f t="shared" si="90"/>
        <v>1</v>
      </c>
      <c r="K1186" t="str">
        <f t="array" ref="K1186">_xlfn.IFS(J1186=1,"Day Use",J1186&lt;=3,"Short Stay",J1186&lt;=7,"Extended Stay",J1186&gt;=8,"Long Stay")</f>
        <v>Day Use</v>
      </c>
      <c r="L1186" t="s">
        <v>196</v>
      </c>
      <c r="M1186" s="10" t="str">
        <f t="shared" si="91"/>
        <v>Standard</v>
      </c>
      <c r="N1186" t="s">
        <v>148</v>
      </c>
      <c r="O1186" t="s">
        <v>71</v>
      </c>
      <c r="P1186">
        <f>IFERROR(VLOOKUP(TRIM(M1186),Room!D:H,5,FALSE),5000)</f>
        <v>3200</v>
      </c>
      <c r="Q1186">
        <f t="shared" si="92"/>
        <v>3200</v>
      </c>
      <c r="R1186" s="11" t="str">
        <f t="shared" si="93"/>
        <v>Other</v>
      </c>
      <c r="S1186" s="11">
        <f t="shared" si="94"/>
        <v>1</v>
      </c>
    </row>
    <row r="1187" spans="1:19">
      <c r="A1187" t="s">
        <v>6236</v>
      </c>
      <c r="B1187" t="s">
        <v>6237</v>
      </c>
      <c r="C1187" t="s">
        <v>982</v>
      </c>
      <c r="D1187" t="s">
        <v>6238</v>
      </c>
      <c r="E1187" t="s">
        <v>6239</v>
      </c>
      <c r="F1187" t="s">
        <v>6240</v>
      </c>
      <c r="G1187" s="4">
        <v>45587</v>
      </c>
      <c r="H1187" s="4">
        <v>45857</v>
      </c>
      <c r="I1187" s="4">
        <v>45869</v>
      </c>
      <c r="J1187">
        <f t="shared" si="90"/>
        <v>12</v>
      </c>
      <c r="K1187" t="str">
        <f t="array" ref="K1187">_xlfn.IFS(J1187=1,"Day Use",J1187&lt;=3,"Short Stay",J1187&lt;=7,"Extended Stay",J1187&gt;=8,"Long Stay")</f>
        <v>Long Stay</v>
      </c>
      <c r="L1187" t="s">
        <v>49</v>
      </c>
      <c r="M1187" s="10" t="str">
        <f t="shared" si="91"/>
        <v>Suite</v>
      </c>
      <c r="N1187" t="s">
        <v>57</v>
      </c>
      <c r="O1187" t="s">
        <v>27</v>
      </c>
      <c r="P1187">
        <f>IFERROR(VLOOKUP(TRIM(M1187),Room!D:H,5,FALSE),5000)</f>
        <v>12500</v>
      </c>
      <c r="Q1187">
        <f t="shared" si="92"/>
        <v>150000</v>
      </c>
      <c r="R1187" s="11" t="str">
        <f t="shared" si="93"/>
        <v>Business</v>
      </c>
      <c r="S1187" s="11">
        <f t="shared" si="94"/>
        <v>5</v>
      </c>
    </row>
    <row r="1188" spans="1:19">
      <c r="A1188" t="s">
        <v>6241</v>
      </c>
      <c r="B1188" t="s">
        <v>6242</v>
      </c>
      <c r="C1188" t="s">
        <v>835</v>
      </c>
      <c r="D1188" t="s">
        <v>6243</v>
      </c>
      <c r="E1188" t="s">
        <v>6244</v>
      </c>
      <c r="F1188" t="s">
        <v>6245</v>
      </c>
      <c r="G1188" s="4">
        <v>45284</v>
      </c>
      <c r="H1188" s="4">
        <v>45310</v>
      </c>
      <c r="I1188" s="4">
        <v>45323</v>
      </c>
      <c r="J1188">
        <f t="shared" si="90"/>
        <v>13</v>
      </c>
      <c r="K1188" t="str">
        <f t="array" ref="K1188">_xlfn.IFS(J1188=1,"Day Use",J1188&lt;=3,"Short Stay",J1188&lt;=7,"Extended Stay",J1188&gt;=8,"Long Stay")</f>
        <v>Long Stay</v>
      </c>
      <c r="L1188" t="s">
        <v>84</v>
      </c>
      <c r="M1188" s="10" t="str">
        <f t="shared" si="91"/>
        <v>Suite</v>
      </c>
      <c r="N1188" t="s">
        <v>57</v>
      </c>
      <c r="O1188" t="s">
        <v>58</v>
      </c>
      <c r="P1188">
        <f>IFERROR(VLOOKUP(TRIM(M1188),Room!D:H,5,FALSE),5000)</f>
        <v>12500</v>
      </c>
      <c r="Q1188">
        <f t="shared" si="92"/>
        <v>162500</v>
      </c>
      <c r="R1188" s="11" t="str">
        <f t="shared" si="93"/>
        <v>Business</v>
      </c>
      <c r="S1188" s="11">
        <f t="shared" si="94"/>
        <v>5</v>
      </c>
    </row>
    <row r="1189" spans="1:19">
      <c r="A1189" t="s">
        <v>6246</v>
      </c>
      <c r="B1189" t="s">
        <v>6247</v>
      </c>
      <c r="C1189" t="s">
        <v>2276</v>
      </c>
      <c r="D1189" t="s">
        <v>6248</v>
      </c>
      <c r="E1189" t="s">
        <v>6249</v>
      </c>
      <c r="F1189" t="s">
        <v>6250</v>
      </c>
      <c r="G1189" s="4">
        <v>45693</v>
      </c>
      <c r="H1189" s="4">
        <v>45857</v>
      </c>
      <c r="I1189" s="4">
        <v>45860</v>
      </c>
      <c r="J1189">
        <f t="shared" si="90"/>
        <v>3</v>
      </c>
      <c r="K1189" t="str">
        <f t="array" ref="K1189">_xlfn.IFS(J1189=1,"Day Use",J1189&lt;=3,"Short Stay",J1189&lt;=7,"Extended Stay",J1189&gt;=8,"Long Stay")</f>
        <v>Short Stay</v>
      </c>
      <c r="L1189" t="s">
        <v>49</v>
      </c>
      <c r="M1189" s="10" t="str">
        <f t="shared" si="91"/>
        <v>Standard</v>
      </c>
      <c r="N1189" t="s">
        <v>26</v>
      </c>
      <c r="O1189" t="s">
        <v>35</v>
      </c>
      <c r="P1189">
        <f>IFERROR(VLOOKUP(TRIM(M1189),Room!D:H,5,FALSE),5000)</f>
        <v>3200</v>
      </c>
      <c r="Q1189">
        <f t="shared" si="92"/>
        <v>9600</v>
      </c>
      <c r="R1189" s="11" t="str">
        <f t="shared" si="93"/>
        <v>Other</v>
      </c>
      <c r="S1189" s="11">
        <f t="shared" si="94"/>
        <v>2</v>
      </c>
    </row>
    <row r="1190" spans="1:19">
      <c r="A1190" t="s">
        <v>6251</v>
      </c>
      <c r="B1190" t="s">
        <v>6252</v>
      </c>
      <c r="C1190" t="s">
        <v>2863</v>
      </c>
      <c r="D1190" t="s">
        <v>6253</v>
      </c>
      <c r="E1190" t="s">
        <v>6254</v>
      </c>
      <c r="F1190" t="s">
        <v>6255</v>
      </c>
      <c r="G1190" s="4">
        <v>45490</v>
      </c>
      <c r="H1190" s="4">
        <v>45514</v>
      </c>
      <c r="I1190" s="4">
        <v>45517</v>
      </c>
      <c r="J1190">
        <f t="shared" si="90"/>
        <v>3</v>
      </c>
      <c r="K1190" t="str">
        <f t="array" ref="K1190">_xlfn.IFS(J1190=1,"Day Use",J1190&lt;=3,"Short Stay",J1190&lt;=7,"Extended Stay",J1190&gt;=8,"Long Stay")</f>
        <v>Short Stay</v>
      </c>
      <c r="L1190" t="s">
        <v>25</v>
      </c>
      <c r="M1190" s="10" t="str">
        <f t="shared" si="91"/>
        <v>Standard</v>
      </c>
      <c r="N1190" t="s">
        <v>26</v>
      </c>
      <c r="O1190" t="s">
        <v>27</v>
      </c>
      <c r="P1190">
        <f>IFERROR(VLOOKUP(TRIM(M1190),Room!D:H,5,FALSE),5000)</f>
        <v>3200</v>
      </c>
      <c r="Q1190">
        <f t="shared" si="92"/>
        <v>9600</v>
      </c>
      <c r="R1190" s="11" t="str">
        <f t="shared" si="93"/>
        <v>Other</v>
      </c>
      <c r="S1190" s="11">
        <f t="shared" si="94"/>
        <v>2</v>
      </c>
    </row>
    <row r="1191" spans="1:19">
      <c r="A1191" t="s">
        <v>6256</v>
      </c>
      <c r="B1191" t="s">
        <v>6257</v>
      </c>
      <c r="C1191" t="s">
        <v>2636</v>
      </c>
      <c r="D1191" t="s">
        <v>6258</v>
      </c>
      <c r="E1191" t="s">
        <v>6259</v>
      </c>
      <c r="F1191" t="s">
        <v>6260</v>
      </c>
      <c r="G1191" s="4">
        <v>45460</v>
      </c>
      <c r="H1191" s="4">
        <v>45848</v>
      </c>
      <c r="I1191" s="4">
        <v>45858</v>
      </c>
      <c r="J1191">
        <f t="shared" si="90"/>
        <v>10</v>
      </c>
      <c r="K1191" t="str">
        <f t="array" ref="K1191">_xlfn.IFS(J1191=1,"Day Use",J1191&lt;=3,"Short Stay",J1191&lt;=7,"Extended Stay",J1191&gt;=8,"Long Stay")</f>
        <v>Long Stay</v>
      </c>
      <c r="L1191" t="s">
        <v>49</v>
      </c>
      <c r="M1191" s="10" t="str">
        <f t="shared" si="91"/>
        <v>Premium</v>
      </c>
      <c r="N1191" t="s">
        <v>57</v>
      </c>
      <c r="O1191" t="s">
        <v>58</v>
      </c>
      <c r="P1191">
        <f>IFERROR(VLOOKUP(TRIM(M1191),Room!D:H,5,FALSE),5000)</f>
        <v>9500</v>
      </c>
      <c r="Q1191">
        <f t="shared" si="92"/>
        <v>95000</v>
      </c>
      <c r="R1191" s="11" t="str">
        <f t="shared" si="93"/>
        <v>Conference</v>
      </c>
      <c r="S1191" s="11">
        <f t="shared" si="94"/>
        <v>4</v>
      </c>
    </row>
    <row r="1192" spans="1:19">
      <c r="A1192" t="s">
        <v>6261</v>
      </c>
      <c r="B1192" t="s">
        <v>6262</v>
      </c>
      <c r="C1192" t="s">
        <v>1447</v>
      </c>
      <c r="D1192" t="s">
        <v>6263</v>
      </c>
      <c r="E1192" t="s">
        <v>6264</v>
      </c>
      <c r="F1192" t="s">
        <v>6265</v>
      </c>
      <c r="G1192" s="4">
        <v>45745</v>
      </c>
      <c r="H1192" s="4">
        <v>45747</v>
      </c>
      <c r="I1192" s="4">
        <v>45748</v>
      </c>
      <c r="J1192">
        <f t="shared" si="90"/>
        <v>1</v>
      </c>
      <c r="K1192" t="str">
        <f t="array" ref="K1192">_xlfn.IFS(J1192=1,"Day Use",J1192&lt;=3,"Short Stay",J1192&lt;=7,"Extended Stay",J1192&gt;=8,"Long Stay")</f>
        <v>Day Use</v>
      </c>
      <c r="L1192" t="s">
        <v>141</v>
      </c>
      <c r="M1192" s="10" t="str">
        <f t="shared" si="91"/>
        <v>Standard</v>
      </c>
      <c r="N1192" t="s">
        <v>26</v>
      </c>
      <c r="O1192" t="s">
        <v>35</v>
      </c>
      <c r="P1192">
        <f>IFERROR(VLOOKUP(TRIM(M1192),Room!D:H,5,FALSE),5000)</f>
        <v>3200</v>
      </c>
      <c r="Q1192">
        <f t="shared" si="92"/>
        <v>3200</v>
      </c>
      <c r="R1192" s="11" t="str">
        <f t="shared" si="93"/>
        <v>Other</v>
      </c>
      <c r="S1192" s="11">
        <f t="shared" si="94"/>
        <v>1</v>
      </c>
    </row>
    <row r="1193" spans="1:19">
      <c r="A1193" t="s">
        <v>6266</v>
      </c>
      <c r="B1193" t="s">
        <v>6267</v>
      </c>
      <c r="C1193" t="s">
        <v>6268</v>
      </c>
      <c r="D1193" t="s">
        <v>6269</v>
      </c>
      <c r="E1193" t="s">
        <v>6270</v>
      </c>
      <c r="F1193" t="s">
        <v>6271</v>
      </c>
      <c r="G1193" s="4">
        <v>45565</v>
      </c>
      <c r="H1193" s="4">
        <v>45601</v>
      </c>
      <c r="I1193" s="4">
        <v>45606</v>
      </c>
      <c r="J1193">
        <f t="shared" si="90"/>
        <v>5</v>
      </c>
      <c r="K1193" t="str">
        <f t="array" ref="K1193">_xlfn.IFS(J1193=1,"Day Use",J1193&lt;=3,"Short Stay",J1193&lt;=7,"Extended Stay",J1193&gt;=8,"Long Stay")</f>
        <v>Extended Stay</v>
      </c>
      <c r="L1193" t="s">
        <v>91</v>
      </c>
      <c r="M1193" s="10" t="str">
        <f t="shared" si="91"/>
        <v>Deluxe</v>
      </c>
      <c r="N1193" t="s">
        <v>26</v>
      </c>
      <c r="O1193" t="s">
        <v>35</v>
      </c>
      <c r="P1193">
        <f>IFERROR(VLOOKUP(TRIM(M1193),Room!D:H,5,FALSE),5000)</f>
        <v>5400</v>
      </c>
      <c r="Q1193">
        <f t="shared" si="92"/>
        <v>27000</v>
      </c>
      <c r="R1193" s="11" t="str">
        <f t="shared" si="93"/>
        <v>Conference</v>
      </c>
      <c r="S1193" s="11">
        <f t="shared" si="94"/>
        <v>3</v>
      </c>
    </row>
    <row r="1194" spans="1:19">
      <c r="A1194" t="s">
        <v>6272</v>
      </c>
      <c r="B1194" t="s">
        <v>6273</v>
      </c>
      <c r="C1194" t="s">
        <v>282</v>
      </c>
      <c r="D1194" t="s">
        <v>6274</v>
      </c>
      <c r="E1194" t="s">
        <v>6275</v>
      </c>
      <c r="F1194" t="s">
        <v>6276</v>
      </c>
      <c r="G1194" s="4">
        <v>45379</v>
      </c>
      <c r="H1194" s="4">
        <v>45965</v>
      </c>
      <c r="I1194" s="4">
        <v>45971</v>
      </c>
      <c r="J1194">
        <f t="shared" si="90"/>
        <v>6</v>
      </c>
      <c r="K1194" t="str">
        <f t="array" ref="K1194">_xlfn.IFS(J1194=1,"Day Use",J1194&lt;=3,"Short Stay",J1194&lt;=7,"Extended Stay",J1194&gt;=8,"Long Stay")</f>
        <v>Extended Stay</v>
      </c>
      <c r="L1194" t="s">
        <v>91</v>
      </c>
      <c r="M1194" s="10" t="str">
        <f t="shared" si="91"/>
        <v>Deluxe</v>
      </c>
      <c r="N1194" t="s">
        <v>26</v>
      </c>
      <c r="O1194" t="s">
        <v>71</v>
      </c>
      <c r="P1194">
        <f>IFERROR(VLOOKUP(TRIM(M1194),Room!D:H,5,FALSE),5000)</f>
        <v>5400</v>
      </c>
      <c r="Q1194">
        <f t="shared" si="92"/>
        <v>32400</v>
      </c>
      <c r="R1194" s="11" t="str">
        <f t="shared" si="93"/>
        <v>Conference</v>
      </c>
      <c r="S1194" s="11">
        <f t="shared" si="94"/>
        <v>3</v>
      </c>
    </row>
    <row r="1195" spans="1:19">
      <c r="A1195" t="s">
        <v>6277</v>
      </c>
      <c r="B1195" t="s">
        <v>6278</v>
      </c>
      <c r="C1195" t="s">
        <v>871</v>
      </c>
      <c r="D1195" t="s">
        <v>6279</v>
      </c>
      <c r="E1195" t="s">
        <v>6280</v>
      </c>
      <c r="F1195" t="s">
        <v>6281</v>
      </c>
      <c r="G1195" s="4">
        <v>45253</v>
      </c>
      <c r="H1195" s="4">
        <v>45701</v>
      </c>
      <c r="I1195" s="4">
        <v>45712</v>
      </c>
      <c r="J1195">
        <f t="shared" si="90"/>
        <v>11</v>
      </c>
      <c r="K1195" t="str">
        <f t="array" ref="K1195">_xlfn.IFS(J1195=1,"Day Use",J1195&lt;=3,"Short Stay",J1195&lt;=7,"Extended Stay",J1195&gt;=8,"Long Stay")</f>
        <v>Long Stay</v>
      </c>
      <c r="L1195" t="s">
        <v>56</v>
      </c>
      <c r="M1195" s="10" t="str">
        <f t="shared" si="91"/>
        <v>Suite</v>
      </c>
      <c r="N1195" t="s">
        <v>26</v>
      </c>
      <c r="O1195" t="s">
        <v>42</v>
      </c>
      <c r="P1195">
        <f>IFERROR(VLOOKUP(TRIM(M1195),Room!D:H,5,FALSE),5000)</f>
        <v>12500</v>
      </c>
      <c r="Q1195">
        <f t="shared" si="92"/>
        <v>137500</v>
      </c>
      <c r="R1195" s="11" t="str">
        <f t="shared" si="93"/>
        <v>Business</v>
      </c>
      <c r="S1195" s="11">
        <f t="shared" si="94"/>
        <v>5</v>
      </c>
    </row>
    <row r="1196" spans="1:19">
      <c r="A1196" t="s">
        <v>6282</v>
      </c>
      <c r="B1196" t="s">
        <v>6283</v>
      </c>
      <c r="C1196" t="s">
        <v>5231</v>
      </c>
      <c r="D1196" t="s">
        <v>6284</v>
      </c>
      <c r="E1196" t="s">
        <v>6285</v>
      </c>
      <c r="F1196" t="s">
        <v>6286</v>
      </c>
      <c r="G1196" s="4">
        <v>45295</v>
      </c>
      <c r="H1196" s="4">
        <v>45616</v>
      </c>
      <c r="I1196" s="4">
        <v>45624</v>
      </c>
      <c r="J1196">
        <f t="shared" si="90"/>
        <v>8</v>
      </c>
      <c r="K1196" t="str">
        <f t="array" ref="K1196">_xlfn.IFS(J1196=1,"Day Use",J1196&lt;=3,"Short Stay",J1196&lt;=7,"Extended Stay",J1196&gt;=8,"Long Stay")</f>
        <v>Long Stay</v>
      </c>
      <c r="L1196" t="s">
        <v>196</v>
      </c>
      <c r="M1196" s="10" t="str">
        <f t="shared" si="91"/>
        <v>Premium</v>
      </c>
      <c r="N1196" t="s">
        <v>26</v>
      </c>
      <c r="O1196" t="s">
        <v>71</v>
      </c>
      <c r="P1196">
        <f>IFERROR(VLOOKUP(TRIM(M1196),Room!D:H,5,FALSE),5000)</f>
        <v>9500</v>
      </c>
      <c r="Q1196">
        <f t="shared" si="92"/>
        <v>76000</v>
      </c>
      <c r="R1196" s="11" t="str">
        <f t="shared" si="93"/>
        <v>Conference</v>
      </c>
      <c r="S1196" s="11">
        <f t="shared" si="94"/>
        <v>4</v>
      </c>
    </row>
    <row r="1197" spans="1:19">
      <c r="A1197" t="s">
        <v>6287</v>
      </c>
      <c r="B1197" t="s">
        <v>6288</v>
      </c>
      <c r="C1197" t="s">
        <v>5231</v>
      </c>
      <c r="D1197" t="s">
        <v>6289</v>
      </c>
      <c r="E1197" t="s">
        <v>6290</v>
      </c>
      <c r="F1197" t="s">
        <v>6291</v>
      </c>
      <c r="G1197" s="4">
        <v>45982</v>
      </c>
      <c r="H1197" s="4">
        <v>45983</v>
      </c>
      <c r="I1197" s="4">
        <v>45989</v>
      </c>
      <c r="J1197">
        <f t="shared" si="90"/>
        <v>6</v>
      </c>
      <c r="K1197" t="str">
        <f t="array" ref="K1197">_xlfn.IFS(J1197=1,"Day Use",J1197&lt;=3,"Short Stay",J1197&lt;=7,"Extended Stay",J1197&gt;=8,"Long Stay")</f>
        <v>Extended Stay</v>
      </c>
      <c r="L1197" t="s">
        <v>84</v>
      </c>
      <c r="M1197" s="10" t="str">
        <f t="shared" si="91"/>
        <v>Deluxe</v>
      </c>
      <c r="N1197" t="s">
        <v>148</v>
      </c>
      <c r="O1197" t="s">
        <v>42</v>
      </c>
      <c r="P1197">
        <f>IFERROR(VLOOKUP(TRIM(M1197),Room!D:H,5,FALSE),5000)</f>
        <v>5400</v>
      </c>
      <c r="Q1197">
        <f t="shared" si="92"/>
        <v>32400</v>
      </c>
      <c r="R1197" s="11" t="str">
        <f t="shared" si="93"/>
        <v>Conference</v>
      </c>
      <c r="S1197" s="11">
        <f t="shared" si="94"/>
        <v>3</v>
      </c>
    </row>
    <row r="1198" spans="1:19">
      <c r="A1198" t="s">
        <v>6292</v>
      </c>
      <c r="B1198" t="s">
        <v>6293</v>
      </c>
      <c r="C1198" t="s">
        <v>311</v>
      </c>
      <c r="D1198" t="s">
        <v>6294</v>
      </c>
      <c r="E1198" t="s">
        <v>6295</v>
      </c>
      <c r="F1198" t="s">
        <v>6296</v>
      </c>
      <c r="G1198" s="4">
        <v>45820</v>
      </c>
      <c r="H1198" s="4">
        <v>45939</v>
      </c>
      <c r="I1198" s="4">
        <v>45946</v>
      </c>
      <c r="J1198">
        <f t="shared" si="90"/>
        <v>7</v>
      </c>
      <c r="K1198" t="str">
        <f t="array" ref="K1198">_xlfn.IFS(J1198=1,"Day Use",J1198&lt;=3,"Short Stay",J1198&lt;=7,"Extended Stay",J1198&gt;=8,"Long Stay")</f>
        <v>Extended Stay</v>
      </c>
      <c r="L1198" t="s">
        <v>25</v>
      </c>
      <c r="M1198" s="10" t="str">
        <f t="shared" si="91"/>
        <v>Premium</v>
      </c>
      <c r="N1198" t="s">
        <v>26</v>
      </c>
      <c r="O1198" t="s">
        <v>71</v>
      </c>
      <c r="P1198">
        <f>IFERROR(VLOOKUP(TRIM(M1198),Room!D:H,5,FALSE),5000)</f>
        <v>9500</v>
      </c>
      <c r="Q1198">
        <f t="shared" si="92"/>
        <v>66500</v>
      </c>
      <c r="R1198" s="11" t="str">
        <f t="shared" si="93"/>
        <v>Conference</v>
      </c>
      <c r="S1198" s="11">
        <f t="shared" si="94"/>
        <v>4</v>
      </c>
    </row>
    <row r="1199" spans="1:19">
      <c r="A1199" t="s">
        <v>6297</v>
      </c>
      <c r="B1199" t="s">
        <v>6298</v>
      </c>
      <c r="C1199" t="s">
        <v>1682</v>
      </c>
      <c r="D1199" t="s">
        <v>6299</v>
      </c>
      <c r="E1199" t="s">
        <v>6300</v>
      </c>
      <c r="F1199" t="s">
        <v>6301</v>
      </c>
      <c r="G1199" s="4">
        <v>45345</v>
      </c>
      <c r="H1199" s="4">
        <v>45347</v>
      </c>
      <c r="I1199" s="4">
        <v>45355</v>
      </c>
      <c r="J1199">
        <f t="shared" si="90"/>
        <v>8</v>
      </c>
      <c r="K1199" t="str">
        <f t="array" ref="K1199">_xlfn.IFS(J1199=1,"Day Use",J1199&lt;=3,"Short Stay",J1199&lt;=7,"Extended Stay",J1199&gt;=8,"Long Stay")</f>
        <v>Long Stay</v>
      </c>
      <c r="L1199" t="s">
        <v>56</v>
      </c>
      <c r="M1199" s="10" t="str">
        <f t="shared" si="91"/>
        <v>Premium</v>
      </c>
      <c r="N1199" t="s">
        <v>26</v>
      </c>
      <c r="O1199" t="s">
        <v>27</v>
      </c>
      <c r="P1199">
        <f>IFERROR(VLOOKUP(TRIM(M1199),Room!D:H,5,FALSE),5000)</f>
        <v>9500</v>
      </c>
      <c r="Q1199">
        <f t="shared" si="92"/>
        <v>76000</v>
      </c>
      <c r="R1199" s="11" t="str">
        <f t="shared" si="93"/>
        <v>Conference</v>
      </c>
      <c r="S1199" s="11">
        <f t="shared" si="94"/>
        <v>4</v>
      </c>
    </row>
    <row r="1200" spans="1:19">
      <c r="A1200" t="s">
        <v>6302</v>
      </c>
      <c r="B1200" t="s">
        <v>6303</v>
      </c>
      <c r="C1200" t="s">
        <v>163</v>
      </c>
      <c r="D1200" t="s">
        <v>6304</v>
      </c>
      <c r="E1200" t="s">
        <v>6305</v>
      </c>
      <c r="F1200" t="s">
        <v>6306</v>
      </c>
      <c r="G1200" s="4">
        <v>45504</v>
      </c>
      <c r="H1200" s="4">
        <v>45558</v>
      </c>
      <c r="I1200" s="4">
        <v>45570</v>
      </c>
      <c r="J1200">
        <f t="shared" si="90"/>
        <v>12</v>
      </c>
      <c r="K1200" t="str">
        <f t="array" ref="K1200">_xlfn.IFS(J1200=1,"Day Use",J1200&lt;=3,"Short Stay",J1200&lt;=7,"Extended Stay",J1200&gt;=8,"Long Stay")</f>
        <v>Long Stay</v>
      </c>
      <c r="L1200" t="s">
        <v>56</v>
      </c>
      <c r="M1200" s="10" t="str">
        <f t="shared" si="91"/>
        <v>Suite</v>
      </c>
      <c r="N1200" t="s">
        <v>57</v>
      </c>
      <c r="O1200" t="s">
        <v>42</v>
      </c>
      <c r="P1200">
        <f>IFERROR(VLOOKUP(TRIM(M1200),Room!D:H,5,FALSE),5000)</f>
        <v>12500</v>
      </c>
      <c r="Q1200">
        <f t="shared" si="92"/>
        <v>150000</v>
      </c>
      <c r="R1200" s="11" t="str">
        <f t="shared" si="93"/>
        <v>Business</v>
      </c>
      <c r="S1200" s="11">
        <f t="shared" si="94"/>
        <v>5</v>
      </c>
    </row>
    <row r="1201" spans="1:19">
      <c r="A1201" t="s">
        <v>6307</v>
      </c>
      <c r="B1201" t="s">
        <v>6308</v>
      </c>
      <c r="C1201" t="s">
        <v>2313</v>
      </c>
      <c r="D1201" t="s">
        <v>6309</v>
      </c>
      <c r="E1201" t="s">
        <v>6310</v>
      </c>
      <c r="F1201" t="s">
        <v>6311</v>
      </c>
      <c r="G1201" s="4">
        <v>45338</v>
      </c>
      <c r="H1201" s="4">
        <v>45516</v>
      </c>
      <c r="I1201" s="4">
        <v>45527</v>
      </c>
      <c r="J1201">
        <f t="shared" si="90"/>
        <v>11</v>
      </c>
      <c r="K1201" t="str">
        <f t="array" ref="K1201">_xlfn.IFS(J1201=1,"Day Use",J1201&lt;=3,"Short Stay",J1201&lt;=7,"Extended Stay",J1201&gt;=8,"Long Stay")</f>
        <v>Long Stay</v>
      </c>
      <c r="L1201" t="s">
        <v>56</v>
      </c>
      <c r="M1201" s="10" t="str">
        <f t="shared" si="91"/>
        <v>Suite</v>
      </c>
      <c r="N1201" t="s">
        <v>26</v>
      </c>
      <c r="O1201" t="s">
        <v>35</v>
      </c>
      <c r="P1201">
        <f>IFERROR(VLOOKUP(TRIM(M1201),Room!D:H,5,FALSE),5000)</f>
        <v>12500</v>
      </c>
      <c r="Q1201">
        <f t="shared" si="92"/>
        <v>137500</v>
      </c>
      <c r="R1201" s="11" t="str">
        <f t="shared" si="93"/>
        <v>Business</v>
      </c>
      <c r="S1201" s="11">
        <f t="shared" si="94"/>
        <v>5</v>
      </c>
    </row>
    <row r="1202" spans="1:19">
      <c r="A1202" t="s">
        <v>6312</v>
      </c>
      <c r="B1202" t="s">
        <v>6313</v>
      </c>
      <c r="C1202" t="s">
        <v>1146</v>
      </c>
      <c r="D1202" t="s">
        <v>6314</v>
      </c>
      <c r="E1202" t="s">
        <v>6315</v>
      </c>
      <c r="F1202" t="s">
        <v>6316</v>
      </c>
      <c r="G1202" s="4">
        <v>45324</v>
      </c>
      <c r="H1202" s="4">
        <v>45348</v>
      </c>
      <c r="I1202" s="4">
        <v>45362</v>
      </c>
      <c r="J1202">
        <f t="shared" si="90"/>
        <v>14</v>
      </c>
      <c r="K1202" t="str">
        <f t="array" ref="K1202">_xlfn.IFS(J1202=1,"Day Use",J1202&lt;=3,"Short Stay",J1202&lt;=7,"Extended Stay",J1202&gt;=8,"Long Stay")</f>
        <v>Long Stay</v>
      </c>
      <c r="L1202" t="s">
        <v>196</v>
      </c>
      <c r="M1202" s="10" t="str">
        <f t="shared" si="91"/>
        <v>Suite</v>
      </c>
      <c r="N1202" t="s">
        <v>57</v>
      </c>
      <c r="O1202" t="s">
        <v>58</v>
      </c>
      <c r="P1202">
        <f>IFERROR(VLOOKUP(TRIM(M1202),Room!D:H,5,FALSE),5000)</f>
        <v>12500</v>
      </c>
      <c r="Q1202">
        <f t="shared" si="92"/>
        <v>175000</v>
      </c>
      <c r="R1202" s="11" t="str">
        <f t="shared" si="93"/>
        <v>Business</v>
      </c>
      <c r="S1202" s="11">
        <f t="shared" si="94"/>
        <v>5</v>
      </c>
    </row>
    <row r="1203" spans="1:19">
      <c r="A1203" t="s">
        <v>6317</v>
      </c>
      <c r="B1203" t="s">
        <v>6318</v>
      </c>
      <c r="C1203" t="s">
        <v>449</v>
      </c>
      <c r="D1203" t="s">
        <v>6319</v>
      </c>
      <c r="E1203" t="s">
        <v>6320</v>
      </c>
      <c r="F1203" t="s">
        <v>6321</v>
      </c>
      <c r="G1203" s="4">
        <v>45296</v>
      </c>
      <c r="H1203" s="4">
        <v>45321</v>
      </c>
      <c r="I1203" s="4">
        <v>45334</v>
      </c>
      <c r="J1203">
        <f t="shared" si="90"/>
        <v>13</v>
      </c>
      <c r="K1203" t="str">
        <f t="array" ref="K1203">_xlfn.IFS(J1203=1,"Day Use",J1203&lt;=3,"Short Stay",J1203&lt;=7,"Extended Stay",J1203&gt;=8,"Long Stay")</f>
        <v>Long Stay</v>
      </c>
      <c r="L1203" t="s">
        <v>49</v>
      </c>
      <c r="M1203" s="10" t="str">
        <f t="shared" si="91"/>
        <v>Suite</v>
      </c>
      <c r="N1203" t="s">
        <v>57</v>
      </c>
      <c r="O1203" t="s">
        <v>71</v>
      </c>
      <c r="P1203">
        <f>IFERROR(VLOOKUP(TRIM(M1203),Room!D:H,5,FALSE),5000)</f>
        <v>12500</v>
      </c>
      <c r="Q1203">
        <f t="shared" si="92"/>
        <v>162500</v>
      </c>
      <c r="R1203" s="11" t="str">
        <f t="shared" si="93"/>
        <v>Business</v>
      </c>
      <c r="S1203" s="11">
        <f t="shared" si="94"/>
        <v>5</v>
      </c>
    </row>
    <row r="1204" spans="1:19">
      <c r="A1204" t="s">
        <v>6322</v>
      </c>
      <c r="B1204" t="s">
        <v>6323</v>
      </c>
      <c r="C1204" t="s">
        <v>2101</v>
      </c>
      <c r="D1204" t="s">
        <v>6324</v>
      </c>
      <c r="E1204" t="s">
        <v>6325</v>
      </c>
      <c r="F1204" t="s">
        <v>6326</v>
      </c>
      <c r="G1204" s="4">
        <v>45336</v>
      </c>
      <c r="H1204" s="4">
        <v>45784</v>
      </c>
      <c r="I1204" s="4">
        <v>45793</v>
      </c>
      <c r="J1204">
        <f t="shared" si="90"/>
        <v>9</v>
      </c>
      <c r="K1204" t="str">
        <f t="array" ref="K1204">_xlfn.IFS(J1204=1,"Day Use",J1204&lt;=3,"Short Stay",J1204&lt;=7,"Extended Stay",J1204&gt;=8,"Long Stay")</f>
        <v>Long Stay</v>
      </c>
      <c r="L1204" t="s">
        <v>56</v>
      </c>
      <c r="M1204" s="10" t="str">
        <f t="shared" si="91"/>
        <v>Premium</v>
      </c>
      <c r="N1204" t="s">
        <v>26</v>
      </c>
      <c r="O1204" t="s">
        <v>58</v>
      </c>
      <c r="P1204">
        <f>IFERROR(VLOOKUP(TRIM(M1204),Room!D:H,5,FALSE),5000)</f>
        <v>9500</v>
      </c>
      <c r="Q1204">
        <f t="shared" si="92"/>
        <v>85500</v>
      </c>
      <c r="R1204" s="11" t="str">
        <f t="shared" si="93"/>
        <v>Conference</v>
      </c>
      <c r="S1204" s="11">
        <f t="shared" si="94"/>
        <v>4</v>
      </c>
    </row>
    <row r="1205" spans="1:19">
      <c r="A1205" t="s">
        <v>6327</v>
      </c>
      <c r="B1205" t="s">
        <v>6328</v>
      </c>
      <c r="C1205" t="s">
        <v>708</v>
      </c>
      <c r="D1205" t="s">
        <v>6329</v>
      </c>
      <c r="E1205" t="s">
        <v>6330</v>
      </c>
      <c r="F1205" t="s">
        <v>6331</v>
      </c>
      <c r="G1205" s="4">
        <v>45639</v>
      </c>
      <c r="H1205" s="4">
        <v>45763</v>
      </c>
      <c r="I1205" s="4">
        <v>45772</v>
      </c>
      <c r="J1205">
        <f t="shared" si="90"/>
        <v>9</v>
      </c>
      <c r="K1205" t="str">
        <f t="array" ref="K1205">_xlfn.IFS(J1205=1,"Day Use",J1205&lt;=3,"Short Stay",J1205&lt;=7,"Extended Stay",J1205&gt;=8,"Long Stay")</f>
        <v>Long Stay</v>
      </c>
      <c r="L1205" t="s">
        <v>84</v>
      </c>
      <c r="M1205" s="10" t="str">
        <f t="shared" si="91"/>
        <v>Premium</v>
      </c>
      <c r="N1205" t="s">
        <v>57</v>
      </c>
      <c r="O1205" t="s">
        <v>71</v>
      </c>
      <c r="P1205">
        <f>IFERROR(VLOOKUP(TRIM(M1205),Room!D:H,5,FALSE),5000)</f>
        <v>9500</v>
      </c>
      <c r="Q1205">
        <f t="shared" si="92"/>
        <v>85500</v>
      </c>
      <c r="R1205" s="11" t="str">
        <f t="shared" si="93"/>
        <v>Conference</v>
      </c>
      <c r="S1205" s="11">
        <f t="shared" si="94"/>
        <v>4</v>
      </c>
    </row>
    <row r="1206" spans="1:19">
      <c r="A1206" t="s">
        <v>6332</v>
      </c>
      <c r="B1206" t="s">
        <v>6333</v>
      </c>
      <c r="C1206" t="s">
        <v>2457</v>
      </c>
      <c r="D1206" t="s">
        <v>6334</v>
      </c>
      <c r="E1206" t="s">
        <v>6335</v>
      </c>
      <c r="F1206" t="s">
        <v>6336</v>
      </c>
      <c r="G1206" s="4">
        <v>45681</v>
      </c>
      <c r="H1206" s="4">
        <v>45708</v>
      </c>
      <c r="I1206" s="4">
        <v>45722</v>
      </c>
      <c r="J1206">
        <f t="shared" si="90"/>
        <v>14</v>
      </c>
      <c r="K1206" t="str">
        <f t="array" ref="K1206">_xlfn.IFS(J1206=1,"Day Use",J1206&lt;=3,"Short Stay",J1206&lt;=7,"Extended Stay",J1206&gt;=8,"Long Stay")</f>
        <v>Long Stay</v>
      </c>
      <c r="L1206" t="s">
        <v>49</v>
      </c>
      <c r="M1206" s="10" t="str">
        <f t="shared" si="91"/>
        <v>Suite</v>
      </c>
      <c r="N1206" t="s">
        <v>372</v>
      </c>
      <c r="O1206" t="s">
        <v>35</v>
      </c>
      <c r="P1206">
        <f>IFERROR(VLOOKUP(TRIM(M1206),Room!D:H,5,FALSE),5000)</f>
        <v>12500</v>
      </c>
      <c r="Q1206">
        <f t="shared" si="92"/>
        <v>175000</v>
      </c>
      <c r="R1206" s="11" t="str">
        <f t="shared" si="93"/>
        <v>Business</v>
      </c>
      <c r="S1206" s="11">
        <f t="shared" si="94"/>
        <v>5</v>
      </c>
    </row>
    <row r="1207" spans="1:19">
      <c r="A1207" t="s">
        <v>6337</v>
      </c>
      <c r="B1207" t="s">
        <v>6338</v>
      </c>
      <c r="C1207" t="s">
        <v>2642</v>
      </c>
      <c r="D1207" t="s">
        <v>6339</v>
      </c>
      <c r="E1207" t="s">
        <v>6340</v>
      </c>
      <c r="F1207" t="s">
        <v>6341</v>
      </c>
      <c r="G1207" s="4">
        <v>45215</v>
      </c>
      <c r="H1207" s="4">
        <v>45396</v>
      </c>
      <c r="I1207" s="4">
        <v>45405</v>
      </c>
      <c r="J1207">
        <f t="shared" si="90"/>
        <v>9</v>
      </c>
      <c r="K1207" t="str">
        <f t="array" ref="K1207">_xlfn.IFS(J1207=1,"Day Use",J1207&lt;=3,"Short Stay",J1207&lt;=7,"Extended Stay",J1207&gt;=8,"Long Stay")</f>
        <v>Long Stay</v>
      </c>
      <c r="L1207" t="s">
        <v>56</v>
      </c>
      <c r="M1207" s="10" t="str">
        <f t="shared" si="91"/>
        <v>Premium</v>
      </c>
      <c r="N1207" t="s">
        <v>26</v>
      </c>
      <c r="O1207" t="s">
        <v>27</v>
      </c>
      <c r="P1207">
        <f>IFERROR(VLOOKUP(TRIM(M1207),Room!D:H,5,FALSE),5000)</f>
        <v>9500</v>
      </c>
      <c r="Q1207">
        <f t="shared" si="92"/>
        <v>85500</v>
      </c>
      <c r="R1207" s="11" t="str">
        <f t="shared" si="93"/>
        <v>Conference</v>
      </c>
      <c r="S1207" s="11">
        <f t="shared" si="94"/>
        <v>4</v>
      </c>
    </row>
    <row r="1208" spans="1:19">
      <c r="A1208" t="s">
        <v>6342</v>
      </c>
      <c r="B1208" t="s">
        <v>6343</v>
      </c>
      <c r="C1208" t="s">
        <v>106</v>
      </c>
      <c r="D1208" t="s">
        <v>6344</v>
      </c>
      <c r="E1208" t="s">
        <v>6345</v>
      </c>
      <c r="F1208" t="s">
        <v>6346</v>
      </c>
      <c r="G1208" s="4">
        <v>45451</v>
      </c>
      <c r="H1208" s="4">
        <v>45454</v>
      </c>
      <c r="I1208" s="4">
        <v>45465</v>
      </c>
      <c r="J1208">
        <f t="shared" si="90"/>
        <v>11</v>
      </c>
      <c r="K1208" t="str">
        <f t="array" ref="K1208">_xlfn.IFS(J1208=1,"Day Use",J1208&lt;=3,"Short Stay",J1208&lt;=7,"Extended Stay",J1208&gt;=8,"Long Stay")</f>
        <v>Long Stay</v>
      </c>
      <c r="L1208" t="s">
        <v>34</v>
      </c>
      <c r="M1208" s="10" t="str">
        <f t="shared" si="91"/>
        <v>Suite</v>
      </c>
      <c r="N1208" t="s">
        <v>26</v>
      </c>
      <c r="O1208" t="s">
        <v>58</v>
      </c>
      <c r="P1208">
        <f>IFERROR(VLOOKUP(TRIM(M1208),Room!D:H,5,FALSE),5000)</f>
        <v>12500</v>
      </c>
      <c r="Q1208">
        <f t="shared" si="92"/>
        <v>137500</v>
      </c>
      <c r="R1208" s="11" t="str">
        <f t="shared" si="93"/>
        <v>Business</v>
      </c>
      <c r="S1208" s="11">
        <f t="shared" si="94"/>
        <v>5</v>
      </c>
    </row>
    <row r="1209" spans="1:19">
      <c r="A1209" t="s">
        <v>6347</v>
      </c>
      <c r="B1209" t="s">
        <v>6348</v>
      </c>
      <c r="C1209" t="s">
        <v>2804</v>
      </c>
      <c r="D1209" t="s">
        <v>6349</v>
      </c>
      <c r="E1209" t="s">
        <v>6350</v>
      </c>
      <c r="F1209" t="s">
        <v>6351</v>
      </c>
      <c r="G1209" s="4">
        <v>45673</v>
      </c>
      <c r="H1209" s="4">
        <v>45741</v>
      </c>
      <c r="I1209" s="4">
        <v>45754</v>
      </c>
      <c r="J1209">
        <f t="shared" si="90"/>
        <v>13</v>
      </c>
      <c r="K1209" t="str">
        <f t="array" ref="K1209">_xlfn.IFS(J1209=1,"Day Use",J1209&lt;=3,"Short Stay",J1209&lt;=7,"Extended Stay",J1209&gt;=8,"Long Stay")</f>
        <v>Long Stay</v>
      </c>
      <c r="L1209" t="s">
        <v>34</v>
      </c>
      <c r="M1209" s="10" t="str">
        <f t="shared" si="91"/>
        <v>Suite</v>
      </c>
      <c r="N1209" t="s">
        <v>26</v>
      </c>
      <c r="O1209" t="s">
        <v>42</v>
      </c>
      <c r="P1209">
        <f>IFERROR(VLOOKUP(TRIM(M1209),Room!D:H,5,FALSE),5000)</f>
        <v>12500</v>
      </c>
      <c r="Q1209">
        <f t="shared" si="92"/>
        <v>162500</v>
      </c>
      <c r="R1209" s="11" t="str">
        <f t="shared" si="93"/>
        <v>Business</v>
      </c>
      <c r="S1209" s="11">
        <f t="shared" si="94"/>
        <v>5</v>
      </c>
    </row>
    <row r="1210" spans="1:19">
      <c r="A1210" t="s">
        <v>6352</v>
      </c>
      <c r="B1210" t="s">
        <v>6353</v>
      </c>
      <c r="C1210" t="s">
        <v>6354</v>
      </c>
      <c r="D1210" t="s">
        <v>6355</v>
      </c>
      <c r="E1210" t="s">
        <v>6356</v>
      </c>
      <c r="F1210" t="s">
        <v>6357</v>
      </c>
      <c r="G1210" s="4">
        <v>45733</v>
      </c>
      <c r="H1210" s="4">
        <v>45742</v>
      </c>
      <c r="I1210" s="4">
        <v>45755</v>
      </c>
      <c r="J1210">
        <f t="shared" si="90"/>
        <v>13</v>
      </c>
      <c r="K1210" t="str">
        <f t="array" ref="K1210">_xlfn.IFS(J1210=1,"Day Use",J1210&lt;=3,"Short Stay",J1210&lt;=7,"Extended Stay",J1210&gt;=8,"Long Stay")</f>
        <v>Long Stay</v>
      </c>
      <c r="L1210" t="s">
        <v>56</v>
      </c>
      <c r="M1210" s="10" t="str">
        <f t="shared" si="91"/>
        <v>Suite</v>
      </c>
      <c r="N1210" t="s">
        <v>26</v>
      </c>
      <c r="O1210" t="s">
        <v>27</v>
      </c>
      <c r="P1210">
        <f>IFERROR(VLOOKUP(TRIM(M1210),Room!D:H,5,FALSE),5000)</f>
        <v>12500</v>
      </c>
      <c r="Q1210">
        <f t="shared" si="92"/>
        <v>162500</v>
      </c>
      <c r="R1210" s="11" t="str">
        <f t="shared" si="93"/>
        <v>Business</v>
      </c>
      <c r="S1210" s="11">
        <f t="shared" si="94"/>
        <v>5</v>
      </c>
    </row>
    <row r="1211" spans="1:19">
      <c r="A1211" t="s">
        <v>6358</v>
      </c>
      <c r="B1211" t="s">
        <v>6359</v>
      </c>
      <c r="C1211" t="s">
        <v>443</v>
      </c>
      <c r="D1211" t="s">
        <v>6360</v>
      </c>
      <c r="E1211" t="s">
        <v>6361</v>
      </c>
      <c r="F1211" t="s">
        <v>6362</v>
      </c>
      <c r="G1211" s="4">
        <v>45362</v>
      </c>
      <c r="H1211" s="4">
        <v>45920</v>
      </c>
      <c r="I1211" s="4">
        <v>45923</v>
      </c>
      <c r="J1211">
        <f t="shared" si="90"/>
        <v>3</v>
      </c>
      <c r="K1211" t="str">
        <f t="array" ref="K1211">_xlfn.IFS(J1211=1,"Day Use",J1211&lt;=3,"Short Stay",J1211&lt;=7,"Extended Stay",J1211&gt;=8,"Long Stay")</f>
        <v>Short Stay</v>
      </c>
      <c r="L1211" t="s">
        <v>141</v>
      </c>
      <c r="M1211" s="10" t="str">
        <f t="shared" si="91"/>
        <v>Standard</v>
      </c>
      <c r="N1211" t="s">
        <v>26</v>
      </c>
      <c r="O1211" t="s">
        <v>35</v>
      </c>
      <c r="P1211">
        <f>IFERROR(VLOOKUP(TRIM(M1211),Room!D:H,5,FALSE),5000)</f>
        <v>3200</v>
      </c>
      <c r="Q1211">
        <f t="shared" si="92"/>
        <v>9600</v>
      </c>
      <c r="R1211" s="11" t="str">
        <f t="shared" si="93"/>
        <v>Other</v>
      </c>
      <c r="S1211" s="11">
        <f t="shared" si="94"/>
        <v>2</v>
      </c>
    </row>
    <row r="1212" spans="1:19">
      <c r="A1212" t="s">
        <v>6363</v>
      </c>
      <c r="B1212" t="s">
        <v>6364</v>
      </c>
      <c r="C1212" t="s">
        <v>199</v>
      </c>
      <c r="D1212" t="s">
        <v>6365</v>
      </c>
      <c r="E1212" t="s">
        <v>6366</v>
      </c>
      <c r="F1212" t="s">
        <v>6367</v>
      </c>
      <c r="G1212" s="4">
        <v>45757</v>
      </c>
      <c r="H1212" s="4">
        <v>45774</v>
      </c>
      <c r="I1212" s="4">
        <v>45778</v>
      </c>
      <c r="J1212">
        <f t="shared" si="90"/>
        <v>4</v>
      </c>
      <c r="K1212" t="str">
        <f t="array" ref="K1212">_xlfn.IFS(J1212=1,"Day Use",J1212&lt;=3,"Short Stay",J1212&lt;=7,"Extended Stay",J1212&gt;=8,"Long Stay")</f>
        <v>Extended Stay</v>
      </c>
      <c r="L1212" t="s">
        <v>141</v>
      </c>
      <c r="M1212" s="10" t="str">
        <f t="shared" si="91"/>
        <v>Deluxe</v>
      </c>
      <c r="N1212" t="s">
        <v>57</v>
      </c>
      <c r="O1212" t="s">
        <v>42</v>
      </c>
      <c r="P1212">
        <f>IFERROR(VLOOKUP(TRIM(M1212),Room!D:H,5,FALSE),5000)</f>
        <v>5400</v>
      </c>
      <c r="Q1212">
        <f t="shared" si="92"/>
        <v>21600</v>
      </c>
      <c r="R1212" s="11" t="str">
        <f t="shared" si="93"/>
        <v>Conference</v>
      </c>
      <c r="S1212" s="11">
        <f t="shared" si="94"/>
        <v>3</v>
      </c>
    </row>
    <row r="1213" spans="1:19">
      <c r="A1213" t="s">
        <v>6368</v>
      </c>
      <c r="B1213" t="s">
        <v>6369</v>
      </c>
      <c r="C1213" t="s">
        <v>1453</v>
      </c>
      <c r="D1213" t="s">
        <v>6370</v>
      </c>
      <c r="E1213" t="s">
        <v>6371</v>
      </c>
      <c r="F1213" t="s">
        <v>6372</v>
      </c>
      <c r="G1213" s="4">
        <v>45363</v>
      </c>
      <c r="H1213" s="4">
        <v>45382</v>
      </c>
      <c r="I1213" s="4">
        <v>45386</v>
      </c>
      <c r="J1213">
        <f t="shared" si="90"/>
        <v>4</v>
      </c>
      <c r="K1213" t="str">
        <f t="array" ref="K1213">_xlfn.IFS(J1213=1,"Day Use",J1213&lt;=3,"Short Stay",J1213&lt;=7,"Extended Stay",J1213&gt;=8,"Long Stay")</f>
        <v>Extended Stay</v>
      </c>
      <c r="L1213" t="s">
        <v>196</v>
      </c>
      <c r="M1213" s="10" t="str">
        <f t="shared" si="91"/>
        <v>Deluxe</v>
      </c>
      <c r="N1213" t="s">
        <v>26</v>
      </c>
      <c r="O1213" t="s">
        <v>27</v>
      </c>
      <c r="P1213">
        <f>IFERROR(VLOOKUP(TRIM(M1213),Room!D:H,5,FALSE),5000)</f>
        <v>5400</v>
      </c>
      <c r="Q1213">
        <f t="shared" si="92"/>
        <v>21600</v>
      </c>
      <c r="R1213" s="11" t="str">
        <f t="shared" si="93"/>
        <v>Conference</v>
      </c>
      <c r="S1213" s="11">
        <f t="shared" si="94"/>
        <v>3</v>
      </c>
    </row>
    <row r="1214" spans="1:19">
      <c r="A1214" t="s">
        <v>6373</v>
      </c>
      <c r="B1214" t="s">
        <v>6374</v>
      </c>
      <c r="C1214" t="s">
        <v>1826</v>
      </c>
      <c r="D1214" t="s">
        <v>6375</v>
      </c>
      <c r="E1214" t="s">
        <v>6376</v>
      </c>
      <c r="F1214" t="s">
        <v>6377</v>
      </c>
      <c r="G1214" s="4">
        <v>45731</v>
      </c>
      <c r="H1214" s="4">
        <v>45798</v>
      </c>
      <c r="I1214" s="4">
        <v>45810</v>
      </c>
      <c r="J1214">
        <f t="shared" si="90"/>
        <v>12</v>
      </c>
      <c r="K1214" t="str">
        <f t="array" ref="K1214">_xlfn.IFS(J1214=1,"Day Use",J1214&lt;=3,"Short Stay",J1214&lt;=7,"Extended Stay",J1214&gt;=8,"Long Stay")</f>
        <v>Long Stay</v>
      </c>
      <c r="L1214" t="s">
        <v>25</v>
      </c>
      <c r="M1214" s="10" t="str">
        <f t="shared" si="91"/>
        <v>Suite</v>
      </c>
      <c r="N1214" t="s">
        <v>26</v>
      </c>
      <c r="O1214" t="s">
        <v>42</v>
      </c>
      <c r="P1214">
        <f>IFERROR(VLOOKUP(TRIM(M1214),Room!D:H,5,FALSE),5000)</f>
        <v>12500</v>
      </c>
      <c r="Q1214">
        <f t="shared" si="92"/>
        <v>150000</v>
      </c>
      <c r="R1214" s="11" t="str">
        <f t="shared" si="93"/>
        <v>Business</v>
      </c>
      <c r="S1214" s="11">
        <f t="shared" si="94"/>
        <v>5</v>
      </c>
    </row>
    <row r="1215" spans="1:19">
      <c r="A1215" t="s">
        <v>6378</v>
      </c>
      <c r="B1215" t="s">
        <v>6379</v>
      </c>
      <c r="C1215" t="s">
        <v>351</v>
      </c>
      <c r="D1215" t="s">
        <v>6380</v>
      </c>
      <c r="E1215" t="s">
        <v>6381</v>
      </c>
      <c r="F1215" t="s">
        <v>6382</v>
      </c>
      <c r="G1215" s="4">
        <v>45205</v>
      </c>
      <c r="H1215" s="4">
        <v>45989</v>
      </c>
      <c r="I1215" s="4">
        <v>46002</v>
      </c>
      <c r="J1215">
        <f t="shared" si="90"/>
        <v>13</v>
      </c>
      <c r="K1215" t="str">
        <f t="array" ref="K1215">_xlfn.IFS(J1215=1,"Day Use",J1215&lt;=3,"Short Stay",J1215&lt;=7,"Extended Stay",J1215&gt;=8,"Long Stay")</f>
        <v>Long Stay</v>
      </c>
      <c r="L1215" t="s">
        <v>84</v>
      </c>
      <c r="M1215" s="10" t="str">
        <f t="shared" si="91"/>
        <v>Suite</v>
      </c>
      <c r="N1215" t="s">
        <v>26</v>
      </c>
      <c r="O1215" t="s">
        <v>71</v>
      </c>
      <c r="P1215">
        <f>IFERROR(VLOOKUP(TRIM(M1215),Room!D:H,5,FALSE),5000)</f>
        <v>12500</v>
      </c>
      <c r="Q1215">
        <f t="shared" si="92"/>
        <v>162500</v>
      </c>
      <c r="R1215" s="11" t="str">
        <f t="shared" si="93"/>
        <v>Business</v>
      </c>
      <c r="S1215" s="11">
        <f t="shared" si="94"/>
        <v>5</v>
      </c>
    </row>
    <row r="1216" spans="1:19">
      <c r="A1216" t="s">
        <v>6383</v>
      </c>
      <c r="B1216" t="s">
        <v>6384</v>
      </c>
      <c r="C1216" t="s">
        <v>2041</v>
      </c>
      <c r="D1216" t="s">
        <v>6385</v>
      </c>
      <c r="E1216" t="s">
        <v>6386</v>
      </c>
      <c r="F1216" t="s">
        <v>6387</v>
      </c>
      <c r="G1216" s="4">
        <v>45230</v>
      </c>
      <c r="H1216" s="4">
        <v>45849</v>
      </c>
      <c r="I1216" s="4">
        <v>45857</v>
      </c>
      <c r="J1216">
        <f t="shared" si="90"/>
        <v>8</v>
      </c>
      <c r="K1216" t="str">
        <f t="array" ref="K1216">_xlfn.IFS(J1216=1,"Day Use",J1216&lt;=3,"Short Stay",J1216&lt;=7,"Extended Stay",J1216&gt;=8,"Long Stay")</f>
        <v>Long Stay</v>
      </c>
      <c r="L1216" t="s">
        <v>91</v>
      </c>
      <c r="M1216" s="10" t="str">
        <f t="shared" si="91"/>
        <v>Premium</v>
      </c>
      <c r="N1216" t="s">
        <v>26</v>
      </c>
      <c r="O1216" t="s">
        <v>71</v>
      </c>
      <c r="P1216">
        <f>IFERROR(VLOOKUP(TRIM(M1216),Room!D:H,5,FALSE),5000)</f>
        <v>9500</v>
      </c>
      <c r="Q1216">
        <f t="shared" si="92"/>
        <v>76000</v>
      </c>
      <c r="R1216" s="11" t="str">
        <f t="shared" si="93"/>
        <v>Conference</v>
      </c>
      <c r="S1216" s="11">
        <f t="shared" si="94"/>
        <v>4</v>
      </c>
    </row>
    <row r="1217" spans="1:19">
      <c r="A1217" t="s">
        <v>6388</v>
      </c>
      <c r="B1217" t="s">
        <v>6389</v>
      </c>
      <c r="C1217" t="s">
        <v>3783</v>
      </c>
      <c r="D1217" t="s">
        <v>6390</v>
      </c>
      <c r="E1217" t="s">
        <v>6391</v>
      </c>
      <c r="F1217" t="s">
        <v>6392</v>
      </c>
      <c r="G1217" s="4">
        <v>45574</v>
      </c>
      <c r="H1217" s="4">
        <v>45736</v>
      </c>
      <c r="I1217" s="4">
        <v>45744</v>
      </c>
      <c r="J1217">
        <f t="shared" si="90"/>
        <v>8</v>
      </c>
      <c r="K1217" t="str">
        <f t="array" ref="K1217">_xlfn.IFS(J1217=1,"Day Use",J1217&lt;=3,"Short Stay",J1217&lt;=7,"Extended Stay",J1217&gt;=8,"Long Stay")</f>
        <v>Long Stay</v>
      </c>
      <c r="L1217" t="s">
        <v>141</v>
      </c>
      <c r="M1217" s="10" t="str">
        <f t="shared" si="91"/>
        <v>Premium</v>
      </c>
      <c r="N1217" t="s">
        <v>26</v>
      </c>
      <c r="O1217" t="s">
        <v>58</v>
      </c>
      <c r="P1217">
        <f>IFERROR(VLOOKUP(TRIM(M1217),Room!D:H,5,FALSE),5000)</f>
        <v>9500</v>
      </c>
      <c r="Q1217">
        <f t="shared" si="92"/>
        <v>76000</v>
      </c>
      <c r="R1217" s="11" t="str">
        <f t="shared" si="93"/>
        <v>Conference</v>
      </c>
      <c r="S1217" s="11">
        <f t="shared" si="94"/>
        <v>4</v>
      </c>
    </row>
    <row r="1218" spans="1:19">
      <c r="A1218" t="s">
        <v>6393</v>
      </c>
      <c r="B1218" t="s">
        <v>6394</v>
      </c>
      <c r="C1218" t="s">
        <v>2863</v>
      </c>
      <c r="D1218" t="s">
        <v>6395</v>
      </c>
      <c r="E1218" t="s">
        <v>6396</v>
      </c>
      <c r="F1218" t="s">
        <v>6397</v>
      </c>
      <c r="G1218" s="4">
        <v>45495</v>
      </c>
      <c r="H1218" s="4">
        <v>45589</v>
      </c>
      <c r="I1218" s="4">
        <v>45593</v>
      </c>
      <c r="J1218">
        <f t="shared" ref="J1218:J1281" si="95">I1218-H1218</f>
        <v>4</v>
      </c>
      <c r="K1218" t="str">
        <f t="array" ref="K1218">_xlfn.IFS(J1218=1,"Day Use",J1218&lt;=3,"Short Stay",J1218&lt;=7,"Extended Stay",J1218&gt;=8,"Long Stay")</f>
        <v>Extended Stay</v>
      </c>
      <c r="L1218" t="s">
        <v>91</v>
      </c>
      <c r="M1218" s="10" t="str">
        <f t="shared" ref="M1218:M1281" si="96">IF($J1218&lt;=3,"Standard",IF($J1218&lt;=6,"Deluxe",IF($J1218&lt;=10,"Premium","Suite")))</f>
        <v>Deluxe</v>
      </c>
      <c r="N1218" t="s">
        <v>148</v>
      </c>
      <c r="O1218" t="s">
        <v>71</v>
      </c>
      <c r="P1218">
        <f>IFERROR(VLOOKUP(TRIM(M1218),Room!D:H,5,FALSE),5000)</f>
        <v>5400</v>
      </c>
      <c r="Q1218">
        <f t="shared" si="92"/>
        <v>21600</v>
      </c>
      <c r="R1218" s="11" t="str">
        <f t="shared" si="93"/>
        <v>Conference</v>
      </c>
      <c r="S1218" s="11">
        <f t="shared" si="94"/>
        <v>3</v>
      </c>
    </row>
    <row r="1219" spans="1:19">
      <c r="A1219" t="s">
        <v>6398</v>
      </c>
      <c r="B1219" t="s">
        <v>6399</v>
      </c>
      <c r="C1219" t="s">
        <v>1146</v>
      </c>
      <c r="D1219" t="s">
        <v>6400</v>
      </c>
      <c r="E1219" t="s">
        <v>6401</v>
      </c>
      <c r="F1219" t="s">
        <v>6402</v>
      </c>
      <c r="G1219" s="4">
        <v>45271</v>
      </c>
      <c r="H1219" s="4">
        <v>45845</v>
      </c>
      <c r="I1219" s="4">
        <v>45848</v>
      </c>
      <c r="J1219">
        <f t="shared" si="95"/>
        <v>3</v>
      </c>
      <c r="K1219" t="str">
        <f t="array" ref="K1219">_xlfn.IFS(J1219=1,"Day Use",J1219&lt;=3,"Short Stay",J1219&lt;=7,"Extended Stay",J1219&gt;=8,"Long Stay")</f>
        <v>Short Stay</v>
      </c>
      <c r="L1219" t="s">
        <v>141</v>
      </c>
      <c r="M1219" s="10" t="str">
        <f t="shared" si="96"/>
        <v>Standard</v>
      </c>
      <c r="N1219" t="s">
        <v>26</v>
      </c>
      <c r="O1219" t="s">
        <v>42</v>
      </c>
      <c r="P1219">
        <f>IFERROR(VLOOKUP(TRIM(M1219),Room!D:H,5,FALSE),5000)</f>
        <v>3200</v>
      </c>
      <c r="Q1219">
        <f t="shared" ref="Q1219:Q1282" si="97">P1219*J1219</f>
        <v>9600</v>
      </c>
      <c r="R1219" s="11" t="str">
        <f t="shared" ref="R1219:R1282" si="98">IF(ISNUMBER(SEARCH("Suite",D1219)),"Honeymoon",IF(P1219&gt;10000,"Business",IF(P1219&gt;5000,"Conference",IF(J1219&gt;=8,"Family Vacation","Other"))))</f>
        <v>Other</v>
      </c>
      <c r="S1219" s="11">
        <f t="shared" ref="S1219:S1282" si="99">IF(M1219="Suite",5,IF(M1219="Premium",IF(Q1219&gt;20000,4,3),IF(M1219="Deluxe",IF(Q1219&gt;=10000,3,2),IF(M1219="Standard",IF(Q1219&gt;=5000,2,1),1))))</f>
        <v>2</v>
      </c>
    </row>
    <row r="1220" spans="1:19">
      <c r="A1220" t="s">
        <v>6403</v>
      </c>
      <c r="B1220" t="s">
        <v>6404</v>
      </c>
      <c r="C1220" t="s">
        <v>1710</v>
      </c>
      <c r="D1220" t="s">
        <v>6405</v>
      </c>
      <c r="E1220" t="s">
        <v>6406</v>
      </c>
      <c r="F1220" t="s">
        <v>6407</v>
      </c>
      <c r="G1220" s="4">
        <v>45251</v>
      </c>
      <c r="H1220" s="4">
        <v>45921</v>
      </c>
      <c r="I1220" s="4">
        <v>45931</v>
      </c>
      <c r="J1220">
        <f t="shared" si="95"/>
        <v>10</v>
      </c>
      <c r="K1220" t="str">
        <f t="array" ref="K1220">_xlfn.IFS(J1220=1,"Day Use",J1220&lt;=3,"Short Stay",J1220&lt;=7,"Extended Stay",J1220&gt;=8,"Long Stay")</f>
        <v>Long Stay</v>
      </c>
      <c r="L1220" t="s">
        <v>196</v>
      </c>
      <c r="M1220" s="10" t="str">
        <f t="shared" si="96"/>
        <v>Premium</v>
      </c>
      <c r="N1220" t="s">
        <v>26</v>
      </c>
      <c r="O1220" t="s">
        <v>42</v>
      </c>
      <c r="P1220">
        <f>IFERROR(VLOOKUP(TRIM(M1220),Room!D:H,5,FALSE),5000)</f>
        <v>9500</v>
      </c>
      <c r="Q1220">
        <f t="shared" si="97"/>
        <v>95000</v>
      </c>
      <c r="R1220" s="11" t="str">
        <f t="shared" si="98"/>
        <v>Conference</v>
      </c>
      <c r="S1220" s="11">
        <f t="shared" si="99"/>
        <v>4</v>
      </c>
    </row>
    <row r="1221" spans="1:19">
      <c r="A1221" t="s">
        <v>6408</v>
      </c>
      <c r="B1221" t="s">
        <v>6409</v>
      </c>
      <c r="C1221" t="s">
        <v>627</v>
      </c>
      <c r="D1221" t="s">
        <v>6410</v>
      </c>
      <c r="E1221" t="s">
        <v>6411</v>
      </c>
      <c r="F1221" t="s">
        <v>6412</v>
      </c>
      <c r="G1221" s="4">
        <v>45776</v>
      </c>
      <c r="H1221" s="4">
        <v>45921</v>
      </c>
      <c r="I1221" s="4">
        <v>45935</v>
      </c>
      <c r="J1221">
        <f t="shared" si="95"/>
        <v>14</v>
      </c>
      <c r="K1221" t="str">
        <f t="array" ref="K1221">_xlfn.IFS(J1221=1,"Day Use",J1221&lt;=3,"Short Stay",J1221&lt;=7,"Extended Stay",J1221&gt;=8,"Long Stay")</f>
        <v>Long Stay</v>
      </c>
      <c r="L1221" t="s">
        <v>141</v>
      </c>
      <c r="M1221" s="10" t="str">
        <f t="shared" si="96"/>
        <v>Suite</v>
      </c>
      <c r="N1221" t="s">
        <v>26</v>
      </c>
      <c r="O1221" t="s">
        <v>71</v>
      </c>
      <c r="P1221">
        <f>IFERROR(VLOOKUP(TRIM(M1221),Room!D:H,5,FALSE),5000)</f>
        <v>12500</v>
      </c>
      <c r="Q1221">
        <f t="shared" si="97"/>
        <v>175000</v>
      </c>
      <c r="R1221" s="11" t="str">
        <f t="shared" si="98"/>
        <v>Business</v>
      </c>
      <c r="S1221" s="11">
        <f t="shared" si="99"/>
        <v>5</v>
      </c>
    </row>
    <row r="1222" spans="1:19">
      <c r="A1222" t="s">
        <v>6413</v>
      </c>
      <c r="B1222" t="s">
        <v>6414</v>
      </c>
      <c r="C1222" t="s">
        <v>106</v>
      </c>
      <c r="D1222" t="s">
        <v>6415</v>
      </c>
      <c r="E1222" t="s">
        <v>6416</v>
      </c>
      <c r="F1222" t="s">
        <v>6417</v>
      </c>
      <c r="G1222" s="4">
        <v>45321</v>
      </c>
      <c r="H1222" s="4">
        <v>45332</v>
      </c>
      <c r="I1222" s="4">
        <v>45339</v>
      </c>
      <c r="J1222">
        <f t="shared" si="95"/>
        <v>7</v>
      </c>
      <c r="K1222" t="str">
        <f t="array" ref="K1222">_xlfn.IFS(J1222=1,"Day Use",J1222&lt;=3,"Short Stay",J1222&lt;=7,"Extended Stay",J1222&gt;=8,"Long Stay")</f>
        <v>Extended Stay</v>
      </c>
      <c r="L1222" t="s">
        <v>49</v>
      </c>
      <c r="M1222" s="10" t="str">
        <f t="shared" si="96"/>
        <v>Premium</v>
      </c>
      <c r="N1222" t="s">
        <v>26</v>
      </c>
      <c r="O1222" t="s">
        <v>58</v>
      </c>
      <c r="P1222">
        <f>IFERROR(VLOOKUP(TRIM(M1222),Room!D:H,5,FALSE),5000)</f>
        <v>9500</v>
      </c>
      <c r="Q1222">
        <f t="shared" si="97"/>
        <v>66500</v>
      </c>
      <c r="R1222" s="11" t="str">
        <f t="shared" si="98"/>
        <v>Conference</v>
      </c>
      <c r="S1222" s="11">
        <f t="shared" si="99"/>
        <v>4</v>
      </c>
    </row>
    <row r="1223" spans="1:19">
      <c r="A1223" t="s">
        <v>6418</v>
      </c>
      <c r="B1223" t="s">
        <v>6419</v>
      </c>
      <c r="C1223" t="s">
        <v>3124</v>
      </c>
      <c r="D1223" t="s">
        <v>6420</v>
      </c>
      <c r="E1223" t="s">
        <v>6421</v>
      </c>
      <c r="F1223" t="s">
        <v>6422</v>
      </c>
      <c r="G1223" s="4">
        <v>45772</v>
      </c>
      <c r="H1223" s="4">
        <v>45777</v>
      </c>
      <c r="I1223" s="4">
        <v>45780</v>
      </c>
      <c r="J1223">
        <f t="shared" si="95"/>
        <v>3</v>
      </c>
      <c r="K1223" t="str">
        <f t="array" ref="K1223">_xlfn.IFS(J1223=1,"Day Use",J1223&lt;=3,"Short Stay",J1223&lt;=7,"Extended Stay",J1223&gt;=8,"Long Stay")</f>
        <v>Short Stay</v>
      </c>
      <c r="L1223" t="s">
        <v>34</v>
      </c>
      <c r="M1223" s="10" t="str">
        <f t="shared" si="96"/>
        <v>Standard</v>
      </c>
      <c r="N1223" t="s">
        <v>148</v>
      </c>
      <c r="O1223" t="s">
        <v>27</v>
      </c>
      <c r="P1223">
        <f>IFERROR(VLOOKUP(TRIM(M1223),Room!D:H,5,FALSE),5000)</f>
        <v>3200</v>
      </c>
      <c r="Q1223">
        <f t="shared" si="97"/>
        <v>9600</v>
      </c>
      <c r="R1223" s="11" t="str">
        <f t="shared" si="98"/>
        <v>Other</v>
      </c>
      <c r="S1223" s="11">
        <f t="shared" si="99"/>
        <v>2</v>
      </c>
    </row>
    <row r="1224" spans="1:19">
      <c r="A1224" t="s">
        <v>6423</v>
      </c>
      <c r="B1224" t="s">
        <v>6424</v>
      </c>
      <c r="C1224" t="s">
        <v>3586</v>
      </c>
      <c r="D1224" t="s">
        <v>6425</v>
      </c>
      <c r="E1224" t="s">
        <v>6426</v>
      </c>
      <c r="F1224" t="s">
        <v>6427</v>
      </c>
      <c r="G1224" s="4">
        <v>45372</v>
      </c>
      <c r="H1224" s="4">
        <v>45673</v>
      </c>
      <c r="I1224" s="4">
        <v>45678</v>
      </c>
      <c r="J1224">
        <f t="shared" si="95"/>
        <v>5</v>
      </c>
      <c r="K1224" t="str">
        <f t="array" ref="K1224">_xlfn.IFS(J1224=1,"Day Use",J1224&lt;=3,"Short Stay",J1224&lt;=7,"Extended Stay",J1224&gt;=8,"Long Stay")</f>
        <v>Extended Stay</v>
      </c>
      <c r="L1224" t="s">
        <v>49</v>
      </c>
      <c r="M1224" s="10" t="str">
        <f t="shared" si="96"/>
        <v>Deluxe</v>
      </c>
      <c r="N1224" t="s">
        <v>372</v>
      </c>
      <c r="O1224" t="s">
        <v>35</v>
      </c>
      <c r="P1224">
        <f>IFERROR(VLOOKUP(TRIM(M1224),Room!D:H,5,FALSE),5000)</f>
        <v>5400</v>
      </c>
      <c r="Q1224">
        <f t="shared" si="97"/>
        <v>27000</v>
      </c>
      <c r="R1224" s="11" t="str">
        <f t="shared" si="98"/>
        <v>Conference</v>
      </c>
      <c r="S1224" s="11">
        <f t="shared" si="99"/>
        <v>3</v>
      </c>
    </row>
    <row r="1225" spans="1:19">
      <c r="A1225" t="s">
        <v>6428</v>
      </c>
      <c r="B1225" t="s">
        <v>6429</v>
      </c>
      <c r="C1225" t="s">
        <v>506</v>
      </c>
      <c r="D1225" t="s">
        <v>6430</v>
      </c>
      <c r="E1225" t="s">
        <v>6431</v>
      </c>
      <c r="F1225" t="s">
        <v>6432</v>
      </c>
      <c r="G1225" s="4">
        <v>45584</v>
      </c>
      <c r="H1225" s="4">
        <v>45744</v>
      </c>
      <c r="I1225" s="4">
        <v>45755</v>
      </c>
      <c r="J1225">
        <f t="shared" si="95"/>
        <v>11</v>
      </c>
      <c r="K1225" t="str">
        <f t="array" ref="K1225">_xlfn.IFS(J1225=1,"Day Use",J1225&lt;=3,"Short Stay",J1225&lt;=7,"Extended Stay",J1225&gt;=8,"Long Stay")</f>
        <v>Long Stay</v>
      </c>
      <c r="L1225" t="s">
        <v>91</v>
      </c>
      <c r="M1225" s="10" t="str">
        <f t="shared" si="96"/>
        <v>Suite</v>
      </c>
      <c r="N1225" t="s">
        <v>26</v>
      </c>
      <c r="O1225" t="s">
        <v>42</v>
      </c>
      <c r="P1225">
        <f>IFERROR(VLOOKUP(TRIM(M1225),Room!D:H,5,FALSE),5000)</f>
        <v>12500</v>
      </c>
      <c r="Q1225">
        <f t="shared" si="97"/>
        <v>137500</v>
      </c>
      <c r="R1225" s="11" t="str">
        <f t="shared" si="98"/>
        <v>Business</v>
      </c>
      <c r="S1225" s="11">
        <f t="shared" si="99"/>
        <v>5</v>
      </c>
    </row>
    <row r="1226" spans="1:19">
      <c r="A1226" t="s">
        <v>6433</v>
      </c>
      <c r="B1226" t="s">
        <v>6434</v>
      </c>
      <c r="C1226" t="s">
        <v>530</v>
      </c>
      <c r="D1226" t="s">
        <v>6435</v>
      </c>
      <c r="E1226" t="s">
        <v>6436</v>
      </c>
      <c r="F1226" t="s">
        <v>6437</v>
      </c>
      <c r="G1226" s="4">
        <v>45858</v>
      </c>
      <c r="H1226" s="4">
        <v>45884</v>
      </c>
      <c r="I1226" s="4">
        <v>45898</v>
      </c>
      <c r="J1226">
        <f t="shared" si="95"/>
        <v>14</v>
      </c>
      <c r="K1226" t="str">
        <f t="array" ref="K1226">_xlfn.IFS(J1226=1,"Day Use",J1226&lt;=3,"Short Stay",J1226&lt;=7,"Extended Stay",J1226&gt;=8,"Long Stay")</f>
        <v>Long Stay</v>
      </c>
      <c r="L1226" t="s">
        <v>56</v>
      </c>
      <c r="M1226" s="10" t="str">
        <f t="shared" si="96"/>
        <v>Suite</v>
      </c>
      <c r="N1226" t="s">
        <v>26</v>
      </c>
      <c r="O1226" t="s">
        <v>58</v>
      </c>
      <c r="P1226">
        <f>IFERROR(VLOOKUP(TRIM(M1226),Room!D:H,5,FALSE),5000)</f>
        <v>12500</v>
      </c>
      <c r="Q1226">
        <f t="shared" si="97"/>
        <v>175000</v>
      </c>
      <c r="R1226" s="11" t="str">
        <f t="shared" si="98"/>
        <v>Business</v>
      </c>
      <c r="S1226" s="11">
        <f t="shared" si="99"/>
        <v>5</v>
      </c>
    </row>
    <row r="1227" spans="1:19">
      <c r="A1227" t="s">
        <v>6438</v>
      </c>
      <c r="B1227" t="s">
        <v>6439</v>
      </c>
      <c r="C1227" t="s">
        <v>1431</v>
      </c>
      <c r="D1227" t="s">
        <v>6440</v>
      </c>
      <c r="E1227" t="s">
        <v>6441</v>
      </c>
      <c r="F1227" t="s">
        <v>6442</v>
      </c>
      <c r="G1227" s="4">
        <v>45296</v>
      </c>
      <c r="H1227" s="4">
        <v>45317</v>
      </c>
      <c r="I1227" s="4">
        <v>45329</v>
      </c>
      <c r="J1227">
        <f t="shared" si="95"/>
        <v>12</v>
      </c>
      <c r="K1227" t="str">
        <f t="array" ref="K1227">_xlfn.IFS(J1227=1,"Day Use",J1227&lt;=3,"Short Stay",J1227&lt;=7,"Extended Stay",J1227&gt;=8,"Long Stay")</f>
        <v>Long Stay</v>
      </c>
      <c r="L1227" t="s">
        <v>25</v>
      </c>
      <c r="M1227" s="10" t="str">
        <f t="shared" si="96"/>
        <v>Suite</v>
      </c>
      <c r="N1227" t="s">
        <v>26</v>
      </c>
      <c r="O1227" t="s">
        <v>27</v>
      </c>
      <c r="P1227">
        <f>IFERROR(VLOOKUP(TRIM(M1227),Room!D:H,5,FALSE),5000)</f>
        <v>12500</v>
      </c>
      <c r="Q1227">
        <f t="shared" si="97"/>
        <v>150000</v>
      </c>
      <c r="R1227" s="11" t="str">
        <f t="shared" si="98"/>
        <v>Business</v>
      </c>
      <c r="S1227" s="11">
        <f t="shared" si="99"/>
        <v>5</v>
      </c>
    </row>
    <row r="1228" spans="1:19">
      <c r="A1228" t="s">
        <v>6443</v>
      </c>
      <c r="B1228" t="s">
        <v>6444</v>
      </c>
      <c r="C1228" t="s">
        <v>853</v>
      </c>
      <c r="D1228" t="s">
        <v>6445</v>
      </c>
      <c r="E1228" t="s">
        <v>6446</v>
      </c>
      <c r="F1228" t="s">
        <v>6447</v>
      </c>
      <c r="G1228" s="4">
        <v>45329</v>
      </c>
      <c r="H1228" s="4">
        <v>45842</v>
      </c>
      <c r="I1228" s="4">
        <v>45846</v>
      </c>
      <c r="J1228">
        <f t="shared" si="95"/>
        <v>4</v>
      </c>
      <c r="K1228" t="str">
        <f t="array" ref="K1228">_xlfn.IFS(J1228=1,"Day Use",J1228&lt;=3,"Short Stay",J1228&lt;=7,"Extended Stay",J1228&gt;=8,"Long Stay")</f>
        <v>Extended Stay</v>
      </c>
      <c r="L1228" t="s">
        <v>34</v>
      </c>
      <c r="M1228" s="10" t="str">
        <f t="shared" si="96"/>
        <v>Deluxe</v>
      </c>
      <c r="N1228" t="s">
        <v>26</v>
      </c>
      <c r="O1228" t="s">
        <v>71</v>
      </c>
      <c r="P1228">
        <f>IFERROR(VLOOKUP(TRIM(M1228),Room!D:H,5,FALSE),5000)</f>
        <v>5400</v>
      </c>
      <c r="Q1228">
        <f t="shared" si="97"/>
        <v>21600</v>
      </c>
      <c r="R1228" s="11" t="str">
        <f t="shared" si="98"/>
        <v>Conference</v>
      </c>
      <c r="S1228" s="11">
        <f t="shared" si="99"/>
        <v>3</v>
      </c>
    </row>
    <row r="1229" spans="1:19">
      <c r="A1229" t="s">
        <v>6448</v>
      </c>
      <c r="B1229" t="s">
        <v>6449</v>
      </c>
      <c r="C1229" t="s">
        <v>398</v>
      </c>
      <c r="D1229" t="s">
        <v>6450</v>
      </c>
      <c r="E1229" t="s">
        <v>6451</v>
      </c>
      <c r="F1229" t="s">
        <v>6452</v>
      </c>
      <c r="G1229" s="4">
        <v>45511</v>
      </c>
      <c r="H1229" s="4">
        <v>45540</v>
      </c>
      <c r="I1229" s="4">
        <v>45549</v>
      </c>
      <c r="J1229">
        <f t="shared" si="95"/>
        <v>9</v>
      </c>
      <c r="K1229" t="str">
        <f t="array" ref="K1229">_xlfn.IFS(J1229=1,"Day Use",J1229&lt;=3,"Short Stay",J1229&lt;=7,"Extended Stay",J1229&gt;=8,"Long Stay")</f>
        <v>Long Stay</v>
      </c>
      <c r="L1229" t="s">
        <v>56</v>
      </c>
      <c r="M1229" s="10" t="str">
        <f t="shared" si="96"/>
        <v>Premium</v>
      </c>
      <c r="N1229" t="s">
        <v>26</v>
      </c>
      <c r="O1229" t="s">
        <v>35</v>
      </c>
      <c r="P1229">
        <f>IFERROR(VLOOKUP(TRIM(M1229),Room!D:H,5,FALSE),5000)</f>
        <v>9500</v>
      </c>
      <c r="Q1229">
        <f t="shared" si="97"/>
        <v>85500</v>
      </c>
      <c r="R1229" s="11" t="str">
        <f t="shared" si="98"/>
        <v>Conference</v>
      </c>
      <c r="S1229" s="11">
        <f t="shared" si="99"/>
        <v>4</v>
      </c>
    </row>
    <row r="1230" spans="1:19">
      <c r="A1230" t="s">
        <v>6453</v>
      </c>
      <c r="B1230" t="s">
        <v>6454</v>
      </c>
      <c r="C1230" t="s">
        <v>1660</v>
      </c>
      <c r="D1230" t="s">
        <v>6455</v>
      </c>
      <c r="E1230" t="s">
        <v>6456</v>
      </c>
      <c r="F1230" t="s">
        <v>6457</v>
      </c>
      <c r="G1230" s="4">
        <v>45364</v>
      </c>
      <c r="H1230" s="4">
        <v>45724</v>
      </c>
      <c r="I1230" s="4">
        <v>45738</v>
      </c>
      <c r="J1230">
        <f t="shared" si="95"/>
        <v>14</v>
      </c>
      <c r="K1230" t="str">
        <f t="array" ref="K1230">_xlfn.IFS(J1230=1,"Day Use",J1230&lt;=3,"Short Stay",J1230&lt;=7,"Extended Stay",J1230&gt;=8,"Long Stay")</f>
        <v>Long Stay</v>
      </c>
      <c r="L1230" t="s">
        <v>141</v>
      </c>
      <c r="M1230" s="10" t="str">
        <f t="shared" si="96"/>
        <v>Suite</v>
      </c>
      <c r="N1230" t="s">
        <v>26</v>
      </c>
      <c r="O1230" t="s">
        <v>27</v>
      </c>
      <c r="P1230">
        <f>IFERROR(VLOOKUP(TRIM(M1230),Room!D:H,5,FALSE),5000)</f>
        <v>12500</v>
      </c>
      <c r="Q1230">
        <f t="shared" si="97"/>
        <v>175000</v>
      </c>
      <c r="R1230" s="11" t="str">
        <f t="shared" si="98"/>
        <v>Business</v>
      </c>
      <c r="S1230" s="11">
        <f t="shared" si="99"/>
        <v>5</v>
      </c>
    </row>
    <row r="1231" spans="1:19">
      <c r="A1231" t="s">
        <v>6458</v>
      </c>
      <c r="B1231" t="s">
        <v>6459</v>
      </c>
      <c r="C1231" t="s">
        <v>1551</v>
      </c>
      <c r="D1231" t="s">
        <v>6460</v>
      </c>
      <c r="E1231" t="s">
        <v>6461</v>
      </c>
      <c r="F1231" t="s">
        <v>6462</v>
      </c>
      <c r="G1231" s="4">
        <v>45251</v>
      </c>
      <c r="H1231" s="4">
        <v>45832</v>
      </c>
      <c r="I1231" s="4">
        <v>45841</v>
      </c>
      <c r="J1231">
        <f t="shared" si="95"/>
        <v>9</v>
      </c>
      <c r="K1231" t="str">
        <f t="array" ref="K1231">_xlfn.IFS(J1231=1,"Day Use",J1231&lt;=3,"Short Stay",J1231&lt;=7,"Extended Stay",J1231&gt;=8,"Long Stay")</f>
        <v>Long Stay</v>
      </c>
      <c r="L1231" t="s">
        <v>91</v>
      </c>
      <c r="M1231" s="10" t="str">
        <f t="shared" si="96"/>
        <v>Premium</v>
      </c>
      <c r="N1231" t="s">
        <v>134</v>
      </c>
      <c r="O1231" t="s">
        <v>27</v>
      </c>
      <c r="P1231">
        <f>IFERROR(VLOOKUP(TRIM(M1231),Room!D:H,5,FALSE),5000)</f>
        <v>9500</v>
      </c>
      <c r="Q1231">
        <f t="shared" si="97"/>
        <v>85500</v>
      </c>
      <c r="R1231" s="11" t="str">
        <f t="shared" si="98"/>
        <v>Conference</v>
      </c>
      <c r="S1231" s="11">
        <f t="shared" si="99"/>
        <v>4</v>
      </c>
    </row>
    <row r="1232" spans="1:19">
      <c r="A1232" t="s">
        <v>6463</v>
      </c>
      <c r="B1232" t="s">
        <v>6464</v>
      </c>
      <c r="C1232" t="s">
        <v>6465</v>
      </c>
      <c r="D1232" t="s">
        <v>6466</v>
      </c>
      <c r="E1232" t="s">
        <v>6467</v>
      </c>
      <c r="F1232" t="s">
        <v>6468</v>
      </c>
      <c r="G1232" s="4">
        <v>45244</v>
      </c>
      <c r="H1232" s="4">
        <v>45930</v>
      </c>
      <c r="I1232" s="4">
        <v>45937</v>
      </c>
      <c r="J1232">
        <f t="shared" si="95"/>
        <v>7</v>
      </c>
      <c r="K1232" t="str">
        <f t="array" ref="K1232">_xlfn.IFS(J1232=1,"Day Use",J1232&lt;=3,"Short Stay",J1232&lt;=7,"Extended Stay",J1232&gt;=8,"Long Stay")</f>
        <v>Extended Stay</v>
      </c>
      <c r="L1232" t="s">
        <v>34</v>
      </c>
      <c r="M1232" s="10" t="str">
        <f t="shared" si="96"/>
        <v>Premium</v>
      </c>
      <c r="N1232" t="s">
        <v>26</v>
      </c>
      <c r="O1232" t="s">
        <v>71</v>
      </c>
      <c r="P1232">
        <f>IFERROR(VLOOKUP(TRIM(M1232),Room!D:H,5,FALSE),5000)</f>
        <v>9500</v>
      </c>
      <c r="Q1232">
        <f t="shared" si="97"/>
        <v>66500</v>
      </c>
      <c r="R1232" s="11" t="str">
        <f t="shared" si="98"/>
        <v>Conference</v>
      </c>
      <c r="S1232" s="11">
        <f t="shared" si="99"/>
        <v>4</v>
      </c>
    </row>
    <row r="1233" spans="1:19">
      <c r="A1233" t="s">
        <v>6469</v>
      </c>
      <c r="B1233" t="s">
        <v>6470</v>
      </c>
      <c r="C1233" t="s">
        <v>916</v>
      </c>
      <c r="D1233" t="s">
        <v>6471</v>
      </c>
      <c r="E1233" t="s">
        <v>6472</v>
      </c>
      <c r="F1233" t="s">
        <v>6473</v>
      </c>
      <c r="G1233" s="4">
        <v>45500</v>
      </c>
      <c r="H1233" s="4">
        <v>45617</v>
      </c>
      <c r="I1233" s="4">
        <v>45625</v>
      </c>
      <c r="J1233">
        <f t="shared" si="95"/>
        <v>8</v>
      </c>
      <c r="K1233" t="str">
        <f t="array" ref="K1233">_xlfn.IFS(J1233=1,"Day Use",J1233&lt;=3,"Short Stay",J1233&lt;=7,"Extended Stay",J1233&gt;=8,"Long Stay")</f>
        <v>Long Stay</v>
      </c>
      <c r="L1233" t="s">
        <v>49</v>
      </c>
      <c r="M1233" s="10" t="str">
        <f t="shared" si="96"/>
        <v>Premium</v>
      </c>
      <c r="N1233" t="s">
        <v>57</v>
      </c>
      <c r="O1233" t="s">
        <v>42</v>
      </c>
      <c r="P1233">
        <f>IFERROR(VLOOKUP(TRIM(M1233),Room!D:H,5,FALSE),5000)</f>
        <v>9500</v>
      </c>
      <c r="Q1233">
        <f t="shared" si="97"/>
        <v>76000</v>
      </c>
      <c r="R1233" s="11" t="str">
        <f t="shared" si="98"/>
        <v>Conference</v>
      </c>
      <c r="S1233" s="11">
        <f t="shared" si="99"/>
        <v>4</v>
      </c>
    </row>
    <row r="1234" spans="1:19">
      <c r="A1234" t="s">
        <v>6474</v>
      </c>
      <c r="B1234" t="s">
        <v>6475</v>
      </c>
      <c r="C1234" t="s">
        <v>5155</v>
      </c>
      <c r="D1234" t="s">
        <v>6476</v>
      </c>
      <c r="E1234" t="s">
        <v>6477</v>
      </c>
      <c r="F1234" t="s">
        <v>6478</v>
      </c>
      <c r="G1234" s="4">
        <v>45558</v>
      </c>
      <c r="H1234" s="4">
        <v>45582</v>
      </c>
      <c r="I1234" s="4">
        <v>45594</v>
      </c>
      <c r="J1234">
        <f t="shared" si="95"/>
        <v>12</v>
      </c>
      <c r="K1234" t="str">
        <f t="array" ref="K1234">_xlfn.IFS(J1234=1,"Day Use",J1234&lt;=3,"Short Stay",J1234&lt;=7,"Extended Stay",J1234&gt;=8,"Long Stay")</f>
        <v>Long Stay</v>
      </c>
      <c r="L1234" t="s">
        <v>196</v>
      </c>
      <c r="M1234" s="10" t="str">
        <f t="shared" si="96"/>
        <v>Suite</v>
      </c>
      <c r="N1234" t="s">
        <v>57</v>
      </c>
      <c r="O1234" t="s">
        <v>27</v>
      </c>
      <c r="P1234">
        <f>IFERROR(VLOOKUP(TRIM(M1234),Room!D:H,5,FALSE),5000)</f>
        <v>12500</v>
      </c>
      <c r="Q1234">
        <f t="shared" si="97"/>
        <v>150000</v>
      </c>
      <c r="R1234" s="11" t="str">
        <f t="shared" si="98"/>
        <v>Business</v>
      </c>
      <c r="S1234" s="11">
        <f t="shared" si="99"/>
        <v>5</v>
      </c>
    </row>
    <row r="1235" spans="1:19">
      <c r="A1235" t="s">
        <v>6479</v>
      </c>
      <c r="B1235" t="s">
        <v>6480</v>
      </c>
      <c r="C1235" t="s">
        <v>2101</v>
      </c>
      <c r="D1235" t="s">
        <v>6481</v>
      </c>
      <c r="E1235" t="s">
        <v>6482</v>
      </c>
      <c r="F1235" t="s">
        <v>6483</v>
      </c>
      <c r="G1235" s="4">
        <v>45445</v>
      </c>
      <c r="H1235" s="4">
        <v>45457</v>
      </c>
      <c r="I1235" s="4">
        <v>45464</v>
      </c>
      <c r="J1235">
        <f t="shared" si="95"/>
        <v>7</v>
      </c>
      <c r="K1235" t="str">
        <f t="array" ref="K1235">_xlfn.IFS(J1235=1,"Day Use",J1235&lt;=3,"Short Stay",J1235&lt;=7,"Extended Stay",J1235&gt;=8,"Long Stay")</f>
        <v>Extended Stay</v>
      </c>
      <c r="L1235" t="s">
        <v>141</v>
      </c>
      <c r="M1235" s="10" t="str">
        <f t="shared" si="96"/>
        <v>Premium</v>
      </c>
      <c r="N1235" t="s">
        <v>26</v>
      </c>
      <c r="O1235" t="s">
        <v>42</v>
      </c>
      <c r="P1235">
        <f>IFERROR(VLOOKUP(TRIM(M1235),Room!D:H,5,FALSE),5000)</f>
        <v>9500</v>
      </c>
      <c r="Q1235">
        <f t="shared" si="97"/>
        <v>66500</v>
      </c>
      <c r="R1235" s="11" t="str">
        <f t="shared" si="98"/>
        <v>Conference</v>
      </c>
      <c r="S1235" s="11">
        <f t="shared" si="99"/>
        <v>4</v>
      </c>
    </row>
    <row r="1236" spans="1:19">
      <c r="A1236" t="s">
        <v>6484</v>
      </c>
      <c r="B1236" t="s">
        <v>6485</v>
      </c>
      <c r="C1236" t="s">
        <v>94</v>
      </c>
      <c r="D1236" t="s">
        <v>6486</v>
      </c>
      <c r="E1236" t="s">
        <v>6487</v>
      </c>
      <c r="F1236" t="s">
        <v>6488</v>
      </c>
      <c r="G1236" s="4">
        <v>45709</v>
      </c>
      <c r="H1236" s="4">
        <v>45710</v>
      </c>
      <c r="I1236" s="4">
        <v>45717</v>
      </c>
      <c r="J1236">
        <f t="shared" si="95"/>
        <v>7</v>
      </c>
      <c r="K1236" t="str">
        <f t="array" ref="K1236">_xlfn.IFS(J1236=1,"Day Use",J1236&lt;=3,"Short Stay",J1236&lt;=7,"Extended Stay",J1236&gt;=8,"Long Stay")</f>
        <v>Extended Stay</v>
      </c>
      <c r="L1236" t="s">
        <v>84</v>
      </c>
      <c r="M1236" s="10" t="str">
        <f t="shared" si="96"/>
        <v>Premium</v>
      </c>
      <c r="N1236" t="s">
        <v>26</v>
      </c>
      <c r="O1236" t="s">
        <v>58</v>
      </c>
      <c r="P1236">
        <f>IFERROR(VLOOKUP(TRIM(M1236),Room!D:H,5,FALSE),5000)</f>
        <v>9500</v>
      </c>
      <c r="Q1236">
        <f t="shared" si="97"/>
        <v>66500</v>
      </c>
      <c r="R1236" s="11" t="str">
        <f t="shared" si="98"/>
        <v>Conference</v>
      </c>
      <c r="S1236" s="11">
        <f t="shared" si="99"/>
        <v>4</v>
      </c>
    </row>
    <row r="1237" spans="1:19">
      <c r="A1237" t="s">
        <v>6489</v>
      </c>
      <c r="B1237" t="s">
        <v>6490</v>
      </c>
      <c r="C1237" t="s">
        <v>1229</v>
      </c>
      <c r="D1237" t="s">
        <v>6491</v>
      </c>
      <c r="E1237" t="s">
        <v>6492</v>
      </c>
      <c r="F1237" t="s">
        <v>6493</v>
      </c>
      <c r="G1237" s="4">
        <v>45526</v>
      </c>
      <c r="H1237" s="4">
        <v>45546</v>
      </c>
      <c r="I1237" s="4">
        <v>45549</v>
      </c>
      <c r="J1237">
        <f t="shared" si="95"/>
        <v>3</v>
      </c>
      <c r="K1237" t="str">
        <f t="array" ref="K1237">_xlfn.IFS(J1237=1,"Day Use",J1237&lt;=3,"Short Stay",J1237&lt;=7,"Extended Stay",J1237&gt;=8,"Long Stay")</f>
        <v>Short Stay</v>
      </c>
      <c r="L1237" t="s">
        <v>34</v>
      </c>
      <c r="M1237" s="10" t="str">
        <f t="shared" si="96"/>
        <v>Standard</v>
      </c>
      <c r="N1237" t="s">
        <v>26</v>
      </c>
      <c r="O1237" t="s">
        <v>58</v>
      </c>
      <c r="P1237">
        <f>IFERROR(VLOOKUP(TRIM(M1237),Room!D:H,5,FALSE),5000)</f>
        <v>3200</v>
      </c>
      <c r="Q1237">
        <f t="shared" si="97"/>
        <v>9600</v>
      </c>
      <c r="R1237" s="11" t="str">
        <f t="shared" si="98"/>
        <v>Other</v>
      </c>
      <c r="S1237" s="11">
        <f t="shared" si="99"/>
        <v>2</v>
      </c>
    </row>
    <row r="1238" spans="1:19">
      <c r="A1238" t="s">
        <v>6494</v>
      </c>
      <c r="B1238" t="s">
        <v>6495</v>
      </c>
      <c r="C1238" t="s">
        <v>484</v>
      </c>
      <c r="D1238" t="s">
        <v>6496</v>
      </c>
      <c r="E1238" t="s">
        <v>6497</v>
      </c>
      <c r="F1238" t="s">
        <v>6498</v>
      </c>
      <c r="G1238" s="4">
        <v>45722</v>
      </c>
      <c r="H1238" s="4">
        <v>45751</v>
      </c>
      <c r="I1238" s="4">
        <v>45763</v>
      </c>
      <c r="J1238">
        <f t="shared" si="95"/>
        <v>12</v>
      </c>
      <c r="K1238" t="str">
        <f t="array" ref="K1238">_xlfn.IFS(J1238=1,"Day Use",J1238&lt;=3,"Short Stay",J1238&lt;=7,"Extended Stay",J1238&gt;=8,"Long Stay")</f>
        <v>Long Stay</v>
      </c>
      <c r="L1238" t="s">
        <v>141</v>
      </c>
      <c r="M1238" s="10" t="str">
        <f t="shared" si="96"/>
        <v>Suite</v>
      </c>
      <c r="N1238" t="s">
        <v>26</v>
      </c>
      <c r="O1238" t="s">
        <v>71</v>
      </c>
      <c r="P1238">
        <f>IFERROR(VLOOKUP(TRIM(M1238),Room!D:H,5,FALSE),5000)</f>
        <v>12500</v>
      </c>
      <c r="Q1238">
        <f t="shared" si="97"/>
        <v>150000</v>
      </c>
      <c r="R1238" s="11" t="str">
        <f t="shared" si="98"/>
        <v>Business</v>
      </c>
      <c r="S1238" s="11">
        <f t="shared" si="99"/>
        <v>5</v>
      </c>
    </row>
    <row r="1239" spans="1:19">
      <c r="A1239" t="s">
        <v>6499</v>
      </c>
      <c r="B1239" t="s">
        <v>6500</v>
      </c>
      <c r="C1239" t="s">
        <v>530</v>
      </c>
      <c r="D1239" t="s">
        <v>6501</v>
      </c>
      <c r="E1239" t="s">
        <v>6502</v>
      </c>
      <c r="F1239" t="s">
        <v>6503</v>
      </c>
      <c r="G1239" s="4">
        <v>45789</v>
      </c>
      <c r="H1239" s="4">
        <v>45815</v>
      </c>
      <c r="I1239" s="4">
        <v>45822</v>
      </c>
      <c r="J1239">
        <f t="shared" si="95"/>
        <v>7</v>
      </c>
      <c r="K1239" t="str">
        <f t="array" ref="K1239">_xlfn.IFS(J1239=1,"Day Use",J1239&lt;=3,"Short Stay",J1239&lt;=7,"Extended Stay",J1239&gt;=8,"Long Stay")</f>
        <v>Extended Stay</v>
      </c>
      <c r="L1239" t="s">
        <v>49</v>
      </c>
      <c r="M1239" s="10" t="str">
        <f t="shared" si="96"/>
        <v>Premium</v>
      </c>
      <c r="N1239" t="s">
        <v>26</v>
      </c>
      <c r="O1239" t="s">
        <v>71</v>
      </c>
      <c r="P1239">
        <f>IFERROR(VLOOKUP(TRIM(M1239),Room!D:H,5,FALSE),5000)</f>
        <v>9500</v>
      </c>
      <c r="Q1239">
        <f t="shared" si="97"/>
        <v>66500</v>
      </c>
      <c r="R1239" s="11" t="str">
        <f t="shared" si="98"/>
        <v>Conference</v>
      </c>
      <c r="S1239" s="11">
        <f t="shared" si="99"/>
        <v>4</v>
      </c>
    </row>
    <row r="1240" spans="1:19">
      <c r="A1240" t="s">
        <v>6504</v>
      </c>
      <c r="B1240" t="s">
        <v>6505</v>
      </c>
      <c r="C1240" t="s">
        <v>205</v>
      </c>
      <c r="D1240" t="s">
        <v>6506</v>
      </c>
      <c r="E1240" t="s">
        <v>6507</v>
      </c>
      <c r="F1240" t="s">
        <v>6508</v>
      </c>
      <c r="G1240" s="4">
        <v>45565</v>
      </c>
      <c r="H1240" s="4">
        <v>45594</v>
      </c>
      <c r="I1240" s="4">
        <v>45607</v>
      </c>
      <c r="J1240">
        <f t="shared" si="95"/>
        <v>13</v>
      </c>
      <c r="K1240" t="str">
        <f t="array" ref="K1240">_xlfn.IFS(J1240=1,"Day Use",J1240&lt;=3,"Short Stay",J1240&lt;=7,"Extended Stay",J1240&gt;=8,"Long Stay")</f>
        <v>Long Stay</v>
      </c>
      <c r="L1240" t="s">
        <v>25</v>
      </c>
      <c r="M1240" s="10" t="str">
        <f t="shared" si="96"/>
        <v>Suite</v>
      </c>
      <c r="N1240" t="s">
        <v>26</v>
      </c>
      <c r="O1240" t="s">
        <v>58</v>
      </c>
      <c r="P1240">
        <f>IFERROR(VLOOKUP(TRIM(M1240),Room!D:H,5,FALSE),5000)</f>
        <v>12500</v>
      </c>
      <c r="Q1240">
        <f t="shared" si="97"/>
        <v>162500</v>
      </c>
      <c r="R1240" s="11" t="str">
        <f t="shared" si="98"/>
        <v>Business</v>
      </c>
      <c r="S1240" s="11">
        <f t="shared" si="99"/>
        <v>5</v>
      </c>
    </row>
    <row r="1241" spans="1:19">
      <c r="A1241" t="s">
        <v>6509</v>
      </c>
      <c r="B1241" t="s">
        <v>6510</v>
      </c>
      <c r="C1241" t="s">
        <v>1008</v>
      </c>
      <c r="D1241" t="s">
        <v>6511</v>
      </c>
      <c r="E1241" t="s">
        <v>6512</v>
      </c>
      <c r="F1241" t="s">
        <v>6513</v>
      </c>
      <c r="G1241" s="4">
        <v>45274</v>
      </c>
      <c r="H1241" s="4">
        <v>45898</v>
      </c>
      <c r="I1241" s="4">
        <v>45906</v>
      </c>
      <c r="J1241">
        <f t="shared" si="95"/>
        <v>8</v>
      </c>
      <c r="K1241" t="str">
        <f t="array" ref="K1241">_xlfn.IFS(J1241=1,"Day Use",J1241&lt;=3,"Short Stay",J1241&lt;=7,"Extended Stay",J1241&gt;=8,"Long Stay")</f>
        <v>Long Stay</v>
      </c>
      <c r="L1241" t="s">
        <v>84</v>
      </c>
      <c r="M1241" s="10" t="str">
        <f t="shared" si="96"/>
        <v>Premium</v>
      </c>
      <c r="N1241" t="s">
        <v>57</v>
      </c>
      <c r="O1241" t="s">
        <v>27</v>
      </c>
      <c r="P1241">
        <f>IFERROR(VLOOKUP(TRIM(M1241),Room!D:H,5,FALSE),5000)</f>
        <v>9500</v>
      </c>
      <c r="Q1241">
        <f t="shared" si="97"/>
        <v>76000</v>
      </c>
      <c r="R1241" s="11" t="str">
        <f t="shared" si="98"/>
        <v>Conference</v>
      </c>
      <c r="S1241" s="11">
        <f t="shared" si="99"/>
        <v>4</v>
      </c>
    </row>
    <row r="1242" spans="1:19">
      <c r="A1242" t="s">
        <v>6514</v>
      </c>
      <c r="B1242" t="s">
        <v>6515</v>
      </c>
      <c r="C1242" t="s">
        <v>1594</v>
      </c>
      <c r="D1242" t="s">
        <v>6516</v>
      </c>
      <c r="E1242" t="s">
        <v>6517</v>
      </c>
      <c r="F1242" t="s">
        <v>6518</v>
      </c>
      <c r="G1242" s="4">
        <v>45318</v>
      </c>
      <c r="H1242" s="4">
        <v>45741</v>
      </c>
      <c r="I1242" s="4">
        <v>45749</v>
      </c>
      <c r="J1242">
        <f t="shared" si="95"/>
        <v>8</v>
      </c>
      <c r="K1242" t="str">
        <f t="array" ref="K1242">_xlfn.IFS(J1242=1,"Day Use",J1242&lt;=3,"Short Stay",J1242&lt;=7,"Extended Stay",J1242&gt;=8,"Long Stay")</f>
        <v>Long Stay</v>
      </c>
      <c r="L1242" t="s">
        <v>49</v>
      </c>
      <c r="M1242" s="10" t="str">
        <f t="shared" si="96"/>
        <v>Premium</v>
      </c>
      <c r="N1242" t="s">
        <v>26</v>
      </c>
      <c r="O1242" t="s">
        <v>27</v>
      </c>
      <c r="P1242">
        <f>IFERROR(VLOOKUP(TRIM(M1242),Room!D:H,5,FALSE),5000)</f>
        <v>9500</v>
      </c>
      <c r="Q1242">
        <f t="shared" si="97"/>
        <v>76000</v>
      </c>
      <c r="R1242" s="11" t="str">
        <f t="shared" si="98"/>
        <v>Conference</v>
      </c>
      <c r="S1242" s="11">
        <f t="shared" si="99"/>
        <v>4</v>
      </c>
    </row>
    <row r="1243" spans="1:19">
      <c r="A1243" t="s">
        <v>6519</v>
      </c>
      <c r="B1243" t="s">
        <v>6520</v>
      </c>
      <c r="C1243" t="s">
        <v>1068</v>
      </c>
      <c r="D1243" t="s">
        <v>6521</v>
      </c>
      <c r="E1243" t="s">
        <v>6522</v>
      </c>
      <c r="F1243" t="s">
        <v>6523</v>
      </c>
      <c r="G1243" s="4">
        <v>45335</v>
      </c>
      <c r="H1243" s="4">
        <v>45501</v>
      </c>
      <c r="I1243" s="4">
        <v>45505</v>
      </c>
      <c r="J1243">
        <f t="shared" si="95"/>
        <v>4</v>
      </c>
      <c r="K1243" t="str">
        <f t="array" ref="K1243">_xlfn.IFS(J1243=1,"Day Use",J1243&lt;=3,"Short Stay",J1243&lt;=7,"Extended Stay",J1243&gt;=8,"Long Stay")</f>
        <v>Extended Stay</v>
      </c>
      <c r="L1243" t="s">
        <v>141</v>
      </c>
      <c r="M1243" s="10" t="str">
        <f t="shared" si="96"/>
        <v>Deluxe</v>
      </c>
      <c r="N1243" t="s">
        <v>57</v>
      </c>
      <c r="O1243" t="s">
        <v>71</v>
      </c>
      <c r="P1243">
        <f>IFERROR(VLOOKUP(TRIM(M1243),Room!D:H,5,FALSE),5000)</f>
        <v>5400</v>
      </c>
      <c r="Q1243">
        <f t="shared" si="97"/>
        <v>21600</v>
      </c>
      <c r="R1243" s="11" t="str">
        <f t="shared" si="98"/>
        <v>Conference</v>
      </c>
      <c r="S1243" s="11">
        <f t="shared" si="99"/>
        <v>3</v>
      </c>
    </row>
    <row r="1244" spans="1:19">
      <c r="A1244" t="s">
        <v>6524</v>
      </c>
      <c r="B1244" t="s">
        <v>6525</v>
      </c>
      <c r="C1244" t="s">
        <v>30</v>
      </c>
      <c r="D1244" t="s">
        <v>6526</v>
      </c>
      <c r="E1244" t="s">
        <v>6527</v>
      </c>
      <c r="F1244" t="s">
        <v>6528</v>
      </c>
      <c r="G1244" s="4">
        <v>45389</v>
      </c>
      <c r="H1244" s="4">
        <v>45401</v>
      </c>
      <c r="I1244" s="4">
        <v>45406</v>
      </c>
      <c r="J1244">
        <f t="shared" si="95"/>
        <v>5</v>
      </c>
      <c r="K1244" t="str">
        <f t="array" ref="K1244">_xlfn.IFS(J1244=1,"Day Use",J1244&lt;=3,"Short Stay",J1244&lt;=7,"Extended Stay",J1244&gt;=8,"Long Stay")</f>
        <v>Extended Stay</v>
      </c>
      <c r="L1244" t="s">
        <v>84</v>
      </c>
      <c r="M1244" s="10" t="str">
        <f t="shared" si="96"/>
        <v>Deluxe</v>
      </c>
      <c r="N1244" t="s">
        <v>26</v>
      </c>
      <c r="O1244" t="s">
        <v>58</v>
      </c>
      <c r="P1244">
        <f>IFERROR(VLOOKUP(TRIM(M1244),Room!D:H,5,FALSE),5000)</f>
        <v>5400</v>
      </c>
      <c r="Q1244">
        <f t="shared" si="97"/>
        <v>27000</v>
      </c>
      <c r="R1244" s="11" t="str">
        <f t="shared" si="98"/>
        <v>Conference</v>
      </c>
      <c r="S1244" s="11">
        <f t="shared" si="99"/>
        <v>3</v>
      </c>
    </row>
    <row r="1245" spans="1:19">
      <c r="A1245" t="s">
        <v>6529</v>
      </c>
      <c r="B1245" t="s">
        <v>6530</v>
      </c>
      <c r="C1245" t="s">
        <v>199</v>
      </c>
      <c r="D1245" t="s">
        <v>6531</v>
      </c>
      <c r="E1245" t="s">
        <v>6532</v>
      </c>
      <c r="F1245" t="s">
        <v>6533</v>
      </c>
      <c r="G1245" s="4">
        <v>45566</v>
      </c>
      <c r="H1245" s="4">
        <v>45588</v>
      </c>
      <c r="I1245" s="4">
        <v>45598</v>
      </c>
      <c r="J1245">
        <f t="shared" si="95"/>
        <v>10</v>
      </c>
      <c r="K1245" t="str">
        <f t="array" ref="K1245">_xlfn.IFS(J1245=1,"Day Use",J1245&lt;=3,"Short Stay",J1245&lt;=7,"Extended Stay",J1245&gt;=8,"Long Stay")</f>
        <v>Long Stay</v>
      </c>
      <c r="L1245" t="s">
        <v>84</v>
      </c>
      <c r="M1245" s="10" t="str">
        <f t="shared" si="96"/>
        <v>Premium</v>
      </c>
      <c r="N1245" t="s">
        <v>57</v>
      </c>
      <c r="O1245" t="s">
        <v>27</v>
      </c>
      <c r="P1245">
        <f>IFERROR(VLOOKUP(TRIM(M1245),Room!D:H,5,FALSE),5000)</f>
        <v>9500</v>
      </c>
      <c r="Q1245">
        <f t="shared" si="97"/>
        <v>95000</v>
      </c>
      <c r="R1245" s="11" t="str">
        <f t="shared" si="98"/>
        <v>Conference</v>
      </c>
      <c r="S1245" s="11">
        <f t="shared" si="99"/>
        <v>4</v>
      </c>
    </row>
    <row r="1246" spans="1:19">
      <c r="A1246" t="s">
        <v>6534</v>
      </c>
      <c r="B1246" t="s">
        <v>6535</v>
      </c>
      <c r="C1246" t="s">
        <v>45</v>
      </c>
      <c r="D1246" t="s">
        <v>6536</v>
      </c>
      <c r="E1246" t="s">
        <v>6537</v>
      </c>
      <c r="F1246" t="s">
        <v>6538</v>
      </c>
      <c r="G1246" s="4">
        <v>45884</v>
      </c>
      <c r="H1246" s="4">
        <v>45895</v>
      </c>
      <c r="I1246" s="4">
        <v>45898</v>
      </c>
      <c r="J1246">
        <f t="shared" si="95"/>
        <v>3</v>
      </c>
      <c r="K1246" t="str">
        <f t="array" ref="K1246">_xlfn.IFS(J1246=1,"Day Use",J1246&lt;=3,"Short Stay",J1246&lt;=7,"Extended Stay",J1246&gt;=8,"Long Stay")</f>
        <v>Short Stay</v>
      </c>
      <c r="L1246" t="s">
        <v>34</v>
      </c>
      <c r="M1246" s="10" t="str">
        <f t="shared" si="96"/>
        <v>Standard</v>
      </c>
      <c r="N1246" t="s">
        <v>57</v>
      </c>
      <c r="O1246" t="s">
        <v>27</v>
      </c>
      <c r="P1246">
        <f>IFERROR(VLOOKUP(TRIM(M1246),Room!D:H,5,FALSE),5000)</f>
        <v>3200</v>
      </c>
      <c r="Q1246">
        <f t="shared" si="97"/>
        <v>9600</v>
      </c>
      <c r="R1246" s="11" t="str">
        <f t="shared" si="98"/>
        <v>Other</v>
      </c>
      <c r="S1246" s="11">
        <f t="shared" si="99"/>
        <v>2</v>
      </c>
    </row>
    <row r="1247" spans="1:19">
      <c r="A1247" t="s">
        <v>6539</v>
      </c>
      <c r="B1247" t="s">
        <v>6540</v>
      </c>
      <c r="C1247" t="s">
        <v>6541</v>
      </c>
      <c r="D1247" t="s">
        <v>6542</v>
      </c>
      <c r="E1247" t="s">
        <v>6543</v>
      </c>
      <c r="F1247" t="s">
        <v>6544</v>
      </c>
      <c r="G1247" s="4">
        <v>45496</v>
      </c>
      <c r="H1247" s="4">
        <v>45554</v>
      </c>
      <c r="I1247" s="4">
        <v>45560</v>
      </c>
      <c r="J1247">
        <f t="shared" si="95"/>
        <v>6</v>
      </c>
      <c r="K1247" t="str">
        <f t="array" ref="K1247">_xlfn.IFS(J1247=1,"Day Use",J1247&lt;=3,"Short Stay",J1247&lt;=7,"Extended Stay",J1247&gt;=8,"Long Stay")</f>
        <v>Extended Stay</v>
      </c>
      <c r="L1247" t="s">
        <v>141</v>
      </c>
      <c r="M1247" s="10" t="str">
        <f t="shared" si="96"/>
        <v>Deluxe</v>
      </c>
      <c r="N1247" t="s">
        <v>26</v>
      </c>
      <c r="O1247" t="s">
        <v>35</v>
      </c>
      <c r="P1247">
        <f>IFERROR(VLOOKUP(TRIM(M1247),Room!D:H,5,FALSE),5000)</f>
        <v>5400</v>
      </c>
      <c r="Q1247">
        <f t="shared" si="97"/>
        <v>32400</v>
      </c>
      <c r="R1247" s="11" t="str">
        <f t="shared" si="98"/>
        <v>Conference</v>
      </c>
      <c r="S1247" s="11">
        <f t="shared" si="99"/>
        <v>3</v>
      </c>
    </row>
    <row r="1248" spans="1:19">
      <c r="A1248" t="s">
        <v>6545</v>
      </c>
      <c r="B1248" t="s">
        <v>6546</v>
      </c>
      <c r="C1248" t="s">
        <v>1710</v>
      </c>
      <c r="D1248" t="s">
        <v>6547</v>
      </c>
      <c r="E1248" t="s">
        <v>6548</v>
      </c>
      <c r="F1248" t="s">
        <v>6549</v>
      </c>
      <c r="G1248" s="4">
        <v>45287</v>
      </c>
      <c r="H1248" s="4">
        <v>45314</v>
      </c>
      <c r="I1248" s="4">
        <v>45319</v>
      </c>
      <c r="J1248">
        <f t="shared" si="95"/>
        <v>5</v>
      </c>
      <c r="K1248" t="str">
        <f t="array" ref="K1248">_xlfn.IFS(J1248=1,"Day Use",J1248&lt;=3,"Short Stay",J1248&lt;=7,"Extended Stay",J1248&gt;=8,"Long Stay")</f>
        <v>Extended Stay</v>
      </c>
      <c r="L1248" t="s">
        <v>25</v>
      </c>
      <c r="M1248" s="10" t="str">
        <f t="shared" si="96"/>
        <v>Deluxe</v>
      </c>
      <c r="N1248" t="s">
        <v>26</v>
      </c>
      <c r="O1248" t="s">
        <v>35</v>
      </c>
      <c r="P1248">
        <f>IFERROR(VLOOKUP(TRIM(M1248),Room!D:H,5,FALSE),5000)</f>
        <v>5400</v>
      </c>
      <c r="Q1248">
        <f t="shared" si="97"/>
        <v>27000</v>
      </c>
      <c r="R1248" s="11" t="str">
        <f t="shared" si="98"/>
        <v>Conference</v>
      </c>
      <c r="S1248" s="11">
        <f t="shared" si="99"/>
        <v>3</v>
      </c>
    </row>
    <row r="1249" spans="1:19">
      <c r="A1249" t="s">
        <v>6550</v>
      </c>
      <c r="B1249" t="s">
        <v>6551</v>
      </c>
      <c r="C1249" t="s">
        <v>2778</v>
      </c>
      <c r="D1249" t="s">
        <v>6552</v>
      </c>
      <c r="E1249" t="s">
        <v>6553</v>
      </c>
      <c r="F1249" t="s">
        <v>6554</v>
      </c>
      <c r="G1249" s="4">
        <v>45460</v>
      </c>
      <c r="H1249" s="4">
        <v>45471</v>
      </c>
      <c r="I1249" s="4">
        <v>45482</v>
      </c>
      <c r="J1249">
        <f t="shared" si="95"/>
        <v>11</v>
      </c>
      <c r="K1249" t="str">
        <f t="array" ref="K1249">_xlfn.IFS(J1249=1,"Day Use",J1249&lt;=3,"Short Stay",J1249&lt;=7,"Extended Stay",J1249&gt;=8,"Long Stay")</f>
        <v>Long Stay</v>
      </c>
      <c r="L1249" t="s">
        <v>34</v>
      </c>
      <c r="M1249" s="10" t="str">
        <f t="shared" si="96"/>
        <v>Suite</v>
      </c>
      <c r="N1249" t="s">
        <v>57</v>
      </c>
      <c r="O1249" t="s">
        <v>58</v>
      </c>
      <c r="P1249">
        <f>IFERROR(VLOOKUP(TRIM(M1249),Room!D:H,5,FALSE),5000)</f>
        <v>12500</v>
      </c>
      <c r="Q1249">
        <f t="shared" si="97"/>
        <v>137500</v>
      </c>
      <c r="R1249" s="11" t="str">
        <f t="shared" si="98"/>
        <v>Business</v>
      </c>
      <c r="S1249" s="11">
        <f t="shared" si="99"/>
        <v>5</v>
      </c>
    </row>
    <row r="1250" spans="1:19">
      <c r="A1250" t="s">
        <v>6555</v>
      </c>
      <c r="B1250" t="s">
        <v>6556</v>
      </c>
      <c r="C1250" t="s">
        <v>955</v>
      </c>
      <c r="D1250" t="s">
        <v>6557</v>
      </c>
      <c r="E1250" t="s">
        <v>6558</v>
      </c>
      <c r="F1250" t="s">
        <v>6559</v>
      </c>
      <c r="G1250" s="4">
        <v>45591</v>
      </c>
      <c r="H1250" s="4">
        <v>45801</v>
      </c>
      <c r="I1250" s="4">
        <v>45805</v>
      </c>
      <c r="J1250">
        <f t="shared" si="95"/>
        <v>4</v>
      </c>
      <c r="K1250" t="str">
        <f t="array" ref="K1250">_xlfn.IFS(J1250=1,"Day Use",J1250&lt;=3,"Short Stay",J1250&lt;=7,"Extended Stay",J1250&gt;=8,"Long Stay")</f>
        <v>Extended Stay</v>
      </c>
      <c r="L1250" t="s">
        <v>25</v>
      </c>
      <c r="M1250" s="10" t="str">
        <f t="shared" si="96"/>
        <v>Deluxe</v>
      </c>
      <c r="N1250" t="s">
        <v>26</v>
      </c>
      <c r="O1250" t="s">
        <v>42</v>
      </c>
      <c r="P1250">
        <f>IFERROR(VLOOKUP(TRIM(M1250),Room!D:H,5,FALSE),5000)</f>
        <v>5400</v>
      </c>
      <c r="Q1250">
        <f t="shared" si="97"/>
        <v>21600</v>
      </c>
      <c r="R1250" s="11" t="str">
        <f t="shared" si="98"/>
        <v>Conference</v>
      </c>
      <c r="S1250" s="11">
        <f t="shared" si="99"/>
        <v>3</v>
      </c>
    </row>
    <row r="1251" spans="1:19">
      <c r="A1251" t="s">
        <v>6560</v>
      </c>
      <c r="B1251" t="s">
        <v>6561</v>
      </c>
      <c r="C1251" t="s">
        <v>271</v>
      </c>
      <c r="D1251" t="s">
        <v>6562</v>
      </c>
      <c r="E1251" t="s">
        <v>6563</v>
      </c>
      <c r="F1251" t="s">
        <v>6564</v>
      </c>
      <c r="G1251" s="4">
        <v>45799</v>
      </c>
      <c r="H1251" s="4">
        <v>45829</v>
      </c>
      <c r="I1251" s="4">
        <v>45842</v>
      </c>
      <c r="J1251">
        <f t="shared" si="95"/>
        <v>13</v>
      </c>
      <c r="K1251" t="str">
        <f t="array" ref="K1251">_xlfn.IFS(J1251=1,"Day Use",J1251&lt;=3,"Short Stay",J1251&lt;=7,"Extended Stay",J1251&gt;=8,"Long Stay")</f>
        <v>Long Stay</v>
      </c>
      <c r="L1251" t="s">
        <v>196</v>
      </c>
      <c r="M1251" s="10" t="str">
        <f t="shared" si="96"/>
        <v>Suite</v>
      </c>
      <c r="N1251" t="s">
        <v>26</v>
      </c>
      <c r="O1251" t="s">
        <v>27</v>
      </c>
      <c r="P1251">
        <f>IFERROR(VLOOKUP(TRIM(M1251),Room!D:H,5,FALSE),5000)</f>
        <v>12500</v>
      </c>
      <c r="Q1251">
        <f t="shared" si="97"/>
        <v>162500</v>
      </c>
      <c r="R1251" s="11" t="str">
        <f t="shared" si="98"/>
        <v>Business</v>
      </c>
      <c r="S1251" s="11">
        <f t="shared" si="99"/>
        <v>5</v>
      </c>
    </row>
    <row r="1252" spans="1:19">
      <c r="A1252" t="s">
        <v>6565</v>
      </c>
      <c r="B1252" t="s">
        <v>6566</v>
      </c>
      <c r="C1252" t="s">
        <v>6567</v>
      </c>
      <c r="D1252" t="s">
        <v>6568</v>
      </c>
      <c r="E1252" t="s">
        <v>6569</v>
      </c>
      <c r="F1252" t="s">
        <v>6570</v>
      </c>
      <c r="G1252" s="4">
        <v>45657</v>
      </c>
      <c r="H1252" s="4">
        <v>45692</v>
      </c>
      <c r="I1252" s="4">
        <v>45695</v>
      </c>
      <c r="J1252">
        <f t="shared" si="95"/>
        <v>3</v>
      </c>
      <c r="K1252" t="str">
        <f t="array" ref="K1252">_xlfn.IFS(J1252=1,"Day Use",J1252&lt;=3,"Short Stay",J1252&lt;=7,"Extended Stay",J1252&gt;=8,"Long Stay")</f>
        <v>Short Stay</v>
      </c>
      <c r="L1252" t="s">
        <v>91</v>
      </c>
      <c r="M1252" s="10" t="str">
        <f t="shared" si="96"/>
        <v>Standard</v>
      </c>
      <c r="N1252" t="s">
        <v>57</v>
      </c>
      <c r="O1252" t="s">
        <v>58</v>
      </c>
      <c r="P1252">
        <f>IFERROR(VLOOKUP(TRIM(M1252),Room!D:H,5,FALSE),5000)</f>
        <v>3200</v>
      </c>
      <c r="Q1252">
        <f t="shared" si="97"/>
        <v>9600</v>
      </c>
      <c r="R1252" s="11" t="str">
        <f t="shared" si="98"/>
        <v>Other</v>
      </c>
      <c r="S1252" s="11">
        <f t="shared" si="99"/>
        <v>2</v>
      </c>
    </row>
    <row r="1253" spans="1:19">
      <c r="A1253" t="s">
        <v>6571</v>
      </c>
      <c r="B1253" t="s">
        <v>6572</v>
      </c>
      <c r="C1253" t="s">
        <v>3061</v>
      </c>
      <c r="D1253" t="s">
        <v>6573</v>
      </c>
      <c r="E1253" t="s">
        <v>6574</v>
      </c>
      <c r="F1253" t="s">
        <v>6575</v>
      </c>
      <c r="G1253" s="4">
        <v>45338</v>
      </c>
      <c r="H1253" s="4">
        <v>45351</v>
      </c>
      <c r="I1253" s="4">
        <v>45365</v>
      </c>
      <c r="J1253">
        <f t="shared" si="95"/>
        <v>14</v>
      </c>
      <c r="K1253" t="str">
        <f t="array" ref="K1253">_xlfn.IFS(J1253=1,"Day Use",J1253&lt;=3,"Short Stay",J1253&lt;=7,"Extended Stay",J1253&gt;=8,"Long Stay")</f>
        <v>Long Stay</v>
      </c>
      <c r="L1253" t="s">
        <v>196</v>
      </c>
      <c r="M1253" s="10" t="str">
        <f t="shared" si="96"/>
        <v>Suite</v>
      </c>
      <c r="N1253" t="s">
        <v>26</v>
      </c>
      <c r="O1253" t="s">
        <v>58</v>
      </c>
      <c r="P1253">
        <f>IFERROR(VLOOKUP(TRIM(M1253),Room!D:H,5,FALSE),5000)</f>
        <v>12500</v>
      </c>
      <c r="Q1253">
        <f t="shared" si="97"/>
        <v>175000</v>
      </c>
      <c r="R1253" s="11" t="str">
        <f t="shared" si="98"/>
        <v>Business</v>
      </c>
      <c r="S1253" s="11">
        <f t="shared" si="99"/>
        <v>5</v>
      </c>
    </row>
    <row r="1254" spans="1:19">
      <c r="A1254" t="s">
        <v>6576</v>
      </c>
      <c r="B1254" t="s">
        <v>6577</v>
      </c>
      <c r="C1254" t="s">
        <v>1096</v>
      </c>
      <c r="D1254" t="s">
        <v>6578</v>
      </c>
      <c r="E1254" t="s">
        <v>6579</v>
      </c>
      <c r="F1254" t="s">
        <v>6580</v>
      </c>
      <c r="G1254" s="4">
        <v>45454</v>
      </c>
      <c r="H1254" s="4">
        <v>45834</v>
      </c>
      <c r="I1254" s="4">
        <v>45835</v>
      </c>
      <c r="J1254">
        <f t="shared" si="95"/>
        <v>1</v>
      </c>
      <c r="K1254" t="str">
        <f t="array" ref="K1254">_xlfn.IFS(J1254=1,"Day Use",J1254&lt;=3,"Short Stay",J1254&lt;=7,"Extended Stay",J1254&gt;=8,"Long Stay")</f>
        <v>Day Use</v>
      </c>
      <c r="L1254" t="s">
        <v>34</v>
      </c>
      <c r="M1254" s="10" t="str">
        <f t="shared" si="96"/>
        <v>Standard</v>
      </c>
      <c r="N1254" t="s">
        <v>57</v>
      </c>
      <c r="O1254" t="s">
        <v>27</v>
      </c>
      <c r="P1254">
        <f>IFERROR(VLOOKUP(TRIM(M1254),Room!D:H,5,FALSE),5000)</f>
        <v>3200</v>
      </c>
      <c r="Q1254">
        <f t="shared" si="97"/>
        <v>3200</v>
      </c>
      <c r="R1254" s="11" t="str">
        <f t="shared" si="98"/>
        <v>Other</v>
      </c>
      <c r="S1254" s="11">
        <f t="shared" si="99"/>
        <v>1</v>
      </c>
    </row>
    <row r="1255" spans="1:19">
      <c r="A1255" t="s">
        <v>6581</v>
      </c>
      <c r="B1255" t="s">
        <v>6582</v>
      </c>
      <c r="C1255" t="s">
        <v>4359</v>
      </c>
      <c r="D1255" t="s">
        <v>6583</v>
      </c>
      <c r="E1255" t="s">
        <v>6584</v>
      </c>
      <c r="F1255" t="s">
        <v>6585</v>
      </c>
      <c r="G1255" s="4">
        <v>45421</v>
      </c>
      <c r="H1255" s="4">
        <v>45515</v>
      </c>
      <c r="I1255" s="4">
        <v>45516</v>
      </c>
      <c r="J1255">
        <f t="shared" si="95"/>
        <v>1</v>
      </c>
      <c r="K1255" t="str">
        <f t="array" ref="K1255">_xlfn.IFS(J1255=1,"Day Use",J1255&lt;=3,"Short Stay",J1255&lt;=7,"Extended Stay",J1255&gt;=8,"Long Stay")</f>
        <v>Day Use</v>
      </c>
      <c r="L1255" t="s">
        <v>34</v>
      </c>
      <c r="M1255" s="10" t="str">
        <f t="shared" si="96"/>
        <v>Standard</v>
      </c>
      <c r="N1255" t="s">
        <v>26</v>
      </c>
      <c r="O1255" t="s">
        <v>71</v>
      </c>
      <c r="P1255">
        <f>IFERROR(VLOOKUP(TRIM(M1255),Room!D:H,5,FALSE),5000)</f>
        <v>3200</v>
      </c>
      <c r="Q1255">
        <f t="shared" si="97"/>
        <v>3200</v>
      </c>
      <c r="R1255" s="11" t="str">
        <f t="shared" si="98"/>
        <v>Other</v>
      </c>
      <c r="S1255" s="11">
        <f t="shared" si="99"/>
        <v>1</v>
      </c>
    </row>
    <row r="1256" spans="1:19">
      <c r="A1256" t="s">
        <v>6586</v>
      </c>
      <c r="B1256" t="s">
        <v>6587</v>
      </c>
      <c r="C1256" t="s">
        <v>2474</v>
      </c>
      <c r="D1256" t="s">
        <v>6588</v>
      </c>
      <c r="E1256" t="s">
        <v>6589</v>
      </c>
      <c r="F1256" t="s">
        <v>6590</v>
      </c>
      <c r="G1256" s="4">
        <v>45613</v>
      </c>
      <c r="H1256" s="4">
        <v>45807</v>
      </c>
      <c r="I1256" s="4">
        <v>45812</v>
      </c>
      <c r="J1256">
        <f t="shared" si="95"/>
        <v>5</v>
      </c>
      <c r="K1256" t="str">
        <f t="array" ref="K1256">_xlfn.IFS(J1256=1,"Day Use",J1256&lt;=3,"Short Stay",J1256&lt;=7,"Extended Stay",J1256&gt;=8,"Long Stay")</f>
        <v>Extended Stay</v>
      </c>
      <c r="L1256" t="s">
        <v>84</v>
      </c>
      <c r="M1256" s="10" t="str">
        <f t="shared" si="96"/>
        <v>Deluxe</v>
      </c>
      <c r="N1256" t="s">
        <v>26</v>
      </c>
      <c r="O1256" t="s">
        <v>58</v>
      </c>
      <c r="P1256">
        <f>IFERROR(VLOOKUP(TRIM(M1256),Room!D:H,5,FALSE),5000)</f>
        <v>5400</v>
      </c>
      <c r="Q1256">
        <f t="shared" si="97"/>
        <v>27000</v>
      </c>
      <c r="R1256" s="11" t="str">
        <f t="shared" si="98"/>
        <v>Conference</v>
      </c>
      <c r="S1256" s="11">
        <f t="shared" si="99"/>
        <v>3</v>
      </c>
    </row>
    <row r="1257" spans="1:19">
      <c r="A1257" t="s">
        <v>6591</v>
      </c>
      <c r="B1257" t="s">
        <v>6592</v>
      </c>
      <c r="C1257" t="s">
        <v>762</v>
      </c>
      <c r="D1257" t="s">
        <v>6593</v>
      </c>
      <c r="E1257" t="s">
        <v>6594</v>
      </c>
      <c r="F1257" t="s">
        <v>6595</v>
      </c>
      <c r="G1257" s="4">
        <v>45418</v>
      </c>
      <c r="H1257" s="4">
        <v>45436</v>
      </c>
      <c r="I1257" s="4">
        <v>45439</v>
      </c>
      <c r="J1257">
        <f t="shared" si="95"/>
        <v>3</v>
      </c>
      <c r="K1257" t="str">
        <f t="array" ref="K1257">_xlfn.IFS(J1257=1,"Day Use",J1257&lt;=3,"Short Stay",J1257&lt;=7,"Extended Stay",J1257&gt;=8,"Long Stay")</f>
        <v>Short Stay</v>
      </c>
      <c r="L1257" t="s">
        <v>91</v>
      </c>
      <c r="M1257" s="10" t="str">
        <f t="shared" si="96"/>
        <v>Standard</v>
      </c>
      <c r="N1257" t="s">
        <v>26</v>
      </c>
      <c r="O1257" t="s">
        <v>58</v>
      </c>
      <c r="P1257">
        <f>IFERROR(VLOOKUP(TRIM(M1257),Room!D:H,5,FALSE),5000)</f>
        <v>3200</v>
      </c>
      <c r="Q1257">
        <f t="shared" si="97"/>
        <v>9600</v>
      </c>
      <c r="R1257" s="11" t="str">
        <f t="shared" si="98"/>
        <v>Other</v>
      </c>
      <c r="S1257" s="11">
        <f t="shared" si="99"/>
        <v>2</v>
      </c>
    </row>
    <row r="1258" spans="1:19">
      <c r="A1258" t="s">
        <v>6596</v>
      </c>
      <c r="B1258" t="s">
        <v>6597</v>
      </c>
      <c r="C1258" t="s">
        <v>1324</v>
      </c>
      <c r="D1258" t="s">
        <v>6598</v>
      </c>
      <c r="E1258" t="s">
        <v>6599</v>
      </c>
      <c r="F1258" t="s">
        <v>6600</v>
      </c>
      <c r="G1258" s="4">
        <v>45634</v>
      </c>
      <c r="H1258" s="4">
        <v>45686</v>
      </c>
      <c r="I1258" s="4">
        <v>45687</v>
      </c>
      <c r="J1258">
        <f t="shared" si="95"/>
        <v>1</v>
      </c>
      <c r="K1258" t="str">
        <f t="array" ref="K1258">_xlfn.IFS(J1258=1,"Day Use",J1258&lt;=3,"Short Stay",J1258&lt;=7,"Extended Stay",J1258&gt;=8,"Long Stay")</f>
        <v>Day Use</v>
      </c>
      <c r="L1258" t="s">
        <v>34</v>
      </c>
      <c r="M1258" s="10" t="str">
        <f t="shared" si="96"/>
        <v>Standard</v>
      </c>
      <c r="N1258" t="s">
        <v>26</v>
      </c>
      <c r="O1258" t="s">
        <v>27</v>
      </c>
      <c r="P1258">
        <f>IFERROR(VLOOKUP(TRIM(M1258),Room!D:H,5,FALSE),5000)</f>
        <v>3200</v>
      </c>
      <c r="Q1258">
        <f t="shared" si="97"/>
        <v>3200</v>
      </c>
      <c r="R1258" s="11" t="str">
        <f t="shared" si="98"/>
        <v>Other</v>
      </c>
      <c r="S1258" s="11">
        <f t="shared" si="99"/>
        <v>1</v>
      </c>
    </row>
    <row r="1259" spans="1:19">
      <c r="A1259" t="s">
        <v>6601</v>
      </c>
      <c r="B1259" t="s">
        <v>6602</v>
      </c>
      <c r="C1259" t="s">
        <v>500</v>
      </c>
      <c r="D1259" t="s">
        <v>6603</v>
      </c>
      <c r="E1259" t="s">
        <v>6604</v>
      </c>
      <c r="F1259" t="s">
        <v>6605</v>
      </c>
      <c r="G1259" s="4">
        <v>45660</v>
      </c>
      <c r="H1259" s="4">
        <v>45929</v>
      </c>
      <c r="I1259" s="4">
        <v>45933</v>
      </c>
      <c r="J1259">
        <f t="shared" si="95"/>
        <v>4</v>
      </c>
      <c r="K1259" t="str">
        <f t="array" ref="K1259">_xlfn.IFS(J1259=1,"Day Use",J1259&lt;=3,"Short Stay",J1259&lt;=7,"Extended Stay",J1259&gt;=8,"Long Stay")</f>
        <v>Extended Stay</v>
      </c>
      <c r="L1259" t="s">
        <v>141</v>
      </c>
      <c r="M1259" s="10" t="str">
        <f t="shared" si="96"/>
        <v>Deluxe</v>
      </c>
      <c r="N1259" t="s">
        <v>26</v>
      </c>
      <c r="O1259" t="s">
        <v>58</v>
      </c>
      <c r="P1259">
        <f>IFERROR(VLOOKUP(TRIM(M1259),Room!D:H,5,FALSE),5000)</f>
        <v>5400</v>
      </c>
      <c r="Q1259">
        <f t="shared" si="97"/>
        <v>21600</v>
      </c>
      <c r="R1259" s="11" t="str">
        <f t="shared" si="98"/>
        <v>Conference</v>
      </c>
      <c r="S1259" s="11">
        <f t="shared" si="99"/>
        <v>3</v>
      </c>
    </row>
    <row r="1260" spans="1:19">
      <c r="A1260" t="s">
        <v>6606</v>
      </c>
      <c r="B1260" t="s">
        <v>6607</v>
      </c>
      <c r="C1260" t="s">
        <v>982</v>
      </c>
      <c r="D1260" t="s">
        <v>6608</v>
      </c>
      <c r="E1260" t="s">
        <v>6609</v>
      </c>
      <c r="F1260" t="s">
        <v>6610</v>
      </c>
      <c r="G1260" s="4">
        <v>45764</v>
      </c>
      <c r="H1260" s="4">
        <v>45770</v>
      </c>
      <c r="I1260" s="4">
        <v>45781</v>
      </c>
      <c r="J1260">
        <f t="shared" si="95"/>
        <v>11</v>
      </c>
      <c r="K1260" t="str">
        <f t="array" ref="K1260">_xlfn.IFS(J1260=1,"Day Use",J1260&lt;=3,"Short Stay",J1260&lt;=7,"Extended Stay",J1260&gt;=8,"Long Stay")</f>
        <v>Long Stay</v>
      </c>
      <c r="L1260" t="s">
        <v>49</v>
      </c>
      <c r="M1260" s="10" t="str">
        <f t="shared" si="96"/>
        <v>Suite</v>
      </c>
      <c r="N1260" t="s">
        <v>134</v>
      </c>
      <c r="O1260" t="s">
        <v>58</v>
      </c>
      <c r="P1260">
        <f>IFERROR(VLOOKUP(TRIM(M1260),Room!D:H,5,FALSE),5000)</f>
        <v>12500</v>
      </c>
      <c r="Q1260">
        <f t="shared" si="97"/>
        <v>137500</v>
      </c>
      <c r="R1260" s="11" t="str">
        <f t="shared" si="98"/>
        <v>Business</v>
      </c>
      <c r="S1260" s="11">
        <f t="shared" si="99"/>
        <v>5</v>
      </c>
    </row>
    <row r="1261" spans="1:19">
      <c r="A1261" t="s">
        <v>6611</v>
      </c>
      <c r="B1261" t="s">
        <v>6612</v>
      </c>
      <c r="C1261" t="s">
        <v>6613</v>
      </c>
      <c r="D1261" t="s">
        <v>6614</v>
      </c>
      <c r="E1261" t="s">
        <v>6615</v>
      </c>
      <c r="F1261" t="s">
        <v>6616</v>
      </c>
      <c r="G1261" s="4">
        <v>45662</v>
      </c>
      <c r="H1261" s="4">
        <v>45689</v>
      </c>
      <c r="I1261" s="4">
        <v>45699</v>
      </c>
      <c r="J1261">
        <f t="shared" si="95"/>
        <v>10</v>
      </c>
      <c r="K1261" t="str">
        <f t="array" ref="K1261">_xlfn.IFS(J1261=1,"Day Use",J1261&lt;=3,"Short Stay",J1261&lt;=7,"Extended Stay",J1261&gt;=8,"Long Stay")</f>
        <v>Long Stay</v>
      </c>
      <c r="L1261" t="s">
        <v>141</v>
      </c>
      <c r="M1261" s="10" t="str">
        <f t="shared" si="96"/>
        <v>Premium</v>
      </c>
      <c r="N1261" t="s">
        <v>26</v>
      </c>
      <c r="O1261" t="s">
        <v>71</v>
      </c>
      <c r="P1261">
        <f>IFERROR(VLOOKUP(TRIM(M1261),Room!D:H,5,FALSE),5000)</f>
        <v>9500</v>
      </c>
      <c r="Q1261">
        <f t="shared" si="97"/>
        <v>95000</v>
      </c>
      <c r="R1261" s="11" t="str">
        <f t="shared" si="98"/>
        <v>Conference</v>
      </c>
      <c r="S1261" s="11">
        <f t="shared" si="99"/>
        <v>4</v>
      </c>
    </row>
    <row r="1262" spans="1:19">
      <c r="A1262" t="s">
        <v>6617</v>
      </c>
      <c r="B1262" t="s">
        <v>6618</v>
      </c>
      <c r="C1262" t="s">
        <v>1794</v>
      </c>
      <c r="D1262" t="s">
        <v>6619</v>
      </c>
      <c r="E1262" t="s">
        <v>6620</v>
      </c>
      <c r="F1262" t="s">
        <v>6621</v>
      </c>
      <c r="G1262" s="4">
        <v>45885</v>
      </c>
      <c r="H1262" s="4">
        <v>45984</v>
      </c>
      <c r="I1262" s="4">
        <v>45996</v>
      </c>
      <c r="J1262">
        <f t="shared" si="95"/>
        <v>12</v>
      </c>
      <c r="K1262" t="str">
        <f t="array" ref="K1262">_xlfn.IFS(J1262=1,"Day Use",J1262&lt;=3,"Short Stay",J1262&lt;=7,"Extended Stay",J1262&gt;=8,"Long Stay")</f>
        <v>Long Stay</v>
      </c>
      <c r="L1262" t="s">
        <v>49</v>
      </c>
      <c r="M1262" s="10" t="str">
        <f t="shared" si="96"/>
        <v>Suite</v>
      </c>
      <c r="N1262" t="s">
        <v>57</v>
      </c>
      <c r="O1262" t="s">
        <v>58</v>
      </c>
      <c r="P1262">
        <f>IFERROR(VLOOKUP(TRIM(M1262),Room!D:H,5,FALSE),5000)</f>
        <v>12500</v>
      </c>
      <c r="Q1262">
        <f t="shared" si="97"/>
        <v>150000</v>
      </c>
      <c r="R1262" s="11" t="str">
        <f t="shared" si="98"/>
        <v>Business</v>
      </c>
      <c r="S1262" s="11">
        <f t="shared" si="99"/>
        <v>5</v>
      </c>
    </row>
    <row r="1263" spans="1:19">
      <c r="A1263" t="s">
        <v>6622</v>
      </c>
      <c r="B1263" t="s">
        <v>6623</v>
      </c>
      <c r="C1263" t="s">
        <v>1551</v>
      </c>
      <c r="D1263" t="s">
        <v>6624</v>
      </c>
      <c r="E1263" t="s">
        <v>6625</v>
      </c>
      <c r="F1263" t="s">
        <v>6626</v>
      </c>
      <c r="G1263" s="4">
        <v>45642</v>
      </c>
      <c r="H1263" s="4">
        <v>45653</v>
      </c>
      <c r="I1263" s="4">
        <v>45666</v>
      </c>
      <c r="J1263">
        <f t="shared" si="95"/>
        <v>13</v>
      </c>
      <c r="K1263" t="str">
        <f t="array" ref="K1263">_xlfn.IFS(J1263=1,"Day Use",J1263&lt;=3,"Short Stay",J1263&lt;=7,"Extended Stay",J1263&gt;=8,"Long Stay")</f>
        <v>Long Stay</v>
      </c>
      <c r="L1263" t="s">
        <v>141</v>
      </c>
      <c r="M1263" s="10" t="str">
        <f t="shared" si="96"/>
        <v>Suite</v>
      </c>
      <c r="N1263" t="s">
        <v>26</v>
      </c>
      <c r="O1263" t="s">
        <v>71</v>
      </c>
      <c r="P1263">
        <f>IFERROR(VLOOKUP(TRIM(M1263),Room!D:H,5,FALSE),5000)</f>
        <v>12500</v>
      </c>
      <c r="Q1263">
        <f t="shared" si="97"/>
        <v>162500</v>
      </c>
      <c r="R1263" s="11" t="str">
        <f t="shared" si="98"/>
        <v>Business</v>
      </c>
      <c r="S1263" s="11">
        <f t="shared" si="99"/>
        <v>5</v>
      </c>
    </row>
    <row r="1264" spans="1:19">
      <c r="A1264" t="s">
        <v>6627</v>
      </c>
      <c r="B1264" t="s">
        <v>6628</v>
      </c>
      <c r="C1264" t="s">
        <v>2233</v>
      </c>
      <c r="D1264" t="s">
        <v>6629</v>
      </c>
      <c r="E1264" t="s">
        <v>6630</v>
      </c>
      <c r="F1264" t="s">
        <v>6631</v>
      </c>
      <c r="G1264" s="4">
        <v>45228</v>
      </c>
      <c r="H1264" s="4">
        <v>45357</v>
      </c>
      <c r="I1264" s="4">
        <v>45365</v>
      </c>
      <c r="J1264">
        <f t="shared" si="95"/>
        <v>8</v>
      </c>
      <c r="K1264" t="str">
        <f t="array" ref="K1264">_xlfn.IFS(J1264=1,"Day Use",J1264&lt;=3,"Short Stay",J1264&lt;=7,"Extended Stay",J1264&gt;=8,"Long Stay")</f>
        <v>Long Stay</v>
      </c>
      <c r="L1264" t="s">
        <v>141</v>
      </c>
      <c r="M1264" s="10" t="str">
        <f t="shared" si="96"/>
        <v>Premium</v>
      </c>
      <c r="N1264" t="s">
        <v>26</v>
      </c>
      <c r="O1264" t="s">
        <v>42</v>
      </c>
      <c r="P1264">
        <f>IFERROR(VLOOKUP(TRIM(M1264),Room!D:H,5,FALSE),5000)</f>
        <v>9500</v>
      </c>
      <c r="Q1264">
        <f t="shared" si="97"/>
        <v>76000</v>
      </c>
      <c r="R1264" s="11" t="str">
        <f t="shared" si="98"/>
        <v>Conference</v>
      </c>
      <c r="S1264" s="11">
        <f t="shared" si="99"/>
        <v>4</v>
      </c>
    </row>
    <row r="1265" spans="1:19">
      <c r="A1265" t="s">
        <v>6632</v>
      </c>
      <c r="B1265" t="s">
        <v>6633</v>
      </c>
      <c r="C1265" t="s">
        <v>536</v>
      </c>
      <c r="D1265" t="s">
        <v>6634</v>
      </c>
      <c r="E1265" t="s">
        <v>6635</v>
      </c>
      <c r="F1265" t="s">
        <v>6636</v>
      </c>
      <c r="G1265" s="4">
        <v>45467</v>
      </c>
      <c r="H1265" s="4">
        <v>45482</v>
      </c>
      <c r="I1265" s="4">
        <v>45483</v>
      </c>
      <c r="J1265">
        <f t="shared" si="95"/>
        <v>1</v>
      </c>
      <c r="K1265" t="str">
        <f t="array" ref="K1265">_xlfn.IFS(J1265=1,"Day Use",J1265&lt;=3,"Short Stay",J1265&lt;=7,"Extended Stay",J1265&gt;=8,"Long Stay")</f>
        <v>Day Use</v>
      </c>
      <c r="L1265" t="s">
        <v>84</v>
      </c>
      <c r="M1265" s="10" t="str">
        <f t="shared" si="96"/>
        <v>Standard</v>
      </c>
      <c r="N1265" t="s">
        <v>26</v>
      </c>
      <c r="O1265" t="s">
        <v>35</v>
      </c>
      <c r="P1265">
        <f>IFERROR(VLOOKUP(TRIM(M1265),Room!D:H,5,FALSE),5000)</f>
        <v>3200</v>
      </c>
      <c r="Q1265">
        <f t="shared" si="97"/>
        <v>3200</v>
      </c>
      <c r="R1265" s="11" t="str">
        <f t="shared" si="98"/>
        <v>Other</v>
      </c>
      <c r="S1265" s="11">
        <f t="shared" si="99"/>
        <v>1</v>
      </c>
    </row>
    <row r="1266" spans="1:19">
      <c r="A1266" t="s">
        <v>6637</v>
      </c>
      <c r="B1266" t="s">
        <v>6638</v>
      </c>
      <c r="C1266" t="s">
        <v>655</v>
      </c>
      <c r="D1266" t="s">
        <v>6639</v>
      </c>
      <c r="E1266" t="s">
        <v>6640</v>
      </c>
      <c r="F1266" t="s">
        <v>6641</v>
      </c>
      <c r="G1266" s="4">
        <v>45397</v>
      </c>
      <c r="H1266" s="4">
        <v>45420</v>
      </c>
      <c r="I1266" s="4">
        <v>45433</v>
      </c>
      <c r="J1266">
        <f t="shared" si="95"/>
        <v>13</v>
      </c>
      <c r="K1266" t="str">
        <f t="array" ref="K1266">_xlfn.IFS(J1266=1,"Day Use",J1266&lt;=3,"Short Stay",J1266&lt;=7,"Extended Stay",J1266&gt;=8,"Long Stay")</f>
        <v>Long Stay</v>
      </c>
      <c r="L1266" t="s">
        <v>141</v>
      </c>
      <c r="M1266" s="10" t="str">
        <f t="shared" si="96"/>
        <v>Suite</v>
      </c>
      <c r="N1266" t="s">
        <v>372</v>
      </c>
      <c r="O1266" t="s">
        <v>42</v>
      </c>
      <c r="P1266">
        <f>IFERROR(VLOOKUP(TRIM(M1266),Room!D:H,5,FALSE),5000)</f>
        <v>12500</v>
      </c>
      <c r="Q1266">
        <f t="shared" si="97"/>
        <v>162500</v>
      </c>
      <c r="R1266" s="11" t="str">
        <f t="shared" si="98"/>
        <v>Business</v>
      </c>
      <c r="S1266" s="11">
        <f t="shared" si="99"/>
        <v>5</v>
      </c>
    </row>
    <row r="1267" spans="1:19">
      <c r="A1267" t="s">
        <v>6642</v>
      </c>
      <c r="B1267" t="s">
        <v>6643</v>
      </c>
      <c r="C1267" t="s">
        <v>1152</v>
      </c>
      <c r="D1267" t="s">
        <v>6644</v>
      </c>
      <c r="E1267" t="s">
        <v>6645</v>
      </c>
      <c r="F1267" t="s">
        <v>6646</v>
      </c>
      <c r="G1267" s="4">
        <v>45411</v>
      </c>
      <c r="H1267" s="4">
        <v>45421</v>
      </c>
      <c r="I1267" s="4">
        <v>45429</v>
      </c>
      <c r="J1267">
        <f t="shared" si="95"/>
        <v>8</v>
      </c>
      <c r="K1267" t="str">
        <f t="array" ref="K1267">_xlfn.IFS(J1267=1,"Day Use",J1267&lt;=3,"Short Stay",J1267&lt;=7,"Extended Stay",J1267&gt;=8,"Long Stay")</f>
        <v>Long Stay</v>
      </c>
      <c r="L1267" t="s">
        <v>34</v>
      </c>
      <c r="M1267" s="10" t="str">
        <f t="shared" si="96"/>
        <v>Premium</v>
      </c>
      <c r="N1267" t="s">
        <v>57</v>
      </c>
      <c r="O1267" t="s">
        <v>58</v>
      </c>
      <c r="P1267">
        <f>IFERROR(VLOOKUP(TRIM(M1267),Room!D:H,5,FALSE),5000)</f>
        <v>9500</v>
      </c>
      <c r="Q1267">
        <f t="shared" si="97"/>
        <v>76000</v>
      </c>
      <c r="R1267" s="11" t="str">
        <f t="shared" si="98"/>
        <v>Conference</v>
      </c>
      <c r="S1267" s="11">
        <f t="shared" si="99"/>
        <v>4</v>
      </c>
    </row>
    <row r="1268" spans="1:19">
      <c r="A1268" t="s">
        <v>6647</v>
      </c>
      <c r="B1268" t="s">
        <v>6648</v>
      </c>
      <c r="C1268" t="s">
        <v>1114</v>
      </c>
      <c r="D1268" t="s">
        <v>6649</v>
      </c>
      <c r="E1268" t="s">
        <v>6650</v>
      </c>
      <c r="F1268" t="s">
        <v>6651</v>
      </c>
      <c r="G1268" s="4">
        <v>45457</v>
      </c>
      <c r="H1268" s="4">
        <v>45501</v>
      </c>
      <c r="I1268" s="4">
        <v>45503</v>
      </c>
      <c r="J1268">
        <f t="shared" si="95"/>
        <v>2</v>
      </c>
      <c r="K1268" t="str">
        <f t="array" ref="K1268">_xlfn.IFS(J1268=1,"Day Use",J1268&lt;=3,"Short Stay",J1268&lt;=7,"Extended Stay",J1268&gt;=8,"Long Stay")</f>
        <v>Short Stay</v>
      </c>
      <c r="L1268" t="s">
        <v>91</v>
      </c>
      <c r="M1268" s="10" t="str">
        <f t="shared" si="96"/>
        <v>Standard</v>
      </c>
      <c r="N1268" t="s">
        <v>148</v>
      </c>
      <c r="O1268" t="s">
        <v>35</v>
      </c>
      <c r="P1268">
        <f>IFERROR(VLOOKUP(TRIM(M1268),Room!D:H,5,FALSE),5000)</f>
        <v>3200</v>
      </c>
      <c r="Q1268">
        <f t="shared" si="97"/>
        <v>6400</v>
      </c>
      <c r="R1268" s="11" t="str">
        <f t="shared" si="98"/>
        <v>Other</v>
      </c>
      <c r="S1268" s="11">
        <f t="shared" si="99"/>
        <v>2</v>
      </c>
    </row>
    <row r="1269" spans="1:19">
      <c r="A1269" t="s">
        <v>6652</v>
      </c>
      <c r="B1269" t="s">
        <v>6653</v>
      </c>
      <c r="C1269" t="s">
        <v>500</v>
      </c>
      <c r="D1269" t="s">
        <v>6654</v>
      </c>
      <c r="E1269" t="s">
        <v>6655</v>
      </c>
      <c r="F1269" t="s">
        <v>6656</v>
      </c>
      <c r="G1269" s="4">
        <v>45288</v>
      </c>
      <c r="H1269" s="4">
        <v>45308</v>
      </c>
      <c r="I1269" s="4">
        <v>45310</v>
      </c>
      <c r="J1269">
        <f t="shared" si="95"/>
        <v>2</v>
      </c>
      <c r="K1269" t="str">
        <f t="array" ref="K1269">_xlfn.IFS(J1269=1,"Day Use",J1269&lt;=3,"Short Stay",J1269&lt;=7,"Extended Stay",J1269&gt;=8,"Long Stay")</f>
        <v>Short Stay</v>
      </c>
      <c r="L1269" t="s">
        <v>91</v>
      </c>
      <c r="M1269" s="10" t="str">
        <f t="shared" si="96"/>
        <v>Standard</v>
      </c>
      <c r="N1269" t="s">
        <v>57</v>
      </c>
      <c r="O1269" t="s">
        <v>35</v>
      </c>
      <c r="P1269">
        <f>IFERROR(VLOOKUP(TRIM(M1269),Room!D:H,5,FALSE),5000)</f>
        <v>3200</v>
      </c>
      <c r="Q1269">
        <f t="shared" si="97"/>
        <v>6400</v>
      </c>
      <c r="R1269" s="11" t="str">
        <f t="shared" si="98"/>
        <v>Other</v>
      </c>
      <c r="S1269" s="11">
        <f t="shared" si="99"/>
        <v>2</v>
      </c>
    </row>
    <row r="1270" spans="1:19">
      <c r="A1270" t="s">
        <v>6657</v>
      </c>
      <c r="B1270" t="s">
        <v>6658</v>
      </c>
      <c r="C1270" t="s">
        <v>421</v>
      </c>
      <c r="D1270" t="s">
        <v>6659</v>
      </c>
      <c r="E1270" t="s">
        <v>6660</v>
      </c>
      <c r="F1270" t="s">
        <v>6661</v>
      </c>
      <c r="G1270" s="4">
        <v>45265</v>
      </c>
      <c r="H1270" s="4">
        <v>45295</v>
      </c>
      <c r="I1270" s="4">
        <v>45305</v>
      </c>
      <c r="J1270">
        <f t="shared" si="95"/>
        <v>10</v>
      </c>
      <c r="K1270" t="str">
        <f t="array" ref="K1270">_xlfn.IFS(J1270=1,"Day Use",J1270&lt;=3,"Short Stay",J1270&lt;=7,"Extended Stay",J1270&gt;=8,"Long Stay")</f>
        <v>Long Stay</v>
      </c>
      <c r="L1270" t="s">
        <v>91</v>
      </c>
      <c r="M1270" s="10" t="str">
        <f t="shared" si="96"/>
        <v>Premium</v>
      </c>
      <c r="N1270" t="s">
        <v>26</v>
      </c>
      <c r="O1270" t="s">
        <v>27</v>
      </c>
      <c r="P1270">
        <f>IFERROR(VLOOKUP(TRIM(M1270),Room!D:H,5,FALSE),5000)</f>
        <v>9500</v>
      </c>
      <c r="Q1270">
        <f t="shared" si="97"/>
        <v>95000</v>
      </c>
      <c r="R1270" s="11" t="str">
        <f t="shared" si="98"/>
        <v>Conference</v>
      </c>
      <c r="S1270" s="11">
        <f t="shared" si="99"/>
        <v>4</v>
      </c>
    </row>
    <row r="1271" spans="1:19">
      <c r="A1271" t="s">
        <v>6662</v>
      </c>
      <c r="B1271" t="s">
        <v>6663</v>
      </c>
      <c r="C1271" t="s">
        <v>404</v>
      </c>
      <c r="D1271" t="s">
        <v>6664</v>
      </c>
      <c r="E1271" t="s">
        <v>6665</v>
      </c>
      <c r="F1271" t="s">
        <v>6666</v>
      </c>
      <c r="G1271" s="4">
        <v>45835</v>
      </c>
      <c r="H1271" s="4">
        <v>45861</v>
      </c>
      <c r="I1271" s="4">
        <v>45872</v>
      </c>
      <c r="J1271">
        <f t="shared" si="95"/>
        <v>11</v>
      </c>
      <c r="K1271" t="str">
        <f t="array" ref="K1271">_xlfn.IFS(J1271=1,"Day Use",J1271&lt;=3,"Short Stay",J1271&lt;=7,"Extended Stay",J1271&gt;=8,"Long Stay")</f>
        <v>Long Stay</v>
      </c>
      <c r="L1271" t="s">
        <v>84</v>
      </c>
      <c r="M1271" s="10" t="str">
        <f t="shared" si="96"/>
        <v>Suite</v>
      </c>
      <c r="N1271" t="s">
        <v>26</v>
      </c>
      <c r="O1271" t="s">
        <v>42</v>
      </c>
      <c r="P1271">
        <f>IFERROR(VLOOKUP(TRIM(M1271),Room!D:H,5,FALSE),5000)</f>
        <v>12500</v>
      </c>
      <c r="Q1271">
        <f t="shared" si="97"/>
        <v>137500</v>
      </c>
      <c r="R1271" s="11" t="str">
        <f t="shared" si="98"/>
        <v>Business</v>
      </c>
      <c r="S1271" s="11">
        <f t="shared" si="99"/>
        <v>5</v>
      </c>
    </row>
    <row r="1272" spans="1:19">
      <c r="A1272" t="s">
        <v>6667</v>
      </c>
      <c r="B1272" t="s">
        <v>6668</v>
      </c>
      <c r="C1272" t="s">
        <v>1453</v>
      </c>
      <c r="D1272" t="s">
        <v>6669</v>
      </c>
      <c r="E1272" t="s">
        <v>6670</v>
      </c>
      <c r="F1272" t="s">
        <v>6671</v>
      </c>
      <c r="G1272" s="4">
        <v>45745</v>
      </c>
      <c r="H1272" s="4">
        <v>45771</v>
      </c>
      <c r="I1272" s="4">
        <v>45774</v>
      </c>
      <c r="J1272">
        <f t="shared" si="95"/>
        <v>3</v>
      </c>
      <c r="K1272" t="str">
        <f t="array" ref="K1272">_xlfn.IFS(J1272=1,"Day Use",J1272&lt;=3,"Short Stay",J1272&lt;=7,"Extended Stay",J1272&gt;=8,"Long Stay")</f>
        <v>Short Stay</v>
      </c>
      <c r="L1272" t="s">
        <v>56</v>
      </c>
      <c r="M1272" s="10" t="str">
        <f t="shared" si="96"/>
        <v>Standard</v>
      </c>
      <c r="N1272" t="s">
        <v>148</v>
      </c>
      <c r="O1272" t="s">
        <v>27</v>
      </c>
      <c r="P1272">
        <f>IFERROR(VLOOKUP(TRIM(M1272),Room!D:H,5,FALSE),5000)</f>
        <v>3200</v>
      </c>
      <c r="Q1272">
        <f t="shared" si="97"/>
        <v>9600</v>
      </c>
      <c r="R1272" s="11" t="str">
        <f t="shared" si="98"/>
        <v>Other</v>
      </c>
      <c r="S1272" s="11">
        <f t="shared" si="99"/>
        <v>2</v>
      </c>
    </row>
    <row r="1273" spans="1:19">
      <c r="A1273" t="s">
        <v>6672</v>
      </c>
      <c r="B1273" t="s">
        <v>6673</v>
      </c>
      <c r="C1273" t="s">
        <v>100</v>
      </c>
      <c r="D1273" t="s">
        <v>6674</v>
      </c>
      <c r="E1273" t="s">
        <v>6675</v>
      </c>
      <c r="F1273" t="s">
        <v>6676</v>
      </c>
      <c r="G1273" s="4">
        <v>45332</v>
      </c>
      <c r="H1273" s="4">
        <v>45390</v>
      </c>
      <c r="I1273" s="4">
        <v>45399</v>
      </c>
      <c r="J1273">
        <f t="shared" si="95"/>
        <v>9</v>
      </c>
      <c r="K1273" t="str">
        <f t="array" ref="K1273">_xlfn.IFS(J1273=1,"Day Use",J1273&lt;=3,"Short Stay",J1273&lt;=7,"Extended Stay",J1273&gt;=8,"Long Stay")</f>
        <v>Long Stay</v>
      </c>
      <c r="L1273" t="s">
        <v>56</v>
      </c>
      <c r="M1273" s="10" t="str">
        <f t="shared" si="96"/>
        <v>Premium</v>
      </c>
      <c r="N1273" t="s">
        <v>148</v>
      </c>
      <c r="O1273" t="s">
        <v>58</v>
      </c>
      <c r="P1273">
        <f>IFERROR(VLOOKUP(TRIM(M1273),Room!D:H,5,FALSE),5000)</f>
        <v>9500</v>
      </c>
      <c r="Q1273">
        <f t="shared" si="97"/>
        <v>85500</v>
      </c>
      <c r="R1273" s="11" t="str">
        <f t="shared" si="98"/>
        <v>Conference</v>
      </c>
      <c r="S1273" s="11">
        <f t="shared" si="99"/>
        <v>4</v>
      </c>
    </row>
    <row r="1274" spans="1:19">
      <c r="A1274" t="s">
        <v>6677</v>
      </c>
      <c r="B1274" t="s">
        <v>6678</v>
      </c>
      <c r="C1274" t="s">
        <v>45</v>
      </c>
      <c r="D1274" t="s">
        <v>6679</v>
      </c>
      <c r="E1274" t="s">
        <v>6680</v>
      </c>
      <c r="F1274" t="s">
        <v>6681</v>
      </c>
      <c r="G1274" s="4">
        <v>45319</v>
      </c>
      <c r="H1274" s="4">
        <v>45331</v>
      </c>
      <c r="I1274" s="4">
        <v>45339</v>
      </c>
      <c r="J1274">
        <f t="shared" si="95"/>
        <v>8</v>
      </c>
      <c r="K1274" t="str">
        <f t="array" ref="K1274">_xlfn.IFS(J1274=1,"Day Use",J1274&lt;=3,"Short Stay",J1274&lt;=7,"Extended Stay",J1274&gt;=8,"Long Stay")</f>
        <v>Long Stay</v>
      </c>
      <c r="L1274" t="s">
        <v>91</v>
      </c>
      <c r="M1274" s="10" t="str">
        <f t="shared" si="96"/>
        <v>Premium</v>
      </c>
      <c r="N1274" t="s">
        <v>26</v>
      </c>
      <c r="O1274" t="s">
        <v>35</v>
      </c>
      <c r="P1274">
        <f>IFERROR(VLOOKUP(TRIM(M1274),Room!D:H,5,FALSE),5000)</f>
        <v>9500</v>
      </c>
      <c r="Q1274">
        <f t="shared" si="97"/>
        <v>76000</v>
      </c>
      <c r="R1274" s="11" t="str">
        <f t="shared" si="98"/>
        <v>Conference</v>
      </c>
      <c r="S1274" s="11">
        <f t="shared" si="99"/>
        <v>4</v>
      </c>
    </row>
    <row r="1275" spans="1:19">
      <c r="A1275" t="s">
        <v>6682</v>
      </c>
      <c r="B1275" t="s">
        <v>6683</v>
      </c>
      <c r="C1275" t="s">
        <v>871</v>
      </c>
      <c r="D1275" t="s">
        <v>6684</v>
      </c>
      <c r="E1275" t="s">
        <v>6685</v>
      </c>
      <c r="F1275" t="s">
        <v>6686</v>
      </c>
      <c r="G1275" s="4">
        <v>45815</v>
      </c>
      <c r="H1275" s="4">
        <v>45823</v>
      </c>
      <c r="I1275" s="4">
        <v>45826</v>
      </c>
      <c r="J1275">
        <f t="shared" si="95"/>
        <v>3</v>
      </c>
      <c r="K1275" t="str">
        <f t="array" ref="K1275">_xlfn.IFS(J1275=1,"Day Use",J1275&lt;=3,"Short Stay",J1275&lt;=7,"Extended Stay",J1275&gt;=8,"Long Stay")</f>
        <v>Short Stay</v>
      </c>
      <c r="L1275" t="s">
        <v>34</v>
      </c>
      <c r="M1275" s="10" t="str">
        <f t="shared" si="96"/>
        <v>Standard</v>
      </c>
      <c r="N1275" t="s">
        <v>57</v>
      </c>
      <c r="O1275" t="s">
        <v>27</v>
      </c>
      <c r="P1275">
        <f>IFERROR(VLOOKUP(TRIM(M1275),Room!D:H,5,FALSE),5000)</f>
        <v>3200</v>
      </c>
      <c r="Q1275">
        <f t="shared" si="97"/>
        <v>9600</v>
      </c>
      <c r="R1275" s="11" t="str">
        <f t="shared" si="98"/>
        <v>Other</v>
      </c>
      <c r="S1275" s="11">
        <f t="shared" si="99"/>
        <v>2</v>
      </c>
    </row>
    <row r="1276" spans="1:19">
      <c r="A1276" t="s">
        <v>6687</v>
      </c>
      <c r="B1276" t="s">
        <v>6688</v>
      </c>
      <c r="C1276" t="s">
        <v>351</v>
      </c>
      <c r="D1276" t="s">
        <v>6689</v>
      </c>
      <c r="E1276" t="s">
        <v>6690</v>
      </c>
      <c r="F1276" t="s">
        <v>6691</v>
      </c>
      <c r="G1276" s="4">
        <v>45732</v>
      </c>
      <c r="H1276" s="4">
        <v>45925</v>
      </c>
      <c r="I1276" s="4">
        <v>45934</v>
      </c>
      <c r="J1276">
        <f t="shared" si="95"/>
        <v>9</v>
      </c>
      <c r="K1276" t="str">
        <f t="array" ref="K1276">_xlfn.IFS(J1276=1,"Day Use",J1276&lt;=3,"Short Stay",J1276&lt;=7,"Extended Stay",J1276&gt;=8,"Long Stay")</f>
        <v>Long Stay</v>
      </c>
      <c r="L1276" t="s">
        <v>196</v>
      </c>
      <c r="M1276" s="10" t="str">
        <f t="shared" si="96"/>
        <v>Premium</v>
      </c>
      <c r="N1276" t="s">
        <v>26</v>
      </c>
      <c r="O1276" t="s">
        <v>58</v>
      </c>
      <c r="P1276">
        <f>IFERROR(VLOOKUP(TRIM(M1276),Room!D:H,5,FALSE),5000)</f>
        <v>9500</v>
      </c>
      <c r="Q1276">
        <f t="shared" si="97"/>
        <v>85500</v>
      </c>
      <c r="R1276" s="11" t="str">
        <f t="shared" si="98"/>
        <v>Conference</v>
      </c>
      <c r="S1276" s="11">
        <f t="shared" si="99"/>
        <v>4</v>
      </c>
    </row>
    <row r="1277" spans="1:19">
      <c r="A1277" t="s">
        <v>6692</v>
      </c>
      <c r="B1277" t="s">
        <v>6693</v>
      </c>
      <c r="C1277" t="s">
        <v>1983</v>
      </c>
      <c r="D1277" t="s">
        <v>6694</v>
      </c>
      <c r="E1277" t="s">
        <v>6695</v>
      </c>
      <c r="F1277" t="s">
        <v>6696</v>
      </c>
      <c r="G1277" s="4">
        <v>45460</v>
      </c>
      <c r="H1277" s="4">
        <v>45795</v>
      </c>
      <c r="I1277" s="4">
        <v>45809</v>
      </c>
      <c r="J1277">
        <f t="shared" si="95"/>
        <v>14</v>
      </c>
      <c r="K1277" t="str">
        <f t="array" ref="K1277">_xlfn.IFS(J1277=1,"Day Use",J1277&lt;=3,"Short Stay",J1277&lt;=7,"Extended Stay",J1277&gt;=8,"Long Stay")</f>
        <v>Long Stay</v>
      </c>
      <c r="L1277" t="s">
        <v>141</v>
      </c>
      <c r="M1277" s="10" t="str">
        <f t="shared" si="96"/>
        <v>Suite</v>
      </c>
      <c r="N1277" t="s">
        <v>57</v>
      </c>
      <c r="O1277" t="s">
        <v>27</v>
      </c>
      <c r="P1277">
        <f>IFERROR(VLOOKUP(TRIM(M1277),Room!D:H,5,FALSE),5000)</f>
        <v>12500</v>
      </c>
      <c r="Q1277">
        <f t="shared" si="97"/>
        <v>175000</v>
      </c>
      <c r="R1277" s="11" t="str">
        <f t="shared" si="98"/>
        <v>Business</v>
      </c>
      <c r="S1277" s="11">
        <f t="shared" si="99"/>
        <v>5</v>
      </c>
    </row>
    <row r="1278" spans="1:19">
      <c r="A1278" t="s">
        <v>6697</v>
      </c>
      <c r="B1278" t="s">
        <v>6698</v>
      </c>
      <c r="C1278" t="s">
        <v>500</v>
      </c>
      <c r="D1278" t="s">
        <v>6699</v>
      </c>
      <c r="E1278" t="s">
        <v>6700</v>
      </c>
      <c r="F1278" t="s">
        <v>6701</v>
      </c>
      <c r="G1278" s="4">
        <v>45433</v>
      </c>
      <c r="H1278" s="4">
        <v>45456</v>
      </c>
      <c r="I1278" s="4">
        <v>45457</v>
      </c>
      <c r="J1278">
        <f t="shared" si="95"/>
        <v>1</v>
      </c>
      <c r="K1278" t="str">
        <f t="array" ref="K1278">_xlfn.IFS(J1278=1,"Day Use",J1278&lt;=3,"Short Stay",J1278&lt;=7,"Extended Stay",J1278&gt;=8,"Long Stay")</f>
        <v>Day Use</v>
      </c>
      <c r="L1278" t="s">
        <v>56</v>
      </c>
      <c r="M1278" s="10" t="str">
        <f t="shared" si="96"/>
        <v>Standard</v>
      </c>
      <c r="N1278" t="s">
        <v>26</v>
      </c>
      <c r="O1278" t="s">
        <v>27</v>
      </c>
      <c r="P1278">
        <f>IFERROR(VLOOKUP(TRIM(M1278),Room!D:H,5,FALSE),5000)</f>
        <v>3200</v>
      </c>
      <c r="Q1278">
        <f t="shared" si="97"/>
        <v>3200</v>
      </c>
      <c r="R1278" s="11" t="str">
        <f t="shared" si="98"/>
        <v>Other</v>
      </c>
      <c r="S1278" s="11">
        <f t="shared" si="99"/>
        <v>1</v>
      </c>
    </row>
    <row r="1279" spans="1:19">
      <c r="A1279" t="s">
        <v>6702</v>
      </c>
      <c r="B1279" t="s">
        <v>6703</v>
      </c>
      <c r="C1279" t="s">
        <v>1367</v>
      </c>
      <c r="D1279" t="s">
        <v>6704</v>
      </c>
      <c r="E1279" t="s">
        <v>6705</v>
      </c>
      <c r="F1279" t="s">
        <v>6706</v>
      </c>
      <c r="G1279" s="4">
        <v>45415</v>
      </c>
      <c r="H1279" s="4">
        <v>45659</v>
      </c>
      <c r="I1279" s="4">
        <v>45673</v>
      </c>
      <c r="J1279">
        <f t="shared" si="95"/>
        <v>14</v>
      </c>
      <c r="K1279" t="str">
        <f t="array" ref="K1279">_xlfn.IFS(J1279=1,"Day Use",J1279&lt;=3,"Short Stay",J1279&lt;=7,"Extended Stay",J1279&gt;=8,"Long Stay")</f>
        <v>Long Stay</v>
      </c>
      <c r="L1279" t="s">
        <v>56</v>
      </c>
      <c r="M1279" s="10" t="str">
        <f t="shared" si="96"/>
        <v>Suite</v>
      </c>
      <c r="N1279" t="s">
        <v>26</v>
      </c>
      <c r="O1279" t="s">
        <v>42</v>
      </c>
      <c r="P1279">
        <f>IFERROR(VLOOKUP(TRIM(M1279),Room!D:H,5,FALSE),5000)</f>
        <v>12500</v>
      </c>
      <c r="Q1279">
        <f t="shared" si="97"/>
        <v>175000</v>
      </c>
      <c r="R1279" s="11" t="str">
        <f t="shared" si="98"/>
        <v>Business</v>
      </c>
      <c r="S1279" s="11">
        <f t="shared" si="99"/>
        <v>5</v>
      </c>
    </row>
    <row r="1280" spans="1:19">
      <c r="A1280" t="s">
        <v>6707</v>
      </c>
      <c r="B1280" t="s">
        <v>6708</v>
      </c>
      <c r="C1280" t="s">
        <v>6354</v>
      </c>
      <c r="D1280" t="s">
        <v>6709</v>
      </c>
      <c r="E1280" t="s">
        <v>6710</v>
      </c>
      <c r="F1280" t="s">
        <v>6711</v>
      </c>
      <c r="G1280" s="4">
        <v>45511</v>
      </c>
      <c r="H1280" s="4">
        <v>45923</v>
      </c>
      <c r="I1280" s="4">
        <v>45925</v>
      </c>
      <c r="J1280">
        <f t="shared" si="95"/>
        <v>2</v>
      </c>
      <c r="K1280" t="str">
        <f t="array" ref="K1280">_xlfn.IFS(J1280=1,"Day Use",J1280&lt;=3,"Short Stay",J1280&lt;=7,"Extended Stay",J1280&gt;=8,"Long Stay")</f>
        <v>Short Stay</v>
      </c>
      <c r="L1280" t="s">
        <v>91</v>
      </c>
      <c r="M1280" s="10" t="str">
        <f t="shared" si="96"/>
        <v>Standard</v>
      </c>
      <c r="N1280" t="s">
        <v>26</v>
      </c>
      <c r="O1280" t="s">
        <v>35</v>
      </c>
      <c r="P1280">
        <f>IFERROR(VLOOKUP(TRIM(M1280),Room!D:H,5,FALSE),5000)</f>
        <v>3200</v>
      </c>
      <c r="Q1280">
        <f t="shared" si="97"/>
        <v>6400</v>
      </c>
      <c r="R1280" s="11" t="str">
        <f t="shared" si="98"/>
        <v>Other</v>
      </c>
      <c r="S1280" s="11">
        <f t="shared" si="99"/>
        <v>2</v>
      </c>
    </row>
    <row r="1281" spans="1:19">
      <c r="A1281" t="s">
        <v>6712</v>
      </c>
      <c r="B1281" t="s">
        <v>6713</v>
      </c>
      <c r="C1281" t="s">
        <v>45</v>
      </c>
      <c r="D1281" t="s">
        <v>6714</v>
      </c>
      <c r="E1281" t="s">
        <v>6715</v>
      </c>
      <c r="F1281" t="s">
        <v>6716</v>
      </c>
      <c r="G1281" s="4">
        <v>45394</v>
      </c>
      <c r="H1281" s="4">
        <v>45795</v>
      </c>
      <c r="I1281" s="4">
        <v>45809</v>
      </c>
      <c r="J1281">
        <f t="shared" si="95"/>
        <v>14</v>
      </c>
      <c r="K1281" t="str">
        <f t="array" ref="K1281">_xlfn.IFS(J1281=1,"Day Use",J1281&lt;=3,"Short Stay",J1281&lt;=7,"Extended Stay",J1281&gt;=8,"Long Stay")</f>
        <v>Long Stay</v>
      </c>
      <c r="L1281" t="s">
        <v>34</v>
      </c>
      <c r="M1281" s="10" t="str">
        <f t="shared" si="96"/>
        <v>Suite</v>
      </c>
      <c r="N1281" t="s">
        <v>26</v>
      </c>
      <c r="O1281" t="s">
        <v>71</v>
      </c>
      <c r="P1281">
        <f>IFERROR(VLOOKUP(TRIM(M1281),Room!D:H,5,FALSE),5000)</f>
        <v>12500</v>
      </c>
      <c r="Q1281">
        <f t="shared" si="97"/>
        <v>175000</v>
      </c>
      <c r="R1281" s="11" t="str">
        <f t="shared" si="98"/>
        <v>Business</v>
      </c>
      <c r="S1281" s="11">
        <f t="shared" si="99"/>
        <v>5</v>
      </c>
    </row>
    <row r="1282" spans="1:19">
      <c r="A1282" t="s">
        <v>6717</v>
      </c>
      <c r="B1282" t="s">
        <v>6718</v>
      </c>
      <c r="C1282" t="s">
        <v>460</v>
      </c>
      <c r="D1282" t="s">
        <v>6719</v>
      </c>
      <c r="E1282" t="s">
        <v>6720</v>
      </c>
      <c r="F1282" t="s">
        <v>6721</v>
      </c>
      <c r="G1282" s="4">
        <v>45308</v>
      </c>
      <c r="H1282" s="4">
        <v>45327</v>
      </c>
      <c r="I1282" s="4">
        <v>45329</v>
      </c>
      <c r="J1282">
        <f t="shared" ref="J1282:J1345" si="100">I1282-H1282</f>
        <v>2</v>
      </c>
      <c r="K1282" t="str">
        <f t="array" ref="K1282">_xlfn.IFS(J1282=1,"Day Use",J1282&lt;=3,"Short Stay",J1282&lt;=7,"Extended Stay",J1282&gt;=8,"Long Stay")</f>
        <v>Short Stay</v>
      </c>
      <c r="L1282" t="s">
        <v>141</v>
      </c>
      <c r="M1282" s="10" t="str">
        <f t="shared" ref="M1282:M1345" si="101">IF($J1282&lt;=3,"Standard",IF($J1282&lt;=6,"Deluxe",IF($J1282&lt;=10,"Premium","Suite")))</f>
        <v>Standard</v>
      </c>
      <c r="N1282" t="s">
        <v>26</v>
      </c>
      <c r="O1282" t="s">
        <v>71</v>
      </c>
      <c r="P1282">
        <f>IFERROR(VLOOKUP(TRIM(M1282),Room!D:H,5,FALSE),5000)</f>
        <v>3200</v>
      </c>
      <c r="Q1282">
        <f t="shared" si="97"/>
        <v>6400</v>
      </c>
      <c r="R1282" s="11" t="str">
        <f t="shared" si="98"/>
        <v>Other</v>
      </c>
      <c r="S1282" s="11">
        <f t="shared" si="99"/>
        <v>2</v>
      </c>
    </row>
    <row r="1283" spans="1:19">
      <c r="A1283" t="s">
        <v>6722</v>
      </c>
      <c r="B1283" t="s">
        <v>6723</v>
      </c>
      <c r="C1283" t="s">
        <v>2143</v>
      </c>
      <c r="D1283" t="s">
        <v>6724</v>
      </c>
      <c r="E1283" t="s">
        <v>6725</v>
      </c>
      <c r="F1283" t="s">
        <v>6726</v>
      </c>
      <c r="G1283" s="4">
        <v>45530</v>
      </c>
      <c r="H1283" s="4">
        <v>45558</v>
      </c>
      <c r="I1283" s="4">
        <v>45559</v>
      </c>
      <c r="J1283">
        <f t="shared" si="100"/>
        <v>1</v>
      </c>
      <c r="K1283" t="str">
        <f t="array" ref="K1283">_xlfn.IFS(J1283=1,"Day Use",J1283&lt;=3,"Short Stay",J1283&lt;=7,"Extended Stay",J1283&gt;=8,"Long Stay")</f>
        <v>Day Use</v>
      </c>
      <c r="L1283" t="s">
        <v>84</v>
      </c>
      <c r="M1283" s="10" t="str">
        <f t="shared" si="101"/>
        <v>Standard</v>
      </c>
      <c r="N1283" t="s">
        <v>26</v>
      </c>
      <c r="O1283" t="s">
        <v>42</v>
      </c>
      <c r="P1283">
        <f>IFERROR(VLOOKUP(TRIM(M1283),Room!D:H,5,FALSE),5000)</f>
        <v>3200</v>
      </c>
      <c r="Q1283">
        <f t="shared" ref="Q1283:Q1346" si="102">P1283*J1283</f>
        <v>3200</v>
      </c>
      <c r="R1283" s="11" t="str">
        <f t="shared" ref="R1283:R1346" si="103">IF(ISNUMBER(SEARCH("Suite",D1283)),"Honeymoon",IF(P1283&gt;10000,"Business",IF(P1283&gt;5000,"Conference",IF(J1283&gt;=8,"Family Vacation","Other"))))</f>
        <v>Other</v>
      </c>
      <c r="S1283" s="11">
        <f t="shared" ref="S1283:S1346" si="104">IF(M1283="Suite",5,IF(M1283="Premium",IF(Q1283&gt;20000,4,3),IF(M1283="Deluxe",IF(Q1283&gt;=10000,3,2),IF(M1283="Standard",IF(Q1283&gt;=5000,2,1),1))))</f>
        <v>1</v>
      </c>
    </row>
    <row r="1284" spans="1:19">
      <c r="A1284" t="s">
        <v>6727</v>
      </c>
      <c r="B1284" t="s">
        <v>6728</v>
      </c>
      <c r="C1284" t="s">
        <v>1453</v>
      </c>
      <c r="D1284" t="s">
        <v>6729</v>
      </c>
      <c r="E1284" t="s">
        <v>6730</v>
      </c>
      <c r="F1284" t="s">
        <v>6731</v>
      </c>
      <c r="G1284" s="4">
        <v>45632</v>
      </c>
      <c r="H1284" s="4">
        <v>45657</v>
      </c>
      <c r="I1284" s="4">
        <v>45661</v>
      </c>
      <c r="J1284">
        <f t="shared" si="100"/>
        <v>4</v>
      </c>
      <c r="K1284" t="str">
        <f t="array" ref="K1284">_xlfn.IFS(J1284=1,"Day Use",J1284&lt;=3,"Short Stay",J1284&lt;=7,"Extended Stay",J1284&gt;=8,"Long Stay")</f>
        <v>Extended Stay</v>
      </c>
      <c r="L1284" t="s">
        <v>34</v>
      </c>
      <c r="M1284" s="10" t="str">
        <f t="shared" si="101"/>
        <v>Deluxe</v>
      </c>
      <c r="N1284" t="s">
        <v>26</v>
      </c>
      <c r="O1284" t="s">
        <v>27</v>
      </c>
      <c r="P1284">
        <f>IFERROR(VLOOKUP(TRIM(M1284),Room!D:H,5,FALSE),5000)</f>
        <v>5400</v>
      </c>
      <c r="Q1284">
        <f t="shared" si="102"/>
        <v>21600</v>
      </c>
      <c r="R1284" s="11" t="str">
        <f t="shared" si="103"/>
        <v>Conference</v>
      </c>
      <c r="S1284" s="11">
        <f t="shared" si="104"/>
        <v>3</v>
      </c>
    </row>
    <row r="1285" spans="1:19">
      <c r="A1285" t="s">
        <v>6732</v>
      </c>
      <c r="B1285" t="s">
        <v>6733</v>
      </c>
      <c r="C1285" t="s">
        <v>157</v>
      </c>
      <c r="D1285" t="s">
        <v>6734</v>
      </c>
      <c r="E1285" t="s">
        <v>6735</v>
      </c>
      <c r="F1285" t="s">
        <v>6736</v>
      </c>
      <c r="G1285" s="4">
        <v>45358</v>
      </c>
      <c r="H1285" s="4">
        <v>46013</v>
      </c>
      <c r="I1285" s="4">
        <v>46017</v>
      </c>
      <c r="J1285">
        <f t="shared" si="100"/>
        <v>4</v>
      </c>
      <c r="K1285" t="str">
        <f t="array" ref="K1285">_xlfn.IFS(J1285=1,"Day Use",J1285&lt;=3,"Short Stay",J1285&lt;=7,"Extended Stay",J1285&gt;=8,"Long Stay")</f>
        <v>Extended Stay</v>
      </c>
      <c r="L1285" t="s">
        <v>56</v>
      </c>
      <c r="M1285" s="10" t="str">
        <f t="shared" si="101"/>
        <v>Deluxe</v>
      </c>
      <c r="N1285" t="s">
        <v>372</v>
      </c>
      <c r="O1285" t="s">
        <v>42</v>
      </c>
      <c r="P1285">
        <f>IFERROR(VLOOKUP(TRIM(M1285),Room!D:H,5,FALSE),5000)</f>
        <v>5400</v>
      </c>
      <c r="Q1285">
        <f t="shared" si="102"/>
        <v>21600</v>
      </c>
      <c r="R1285" s="11" t="str">
        <f t="shared" si="103"/>
        <v>Conference</v>
      </c>
      <c r="S1285" s="11">
        <f t="shared" si="104"/>
        <v>3</v>
      </c>
    </row>
    <row r="1286" spans="1:19">
      <c r="A1286" t="s">
        <v>6737</v>
      </c>
      <c r="B1286" t="s">
        <v>6738</v>
      </c>
      <c r="C1286" t="s">
        <v>87</v>
      </c>
      <c r="D1286" t="s">
        <v>6739</v>
      </c>
      <c r="E1286" t="s">
        <v>6740</v>
      </c>
      <c r="F1286" t="s">
        <v>6741</v>
      </c>
      <c r="G1286" s="4">
        <v>45761</v>
      </c>
      <c r="H1286" s="4">
        <v>45991</v>
      </c>
      <c r="I1286" s="4">
        <v>45995</v>
      </c>
      <c r="J1286">
        <f t="shared" si="100"/>
        <v>4</v>
      </c>
      <c r="K1286" t="str">
        <f t="array" ref="K1286">_xlfn.IFS(J1286=1,"Day Use",J1286&lt;=3,"Short Stay",J1286&lt;=7,"Extended Stay",J1286&gt;=8,"Long Stay")</f>
        <v>Extended Stay</v>
      </c>
      <c r="L1286" t="s">
        <v>196</v>
      </c>
      <c r="M1286" s="10" t="str">
        <f t="shared" si="101"/>
        <v>Deluxe</v>
      </c>
      <c r="N1286" t="s">
        <v>26</v>
      </c>
      <c r="O1286" t="s">
        <v>42</v>
      </c>
      <c r="P1286">
        <f>IFERROR(VLOOKUP(TRIM(M1286),Room!D:H,5,FALSE),5000)</f>
        <v>5400</v>
      </c>
      <c r="Q1286">
        <f t="shared" si="102"/>
        <v>21600</v>
      </c>
      <c r="R1286" s="11" t="str">
        <f t="shared" si="103"/>
        <v>Conference</v>
      </c>
      <c r="S1286" s="11">
        <f t="shared" si="104"/>
        <v>3</v>
      </c>
    </row>
    <row r="1287" spans="1:19">
      <c r="A1287" t="s">
        <v>6742</v>
      </c>
      <c r="B1287" t="s">
        <v>6743</v>
      </c>
      <c r="C1287" t="s">
        <v>4892</v>
      </c>
      <c r="D1287" t="s">
        <v>6744</v>
      </c>
      <c r="E1287" t="s">
        <v>6745</v>
      </c>
      <c r="F1287" t="s">
        <v>6746</v>
      </c>
      <c r="G1287" s="4">
        <v>45493</v>
      </c>
      <c r="H1287" s="4">
        <v>45950</v>
      </c>
      <c r="I1287" s="4">
        <v>45960</v>
      </c>
      <c r="J1287">
        <f t="shared" si="100"/>
        <v>10</v>
      </c>
      <c r="K1287" t="str">
        <f t="array" ref="K1287">_xlfn.IFS(J1287=1,"Day Use",J1287&lt;=3,"Short Stay",J1287&lt;=7,"Extended Stay",J1287&gt;=8,"Long Stay")</f>
        <v>Long Stay</v>
      </c>
      <c r="L1287" t="s">
        <v>196</v>
      </c>
      <c r="M1287" s="10" t="str">
        <f t="shared" si="101"/>
        <v>Premium</v>
      </c>
      <c r="N1287" t="s">
        <v>57</v>
      </c>
      <c r="O1287" t="s">
        <v>58</v>
      </c>
      <c r="P1287">
        <f>IFERROR(VLOOKUP(TRIM(M1287),Room!D:H,5,FALSE),5000)</f>
        <v>9500</v>
      </c>
      <c r="Q1287">
        <f t="shared" si="102"/>
        <v>95000</v>
      </c>
      <c r="R1287" s="11" t="str">
        <f t="shared" si="103"/>
        <v>Conference</v>
      </c>
      <c r="S1287" s="11">
        <f t="shared" si="104"/>
        <v>4</v>
      </c>
    </row>
    <row r="1288" spans="1:19">
      <c r="A1288" t="s">
        <v>6747</v>
      </c>
      <c r="B1288" t="s">
        <v>6748</v>
      </c>
      <c r="C1288" t="s">
        <v>3762</v>
      </c>
      <c r="D1288" t="s">
        <v>6749</v>
      </c>
      <c r="E1288" t="s">
        <v>6750</v>
      </c>
      <c r="F1288" t="s">
        <v>6751</v>
      </c>
      <c r="G1288" s="4">
        <v>45469</v>
      </c>
      <c r="H1288" s="4">
        <v>45750</v>
      </c>
      <c r="I1288" s="4">
        <v>45759</v>
      </c>
      <c r="J1288">
        <f t="shared" si="100"/>
        <v>9</v>
      </c>
      <c r="K1288" t="str">
        <f t="array" ref="K1288">_xlfn.IFS(J1288=1,"Day Use",J1288&lt;=3,"Short Stay",J1288&lt;=7,"Extended Stay",J1288&gt;=8,"Long Stay")</f>
        <v>Long Stay</v>
      </c>
      <c r="L1288" t="s">
        <v>84</v>
      </c>
      <c r="M1288" s="10" t="str">
        <f t="shared" si="101"/>
        <v>Premium</v>
      </c>
      <c r="N1288" t="s">
        <v>57</v>
      </c>
      <c r="O1288" t="s">
        <v>35</v>
      </c>
      <c r="P1288">
        <f>IFERROR(VLOOKUP(TRIM(M1288),Room!D:H,5,FALSE),5000)</f>
        <v>9500</v>
      </c>
      <c r="Q1288">
        <f t="shared" si="102"/>
        <v>85500</v>
      </c>
      <c r="R1288" s="11" t="str">
        <f t="shared" si="103"/>
        <v>Conference</v>
      </c>
      <c r="S1288" s="11">
        <f t="shared" si="104"/>
        <v>4</v>
      </c>
    </row>
    <row r="1289" spans="1:19">
      <c r="A1289" t="s">
        <v>6752</v>
      </c>
      <c r="B1289" t="s">
        <v>6753</v>
      </c>
      <c r="C1289" t="s">
        <v>4751</v>
      </c>
      <c r="D1289" t="s">
        <v>6754</v>
      </c>
      <c r="E1289" t="s">
        <v>6755</v>
      </c>
      <c r="F1289" t="s">
        <v>6756</v>
      </c>
      <c r="G1289" s="4">
        <v>45772</v>
      </c>
      <c r="H1289" s="4">
        <v>45802</v>
      </c>
      <c r="I1289" s="4">
        <v>45813</v>
      </c>
      <c r="J1289">
        <f t="shared" si="100"/>
        <v>11</v>
      </c>
      <c r="K1289" t="str">
        <f t="array" ref="K1289">_xlfn.IFS(J1289=1,"Day Use",J1289&lt;=3,"Short Stay",J1289&lt;=7,"Extended Stay",J1289&gt;=8,"Long Stay")</f>
        <v>Long Stay</v>
      </c>
      <c r="L1289" t="s">
        <v>141</v>
      </c>
      <c r="M1289" s="10" t="str">
        <f t="shared" si="101"/>
        <v>Suite</v>
      </c>
      <c r="N1289" t="s">
        <v>148</v>
      </c>
      <c r="O1289" t="s">
        <v>35</v>
      </c>
      <c r="P1289">
        <f>IFERROR(VLOOKUP(TRIM(M1289),Room!D:H,5,FALSE),5000)</f>
        <v>12500</v>
      </c>
      <c r="Q1289">
        <f t="shared" si="102"/>
        <v>137500</v>
      </c>
      <c r="R1289" s="11" t="str">
        <f t="shared" si="103"/>
        <v>Business</v>
      </c>
      <c r="S1289" s="11">
        <f t="shared" si="104"/>
        <v>5</v>
      </c>
    </row>
    <row r="1290" spans="1:19">
      <c r="A1290" t="s">
        <v>6757</v>
      </c>
      <c r="B1290" t="s">
        <v>6758</v>
      </c>
      <c r="C1290" t="s">
        <v>130</v>
      </c>
      <c r="D1290" t="s">
        <v>6759</v>
      </c>
      <c r="E1290" t="s">
        <v>6760</v>
      </c>
      <c r="F1290" t="s">
        <v>6761</v>
      </c>
      <c r="G1290" s="4">
        <v>45266</v>
      </c>
      <c r="H1290" s="4">
        <v>45888</v>
      </c>
      <c r="I1290" s="4">
        <v>45901</v>
      </c>
      <c r="J1290">
        <f t="shared" si="100"/>
        <v>13</v>
      </c>
      <c r="K1290" t="str">
        <f t="array" ref="K1290">_xlfn.IFS(J1290=1,"Day Use",J1290&lt;=3,"Short Stay",J1290&lt;=7,"Extended Stay",J1290&gt;=8,"Long Stay")</f>
        <v>Long Stay</v>
      </c>
      <c r="L1290" t="s">
        <v>49</v>
      </c>
      <c r="M1290" s="10" t="str">
        <f t="shared" si="101"/>
        <v>Suite</v>
      </c>
      <c r="N1290" t="s">
        <v>26</v>
      </c>
      <c r="O1290" t="s">
        <v>35</v>
      </c>
      <c r="P1290">
        <f>IFERROR(VLOOKUP(TRIM(M1290),Room!D:H,5,FALSE),5000)</f>
        <v>12500</v>
      </c>
      <c r="Q1290">
        <f t="shared" si="102"/>
        <v>162500</v>
      </c>
      <c r="R1290" s="11" t="str">
        <f t="shared" si="103"/>
        <v>Business</v>
      </c>
      <c r="S1290" s="11">
        <f t="shared" si="104"/>
        <v>5</v>
      </c>
    </row>
    <row r="1291" spans="1:19">
      <c r="A1291" t="s">
        <v>6762</v>
      </c>
      <c r="B1291" t="s">
        <v>6763</v>
      </c>
      <c r="C1291" t="s">
        <v>547</v>
      </c>
      <c r="D1291" t="s">
        <v>6764</v>
      </c>
      <c r="E1291" t="s">
        <v>6765</v>
      </c>
      <c r="F1291" t="s">
        <v>6766</v>
      </c>
      <c r="G1291" s="4">
        <v>45371</v>
      </c>
      <c r="H1291" s="4">
        <v>45462</v>
      </c>
      <c r="I1291" s="4">
        <v>45471</v>
      </c>
      <c r="J1291">
        <f t="shared" si="100"/>
        <v>9</v>
      </c>
      <c r="K1291" t="str">
        <f t="array" ref="K1291">_xlfn.IFS(J1291=1,"Day Use",J1291&lt;=3,"Short Stay",J1291&lt;=7,"Extended Stay",J1291&gt;=8,"Long Stay")</f>
        <v>Long Stay</v>
      </c>
      <c r="L1291" t="s">
        <v>34</v>
      </c>
      <c r="M1291" s="10" t="str">
        <f t="shared" si="101"/>
        <v>Premium</v>
      </c>
      <c r="N1291" t="s">
        <v>26</v>
      </c>
      <c r="O1291" t="s">
        <v>58</v>
      </c>
      <c r="P1291">
        <f>IFERROR(VLOOKUP(TRIM(M1291),Room!D:H,5,FALSE),5000)</f>
        <v>9500</v>
      </c>
      <c r="Q1291">
        <f t="shared" si="102"/>
        <v>85500</v>
      </c>
      <c r="R1291" s="11" t="str">
        <f t="shared" si="103"/>
        <v>Conference</v>
      </c>
      <c r="S1291" s="11">
        <f t="shared" si="104"/>
        <v>4</v>
      </c>
    </row>
    <row r="1292" spans="1:19">
      <c r="A1292" t="s">
        <v>6767</v>
      </c>
      <c r="B1292" t="s">
        <v>6768</v>
      </c>
      <c r="C1292" t="s">
        <v>432</v>
      </c>
      <c r="D1292" t="s">
        <v>6769</v>
      </c>
      <c r="E1292" t="s">
        <v>6770</v>
      </c>
      <c r="F1292" t="s">
        <v>6771</v>
      </c>
      <c r="G1292" s="4">
        <v>45237</v>
      </c>
      <c r="H1292" s="4">
        <v>45322</v>
      </c>
      <c r="I1292" s="4">
        <v>45327</v>
      </c>
      <c r="J1292">
        <f t="shared" si="100"/>
        <v>5</v>
      </c>
      <c r="K1292" t="str">
        <f t="array" ref="K1292">_xlfn.IFS(J1292=1,"Day Use",J1292&lt;=3,"Short Stay",J1292&lt;=7,"Extended Stay",J1292&gt;=8,"Long Stay")</f>
        <v>Extended Stay</v>
      </c>
      <c r="L1292" t="s">
        <v>25</v>
      </c>
      <c r="M1292" s="10" t="str">
        <f t="shared" si="101"/>
        <v>Deluxe</v>
      </c>
      <c r="N1292" t="s">
        <v>26</v>
      </c>
      <c r="O1292" t="s">
        <v>35</v>
      </c>
      <c r="P1292">
        <f>IFERROR(VLOOKUP(TRIM(M1292),Room!D:H,5,FALSE),5000)</f>
        <v>5400</v>
      </c>
      <c r="Q1292">
        <f t="shared" si="102"/>
        <v>27000</v>
      </c>
      <c r="R1292" s="11" t="str">
        <f t="shared" si="103"/>
        <v>Conference</v>
      </c>
      <c r="S1292" s="11">
        <f t="shared" si="104"/>
        <v>3</v>
      </c>
    </row>
    <row r="1293" spans="1:19">
      <c r="A1293" t="s">
        <v>6772</v>
      </c>
      <c r="B1293" t="s">
        <v>6773</v>
      </c>
      <c r="C1293" t="s">
        <v>6774</v>
      </c>
      <c r="D1293" t="s">
        <v>6775</v>
      </c>
      <c r="E1293" t="s">
        <v>6776</v>
      </c>
      <c r="F1293" t="s">
        <v>6777</v>
      </c>
      <c r="G1293" s="4">
        <v>45382</v>
      </c>
      <c r="H1293" s="4">
        <v>45701</v>
      </c>
      <c r="I1293" s="4">
        <v>45714</v>
      </c>
      <c r="J1293">
        <f t="shared" si="100"/>
        <v>13</v>
      </c>
      <c r="K1293" t="str">
        <f t="array" ref="K1293">_xlfn.IFS(J1293=1,"Day Use",J1293&lt;=3,"Short Stay",J1293&lt;=7,"Extended Stay",J1293&gt;=8,"Long Stay")</f>
        <v>Long Stay</v>
      </c>
      <c r="L1293" t="s">
        <v>196</v>
      </c>
      <c r="M1293" s="10" t="str">
        <f t="shared" si="101"/>
        <v>Suite</v>
      </c>
      <c r="N1293" t="s">
        <v>26</v>
      </c>
      <c r="O1293" t="s">
        <v>35</v>
      </c>
      <c r="P1293">
        <f>IFERROR(VLOOKUP(TRIM(M1293),Room!D:H,5,FALSE),5000)</f>
        <v>12500</v>
      </c>
      <c r="Q1293">
        <f t="shared" si="102"/>
        <v>162500</v>
      </c>
      <c r="R1293" s="11" t="str">
        <f t="shared" si="103"/>
        <v>Business</v>
      </c>
      <c r="S1293" s="11">
        <f t="shared" si="104"/>
        <v>5</v>
      </c>
    </row>
    <row r="1294" spans="1:19">
      <c r="A1294" t="s">
        <v>6778</v>
      </c>
      <c r="B1294" t="s">
        <v>6779</v>
      </c>
      <c r="C1294" t="s">
        <v>186</v>
      </c>
      <c r="D1294" t="s">
        <v>6780</v>
      </c>
      <c r="E1294" t="s">
        <v>6781</v>
      </c>
      <c r="F1294" t="s">
        <v>6782</v>
      </c>
      <c r="G1294" s="4">
        <v>45304</v>
      </c>
      <c r="H1294" s="4">
        <v>45310</v>
      </c>
      <c r="I1294" s="4">
        <v>45316</v>
      </c>
      <c r="J1294">
        <f t="shared" si="100"/>
        <v>6</v>
      </c>
      <c r="K1294" t="str">
        <f t="array" ref="K1294">_xlfn.IFS(J1294=1,"Day Use",J1294&lt;=3,"Short Stay",J1294&lt;=7,"Extended Stay",J1294&gt;=8,"Long Stay")</f>
        <v>Extended Stay</v>
      </c>
      <c r="L1294" t="s">
        <v>49</v>
      </c>
      <c r="M1294" s="10" t="str">
        <f t="shared" si="101"/>
        <v>Deluxe</v>
      </c>
      <c r="N1294" t="s">
        <v>57</v>
      </c>
      <c r="O1294" t="s">
        <v>58</v>
      </c>
      <c r="P1294">
        <f>IFERROR(VLOOKUP(TRIM(M1294),Room!D:H,5,FALSE),5000)</f>
        <v>5400</v>
      </c>
      <c r="Q1294">
        <f t="shared" si="102"/>
        <v>32400</v>
      </c>
      <c r="R1294" s="11" t="str">
        <f t="shared" si="103"/>
        <v>Conference</v>
      </c>
      <c r="S1294" s="11">
        <f t="shared" si="104"/>
        <v>3</v>
      </c>
    </row>
    <row r="1295" spans="1:19">
      <c r="A1295" t="s">
        <v>6783</v>
      </c>
      <c r="B1295" t="s">
        <v>6784</v>
      </c>
      <c r="C1295" t="s">
        <v>2474</v>
      </c>
      <c r="D1295" t="s">
        <v>6785</v>
      </c>
      <c r="E1295" t="s">
        <v>6786</v>
      </c>
      <c r="F1295" t="s">
        <v>6787</v>
      </c>
      <c r="G1295" s="4">
        <v>45837</v>
      </c>
      <c r="H1295" s="4">
        <v>45970</v>
      </c>
      <c r="I1295" s="4">
        <v>45972</v>
      </c>
      <c r="J1295">
        <f t="shared" si="100"/>
        <v>2</v>
      </c>
      <c r="K1295" t="str">
        <f t="array" ref="K1295">_xlfn.IFS(J1295=1,"Day Use",J1295&lt;=3,"Short Stay",J1295&lt;=7,"Extended Stay",J1295&gt;=8,"Long Stay")</f>
        <v>Short Stay</v>
      </c>
      <c r="L1295" t="s">
        <v>84</v>
      </c>
      <c r="M1295" s="10" t="str">
        <f t="shared" si="101"/>
        <v>Standard</v>
      </c>
      <c r="N1295" t="s">
        <v>134</v>
      </c>
      <c r="O1295" t="s">
        <v>27</v>
      </c>
      <c r="P1295">
        <f>IFERROR(VLOOKUP(TRIM(M1295),Room!D:H,5,FALSE),5000)</f>
        <v>3200</v>
      </c>
      <c r="Q1295">
        <f t="shared" si="102"/>
        <v>6400</v>
      </c>
      <c r="R1295" s="11" t="str">
        <f t="shared" si="103"/>
        <v>Other</v>
      </c>
      <c r="S1295" s="11">
        <f t="shared" si="104"/>
        <v>2</v>
      </c>
    </row>
    <row r="1296" spans="1:19">
      <c r="A1296" t="s">
        <v>6788</v>
      </c>
      <c r="B1296" t="s">
        <v>6789</v>
      </c>
      <c r="C1296" t="s">
        <v>2689</v>
      </c>
      <c r="D1296" t="s">
        <v>6790</v>
      </c>
      <c r="E1296" t="s">
        <v>6791</v>
      </c>
      <c r="F1296" t="s">
        <v>6792</v>
      </c>
      <c r="G1296" s="4">
        <v>45689</v>
      </c>
      <c r="H1296" s="4">
        <v>45693</v>
      </c>
      <c r="I1296" s="4">
        <v>45701</v>
      </c>
      <c r="J1296">
        <f t="shared" si="100"/>
        <v>8</v>
      </c>
      <c r="K1296" t="str">
        <f t="array" ref="K1296">_xlfn.IFS(J1296=1,"Day Use",J1296&lt;=3,"Short Stay",J1296&lt;=7,"Extended Stay",J1296&gt;=8,"Long Stay")</f>
        <v>Long Stay</v>
      </c>
      <c r="L1296" t="s">
        <v>25</v>
      </c>
      <c r="M1296" s="10" t="str">
        <f t="shared" si="101"/>
        <v>Premium</v>
      </c>
      <c r="N1296" t="s">
        <v>26</v>
      </c>
      <c r="O1296" t="s">
        <v>58</v>
      </c>
      <c r="P1296">
        <f>IFERROR(VLOOKUP(TRIM(M1296),Room!D:H,5,FALSE),5000)</f>
        <v>9500</v>
      </c>
      <c r="Q1296">
        <f t="shared" si="102"/>
        <v>76000</v>
      </c>
      <c r="R1296" s="11" t="str">
        <f t="shared" si="103"/>
        <v>Conference</v>
      </c>
      <c r="S1296" s="11">
        <f t="shared" si="104"/>
        <v>4</v>
      </c>
    </row>
    <row r="1297" spans="1:19">
      <c r="A1297" t="s">
        <v>6793</v>
      </c>
      <c r="B1297" t="s">
        <v>6794</v>
      </c>
      <c r="C1297" t="s">
        <v>1068</v>
      </c>
      <c r="D1297" t="s">
        <v>6795</v>
      </c>
      <c r="E1297" t="s">
        <v>6796</v>
      </c>
      <c r="F1297" t="s">
        <v>6797</v>
      </c>
      <c r="G1297" s="4">
        <v>45431</v>
      </c>
      <c r="H1297" s="4">
        <v>45457</v>
      </c>
      <c r="I1297" s="4">
        <v>45467</v>
      </c>
      <c r="J1297">
        <f t="shared" si="100"/>
        <v>10</v>
      </c>
      <c r="K1297" t="str">
        <f t="array" ref="K1297">_xlfn.IFS(J1297=1,"Day Use",J1297&lt;=3,"Short Stay",J1297&lt;=7,"Extended Stay",J1297&gt;=8,"Long Stay")</f>
        <v>Long Stay</v>
      </c>
      <c r="L1297" t="s">
        <v>49</v>
      </c>
      <c r="M1297" s="10" t="str">
        <f t="shared" si="101"/>
        <v>Premium</v>
      </c>
      <c r="N1297" t="s">
        <v>148</v>
      </c>
      <c r="O1297" t="s">
        <v>71</v>
      </c>
      <c r="P1297">
        <f>IFERROR(VLOOKUP(TRIM(M1297),Room!D:H,5,FALSE),5000)</f>
        <v>9500</v>
      </c>
      <c r="Q1297">
        <f t="shared" si="102"/>
        <v>95000</v>
      </c>
      <c r="R1297" s="11" t="str">
        <f t="shared" si="103"/>
        <v>Conference</v>
      </c>
      <c r="S1297" s="11">
        <f t="shared" si="104"/>
        <v>4</v>
      </c>
    </row>
    <row r="1298" spans="1:19">
      <c r="A1298" t="s">
        <v>6798</v>
      </c>
      <c r="B1298" t="s">
        <v>6799</v>
      </c>
      <c r="C1298" t="s">
        <v>2101</v>
      </c>
      <c r="D1298" t="s">
        <v>6800</v>
      </c>
      <c r="E1298" t="s">
        <v>6801</v>
      </c>
      <c r="F1298" t="s">
        <v>6802</v>
      </c>
      <c r="G1298" s="4">
        <v>45724</v>
      </c>
      <c r="H1298" s="4">
        <v>45937</v>
      </c>
      <c r="I1298" s="4">
        <v>45943</v>
      </c>
      <c r="J1298">
        <f t="shared" si="100"/>
        <v>6</v>
      </c>
      <c r="K1298" t="str">
        <f t="array" ref="K1298">_xlfn.IFS(J1298=1,"Day Use",J1298&lt;=3,"Short Stay",J1298&lt;=7,"Extended Stay",J1298&gt;=8,"Long Stay")</f>
        <v>Extended Stay</v>
      </c>
      <c r="L1298" t="s">
        <v>84</v>
      </c>
      <c r="M1298" s="10" t="str">
        <f t="shared" si="101"/>
        <v>Deluxe</v>
      </c>
      <c r="N1298" t="s">
        <v>26</v>
      </c>
      <c r="O1298" t="s">
        <v>71</v>
      </c>
      <c r="P1298">
        <f>IFERROR(VLOOKUP(TRIM(M1298),Room!D:H,5,FALSE),5000)</f>
        <v>5400</v>
      </c>
      <c r="Q1298">
        <f t="shared" si="102"/>
        <v>32400</v>
      </c>
      <c r="R1298" s="11" t="str">
        <f t="shared" si="103"/>
        <v>Conference</v>
      </c>
      <c r="S1298" s="11">
        <f t="shared" si="104"/>
        <v>3</v>
      </c>
    </row>
    <row r="1299" spans="1:19">
      <c r="A1299" t="s">
        <v>6803</v>
      </c>
      <c r="B1299" t="s">
        <v>6804</v>
      </c>
      <c r="C1299" t="s">
        <v>449</v>
      </c>
      <c r="D1299" t="s">
        <v>6805</v>
      </c>
      <c r="E1299" t="s">
        <v>6806</v>
      </c>
      <c r="F1299" t="s">
        <v>6807</v>
      </c>
      <c r="G1299" s="4">
        <v>45611</v>
      </c>
      <c r="H1299" s="4">
        <v>45636</v>
      </c>
      <c r="I1299" s="4">
        <v>45640</v>
      </c>
      <c r="J1299">
        <f t="shared" si="100"/>
        <v>4</v>
      </c>
      <c r="K1299" t="str">
        <f t="array" ref="K1299">_xlfn.IFS(J1299=1,"Day Use",J1299&lt;=3,"Short Stay",J1299&lt;=7,"Extended Stay",J1299&gt;=8,"Long Stay")</f>
        <v>Extended Stay</v>
      </c>
      <c r="L1299" t="s">
        <v>196</v>
      </c>
      <c r="M1299" s="10" t="str">
        <f t="shared" si="101"/>
        <v>Deluxe</v>
      </c>
      <c r="N1299" t="s">
        <v>26</v>
      </c>
      <c r="O1299" t="s">
        <v>35</v>
      </c>
      <c r="P1299">
        <f>IFERROR(VLOOKUP(TRIM(M1299),Room!D:H,5,FALSE),5000)</f>
        <v>5400</v>
      </c>
      <c r="Q1299">
        <f t="shared" si="102"/>
        <v>21600</v>
      </c>
      <c r="R1299" s="11" t="str">
        <f t="shared" si="103"/>
        <v>Conference</v>
      </c>
      <c r="S1299" s="11">
        <f t="shared" si="104"/>
        <v>3</v>
      </c>
    </row>
    <row r="1300" spans="1:19">
      <c r="A1300" t="s">
        <v>6808</v>
      </c>
      <c r="B1300" t="s">
        <v>6809</v>
      </c>
      <c r="C1300" t="s">
        <v>2642</v>
      </c>
      <c r="D1300" t="s">
        <v>6810</v>
      </c>
      <c r="E1300" t="s">
        <v>6811</v>
      </c>
      <c r="F1300" t="s">
        <v>6812</v>
      </c>
      <c r="G1300" s="4">
        <v>45649</v>
      </c>
      <c r="H1300" s="4">
        <v>45672</v>
      </c>
      <c r="I1300" s="4">
        <v>45680</v>
      </c>
      <c r="J1300">
        <f t="shared" si="100"/>
        <v>8</v>
      </c>
      <c r="K1300" t="str">
        <f t="array" ref="K1300">_xlfn.IFS(J1300=1,"Day Use",J1300&lt;=3,"Short Stay",J1300&lt;=7,"Extended Stay",J1300&gt;=8,"Long Stay")</f>
        <v>Long Stay</v>
      </c>
      <c r="L1300" t="s">
        <v>49</v>
      </c>
      <c r="M1300" s="10" t="str">
        <f t="shared" si="101"/>
        <v>Premium</v>
      </c>
      <c r="N1300" t="s">
        <v>57</v>
      </c>
      <c r="O1300" t="s">
        <v>58</v>
      </c>
      <c r="P1300">
        <f>IFERROR(VLOOKUP(TRIM(M1300),Room!D:H,5,FALSE),5000)</f>
        <v>9500</v>
      </c>
      <c r="Q1300">
        <f t="shared" si="102"/>
        <v>76000</v>
      </c>
      <c r="R1300" s="11" t="str">
        <f t="shared" si="103"/>
        <v>Conference</v>
      </c>
      <c r="S1300" s="11">
        <f t="shared" si="104"/>
        <v>4</v>
      </c>
    </row>
    <row r="1301" spans="1:19">
      <c r="A1301" t="s">
        <v>6813</v>
      </c>
      <c r="B1301" t="s">
        <v>6814</v>
      </c>
      <c r="C1301" t="s">
        <v>1751</v>
      </c>
      <c r="D1301" t="s">
        <v>6815</v>
      </c>
      <c r="E1301" t="s">
        <v>6816</v>
      </c>
      <c r="F1301" t="s">
        <v>6817</v>
      </c>
      <c r="G1301" s="4">
        <v>45299</v>
      </c>
      <c r="H1301" s="4">
        <v>45313</v>
      </c>
      <c r="I1301" s="4">
        <v>45318</v>
      </c>
      <c r="J1301">
        <f t="shared" si="100"/>
        <v>5</v>
      </c>
      <c r="K1301" t="str">
        <f t="array" ref="K1301">_xlfn.IFS(J1301=1,"Day Use",J1301&lt;=3,"Short Stay",J1301&lt;=7,"Extended Stay",J1301&gt;=8,"Long Stay")</f>
        <v>Extended Stay</v>
      </c>
      <c r="L1301" t="s">
        <v>84</v>
      </c>
      <c r="M1301" s="10" t="str">
        <f t="shared" si="101"/>
        <v>Deluxe</v>
      </c>
      <c r="N1301" t="s">
        <v>26</v>
      </c>
      <c r="O1301" t="s">
        <v>42</v>
      </c>
      <c r="P1301">
        <f>IFERROR(VLOOKUP(TRIM(M1301),Room!D:H,5,FALSE),5000)</f>
        <v>5400</v>
      </c>
      <c r="Q1301">
        <f t="shared" si="102"/>
        <v>27000</v>
      </c>
      <c r="R1301" s="11" t="str">
        <f t="shared" si="103"/>
        <v>Conference</v>
      </c>
      <c r="S1301" s="11">
        <f t="shared" si="104"/>
        <v>3</v>
      </c>
    </row>
    <row r="1302" spans="1:19">
      <c r="A1302" t="s">
        <v>6818</v>
      </c>
      <c r="B1302" t="s">
        <v>6819</v>
      </c>
      <c r="C1302" t="s">
        <v>1282</v>
      </c>
      <c r="D1302" t="s">
        <v>6820</v>
      </c>
      <c r="E1302" t="s">
        <v>6821</v>
      </c>
      <c r="F1302" t="s">
        <v>6822</v>
      </c>
      <c r="G1302" s="4">
        <v>45402</v>
      </c>
      <c r="H1302" s="4">
        <v>45408</v>
      </c>
      <c r="I1302" s="4">
        <v>45418</v>
      </c>
      <c r="J1302">
        <f t="shared" si="100"/>
        <v>10</v>
      </c>
      <c r="K1302" t="str">
        <f t="array" ref="K1302">_xlfn.IFS(J1302=1,"Day Use",J1302&lt;=3,"Short Stay",J1302&lt;=7,"Extended Stay",J1302&gt;=8,"Long Stay")</f>
        <v>Long Stay</v>
      </c>
      <c r="L1302" t="s">
        <v>25</v>
      </c>
      <c r="M1302" s="10" t="str">
        <f t="shared" si="101"/>
        <v>Premium</v>
      </c>
      <c r="N1302" t="s">
        <v>57</v>
      </c>
      <c r="O1302" t="s">
        <v>35</v>
      </c>
      <c r="P1302">
        <f>IFERROR(VLOOKUP(TRIM(M1302),Room!D:H,5,FALSE),5000)</f>
        <v>9500</v>
      </c>
      <c r="Q1302">
        <f t="shared" si="102"/>
        <v>95000</v>
      </c>
      <c r="R1302" s="11" t="str">
        <f t="shared" si="103"/>
        <v>Conference</v>
      </c>
      <c r="S1302" s="11">
        <f t="shared" si="104"/>
        <v>4</v>
      </c>
    </row>
    <row r="1303" spans="1:19">
      <c r="A1303" t="s">
        <v>6823</v>
      </c>
      <c r="B1303" t="s">
        <v>6824</v>
      </c>
      <c r="C1303" t="s">
        <v>100</v>
      </c>
      <c r="D1303" t="s">
        <v>6825</v>
      </c>
      <c r="E1303" t="s">
        <v>6826</v>
      </c>
      <c r="F1303" t="s">
        <v>6827</v>
      </c>
      <c r="G1303" s="4">
        <v>45231</v>
      </c>
      <c r="H1303" s="4">
        <v>45601</v>
      </c>
      <c r="I1303" s="4">
        <v>45612</v>
      </c>
      <c r="J1303">
        <f t="shared" si="100"/>
        <v>11</v>
      </c>
      <c r="K1303" t="str">
        <f t="array" ref="K1303">_xlfn.IFS(J1303=1,"Day Use",J1303&lt;=3,"Short Stay",J1303&lt;=7,"Extended Stay",J1303&gt;=8,"Long Stay")</f>
        <v>Long Stay</v>
      </c>
      <c r="L1303" t="s">
        <v>91</v>
      </c>
      <c r="M1303" s="10" t="str">
        <f t="shared" si="101"/>
        <v>Suite</v>
      </c>
      <c r="N1303" t="s">
        <v>57</v>
      </c>
      <c r="O1303" t="s">
        <v>42</v>
      </c>
      <c r="P1303">
        <f>IFERROR(VLOOKUP(TRIM(M1303),Room!D:H,5,FALSE),5000)</f>
        <v>12500</v>
      </c>
      <c r="Q1303">
        <f t="shared" si="102"/>
        <v>137500</v>
      </c>
      <c r="R1303" s="11" t="str">
        <f t="shared" si="103"/>
        <v>Business</v>
      </c>
      <c r="S1303" s="11">
        <f t="shared" si="104"/>
        <v>5</v>
      </c>
    </row>
    <row r="1304" spans="1:19">
      <c r="A1304" t="s">
        <v>6828</v>
      </c>
      <c r="B1304" t="s">
        <v>6829</v>
      </c>
      <c r="C1304" t="s">
        <v>587</v>
      </c>
      <c r="D1304" t="s">
        <v>6830</v>
      </c>
      <c r="E1304" t="s">
        <v>6831</v>
      </c>
      <c r="F1304" t="s">
        <v>6832</v>
      </c>
      <c r="G1304" s="4">
        <v>45778</v>
      </c>
      <c r="H1304" s="4">
        <v>45798</v>
      </c>
      <c r="I1304" s="4">
        <v>45806</v>
      </c>
      <c r="J1304">
        <f t="shared" si="100"/>
        <v>8</v>
      </c>
      <c r="K1304" t="str">
        <f t="array" ref="K1304">_xlfn.IFS(J1304=1,"Day Use",J1304&lt;=3,"Short Stay",J1304&lt;=7,"Extended Stay",J1304&gt;=8,"Long Stay")</f>
        <v>Long Stay</v>
      </c>
      <c r="L1304" t="s">
        <v>34</v>
      </c>
      <c r="M1304" s="10" t="str">
        <f t="shared" si="101"/>
        <v>Premium</v>
      </c>
      <c r="N1304" t="s">
        <v>26</v>
      </c>
      <c r="O1304" t="s">
        <v>58</v>
      </c>
      <c r="P1304">
        <f>IFERROR(VLOOKUP(TRIM(M1304),Room!D:H,5,FALSE),5000)</f>
        <v>9500</v>
      </c>
      <c r="Q1304">
        <f t="shared" si="102"/>
        <v>76000</v>
      </c>
      <c r="R1304" s="11" t="str">
        <f t="shared" si="103"/>
        <v>Conference</v>
      </c>
      <c r="S1304" s="11">
        <f t="shared" si="104"/>
        <v>4</v>
      </c>
    </row>
    <row r="1305" spans="1:19">
      <c r="A1305" t="s">
        <v>6833</v>
      </c>
      <c r="B1305" t="s">
        <v>6834</v>
      </c>
      <c r="C1305" t="s">
        <v>558</v>
      </c>
      <c r="D1305" t="s">
        <v>6835</v>
      </c>
      <c r="E1305" t="s">
        <v>6836</v>
      </c>
      <c r="F1305" t="s">
        <v>6837</v>
      </c>
      <c r="G1305" s="4">
        <v>45543</v>
      </c>
      <c r="H1305" s="4">
        <v>45565</v>
      </c>
      <c r="I1305" s="4">
        <v>45566</v>
      </c>
      <c r="J1305">
        <f t="shared" si="100"/>
        <v>1</v>
      </c>
      <c r="K1305" t="str">
        <f t="array" ref="K1305">_xlfn.IFS(J1305=1,"Day Use",J1305&lt;=3,"Short Stay",J1305&lt;=7,"Extended Stay",J1305&gt;=8,"Long Stay")</f>
        <v>Day Use</v>
      </c>
      <c r="L1305" t="s">
        <v>34</v>
      </c>
      <c r="M1305" s="10" t="str">
        <f t="shared" si="101"/>
        <v>Standard</v>
      </c>
      <c r="N1305" t="s">
        <v>57</v>
      </c>
      <c r="O1305" t="s">
        <v>27</v>
      </c>
      <c r="P1305">
        <f>IFERROR(VLOOKUP(TRIM(M1305),Room!D:H,5,FALSE),5000)</f>
        <v>3200</v>
      </c>
      <c r="Q1305">
        <f t="shared" si="102"/>
        <v>3200</v>
      </c>
      <c r="R1305" s="11" t="str">
        <f t="shared" si="103"/>
        <v>Other</v>
      </c>
      <c r="S1305" s="11">
        <f t="shared" si="104"/>
        <v>1</v>
      </c>
    </row>
    <row r="1306" spans="1:19">
      <c r="A1306" t="s">
        <v>6838</v>
      </c>
      <c r="B1306" t="s">
        <v>6839</v>
      </c>
      <c r="C1306" t="s">
        <v>2112</v>
      </c>
      <c r="D1306" t="s">
        <v>6840</v>
      </c>
      <c r="E1306" t="s">
        <v>6841</v>
      </c>
      <c r="F1306" t="s">
        <v>6842</v>
      </c>
      <c r="G1306" s="4">
        <v>45592</v>
      </c>
      <c r="H1306" s="4">
        <v>45611</v>
      </c>
      <c r="I1306" s="4">
        <v>45615</v>
      </c>
      <c r="J1306">
        <f t="shared" si="100"/>
        <v>4</v>
      </c>
      <c r="K1306" t="str">
        <f t="array" ref="K1306">_xlfn.IFS(J1306=1,"Day Use",J1306&lt;=3,"Short Stay",J1306&lt;=7,"Extended Stay",J1306&gt;=8,"Long Stay")</f>
        <v>Extended Stay</v>
      </c>
      <c r="L1306" t="s">
        <v>25</v>
      </c>
      <c r="M1306" s="10" t="str">
        <f t="shared" si="101"/>
        <v>Deluxe</v>
      </c>
      <c r="N1306" t="s">
        <v>26</v>
      </c>
      <c r="O1306" t="s">
        <v>71</v>
      </c>
      <c r="P1306">
        <f>IFERROR(VLOOKUP(TRIM(M1306),Room!D:H,5,FALSE),5000)</f>
        <v>5400</v>
      </c>
      <c r="Q1306">
        <f t="shared" si="102"/>
        <v>21600</v>
      </c>
      <c r="R1306" s="11" t="str">
        <f t="shared" si="103"/>
        <v>Conference</v>
      </c>
      <c r="S1306" s="11">
        <f t="shared" si="104"/>
        <v>3</v>
      </c>
    </row>
    <row r="1307" spans="1:19">
      <c r="A1307" t="s">
        <v>6843</v>
      </c>
      <c r="B1307" t="s">
        <v>6844</v>
      </c>
      <c r="C1307" t="s">
        <v>2510</v>
      </c>
      <c r="D1307" t="s">
        <v>6845</v>
      </c>
      <c r="E1307" t="s">
        <v>6846</v>
      </c>
      <c r="F1307" t="s">
        <v>6847</v>
      </c>
      <c r="G1307" s="4">
        <v>45403</v>
      </c>
      <c r="H1307" s="4">
        <v>46011</v>
      </c>
      <c r="I1307" s="4">
        <v>46018</v>
      </c>
      <c r="J1307">
        <f t="shared" si="100"/>
        <v>7</v>
      </c>
      <c r="K1307" t="str">
        <f t="array" ref="K1307">_xlfn.IFS(J1307=1,"Day Use",J1307&lt;=3,"Short Stay",J1307&lt;=7,"Extended Stay",J1307&gt;=8,"Long Stay")</f>
        <v>Extended Stay</v>
      </c>
      <c r="L1307" t="s">
        <v>141</v>
      </c>
      <c r="M1307" s="10" t="str">
        <f t="shared" si="101"/>
        <v>Premium</v>
      </c>
      <c r="N1307" t="s">
        <v>148</v>
      </c>
      <c r="O1307" t="s">
        <v>42</v>
      </c>
      <c r="P1307">
        <f>IFERROR(VLOOKUP(TRIM(M1307),Room!D:H,5,FALSE),5000)</f>
        <v>9500</v>
      </c>
      <c r="Q1307">
        <f t="shared" si="102"/>
        <v>66500</v>
      </c>
      <c r="R1307" s="11" t="str">
        <f t="shared" si="103"/>
        <v>Conference</v>
      </c>
      <c r="S1307" s="11">
        <f t="shared" si="104"/>
        <v>4</v>
      </c>
    </row>
    <row r="1308" spans="1:19">
      <c r="A1308" t="s">
        <v>6848</v>
      </c>
      <c r="B1308" t="s">
        <v>6849</v>
      </c>
      <c r="C1308" t="s">
        <v>137</v>
      </c>
      <c r="D1308" t="s">
        <v>6850</v>
      </c>
      <c r="E1308" t="s">
        <v>6851</v>
      </c>
      <c r="F1308" t="s">
        <v>6852</v>
      </c>
      <c r="G1308" s="4">
        <v>45313</v>
      </c>
      <c r="H1308" s="4">
        <v>45952</v>
      </c>
      <c r="I1308" s="4">
        <v>45954</v>
      </c>
      <c r="J1308">
        <f t="shared" si="100"/>
        <v>2</v>
      </c>
      <c r="K1308" t="str">
        <f t="array" ref="K1308">_xlfn.IFS(J1308=1,"Day Use",J1308&lt;=3,"Short Stay",J1308&lt;=7,"Extended Stay",J1308&gt;=8,"Long Stay")</f>
        <v>Short Stay</v>
      </c>
      <c r="L1308" t="s">
        <v>56</v>
      </c>
      <c r="M1308" s="10" t="str">
        <f t="shared" si="101"/>
        <v>Standard</v>
      </c>
      <c r="N1308" t="s">
        <v>26</v>
      </c>
      <c r="O1308" t="s">
        <v>27</v>
      </c>
      <c r="P1308">
        <f>IFERROR(VLOOKUP(TRIM(M1308),Room!D:H,5,FALSE),5000)</f>
        <v>3200</v>
      </c>
      <c r="Q1308">
        <f t="shared" si="102"/>
        <v>6400</v>
      </c>
      <c r="R1308" s="11" t="str">
        <f t="shared" si="103"/>
        <v>Other</v>
      </c>
      <c r="S1308" s="11">
        <f t="shared" si="104"/>
        <v>2</v>
      </c>
    </row>
    <row r="1309" spans="1:19">
      <c r="A1309" t="s">
        <v>6853</v>
      </c>
      <c r="B1309" t="s">
        <v>6854</v>
      </c>
      <c r="C1309" t="s">
        <v>2035</v>
      </c>
      <c r="D1309" t="s">
        <v>6855</v>
      </c>
      <c r="E1309" t="s">
        <v>6856</v>
      </c>
      <c r="F1309" t="s">
        <v>6857</v>
      </c>
      <c r="G1309" s="4">
        <v>45793</v>
      </c>
      <c r="H1309" s="4">
        <v>46021</v>
      </c>
      <c r="I1309" s="4">
        <v>46022</v>
      </c>
      <c r="J1309">
        <f t="shared" si="100"/>
        <v>1</v>
      </c>
      <c r="K1309" t="str">
        <f t="array" ref="K1309">_xlfn.IFS(J1309=1,"Day Use",J1309&lt;=3,"Short Stay",J1309&lt;=7,"Extended Stay",J1309&gt;=8,"Long Stay")</f>
        <v>Day Use</v>
      </c>
      <c r="L1309" t="s">
        <v>34</v>
      </c>
      <c r="M1309" s="10" t="str">
        <f t="shared" si="101"/>
        <v>Standard</v>
      </c>
      <c r="N1309" t="s">
        <v>134</v>
      </c>
      <c r="O1309" t="s">
        <v>58</v>
      </c>
      <c r="P1309">
        <f>IFERROR(VLOOKUP(TRIM(M1309),Room!D:H,5,FALSE),5000)</f>
        <v>3200</v>
      </c>
      <c r="Q1309">
        <f t="shared" si="102"/>
        <v>3200</v>
      </c>
      <c r="R1309" s="11" t="str">
        <f t="shared" si="103"/>
        <v>Other</v>
      </c>
      <c r="S1309" s="11">
        <f t="shared" si="104"/>
        <v>1</v>
      </c>
    </row>
    <row r="1310" spans="1:19">
      <c r="A1310" t="s">
        <v>6858</v>
      </c>
      <c r="B1310" t="s">
        <v>6859</v>
      </c>
      <c r="C1310" t="s">
        <v>2804</v>
      </c>
      <c r="D1310" t="s">
        <v>6860</v>
      </c>
      <c r="E1310" t="s">
        <v>6861</v>
      </c>
      <c r="F1310" t="s">
        <v>6862</v>
      </c>
      <c r="G1310" s="4">
        <v>45351</v>
      </c>
      <c r="H1310" s="4">
        <v>45437</v>
      </c>
      <c r="I1310" s="4">
        <v>45448</v>
      </c>
      <c r="J1310">
        <f t="shared" si="100"/>
        <v>11</v>
      </c>
      <c r="K1310" t="str">
        <f t="array" ref="K1310">_xlfn.IFS(J1310=1,"Day Use",J1310&lt;=3,"Short Stay",J1310&lt;=7,"Extended Stay",J1310&gt;=8,"Long Stay")</f>
        <v>Long Stay</v>
      </c>
      <c r="L1310" t="s">
        <v>91</v>
      </c>
      <c r="M1310" s="10" t="str">
        <f t="shared" si="101"/>
        <v>Suite</v>
      </c>
      <c r="N1310" t="s">
        <v>134</v>
      </c>
      <c r="O1310" t="s">
        <v>58</v>
      </c>
      <c r="P1310">
        <f>IFERROR(VLOOKUP(TRIM(M1310),Room!D:H,5,FALSE),5000)</f>
        <v>12500</v>
      </c>
      <c r="Q1310">
        <f t="shared" si="102"/>
        <v>137500</v>
      </c>
      <c r="R1310" s="11" t="str">
        <f t="shared" si="103"/>
        <v>Business</v>
      </c>
      <c r="S1310" s="11">
        <f t="shared" si="104"/>
        <v>5</v>
      </c>
    </row>
    <row r="1311" spans="1:19">
      <c r="A1311" t="s">
        <v>6863</v>
      </c>
      <c r="B1311" t="s">
        <v>6864</v>
      </c>
      <c r="C1311" t="s">
        <v>6865</v>
      </c>
      <c r="D1311" t="s">
        <v>6866</v>
      </c>
      <c r="E1311" t="s">
        <v>6867</v>
      </c>
      <c r="F1311" t="s">
        <v>6868</v>
      </c>
      <c r="G1311" s="4">
        <v>45437</v>
      </c>
      <c r="H1311" s="4">
        <v>45447</v>
      </c>
      <c r="I1311" s="4">
        <v>45451</v>
      </c>
      <c r="J1311">
        <f t="shared" si="100"/>
        <v>4</v>
      </c>
      <c r="K1311" t="str">
        <f t="array" ref="K1311">_xlfn.IFS(J1311=1,"Day Use",J1311&lt;=3,"Short Stay",J1311&lt;=7,"Extended Stay",J1311&gt;=8,"Long Stay")</f>
        <v>Extended Stay</v>
      </c>
      <c r="L1311" t="s">
        <v>91</v>
      </c>
      <c r="M1311" s="10" t="str">
        <f t="shared" si="101"/>
        <v>Deluxe</v>
      </c>
      <c r="N1311" t="s">
        <v>26</v>
      </c>
      <c r="O1311" t="s">
        <v>27</v>
      </c>
      <c r="P1311">
        <f>IFERROR(VLOOKUP(TRIM(M1311),Room!D:H,5,FALSE),5000)</f>
        <v>5400</v>
      </c>
      <c r="Q1311">
        <f t="shared" si="102"/>
        <v>21600</v>
      </c>
      <c r="R1311" s="11" t="str">
        <f t="shared" si="103"/>
        <v>Conference</v>
      </c>
      <c r="S1311" s="11">
        <f t="shared" si="104"/>
        <v>3</v>
      </c>
    </row>
    <row r="1312" spans="1:19">
      <c r="A1312" t="s">
        <v>6869</v>
      </c>
      <c r="B1312" t="s">
        <v>6870</v>
      </c>
      <c r="C1312" t="s">
        <v>174</v>
      </c>
      <c r="D1312" t="s">
        <v>6871</v>
      </c>
      <c r="E1312" t="s">
        <v>6872</v>
      </c>
      <c r="F1312" t="s">
        <v>6873</v>
      </c>
      <c r="G1312" s="4">
        <v>45374</v>
      </c>
      <c r="H1312" s="4">
        <v>45375</v>
      </c>
      <c r="I1312" s="4">
        <v>45385</v>
      </c>
      <c r="J1312">
        <f t="shared" si="100"/>
        <v>10</v>
      </c>
      <c r="K1312" t="str">
        <f t="array" ref="K1312">_xlfn.IFS(J1312=1,"Day Use",J1312&lt;=3,"Short Stay",J1312&lt;=7,"Extended Stay",J1312&gt;=8,"Long Stay")</f>
        <v>Long Stay</v>
      </c>
      <c r="L1312" t="s">
        <v>141</v>
      </c>
      <c r="M1312" s="10" t="str">
        <f t="shared" si="101"/>
        <v>Premium</v>
      </c>
      <c r="N1312" t="s">
        <v>26</v>
      </c>
      <c r="O1312" t="s">
        <v>35</v>
      </c>
      <c r="P1312">
        <f>IFERROR(VLOOKUP(TRIM(M1312),Room!D:H,5,FALSE),5000)</f>
        <v>9500</v>
      </c>
      <c r="Q1312">
        <f t="shared" si="102"/>
        <v>95000</v>
      </c>
      <c r="R1312" s="11" t="str">
        <f t="shared" si="103"/>
        <v>Conference</v>
      </c>
      <c r="S1312" s="11">
        <f t="shared" si="104"/>
        <v>4</v>
      </c>
    </row>
    <row r="1313" spans="1:19">
      <c r="A1313" t="s">
        <v>6874</v>
      </c>
      <c r="B1313" t="s">
        <v>6875</v>
      </c>
      <c r="C1313" t="s">
        <v>4359</v>
      </c>
      <c r="D1313" t="s">
        <v>6876</v>
      </c>
      <c r="E1313" t="s">
        <v>6877</v>
      </c>
      <c r="F1313" t="s">
        <v>6878</v>
      </c>
      <c r="G1313" s="4">
        <v>45292</v>
      </c>
      <c r="H1313" s="4">
        <v>45320</v>
      </c>
      <c r="I1313" s="4">
        <v>45331</v>
      </c>
      <c r="J1313">
        <f t="shared" si="100"/>
        <v>11</v>
      </c>
      <c r="K1313" t="str">
        <f t="array" ref="K1313">_xlfn.IFS(J1313=1,"Day Use",J1313&lt;=3,"Short Stay",J1313&lt;=7,"Extended Stay",J1313&gt;=8,"Long Stay")</f>
        <v>Long Stay</v>
      </c>
      <c r="L1313" t="s">
        <v>25</v>
      </c>
      <c r="M1313" s="10" t="str">
        <f t="shared" si="101"/>
        <v>Suite</v>
      </c>
      <c r="N1313" t="s">
        <v>26</v>
      </c>
      <c r="O1313" t="s">
        <v>71</v>
      </c>
      <c r="P1313">
        <f>IFERROR(VLOOKUP(TRIM(M1313),Room!D:H,5,FALSE),5000)</f>
        <v>12500</v>
      </c>
      <c r="Q1313">
        <f t="shared" si="102"/>
        <v>137500</v>
      </c>
      <c r="R1313" s="11" t="str">
        <f t="shared" si="103"/>
        <v>Business</v>
      </c>
      <c r="S1313" s="11">
        <f t="shared" si="104"/>
        <v>5</v>
      </c>
    </row>
    <row r="1314" spans="1:19">
      <c r="A1314" t="s">
        <v>6879</v>
      </c>
      <c r="B1314" t="s">
        <v>6880</v>
      </c>
      <c r="C1314" t="s">
        <v>327</v>
      </c>
      <c r="D1314" t="s">
        <v>6881</v>
      </c>
      <c r="E1314" t="s">
        <v>6882</v>
      </c>
      <c r="F1314" t="s">
        <v>6883</v>
      </c>
      <c r="G1314" s="4">
        <v>45679</v>
      </c>
      <c r="H1314" s="4">
        <v>45771</v>
      </c>
      <c r="I1314" s="4">
        <v>45784</v>
      </c>
      <c r="J1314">
        <f t="shared" si="100"/>
        <v>13</v>
      </c>
      <c r="K1314" t="str">
        <f t="array" ref="K1314">_xlfn.IFS(J1314=1,"Day Use",J1314&lt;=3,"Short Stay",J1314&lt;=7,"Extended Stay",J1314&gt;=8,"Long Stay")</f>
        <v>Long Stay</v>
      </c>
      <c r="L1314" t="s">
        <v>84</v>
      </c>
      <c r="M1314" s="10" t="str">
        <f t="shared" si="101"/>
        <v>Suite</v>
      </c>
      <c r="N1314" t="s">
        <v>26</v>
      </c>
      <c r="O1314" t="s">
        <v>42</v>
      </c>
      <c r="P1314">
        <f>IFERROR(VLOOKUP(TRIM(M1314),Room!D:H,5,FALSE),5000)</f>
        <v>12500</v>
      </c>
      <c r="Q1314">
        <f t="shared" si="102"/>
        <v>162500</v>
      </c>
      <c r="R1314" s="11" t="str">
        <f t="shared" si="103"/>
        <v>Business</v>
      </c>
      <c r="S1314" s="11">
        <f t="shared" si="104"/>
        <v>5</v>
      </c>
    </row>
    <row r="1315" spans="1:19">
      <c r="A1315" t="s">
        <v>6884</v>
      </c>
      <c r="B1315" t="s">
        <v>6885</v>
      </c>
      <c r="C1315" t="s">
        <v>1030</v>
      </c>
      <c r="D1315" t="s">
        <v>6886</v>
      </c>
      <c r="E1315" t="s">
        <v>6887</v>
      </c>
      <c r="F1315" t="s">
        <v>6888</v>
      </c>
      <c r="G1315" s="4">
        <v>45642</v>
      </c>
      <c r="H1315" s="4">
        <v>45667</v>
      </c>
      <c r="I1315" s="4">
        <v>45679</v>
      </c>
      <c r="J1315">
        <f t="shared" si="100"/>
        <v>12</v>
      </c>
      <c r="K1315" t="str">
        <f t="array" ref="K1315">_xlfn.IFS(J1315=1,"Day Use",J1315&lt;=3,"Short Stay",J1315&lt;=7,"Extended Stay",J1315&gt;=8,"Long Stay")</f>
        <v>Long Stay</v>
      </c>
      <c r="L1315" t="s">
        <v>141</v>
      </c>
      <c r="M1315" s="10" t="str">
        <f t="shared" si="101"/>
        <v>Suite</v>
      </c>
      <c r="N1315" t="s">
        <v>57</v>
      </c>
      <c r="O1315" t="s">
        <v>27</v>
      </c>
      <c r="P1315">
        <f>IFERROR(VLOOKUP(TRIM(M1315),Room!D:H,5,FALSE),5000)</f>
        <v>12500</v>
      </c>
      <c r="Q1315">
        <f t="shared" si="102"/>
        <v>150000</v>
      </c>
      <c r="R1315" s="11" t="str">
        <f t="shared" si="103"/>
        <v>Business</v>
      </c>
      <c r="S1315" s="11">
        <f t="shared" si="104"/>
        <v>5</v>
      </c>
    </row>
    <row r="1316" spans="1:19">
      <c r="A1316" t="s">
        <v>6889</v>
      </c>
      <c r="B1316" t="s">
        <v>6890</v>
      </c>
      <c r="C1316" t="s">
        <v>247</v>
      </c>
      <c r="D1316" t="s">
        <v>6891</v>
      </c>
      <c r="E1316" t="s">
        <v>6892</v>
      </c>
      <c r="F1316" t="s">
        <v>6893</v>
      </c>
      <c r="G1316" s="4">
        <v>45318</v>
      </c>
      <c r="H1316" s="4">
        <v>45782</v>
      </c>
      <c r="I1316" s="4">
        <v>45789</v>
      </c>
      <c r="J1316">
        <f t="shared" si="100"/>
        <v>7</v>
      </c>
      <c r="K1316" t="str">
        <f t="array" ref="K1316">_xlfn.IFS(J1316=1,"Day Use",J1316&lt;=3,"Short Stay",J1316&lt;=7,"Extended Stay",J1316&gt;=8,"Long Stay")</f>
        <v>Extended Stay</v>
      </c>
      <c r="L1316" t="s">
        <v>25</v>
      </c>
      <c r="M1316" s="10" t="str">
        <f t="shared" si="101"/>
        <v>Premium</v>
      </c>
      <c r="N1316" t="s">
        <v>57</v>
      </c>
      <c r="O1316" t="s">
        <v>58</v>
      </c>
      <c r="P1316">
        <f>IFERROR(VLOOKUP(TRIM(M1316),Room!D:H,5,FALSE),5000)</f>
        <v>9500</v>
      </c>
      <c r="Q1316">
        <f t="shared" si="102"/>
        <v>66500</v>
      </c>
      <c r="R1316" s="11" t="str">
        <f t="shared" si="103"/>
        <v>Conference</v>
      </c>
      <c r="S1316" s="11">
        <f t="shared" si="104"/>
        <v>4</v>
      </c>
    </row>
    <row r="1317" spans="1:19">
      <c r="A1317" t="s">
        <v>6894</v>
      </c>
      <c r="B1317" t="s">
        <v>6895</v>
      </c>
      <c r="C1317" t="s">
        <v>241</v>
      </c>
      <c r="D1317" t="s">
        <v>6896</v>
      </c>
      <c r="E1317" t="s">
        <v>6897</v>
      </c>
      <c r="F1317" t="s">
        <v>6898</v>
      </c>
      <c r="G1317" s="4">
        <v>45305</v>
      </c>
      <c r="H1317" s="4">
        <v>45316</v>
      </c>
      <c r="I1317" s="4">
        <v>45330</v>
      </c>
      <c r="J1317">
        <f t="shared" si="100"/>
        <v>14</v>
      </c>
      <c r="K1317" t="str">
        <f t="array" ref="K1317">_xlfn.IFS(J1317=1,"Day Use",J1317&lt;=3,"Short Stay",J1317&lt;=7,"Extended Stay",J1317&gt;=8,"Long Stay")</f>
        <v>Long Stay</v>
      </c>
      <c r="L1317" t="s">
        <v>56</v>
      </c>
      <c r="M1317" s="10" t="str">
        <f t="shared" si="101"/>
        <v>Suite</v>
      </c>
      <c r="N1317" t="s">
        <v>26</v>
      </c>
      <c r="O1317" t="s">
        <v>27</v>
      </c>
      <c r="P1317">
        <f>IFERROR(VLOOKUP(TRIM(M1317),Room!D:H,5,FALSE),5000)</f>
        <v>12500</v>
      </c>
      <c r="Q1317">
        <f t="shared" si="102"/>
        <v>175000</v>
      </c>
      <c r="R1317" s="11" t="str">
        <f t="shared" si="103"/>
        <v>Business</v>
      </c>
      <c r="S1317" s="11">
        <f t="shared" si="104"/>
        <v>5</v>
      </c>
    </row>
    <row r="1318" spans="1:19">
      <c r="A1318" t="s">
        <v>6899</v>
      </c>
      <c r="B1318" t="s">
        <v>6900</v>
      </c>
      <c r="C1318" t="s">
        <v>192</v>
      </c>
      <c r="D1318" t="s">
        <v>6901</v>
      </c>
      <c r="E1318" t="s">
        <v>6902</v>
      </c>
      <c r="F1318" t="s">
        <v>6903</v>
      </c>
      <c r="G1318" s="4">
        <v>45736</v>
      </c>
      <c r="H1318" s="4">
        <v>45742</v>
      </c>
      <c r="I1318" s="4">
        <v>45751</v>
      </c>
      <c r="J1318">
        <f t="shared" si="100"/>
        <v>9</v>
      </c>
      <c r="K1318" t="str">
        <f t="array" ref="K1318">_xlfn.IFS(J1318=1,"Day Use",J1318&lt;=3,"Short Stay",J1318&lt;=7,"Extended Stay",J1318&gt;=8,"Long Stay")</f>
        <v>Long Stay</v>
      </c>
      <c r="L1318" t="s">
        <v>91</v>
      </c>
      <c r="M1318" s="10" t="str">
        <f t="shared" si="101"/>
        <v>Premium</v>
      </c>
      <c r="N1318" t="s">
        <v>57</v>
      </c>
      <c r="O1318" t="s">
        <v>58</v>
      </c>
      <c r="P1318">
        <f>IFERROR(VLOOKUP(TRIM(M1318),Room!D:H,5,FALSE),5000)</f>
        <v>9500</v>
      </c>
      <c r="Q1318">
        <f t="shared" si="102"/>
        <v>85500</v>
      </c>
      <c r="R1318" s="11" t="str">
        <f t="shared" si="103"/>
        <v>Conference</v>
      </c>
      <c r="S1318" s="11">
        <f t="shared" si="104"/>
        <v>4</v>
      </c>
    </row>
    <row r="1319" spans="1:19">
      <c r="A1319" t="s">
        <v>6904</v>
      </c>
      <c r="B1319" t="s">
        <v>6905</v>
      </c>
      <c r="C1319" t="s">
        <v>524</v>
      </c>
      <c r="D1319" t="s">
        <v>6906</v>
      </c>
      <c r="E1319" t="s">
        <v>6907</v>
      </c>
      <c r="F1319" t="s">
        <v>6908</v>
      </c>
      <c r="G1319" s="4">
        <v>45366</v>
      </c>
      <c r="H1319" s="4">
        <v>45367</v>
      </c>
      <c r="I1319" s="4">
        <v>45371</v>
      </c>
      <c r="J1319">
        <f t="shared" si="100"/>
        <v>4</v>
      </c>
      <c r="K1319" t="str">
        <f t="array" ref="K1319">_xlfn.IFS(J1319=1,"Day Use",J1319&lt;=3,"Short Stay",J1319&lt;=7,"Extended Stay",J1319&gt;=8,"Long Stay")</f>
        <v>Extended Stay</v>
      </c>
      <c r="L1319" t="s">
        <v>91</v>
      </c>
      <c r="M1319" s="10" t="str">
        <f t="shared" si="101"/>
        <v>Deluxe</v>
      </c>
      <c r="N1319" t="s">
        <v>26</v>
      </c>
      <c r="O1319" t="s">
        <v>58</v>
      </c>
      <c r="P1319">
        <f>IFERROR(VLOOKUP(TRIM(M1319),Room!D:H,5,FALSE),5000)</f>
        <v>5400</v>
      </c>
      <c r="Q1319">
        <f t="shared" si="102"/>
        <v>21600</v>
      </c>
      <c r="R1319" s="11" t="str">
        <f t="shared" si="103"/>
        <v>Conference</v>
      </c>
      <c r="S1319" s="11">
        <f t="shared" si="104"/>
        <v>3</v>
      </c>
    </row>
    <row r="1320" spans="1:19">
      <c r="A1320" t="s">
        <v>6909</v>
      </c>
      <c r="B1320" t="s">
        <v>6910</v>
      </c>
      <c r="C1320" t="s">
        <v>2642</v>
      </c>
      <c r="D1320" t="s">
        <v>6911</v>
      </c>
      <c r="E1320" t="s">
        <v>6912</v>
      </c>
      <c r="F1320" t="s">
        <v>6913</v>
      </c>
      <c r="G1320" s="4">
        <v>45655</v>
      </c>
      <c r="H1320" s="4">
        <v>45670</v>
      </c>
      <c r="I1320" s="4">
        <v>45671</v>
      </c>
      <c r="J1320">
        <f t="shared" si="100"/>
        <v>1</v>
      </c>
      <c r="K1320" t="str">
        <f t="array" ref="K1320">_xlfn.IFS(J1320=1,"Day Use",J1320&lt;=3,"Short Stay",J1320&lt;=7,"Extended Stay",J1320&gt;=8,"Long Stay")</f>
        <v>Day Use</v>
      </c>
      <c r="L1320" t="s">
        <v>196</v>
      </c>
      <c r="M1320" s="10" t="str">
        <f t="shared" si="101"/>
        <v>Standard</v>
      </c>
      <c r="N1320" t="s">
        <v>26</v>
      </c>
      <c r="O1320" t="s">
        <v>35</v>
      </c>
      <c r="P1320">
        <f>IFERROR(VLOOKUP(TRIM(M1320),Room!D:H,5,FALSE),5000)</f>
        <v>3200</v>
      </c>
      <c r="Q1320">
        <f t="shared" si="102"/>
        <v>3200</v>
      </c>
      <c r="R1320" s="11" t="str">
        <f t="shared" si="103"/>
        <v>Other</v>
      </c>
      <c r="S1320" s="11">
        <f t="shared" si="104"/>
        <v>1</v>
      </c>
    </row>
    <row r="1321" spans="1:19">
      <c r="A1321" t="s">
        <v>6914</v>
      </c>
      <c r="B1321" t="s">
        <v>6915</v>
      </c>
      <c r="C1321" t="s">
        <v>604</v>
      </c>
      <c r="D1321" t="s">
        <v>6916</v>
      </c>
      <c r="E1321" t="s">
        <v>6917</v>
      </c>
      <c r="F1321" t="s">
        <v>6918</v>
      </c>
      <c r="G1321" s="4">
        <v>45863</v>
      </c>
      <c r="H1321" s="4">
        <v>46014</v>
      </c>
      <c r="I1321" s="4">
        <v>46022</v>
      </c>
      <c r="J1321">
        <f t="shared" si="100"/>
        <v>8</v>
      </c>
      <c r="K1321" t="str">
        <f t="array" ref="K1321">_xlfn.IFS(J1321=1,"Day Use",J1321&lt;=3,"Short Stay",J1321&lt;=7,"Extended Stay",J1321&gt;=8,"Long Stay")</f>
        <v>Long Stay</v>
      </c>
      <c r="L1321" t="s">
        <v>25</v>
      </c>
      <c r="M1321" s="10" t="str">
        <f t="shared" si="101"/>
        <v>Premium</v>
      </c>
      <c r="N1321" t="s">
        <v>372</v>
      </c>
      <c r="O1321" t="s">
        <v>42</v>
      </c>
      <c r="P1321">
        <f>IFERROR(VLOOKUP(TRIM(M1321),Room!D:H,5,FALSE),5000)</f>
        <v>9500</v>
      </c>
      <c r="Q1321">
        <f t="shared" si="102"/>
        <v>76000</v>
      </c>
      <c r="R1321" s="11" t="str">
        <f t="shared" si="103"/>
        <v>Conference</v>
      </c>
      <c r="S1321" s="11">
        <f t="shared" si="104"/>
        <v>4</v>
      </c>
    </row>
    <row r="1322" spans="1:19">
      <c r="A1322" t="s">
        <v>6919</v>
      </c>
      <c r="B1322" t="s">
        <v>6920</v>
      </c>
      <c r="C1322" t="s">
        <v>6541</v>
      </c>
      <c r="D1322" t="s">
        <v>6921</v>
      </c>
      <c r="E1322" t="s">
        <v>6922</v>
      </c>
      <c r="F1322" t="s">
        <v>6923</v>
      </c>
      <c r="G1322" s="4">
        <v>45245</v>
      </c>
      <c r="H1322" s="4">
        <v>45974</v>
      </c>
      <c r="I1322" s="4">
        <v>45985</v>
      </c>
      <c r="J1322">
        <f t="shared" si="100"/>
        <v>11</v>
      </c>
      <c r="K1322" t="str">
        <f t="array" ref="K1322">_xlfn.IFS(J1322=1,"Day Use",J1322&lt;=3,"Short Stay",J1322&lt;=7,"Extended Stay",J1322&gt;=8,"Long Stay")</f>
        <v>Long Stay</v>
      </c>
      <c r="L1322" t="s">
        <v>34</v>
      </c>
      <c r="M1322" s="10" t="str">
        <f t="shared" si="101"/>
        <v>Suite</v>
      </c>
      <c r="N1322" t="s">
        <v>148</v>
      </c>
      <c r="O1322" t="s">
        <v>27</v>
      </c>
      <c r="P1322">
        <f>IFERROR(VLOOKUP(TRIM(M1322),Room!D:H,5,FALSE),5000)</f>
        <v>12500</v>
      </c>
      <c r="Q1322">
        <f t="shared" si="102"/>
        <v>137500</v>
      </c>
      <c r="R1322" s="11" t="str">
        <f t="shared" si="103"/>
        <v>Business</v>
      </c>
      <c r="S1322" s="11">
        <f t="shared" si="104"/>
        <v>5</v>
      </c>
    </row>
    <row r="1323" spans="1:19">
      <c r="A1323" t="s">
        <v>6924</v>
      </c>
      <c r="B1323" t="s">
        <v>6925</v>
      </c>
      <c r="C1323" t="s">
        <v>1090</v>
      </c>
      <c r="D1323" t="s">
        <v>6926</v>
      </c>
      <c r="E1323" t="s">
        <v>6927</v>
      </c>
      <c r="F1323" t="s">
        <v>6928</v>
      </c>
      <c r="G1323" s="4">
        <v>45234</v>
      </c>
      <c r="H1323" s="4">
        <v>45902</v>
      </c>
      <c r="I1323" s="4">
        <v>45915</v>
      </c>
      <c r="J1323">
        <f t="shared" si="100"/>
        <v>13</v>
      </c>
      <c r="K1323" t="str">
        <f t="array" ref="K1323">_xlfn.IFS(J1323=1,"Day Use",J1323&lt;=3,"Short Stay",J1323&lt;=7,"Extended Stay",J1323&gt;=8,"Long Stay")</f>
        <v>Long Stay</v>
      </c>
      <c r="L1323" t="s">
        <v>49</v>
      </c>
      <c r="M1323" s="10" t="str">
        <f t="shared" si="101"/>
        <v>Suite</v>
      </c>
      <c r="N1323" t="s">
        <v>26</v>
      </c>
      <c r="O1323" t="s">
        <v>27</v>
      </c>
      <c r="P1323">
        <f>IFERROR(VLOOKUP(TRIM(M1323),Room!D:H,5,FALSE),5000)</f>
        <v>12500</v>
      </c>
      <c r="Q1323">
        <f t="shared" si="102"/>
        <v>162500</v>
      </c>
      <c r="R1323" s="11" t="str">
        <f t="shared" si="103"/>
        <v>Business</v>
      </c>
      <c r="S1323" s="11">
        <f t="shared" si="104"/>
        <v>5</v>
      </c>
    </row>
    <row r="1324" spans="1:19">
      <c r="A1324" t="s">
        <v>6929</v>
      </c>
      <c r="B1324" t="s">
        <v>6930</v>
      </c>
      <c r="C1324" t="s">
        <v>1030</v>
      </c>
      <c r="D1324" t="s">
        <v>6931</v>
      </c>
      <c r="E1324" t="s">
        <v>6932</v>
      </c>
      <c r="F1324" t="s">
        <v>6933</v>
      </c>
      <c r="G1324" s="4">
        <v>45643</v>
      </c>
      <c r="H1324" s="4">
        <v>45653</v>
      </c>
      <c r="I1324" s="4">
        <v>45660</v>
      </c>
      <c r="J1324">
        <f t="shared" si="100"/>
        <v>7</v>
      </c>
      <c r="K1324" t="str">
        <f t="array" ref="K1324">_xlfn.IFS(J1324=1,"Day Use",J1324&lt;=3,"Short Stay",J1324&lt;=7,"Extended Stay",J1324&gt;=8,"Long Stay")</f>
        <v>Extended Stay</v>
      </c>
      <c r="L1324" t="s">
        <v>34</v>
      </c>
      <c r="M1324" s="10" t="str">
        <f t="shared" si="101"/>
        <v>Premium</v>
      </c>
      <c r="N1324" t="s">
        <v>57</v>
      </c>
      <c r="O1324" t="s">
        <v>35</v>
      </c>
      <c r="P1324">
        <f>IFERROR(VLOOKUP(TRIM(M1324),Room!D:H,5,FALSE),5000)</f>
        <v>9500</v>
      </c>
      <c r="Q1324">
        <f t="shared" si="102"/>
        <v>66500</v>
      </c>
      <c r="R1324" s="11" t="str">
        <f t="shared" si="103"/>
        <v>Conference</v>
      </c>
      <c r="S1324" s="11">
        <f t="shared" si="104"/>
        <v>4</v>
      </c>
    </row>
    <row r="1325" spans="1:19">
      <c r="A1325" t="s">
        <v>6934</v>
      </c>
      <c r="B1325" t="s">
        <v>6935</v>
      </c>
      <c r="C1325" t="s">
        <v>506</v>
      </c>
      <c r="D1325" t="s">
        <v>6936</v>
      </c>
      <c r="E1325" t="s">
        <v>6937</v>
      </c>
      <c r="F1325" t="s">
        <v>6938</v>
      </c>
      <c r="G1325" s="4">
        <v>45660</v>
      </c>
      <c r="H1325" s="4">
        <v>45900</v>
      </c>
      <c r="I1325" s="4">
        <v>45906</v>
      </c>
      <c r="J1325">
        <f t="shared" si="100"/>
        <v>6</v>
      </c>
      <c r="K1325" t="str">
        <f t="array" ref="K1325">_xlfn.IFS(J1325=1,"Day Use",J1325&lt;=3,"Short Stay",J1325&lt;=7,"Extended Stay",J1325&gt;=8,"Long Stay")</f>
        <v>Extended Stay</v>
      </c>
      <c r="L1325" t="s">
        <v>141</v>
      </c>
      <c r="M1325" s="10" t="str">
        <f t="shared" si="101"/>
        <v>Deluxe</v>
      </c>
      <c r="N1325" t="s">
        <v>57</v>
      </c>
      <c r="O1325" t="s">
        <v>27</v>
      </c>
      <c r="P1325">
        <f>IFERROR(VLOOKUP(TRIM(M1325),Room!D:H,5,FALSE),5000)</f>
        <v>5400</v>
      </c>
      <c r="Q1325">
        <f t="shared" si="102"/>
        <v>32400</v>
      </c>
      <c r="R1325" s="11" t="str">
        <f t="shared" si="103"/>
        <v>Conference</v>
      </c>
      <c r="S1325" s="11">
        <f t="shared" si="104"/>
        <v>3</v>
      </c>
    </row>
    <row r="1326" spans="1:19">
      <c r="A1326" t="s">
        <v>6939</v>
      </c>
      <c r="B1326" t="s">
        <v>6940</v>
      </c>
      <c r="C1326" t="s">
        <v>253</v>
      </c>
      <c r="D1326" t="s">
        <v>6941</v>
      </c>
      <c r="E1326" t="s">
        <v>6942</v>
      </c>
      <c r="F1326" t="s">
        <v>6943</v>
      </c>
      <c r="G1326" s="4">
        <v>45562</v>
      </c>
      <c r="H1326" s="4">
        <v>45563</v>
      </c>
      <c r="I1326" s="4">
        <v>45575</v>
      </c>
      <c r="J1326">
        <f t="shared" si="100"/>
        <v>12</v>
      </c>
      <c r="K1326" t="str">
        <f t="array" ref="K1326">_xlfn.IFS(J1326=1,"Day Use",J1326&lt;=3,"Short Stay",J1326&lt;=7,"Extended Stay",J1326&gt;=8,"Long Stay")</f>
        <v>Long Stay</v>
      </c>
      <c r="L1326" t="s">
        <v>91</v>
      </c>
      <c r="M1326" s="10" t="str">
        <f t="shared" si="101"/>
        <v>Suite</v>
      </c>
      <c r="N1326" t="s">
        <v>57</v>
      </c>
      <c r="O1326" t="s">
        <v>27</v>
      </c>
      <c r="P1326">
        <f>IFERROR(VLOOKUP(TRIM(M1326),Room!D:H,5,FALSE),5000)</f>
        <v>12500</v>
      </c>
      <c r="Q1326">
        <f t="shared" si="102"/>
        <v>150000</v>
      </c>
      <c r="R1326" s="11" t="str">
        <f t="shared" si="103"/>
        <v>Business</v>
      </c>
      <c r="S1326" s="11">
        <f t="shared" si="104"/>
        <v>5</v>
      </c>
    </row>
    <row r="1327" spans="1:19">
      <c r="A1327" t="s">
        <v>6944</v>
      </c>
      <c r="B1327" t="s">
        <v>6945</v>
      </c>
      <c r="C1327" t="s">
        <v>673</v>
      </c>
      <c r="D1327" t="s">
        <v>6946</v>
      </c>
      <c r="E1327" t="s">
        <v>6947</v>
      </c>
      <c r="F1327" t="s">
        <v>6948</v>
      </c>
      <c r="G1327" s="4">
        <v>45493</v>
      </c>
      <c r="H1327" s="4">
        <v>45517</v>
      </c>
      <c r="I1327" s="4">
        <v>45519</v>
      </c>
      <c r="J1327">
        <f t="shared" si="100"/>
        <v>2</v>
      </c>
      <c r="K1327" t="str">
        <f t="array" ref="K1327">_xlfn.IFS(J1327=1,"Day Use",J1327&lt;=3,"Short Stay",J1327&lt;=7,"Extended Stay",J1327&gt;=8,"Long Stay")</f>
        <v>Short Stay</v>
      </c>
      <c r="L1327" t="s">
        <v>91</v>
      </c>
      <c r="M1327" s="10" t="str">
        <f t="shared" si="101"/>
        <v>Standard</v>
      </c>
      <c r="N1327" t="s">
        <v>26</v>
      </c>
      <c r="O1327" t="s">
        <v>71</v>
      </c>
      <c r="P1327">
        <f>IFERROR(VLOOKUP(TRIM(M1327),Room!D:H,5,FALSE),5000)</f>
        <v>3200</v>
      </c>
      <c r="Q1327">
        <f t="shared" si="102"/>
        <v>6400</v>
      </c>
      <c r="R1327" s="11" t="str">
        <f t="shared" si="103"/>
        <v>Other</v>
      </c>
      <c r="S1327" s="11">
        <f t="shared" si="104"/>
        <v>2</v>
      </c>
    </row>
    <row r="1328" spans="1:19">
      <c r="A1328" t="s">
        <v>6949</v>
      </c>
      <c r="B1328" t="s">
        <v>6950</v>
      </c>
      <c r="C1328" t="s">
        <v>853</v>
      </c>
      <c r="D1328" t="s">
        <v>6951</v>
      </c>
      <c r="E1328" t="s">
        <v>6952</v>
      </c>
      <c r="F1328" t="s">
        <v>6953</v>
      </c>
      <c r="G1328" s="4">
        <v>45304</v>
      </c>
      <c r="H1328" s="4">
        <v>45798</v>
      </c>
      <c r="I1328" s="4">
        <v>45804</v>
      </c>
      <c r="J1328">
        <f t="shared" si="100"/>
        <v>6</v>
      </c>
      <c r="K1328" t="str">
        <f t="array" ref="K1328">_xlfn.IFS(J1328=1,"Day Use",J1328&lt;=3,"Short Stay",J1328&lt;=7,"Extended Stay",J1328&gt;=8,"Long Stay")</f>
        <v>Extended Stay</v>
      </c>
      <c r="L1328" t="s">
        <v>25</v>
      </c>
      <c r="M1328" s="10" t="str">
        <f t="shared" si="101"/>
        <v>Deluxe</v>
      </c>
      <c r="N1328" t="s">
        <v>26</v>
      </c>
      <c r="O1328" t="s">
        <v>58</v>
      </c>
      <c r="P1328">
        <f>IFERROR(VLOOKUP(TRIM(M1328),Room!D:H,5,FALSE),5000)</f>
        <v>5400</v>
      </c>
      <c r="Q1328">
        <f t="shared" si="102"/>
        <v>32400</v>
      </c>
      <c r="R1328" s="11" t="str">
        <f t="shared" si="103"/>
        <v>Conference</v>
      </c>
      <c r="S1328" s="11">
        <f t="shared" si="104"/>
        <v>3</v>
      </c>
    </row>
    <row r="1329" spans="1:19">
      <c r="A1329" t="s">
        <v>6954</v>
      </c>
      <c r="B1329" t="s">
        <v>6955</v>
      </c>
      <c r="C1329" t="s">
        <v>2329</v>
      </c>
      <c r="D1329" t="s">
        <v>6956</v>
      </c>
      <c r="E1329" t="s">
        <v>6957</v>
      </c>
      <c r="F1329" t="s">
        <v>6958</v>
      </c>
      <c r="G1329" s="4">
        <v>45360</v>
      </c>
      <c r="H1329" s="4">
        <v>45377</v>
      </c>
      <c r="I1329" s="4">
        <v>45381</v>
      </c>
      <c r="J1329">
        <f t="shared" si="100"/>
        <v>4</v>
      </c>
      <c r="K1329" t="str">
        <f t="array" ref="K1329">_xlfn.IFS(J1329=1,"Day Use",J1329&lt;=3,"Short Stay",J1329&lt;=7,"Extended Stay",J1329&gt;=8,"Long Stay")</f>
        <v>Extended Stay</v>
      </c>
      <c r="L1329" t="s">
        <v>34</v>
      </c>
      <c r="M1329" s="10" t="str">
        <f t="shared" si="101"/>
        <v>Deluxe</v>
      </c>
      <c r="N1329" t="s">
        <v>26</v>
      </c>
      <c r="O1329" t="s">
        <v>71</v>
      </c>
      <c r="P1329">
        <f>IFERROR(VLOOKUP(TRIM(M1329),Room!D:H,5,FALSE),5000)</f>
        <v>5400</v>
      </c>
      <c r="Q1329">
        <f t="shared" si="102"/>
        <v>21600</v>
      </c>
      <c r="R1329" s="11" t="str">
        <f t="shared" si="103"/>
        <v>Conference</v>
      </c>
      <c r="S1329" s="11">
        <f t="shared" si="104"/>
        <v>3</v>
      </c>
    </row>
    <row r="1330" spans="1:19">
      <c r="A1330" t="s">
        <v>6959</v>
      </c>
      <c r="B1330" t="s">
        <v>6960</v>
      </c>
      <c r="C1330" t="s">
        <v>241</v>
      </c>
      <c r="D1330" t="s">
        <v>6961</v>
      </c>
      <c r="E1330" t="s">
        <v>6962</v>
      </c>
      <c r="F1330" t="s">
        <v>6963</v>
      </c>
      <c r="G1330" s="4">
        <v>45402</v>
      </c>
      <c r="H1330" s="4">
        <v>45431</v>
      </c>
      <c r="I1330" s="4">
        <v>45435</v>
      </c>
      <c r="J1330">
        <f t="shared" si="100"/>
        <v>4</v>
      </c>
      <c r="K1330" t="str">
        <f t="array" ref="K1330">_xlfn.IFS(J1330=1,"Day Use",J1330&lt;=3,"Short Stay",J1330&lt;=7,"Extended Stay",J1330&gt;=8,"Long Stay")</f>
        <v>Extended Stay</v>
      </c>
      <c r="L1330" t="s">
        <v>34</v>
      </c>
      <c r="M1330" s="10" t="str">
        <f t="shared" si="101"/>
        <v>Deluxe</v>
      </c>
      <c r="N1330" t="s">
        <v>26</v>
      </c>
      <c r="O1330" t="s">
        <v>35</v>
      </c>
      <c r="P1330">
        <f>IFERROR(VLOOKUP(TRIM(M1330),Room!D:H,5,FALSE),5000)</f>
        <v>5400</v>
      </c>
      <c r="Q1330">
        <f t="shared" si="102"/>
        <v>21600</v>
      </c>
      <c r="R1330" s="11" t="str">
        <f t="shared" si="103"/>
        <v>Conference</v>
      </c>
      <c r="S1330" s="11">
        <f t="shared" si="104"/>
        <v>3</v>
      </c>
    </row>
    <row r="1331" spans="1:19">
      <c r="A1331" t="s">
        <v>6964</v>
      </c>
      <c r="B1331" t="s">
        <v>6965</v>
      </c>
      <c r="C1331" t="s">
        <v>2154</v>
      </c>
      <c r="D1331" t="s">
        <v>6966</v>
      </c>
      <c r="E1331" t="s">
        <v>6967</v>
      </c>
      <c r="F1331" t="s">
        <v>6968</v>
      </c>
      <c r="G1331" s="4">
        <v>45500</v>
      </c>
      <c r="H1331" s="4">
        <v>45530</v>
      </c>
      <c r="I1331" s="4">
        <v>45542</v>
      </c>
      <c r="J1331">
        <f t="shared" si="100"/>
        <v>12</v>
      </c>
      <c r="K1331" t="str">
        <f t="array" ref="K1331">_xlfn.IFS(J1331=1,"Day Use",J1331&lt;=3,"Short Stay",J1331&lt;=7,"Extended Stay",J1331&gt;=8,"Long Stay")</f>
        <v>Long Stay</v>
      </c>
      <c r="L1331" t="s">
        <v>49</v>
      </c>
      <c r="M1331" s="10" t="str">
        <f t="shared" si="101"/>
        <v>Suite</v>
      </c>
      <c r="N1331" t="s">
        <v>26</v>
      </c>
      <c r="O1331" t="s">
        <v>58</v>
      </c>
      <c r="P1331">
        <f>IFERROR(VLOOKUP(TRIM(M1331),Room!D:H,5,FALSE),5000)</f>
        <v>12500</v>
      </c>
      <c r="Q1331">
        <f t="shared" si="102"/>
        <v>150000</v>
      </c>
      <c r="R1331" s="11" t="str">
        <f t="shared" si="103"/>
        <v>Business</v>
      </c>
      <c r="S1331" s="11">
        <f t="shared" si="104"/>
        <v>5</v>
      </c>
    </row>
    <row r="1332" spans="1:19">
      <c r="A1332" t="s">
        <v>6969</v>
      </c>
      <c r="B1332" t="s">
        <v>6970</v>
      </c>
      <c r="C1332" t="s">
        <v>558</v>
      </c>
      <c r="D1332" t="s">
        <v>6971</v>
      </c>
      <c r="E1332" t="s">
        <v>6972</v>
      </c>
      <c r="F1332" t="s">
        <v>6973</v>
      </c>
      <c r="G1332" s="4">
        <v>45348</v>
      </c>
      <c r="H1332" s="4">
        <v>45374</v>
      </c>
      <c r="I1332" s="4">
        <v>45387</v>
      </c>
      <c r="J1332">
        <f t="shared" si="100"/>
        <v>13</v>
      </c>
      <c r="K1332" t="str">
        <f t="array" ref="K1332">_xlfn.IFS(J1332=1,"Day Use",J1332&lt;=3,"Short Stay",J1332&lt;=7,"Extended Stay",J1332&gt;=8,"Long Stay")</f>
        <v>Long Stay</v>
      </c>
      <c r="L1332" t="s">
        <v>34</v>
      </c>
      <c r="M1332" s="10" t="str">
        <f t="shared" si="101"/>
        <v>Suite</v>
      </c>
      <c r="N1332" t="s">
        <v>26</v>
      </c>
      <c r="O1332" t="s">
        <v>27</v>
      </c>
      <c r="P1332">
        <f>IFERROR(VLOOKUP(TRIM(M1332),Room!D:H,5,FALSE),5000)</f>
        <v>12500</v>
      </c>
      <c r="Q1332">
        <f t="shared" si="102"/>
        <v>162500</v>
      </c>
      <c r="R1332" s="11" t="str">
        <f t="shared" si="103"/>
        <v>Business</v>
      </c>
      <c r="S1332" s="11">
        <f t="shared" si="104"/>
        <v>5</v>
      </c>
    </row>
    <row r="1333" spans="1:19">
      <c r="A1333" t="s">
        <v>6974</v>
      </c>
      <c r="B1333" t="s">
        <v>6975</v>
      </c>
      <c r="C1333" t="s">
        <v>1763</v>
      </c>
      <c r="D1333" t="s">
        <v>6976</v>
      </c>
      <c r="E1333" t="s">
        <v>6977</v>
      </c>
      <c r="F1333" t="s">
        <v>6978</v>
      </c>
      <c r="G1333" s="4">
        <v>45416</v>
      </c>
      <c r="H1333" s="4">
        <v>45438</v>
      </c>
      <c r="I1333" s="4">
        <v>45445</v>
      </c>
      <c r="J1333">
        <f t="shared" si="100"/>
        <v>7</v>
      </c>
      <c r="K1333" t="str">
        <f t="array" ref="K1333">_xlfn.IFS(J1333=1,"Day Use",J1333&lt;=3,"Short Stay",J1333&lt;=7,"Extended Stay",J1333&gt;=8,"Long Stay")</f>
        <v>Extended Stay</v>
      </c>
      <c r="L1333" t="s">
        <v>91</v>
      </c>
      <c r="M1333" s="10" t="str">
        <f t="shared" si="101"/>
        <v>Premium</v>
      </c>
      <c r="N1333" t="s">
        <v>26</v>
      </c>
      <c r="O1333" t="s">
        <v>42</v>
      </c>
      <c r="P1333">
        <f>IFERROR(VLOOKUP(TRIM(M1333),Room!D:H,5,FALSE),5000)</f>
        <v>9500</v>
      </c>
      <c r="Q1333">
        <f t="shared" si="102"/>
        <v>66500</v>
      </c>
      <c r="R1333" s="11" t="str">
        <f t="shared" si="103"/>
        <v>Conference</v>
      </c>
      <c r="S1333" s="11">
        <f t="shared" si="104"/>
        <v>4</v>
      </c>
    </row>
    <row r="1334" spans="1:19">
      <c r="A1334" t="s">
        <v>6979</v>
      </c>
      <c r="B1334" t="s">
        <v>6980</v>
      </c>
      <c r="C1334" t="s">
        <v>587</v>
      </c>
      <c r="D1334" t="s">
        <v>6981</v>
      </c>
      <c r="E1334" t="s">
        <v>6982</v>
      </c>
      <c r="F1334" t="s">
        <v>6983</v>
      </c>
      <c r="G1334" s="4">
        <v>45292</v>
      </c>
      <c r="H1334" s="4">
        <v>45299</v>
      </c>
      <c r="I1334" s="4">
        <v>45309</v>
      </c>
      <c r="J1334">
        <f t="shared" si="100"/>
        <v>10</v>
      </c>
      <c r="K1334" t="str">
        <f t="array" ref="K1334">_xlfn.IFS(J1334=1,"Day Use",J1334&lt;=3,"Short Stay",J1334&lt;=7,"Extended Stay",J1334&gt;=8,"Long Stay")</f>
        <v>Long Stay</v>
      </c>
      <c r="L1334" t="s">
        <v>141</v>
      </c>
      <c r="M1334" s="10" t="str">
        <f t="shared" si="101"/>
        <v>Premium</v>
      </c>
      <c r="N1334" t="s">
        <v>26</v>
      </c>
      <c r="O1334" t="s">
        <v>42</v>
      </c>
      <c r="P1334">
        <f>IFERROR(VLOOKUP(TRIM(M1334),Room!D:H,5,FALSE),5000)</f>
        <v>9500</v>
      </c>
      <c r="Q1334">
        <f t="shared" si="102"/>
        <v>95000</v>
      </c>
      <c r="R1334" s="11" t="str">
        <f t="shared" si="103"/>
        <v>Conference</v>
      </c>
      <c r="S1334" s="11">
        <f t="shared" si="104"/>
        <v>4</v>
      </c>
    </row>
    <row r="1335" spans="1:19">
      <c r="A1335" t="s">
        <v>6984</v>
      </c>
      <c r="B1335" t="s">
        <v>6985</v>
      </c>
      <c r="C1335" t="s">
        <v>774</v>
      </c>
      <c r="D1335" t="s">
        <v>6986</v>
      </c>
      <c r="E1335" t="s">
        <v>6987</v>
      </c>
      <c r="F1335" t="s">
        <v>6988</v>
      </c>
      <c r="G1335" s="4">
        <v>45579</v>
      </c>
      <c r="H1335" s="4">
        <v>45586</v>
      </c>
      <c r="I1335" s="4">
        <v>45587</v>
      </c>
      <c r="J1335">
        <f t="shared" si="100"/>
        <v>1</v>
      </c>
      <c r="K1335" t="str">
        <f t="array" ref="K1335">_xlfn.IFS(J1335=1,"Day Use",J1335&lt;=3,"Short Stay",J1335&lt;=7,"Extended Stay",J1335&gt;=8,"Long Stay")</f>
        <v>Day Use</v>
      </c>
      <c r="L1335" t="s">
        <v>34</v>
      </c>
      <c r="M1335" s="10" t="str">
        <f t="shared" si="101"/>
        <v>Standard</v>
      </c>
      <c r="N1335" t="s">
        <v>26</v>
      </c>
      <c r="O1335" t="s">
        <v>42</v>
      </c>
      <c r="P1335">
        <f>IFERROR(VLOOKUP(TRIM(M1335),Room!D:H,5,FALSE),5000)</f>
        <v>3200</v>
      </c>
      <c r="Q1335">
        <f t="shared" si="102"/>
        <v>3200</v>
      </c>
      <c r="R1335" s="11" t="str">
        <f t="shared" si="103"/>
        <v>Other</v>
      </c>
      <c r="S1335" s="11">
        <f t="shared" si="104"/>
        <v>1</v>
      </c>
    </row>
    <row r="1336" spans="1:19">
      <c r="A1336" t="s">
        <v>6989</v>
      </c>
      <c r="B1336" t="s">
        <v>6990</v>
      </c>
      <c r="C1336" t="s">
        <v>3118</v>
      </c>
      <c r="D1336" t="s">
        <v>6991</v>
      </c>
      <c r="E1336" t="s">
        <v>6992</v>
      </c>
      <c r="F1336" t="s">
        <v>6993</v>
      </c>
      <c r="G1336" s="4">
        <v>45367</v>
      </c>
      <c r="H1336" s="4">
        <v>45374</v>
      </c>
      <c r="I1336" s="4">
        <v>45382</v>
      </c>
      <c r="J1336">
        <f t="shared" si="100"/>
        <v>8</v>
      </c>
      <c r="K1336" t="str">
        <f t="array" ref="K1336">_xlfn.IFS(J1336=1,"Day Use",J1336&lt;=3,"Short Stay",J1336&lt;=7,"Extended Stay",J1336&gt;=8,"Long Stay")</f>
        <v>Long Stay</v>
      </c>
      <c r="L1336" t="s">
        <v>141</v>
      </c>
      <c r="M1336" s="10" t="str">
        <f t="shared" si="101"/>
        <v>Premium</v>
      </c>
      <c r="N1336" t="s">
        <v>57</v>
      </c>
      <c r="O1336" t="s">
        <v>71</v>
      </c>
      <c r="P1336">
        <f>IFERROR(VLOOKUP(TRIM(M1336),Room!D:H,5,FALSE),5000)</f>
        <v>9500</v>
      </c>
      <c r="Q1336">
        <f t="shared" si="102"/>
        <v>76000</v>
      </c>
      <c r="R1336" s="11" t="str">
        <f t="shared" si="103"/>
        <v>Conference</v>
      </c>
      <c r="S1336" s="11">
        <f t="shared" si="104"/>
        <v>4</v>
      </c>
    </row>
    <row r="1337" spans="1:19">
      <c r="A1337" t="s">
        <v>6994</v>
      </c>
      <c r="B1337" t="s">
        <v>6995</v>
      </c>
      <c r="C1337" t="s">
        <v>1140</v>
      </c>
      <c r="D1337" t="s">
        <v>6996</v>
      </c>
      <c r="E1337" t="s">
        <v>6997</v>
      </c>
      <c r="F1337" t="s">
        <v>6998</v>
      </c>
      <c r="G1337" s="4">
        <v>45345</v>
      </c>
      <c r="H1337" s="4">
        <v>45838</v>
      </c>
      <c r="I1337" s="4">
        <v>45843</v>
      </c>
      <c r="J1337">
        <f t="shared" si="100"/>
        <v>5</v>
      </c>
      <c r="K1337" t="str">
        <f t="array" ref="K1337">_xlfn.IFS(J1337=1,"Day Use",J1337&lt;=3,"Short Stay",J1337&lt;=7,"Extended Stay",J1337&gt;=8,"Long Stay")</f>
        <v>Extended Stay</v>
      </c>
      <c r="L1337" t="s">
        <v>84</v>
      </c>
      <c r="M1337" s="10" t="str">
        <f t="shared" si="101"/>
        <v>Deluxe</v>
      </c>
      <c r="N1337" t="s">
        <v>372</v>
      </c>
      <c r="O1337" t="s">
        <v>71</v>
      </c>
      <c r="P1337">
        <f>IFERROR(VLOOKUP(TRIM(M1337),Room!D:H,5,FALSE),5000)</f>
        <v>5400</v>
      </c>
      <c r="Q1337">
        <f t="shared" si="102"/>
        <v>27000</v>
      </c>
      <c r="R1337" s="11" t="str">
        <f t="shared" si="103"/>
        <v>Conference</v>
      </c>
      <c r="S1337" s="11">
        <f t="shared" si="104"/>
        <v>3</v>
      </c>
    </row>
    <row r="1338" spans="1:19">
      <c r="A1338" t="s">
        <v>6999</v>
      </c>
      <c r="B1338" t="s">
        <v>7000</v>
      </c>
      <c r="C1338" t="s">
        <v>780</v>
      </c>
      <c r="D1338" t="s">
        <v>7001</v>
      </c>
      <c r="E1338" t="s">
        <v>7002</v>
      </c>
      <c r="F1338" t="s">
        <v>7003</v>
      </c>
      <c r="G1338" s="4">
        <v>45467</v>
      </c>
      <c r="H1338" s="4">
        <v>45536</v>
      </c>
      <c r="I1338" s="4">
        <v>45539</v>
      </c>
      <c r="J1338">
        <f t="shared" si="100"/>
        <v>3</v>
      </c>
      <c r="K1338" t="str">
        <f t="array" ref="K1338">_xlfn.IFS(J1338=1,"Day Use",J1338&lt;=3,"Short Stay",J1338&lt;=7,"Extended Stay",J1338&gt;=8,"Long Stay")</f>
        <v>Short Stay</v>
      </c>
      <c r="L1338" t="s">
        <v>91</v>
      </c>
      <c r="M1338" s="10" t="str">
        <f t="shared" si="101"/>
        <v>Standard</v>
      </c>
      <c r="N1338" t="s">
        <v>26</v>
      </c>
      <c r="O1338" t="s">
        <v>27</v>
      </c>
      <c r="P1338">
        <f>IFERROR(VLOOKUP(TRIM(M1338),Room!D:H,5,FALSE),5000)</f>
        <v>3200</v>
      </c>
      <c r="Q1338">
        <f t="shared" si="102"/>
        <v>9600</v>
      </c>
      <c r="R1338" s="11" t="str">
        <f t="shared" si="103"/>
        <v>Other</v>
      </c>
      <c r="S1338" s="11">
        <f t="shared" si="104"/>
        <v>2</v>
      </c>
    </row>
    <row r="1339" spans="1:19">
      <c r="A1339" t="s">
        <v>7004</v>
      </c>
      <c r="B1339" t="s">
        <v>7005</v>
      </c>
      <c r="C1339" t="s">
        <v>2863</v>
      </c>
      <c r="D1339" t="s">
        <v>7006</v>
      </c>
      <c r="E1339" t="s">
        <v>7007</v>
      </c>
      <c r="F1339" t="s">
        <v>7008</v>
      </c>
      <c r="G1339" s="4">
        <v>45634</v>
      </c>
      <c r="H1339" s="4">
        <v>45654</v>
      </c>
      <c r="I1339" s="4">
        <v>45659</v>
      </c>
      <c r="J1339">
        <f t="shared" si="100"/>
        <v>5</v>
      </c>
      <c r="K1339" t="str">
        <f t="array" ref="K1339">_xlfn.IFS(J1339=1,"Day Use",J1339&lt;=3,"Short Stay",J1339&lt;=7,"Extended Stay",J1339&gt;=8,"Long Stay")</f>
        <v>Extended Stay</v>
      </c>
      <c r="L1339" t="s">
        <v>56</v>
      </c>
      <c r="M1339" s="10" t="str">
        <f t="shared" si="101"/>
        <v>Deluxe</v>
      </c>
      <c r="N1339" t="s">
        <v>148</v>
      </c>
      <c r="O1339" t="s">
        <v>27</v>
      </c>
      <c r="P1339">
        <f>IFERROR(VLOOKUP(TRIM(M1339),Room!D:H,5,FALSE),5000)</f>
        <v>5400</v>
      </c>
      <c r="Q1339">
        <f t="shared" si="102"/>
        <v>27000</v>
      </c>
      <c r="R1339" s="11" t="str">
        <f t="shared" si="103"/>
        <v>Conference</v>
      </c>
      <c r="S1339" s="11">
        <f t="shared" si="104"/>
        <v>3</v>
      </c>
    </row>
    <row r="1340" spans="1:19">
      <c r="A1340" t="s">
        <v>7009</v>
      </c>
      <c r="B1340" t="s">
        <v>7010</v>
      </c>
      <c r="C1340" t="s">
        <v>751</v>
      </c>
      <c r="D1340" t="s">
        <v>7011</v>
      </c>
      <c r="E1340" t="s">
        <v>7012</v>
      </c>
      <c r="F1340" t="s">
        <v>7013</v>
      </c>
      <c r="G1340" s="4">
        <v>45465</v>
      </c>
      <c r="H1340" s="4">
        <v>45964</v>
      </c>
      <c r="I1340" s="4">
        <v>45969</v>
      </c>
      <c r="J1340">
        <f t="shared" si="100"/>
        <v>5</v>
      </c>
      <c r="K1340" t="str">
        <f t="array" ref="K1340">_xlfn.IFS(J1340=1,"Day Use",J1340&lt;=3,"Short Stay",J1340&lt;=7,"Extended Stay",J1340&gt;=8,"Long Stay")</f>
        <v>Extended Stay</v>
      </c>
      <c r="L1340" t="s">
        <v>91</v>
      </c>
      <c r="M1340" s="10" t="str">
        <f t="shared" si="101"/>
        <v>Deluxe</v>
      </c>
      <c r="N1340" t="s">
        <v>26</v>
      </c>
      <c r="O1340" t="s">
        <v>35</v>
      </c>
      <c r="P1340">
        <f>IFERROR(VLOOKUP(TRIM(M1340),Room!D:H,5,FALSE),5000)</f>
        <v>5400</v>
      </c>
      <c r="Q1340">
        <f t="shared" si="102"/>
        <v>27000</v>
      </c>
      <c r="R1340" s="11" t="str">
        <f t="shared" si="103"/>
        <v>Conference</v>
      </c>
      <c r="S1340" s="11">
        <f t="shared" si="104"/>
        <v>3</v>
      </c>
    </row>
    <row r="1341" spans="1:19">
      <c r="A1341" t="s">
        <v>7014</v>
      </c>
      <c r="B1341" t="s">
        <v>7015</v>
      </c>
      <c r="C1341" t="s">
        <v>363</v>
      </c>
      <c r="D1341" t="s">
        <v>7016</v>
      </c>
      <c r="E1341" t="s">
        <v>7017</v>
      </c>
      <c r="F1341" t="s">
        <v>7018</v>
      </c>
      <c r="G1341" s="4">
        <v>45421</v>
      </c>
      <c r="H1341" s="4">
        <v>45651</v>
      </c>
      <c r="I1341" s="4">
        <v>45656</v>
      </c>
      <c r="J1341">
        <f t="shared" si="100"/>
        <v>5</v>
      </c>
      <c r="K1341" t="str">
        <f t="array" ref="K1341">_xlfn.IFS(J1341=1,"Day Use",J1341&lt;=3,"Short Stay",J1341&lt;=7,"Extended Stay",J1341&gt;=8,"Long Stay")</f>
        <v>Extended Stay</v>
      </c>
      <c r="L1341" t="s">
        <v>91</v>
      </c>
      <c r="M1341" s="10" t="str">
        <f t="shared" si="101"/>
        <v>Deluxe</v>
      </c>
      <c r="N1341" t="s">
        <v>148</v>
      </c>
      <c r="O1341" t="s">
        <v>35</v>
      </c>
      <c r="P1341">
        <f>IFERROR(VLOOKUP(TRIM(M1341),Room!D:H,5,FALSE),5000)</f>
        <v>5400</v>
      </c>
      <c r="Q1341">
        <f t="shared" si="102"/>
        <v>27000</v>
      </c>
      <c r="R1341" s="11" t="str">
        <f t="shared" si="103"/>
        <v>Conference</v>
      </c>
      <c r="S1341" s="11">
        <f t="shared" si="104"/>
        <v>3</v>
      </c>
    </row>
    <row r="1342" spans="1:19">
      <c r="A1342" t="s">
        <v>7019</v>
      </c>
      <c r="B1342" t="s">
        <v>7020</v>
      </c>
      <c r="C1342" t="s">
        <v>1140</v>
      </c>
      <c r="D1342" t="s">
        <v>7021</v>
      </c>
      <c r="E1342" t="s">
        <v>7022</v>
      </c>
      <c r="F1342" t="s">
        <v>7023</v>
      </c>
      <c r="G1342" s="4">
        <v>45317</v>
      </c>
      <c r="H1342" s="4">
        <v>45954</v>
      </c>
      <c r="I1342" s="4">
        <v>45960</v>
      </c>
      <c r="J1342">
        <f t="shared" si="100"/>
        <v>6</v>
      </c>
      <c r="K1342" t="str">
        <f t="array" ref="K1342">_xlfn.IFS(J1342=1,"Day Use",J1342&lt;=3,"Short Stay",J1342&lt;=7,"Extended Stay",J1342&gt;=8,"Long Stay")</f>
        <v>Extended Stay</v>
      </c>
      <c r="L1342" t="s">
        <v>91</v>
      </c>
      <c r="M1342" s="10" t="str">
        <f t="shared" si="101"/>
        <v>Deluxe</v>
      </c>
      <c r="N1342" t="s">
        <v>26</v>
      </c>
      <c r="O1342" t="s">
        <v>35</v>
      </c>
      <c r="P1342">
        <f>IFERROR(VLOOKUP(TRIM(M1342),Room!D:H,5,FALSE),5000)</f>
        <v>5400</v>
      </c>
      <c r="Q1342">
        <f t="shared" si="102"/>
        <v>32400</v>
      </c>
      <c r="R1342" s="11" t="str">
        <f t="shared" si="103"/>
        <v>Conference</v>
      </c>
      <c r="S1342" s="11">
        <f t="shared" si="104"/>
        <v>3</v>
      </c>
    </row>
    <row r="1343" spans="1:19">
      <c r="A1343" t="s">
        <v>7024</v>
      </c>
      <c r="B1343" t="s">
        <v>7025</v>
      </c>
      <c r="C1343" t="s">
        <v>1014</v>
      </c>
      <c r="D1343" t="s">
        <v>7026</v>
      </c>
      <c r="E1343" t="s">
        <v>7027</v>
      </c>
      <c r="F1343" t="s">
        <v>7028</v>
      </c>
      <c r="G1343" s="4">
        <v>45414</v>
      </c>
      <c r="H1343" s="4">
        <v>45431</v>
      </c>
      <c r="I1343" s="4">
        <v>45442</v>
      </c>
      <c r="J1343">
        <f t="shared" si="100"/>
        <v>11</v>
      </c>
      <c r="K1343" t="str">
        <f t="array" ref="K1343">_xlfn.IFS(J1343=1,"Day Use",J1343&lt;=3,"Short Stay",J1343&lt;=7,"Extended Stay",J1343&gt;=8,"Long Stay")</f>
        <v>Long Stay</v>
      </c>
      <c r="L1343" t="s">
        <v>34</v>
      </c>
      <c r="M1343" s="10" t="str">
        <f t="shared" si="101"/>
        <v>Suite</v>
      </c>
      <c r="N1343" t="s">
        <v>26</v>
      </c>
      <c r="O1343" t="s">
        <v>35</v>
      </c>
      <c r="P1343">
        <f>IFERROR(VLOOKUP(TRIM(M1343),Room!D:H,5,FALSE),5000)</f>
        <v>12500</v>
      </c>
      <c r="Q1343">
        <f t="shared" si="102"/>
        <v>137500</v>
      </c>
      <c r="R1343" s="11" t="str">
        <f t="shared" si="103"/>
        <v>Business</v>
      </c>
      <c r="S1343" s="11">
        <f t="shared" si="104"/>
        <v>5</v>
      </c>
    </row>
    <row r="1344" spans="1:19">
      <c r="A1344" t="s">
        <v>7029</v>
      </c>
      <c r="B1344" t="s">
        <v>7030</v>
      </c>
      <c r="C1344" t="s">
        <v>106</v>
      </c>
      <c r="D1344" t="s">
        <v>7031</v>
      </c>
      <c r="E1344" t="s">
        <v>7032</v>
      </c>
      <c r="F1344" t="s">
        <v>7033</v>
      </c>
      <c r="G1344" s="4">
        <v>45795</v>
      </c>
      <c r="H1344" s="4">
        <v>45958</v>
      </c>
      <c r="I1344" s="4">
        <v>45971</v>
      </c>
      <c r="J1344">
        <f t="shared" si="100"/>
        <v>13</v>
      </c>
      <c r="K1344" t="str">
        <f t="array" ref="K1344">_xlfn.IFS(J1344=1,"Day Use",J1344&lt;=3,"Short Stay",J1344&lt;=7,"Extended Stay",J1344&gt;=8,"Long Stay")</f>
        <v>Long Stay</v>
      </c>
      <c r="L1344" t="s">
        <v>25</v>
      </c>
      <c r="M1344" s="10" t="str">
        <f t="shared" si="101"/>
        <v>Suite</v>
      </c>
      <c r="N1344" t="s">
        <v>26</v>
      </c>
      <c r="O1344" t="s">
        <v>58</v>
      </c>
      <c r="P1344">
        <f>IFERROR(VLOOKUP(TRIM(M1344),Room!D:H,5,FALSE),5000)</f>
        <v>12500</v>
      </c>
      <c r="Q1344">
        <f t="shared" si="102"/>
        <v>162500</v>
      </c>
      <c r="R1344" s="11" t="str">
        <f t="shared" si="103"/>
        <v>Business</v>
      </c>
      <c r="S1344" s="11">
        <f t="shared" si="104"/>
        <v>5</v>
      </c>
    </row>
    <row r="1345" spans="1:19">
      <c r="A1345" t="s">
        <v>7034</v>
      </c>
      <c r="B1345" t="s">
        <v>7035</v>
      </c>
      <c r="C1345" t="s">
        <v>768</v>
      </c>
      <c r="D1345" t="s">
        <v>7036</v>
      </c>
      <c r="E1345" t="s">
        <v>7037</v>
      </c>
      <c r="F1345" t="s">
        <v>7038</v>
      </c>
      <c r="G1345" s="4">
        <v>45385</v>
      </c>
      <c r="H1345" s="4">
        <v>45392</v>
      </c>
      <c r="I1345" s="4">
        <v>45397</v>
      </c>
      <c r="J1345">
        <f t="shared" si="100"/>
        <v>5</v>
      </c>
      <c r="K1345" t="str">
        <f t="array" ref="K1345">_xlfn.IFS(J1345=1,"Day Use",J1345&lt;=3,"Short Stay",J1345&lt;=7,"Extended Stay",J1345&gt;=8,"Long Stay")</f>
        <v>Extended Stay</v>
      </c>
      <c r="L1345" t="s">
        <v>84</v>
      </c>
      <c r="M1345" s="10" t="str">
        <f t="shared" si="101"/>
        <v>Deluxe</v>
      </c>
      <c r="N1345" t="s">
        <v>26</v>
      </c>
      <c r="O1345" t="s">
        <v>35</v>
      </c>
      <c r="P1345">
        <f>IFERROR(VLOOKUP(TRIM(M1345),Room!D:H,5,FALSE),5000)</f>
        <v>5400</v>
      </c>
      <c r="Q1345">
        <f t="shared" si="102"/>
        <v>27000</v>
      </c>
      <c r="R1345" s="11" t="str">
        <f t="shared" si="103"/>
        <v>Conference</v>
      </c>
      <c r="S1345" s="11">
        <f t="shared" si="104"/>
        <v>3</v>
      </c>
    </row>
    <row r="1346" spans="1:19">
      <c r="A1346" t="s">
        <v>7039</v>
      </c>
      <c r="B1346" t="s">
        <v>7040</v>
      </c>
      <c r="C1346" t="s">
        <v>253</v>
      </c>
      <c r="D1346" t="s">
        <v>7041</v>
      </c>
      <c r="E1346" t="s">
        <v>7042</v>
      </c>
      <c r="F1346" t="s">
        <v>7043</v>
      </c>
      <c r="G1346" s="4">
        <v>45358</v>
      </c>
      <c r="H1346" s="4">
        <v>45359</v>
      </c>
      <c r="I1346" s="4">
        <v>45362</v>
      </c>
      <c r="J1346">
        <f t="shared" ref="J1346:J1409" si="105">I1346-H1346</f>
        <v>3</v>
      </c>
      <c r="K1346" t="str">
        <f t="array" ref="K1346">_xlfn.IFS(J1346=1,"Day Use",J1346&lt;=3,"Short Stay",J1346&lt;=7,"Extended Stay",J1346&gt;=8,"Long Stay")</f>
        <v>Short Stay</v>
      </c>
      <c r="L1346" t="s">
        <v>84</v>
      </c>
      <c r="M1346" s="10" t="str">
        <f t="shared" ref="M1346:M1409" si="106">IF($J1346&lt;=3,"Standard",IF($J1346&lt;=6,"Deluxe",IF($J1346&lt;=10,"Premium","Suite")))</f>
        <v>Standard</v>
      </c>
      <c r="N1346" t="s">
        <v>26</v>
      </c>
      <c r="O1346" t="s">
        <v>42</v>
      </c>
      <c r="P1346">
        <f>IFERROR(VLOOKUP(TRIM(M1346),Room!D:H,5,FALSE),5000)</f>
        <v>3200</v>
      </c>
      <c r="Q1346">
        <f t="shared" si="102"/>
        <v>9600</v>
      </c>
      <c r="R1346" s="11" t="str">
        <f t="shared" si="103"/>
        <v>Other</v>
      </c>
      <c r="S1346" s="11">
        <f t="shared" si="104"/>
        <v>2</v>
      </c>
    </row>
    <row r="1347" spans="1:19">
      <c r="A1347" t="s">
        <v>7044</v>
      </c>
      <c r="B1347" t="s">
        <v>7045</v>
      </c>
      <c r="C1347" t="s">
        <v>432</v>
      </c>
      <c r="D1347" t="s">
        <v>7046</v>
      </c>
      <c r="E1347" t="s">
        <v>7047</v>
      </c>
      <c r="F1347" t="s">
        <v>7048</v>
      </c>
      <c r="G1347" s="4">
        <v>45453</v>
      </c>
      <c r="H1347" s="4">
        <v>45597</v>
      </c>
      <c r="I1347" s="4">
        <v>45598</v>
      </c>
      <c r="J1347">
        <f t="shared" si="105"/>
        <v>1</v>
      </c>
      <c r="K1347" t="str">
        <f t="array" ref="K1347">_xlfn.IFS(J1347=1,"Day Use",J1347&lt;=3,"Short Stay",J1347&lt;=7,"Extended Stay",J1347&gt;=8,"Long Stay")</f>
        <v>Day Use</v>
      </c>
      <c r="L1347" t="s">
        <v>25</v>
      </c>
      <c r="M1347" s="10" t="str">
        <f t="shared" si="106"/>
        <v>Standard</v>
      </c>
      <c r="N1347" t="s">
        <v>26</v>
      </c>
      <c r="O1347" t="s">
        <v>35</v>
      </c>
      <c r="P1347">
        <f>IFERROR(VLOOKUP(TRIM(M1347),Room!D:H,5,FALSE),5000)</f>
        <v>3200</v>
      </c>
      <c r="Q1347">
        <f t="shared" ref="Q1347:Q1410" si="107">P1347*J1347</f>
        <v>3200</v>
      </c>
      <c r="R1347" s="11" t="str">
        <f t="shared" ref="R1347:R1410" si="108">IF(ISNUMBER(SEARCH("Suite",D1347)),"Honeymoon",IF(P1347&gt;10000,"Business",IF(P1347&gt;5000,"Conference",IF(J1347&gt;=8,"Family Vacation","Other"))))</f>
        <v>Other</v>
      </c>
      <c r="S1347" s="11">
        <f t="shared" ref="S1347:S1410" si="109">IF(M1347="Suite",5,IF(M1347="Premium",IF(Q1347&gt;20000,4,3),IF(M1347="Deluxe",IF(Q1347&gt;=10000,3,2),IF(M1347="Standard",IF(Q1347&gt;=5000,2,1),1))))</f>
        <v>1</v>
      </c>
    </row>
    <row r="1348" spans="1:19">
      <c r="A1348" t="s">
        <v>7049</v>
      </c>
      <c r="B1348" t="s">
        <v>7050</v>
      </c>
      <c r="C1348" t="s">
        <v>2154</v>
      </c>
      <c r="D1348" t="s">
        <v>7051</v>
      </c>
      <c r="E1348" t="s">
        <v>7052</v>
      </c>
      <c r="F1348" t="s">
        <v>7053</v>
      </c>
      <c r="G1348" s="4">
        <v>45482</v>
      </c>
      <c r="H1348" s="4">
        <v>45493</v>
      </c>
      <c r="I1348" s="4">
        <v>45497</v>
      </c>
      <c r="J1348">
        <f t="shared" si="105"/>
        <v>4</v>
      </c>
      <c r="K1348" t="str">
        <f t="array" ref="K1348">_xlfn.IFS(J1348=1,"Day Use",J1348&lt;=3,"Short Stay",J1348&lt;=7,"Extended Stay",J1348&gt;=8,"Long Stay")</f>
        <v>Extended Stay</v>
      </c>
      <c r="L1348" t="s">
        <v>34</v>
      </c>
      <c r="M1348" s="10" t="str">
        <f t="shared" si="106"/>
        <v>Deluxe</v>
      </c>
      <c r="N1348" t="s">
        <v>26</v>
      </c>
      <c r="O1348" t="s">
        <v>27</v>
      </c>
      <c r="P1348">
        <f>IFERROR(VLOOKUP(TRIM(M1348),Room!D:H,5,FALSE),5000)</f>
        <v>5400</v>
      </c>
      <c r="Q1348">
        <f t="shared" si="107"/>
        <v>21600</v>
      </c>
      <c r="R1348" s="11" t="str">
        <f t="shared" si="108"/>
        <v>Conference</v>
      </c>
      <c r="S1348" s="11">
        <f t="shared" si="109"/>
        <v>3</v>
      </c>
    </row>
    <row r="1349" spans="1:19">
      <c r="A1349" t="s">
        <v>7054</v>
      </c>
      <c r="B1349" t="s">
        <v>7055</v>
      </c>
      <c r="C1349" t="s">
        <v>667</v>
      </c>
      <c r="D1349" t="s">
        <v>7056</v>
      </c>
      <c r="E1349" t="s">
        <v>7057</v>
      </c>
      <c r="F1349" t="s">
        <v>7058</v>
      </c>
      <c r="G1349" s="4">
        <v>45361</v>
      </c>
      <c r="H1349" s="4">
        <v>45711</v>
      </c>
      <c r="I1349" s="4">
        <v>45723</v>
      </c>
      <c r="J1349">
        <f t="shared" si="105"/>
        <v>12</v>
      </c>
      <c r="K1349" t="str">
        <f t="array" ref="K1349">_xlfn.IFS(J1349=1,"Day Use",J1349&lt;=3,"Short Stay",J1349&lt;=7,"Extended Stay",J1349&gt;=8,"Long Stay")</f>
        <v>Long Stay</v>
      </c>
      <c r="L1349" t="s">
        <v>91</v>
      </c>
      <c r="M1349" s="10" t="str">
        <f t="shared" si="106"/>
        <v>Suite</v>
      </c>
      <c r="N1349" t="s">
        <v>26</v>
      </c>
      <c r="O1349" t="s">
        <v>71</v>
      </c>
      <c r="P1349">
        <f>IFERROR(VLOOKUP(TRIM(M1349),Room!D:H,5,FALSE),5000)</f>
        <v>12500</v>
      </c>
      <c r="Q1349">
        <f t="shared" si="107"/>
        <v>150000</v>
      </c>
      <c r="R1349" s="11" t="str">
        <f t="shared" si="108"/>
        <v>Business</v>
      </c>
      <c r="S1349" s="11">
        <f t="shared" si="109"/>
        <v>5</v>
      </c>
    </row>
    <row r="1350" spans="1:19">
      <c r="A1350" t="s">
        <v>7059</v>
      </c>
      <c r="B1350" t="s">
        <v>7060</v>
      </c>
      <c r="C1350" t="s">
        <v>2085</v>
      </c>
      <c r="D1350" t="s">
        <v>7061</v>
      </c>
      <c r="E1350" t="s">
        <v>7062</v>
      </c>
      <c r="F1350" t="s">
        <v>7063</v>
      </c>
      <c r="G1350" s="4">
        <v>45550</v>
      </c>
      <c r="H1350" s="4">
        <v>45575</v>
      </c>
      <c r="I1350" s="4">
        <v>45577</v>
      </c>
      <c r="J1350">
        <f t="shared" si="105"/>
        <v>2</v>
      </c>
      <c r="K1350" t="str">
        <f t="array" ref="K1350">_xlfn.IFS(J1350=1,"Day Use",J1350&lt;=3,"Short Stay",J1350&lt;=7,"Extended Stay",J1350&gt;=8,"Long Stay")</f>
        <v>Short Stay</v>
      </c>
      <c r="L1350" t="s">
        <v>49</v>
      </c>
      <c r="M1350" s="10" t="str">
        <f t="shared" si="106"/>
        <v>Standard</v>
      </c>
      <c r="N1350" t="s">
        <v>26</v>
      </c>
      <c r="O1350" t="s">
        <v>35</v>
      </c>
      <c r="P1350">
        <f>IFERROR(VLOOKUP(TRIM(M1350),Room!D:H,5,FALSE),5000)</f>
        <v>3200</v>
      </c>
      <c r="Q1350">
        <f t="shared" si="107"/>
        <v>6400</v>
      </c>
      <c r="R1350" s="11" t="str">
        <f t="shared" si="108"/>
        <v>Other</v>
      </c>
      <c r="S1350" s="11">
        <f t="shared" si="109"/>
        <v>2</v>
      </c>
    </row>
    <row r="1351" spans="1:19">
      <c r="A1351" t="s">
        <v>7064</v>
      </c>
      <c r="B1351" t="s">
        <v>7065</v>
      </c>
      <c r="C1351" t="s">
        <v>865</v>
      </c>
      <c r="D1351" t="s">
        <v>7066</v>
      </c>
      <c r="E1351" t="s">
        <v>7067</v>
      </c>
      <c r="F1351" t="s">
        <v>7068</v>
      </c>
      <c r="G1351" s="4">
        <v>45733</v>
      </c>
      <c r="H1351" s="4">
        <v>45737</v>
      </c>
      <c r="I1351" s="4">
        <v>45745</v>
      </c>
      <c r="J1351">
        <f t="shared" si="105"/>
        <v>8</v>
      </c>
      <c r="K1351" t="str">
        <f t="array" ref="K1351">_xlfn.IFS(J1351=1,"Day Use",J1351&lt;=3,"Short Stay",J1351&lt;=7,"Extended Stay",J1351&gt;=8,"Long Stay")</f>
        <v>Long Stay</v>
      </c>
      <c r="L1351" t="s">
        <v>84</v>
      </c>
      <c r="M1351" s="10" t="str">
        <f t="shared" si="106"/>
        <v>Premium</v>
      </c>
      <c r="N1351" t="s">
        <v>148</v>
      </c>
      <c r="O1351" t="s">
        <v>71</v>
      </c>
      <c r="P1351">
        <f>IFERROR(VLOOKUP(TRIM(M1351),Room!D:H,5,FALSE),5000)</f>
        <v>9500</v>
      </c>
      <c r="Q1351">
        <f t="shared" si="107"/>
        <v>76000</v>
      </c>
      <c r="R1351" s="11" t="str">
        <f t="shared" si="108"/>
        <v>Conference</v>
      </c>
      <c r="S1351" s="11">
        <f t="shared" si="109"/>
        <v>4</v>
      </c>
    </row>
    <row r="1352" spans="1:19">
      <c r="A1352" t="s">
        <v>7069</v>
      </c>
      <c r="B1352" t="s">
        <v>7070</v>
      </c>
      <c r="C1352" t="s">
        <v>871</v>
      </c>
      <c r="D1352" t="s">
        <v>7071</v>
      </c>
      <c r="E1352" t="s">
        <v>7072</v>
      </c>
      <c r="F1352" t="s">
        <v>7073</v>
      </c>
      <c r="G1352" s="4">
        <v>45421</v>
      </c>
      <c r="H1352" s="4">
        <v>45946</v>
      </c>
      <c r="I1352" s="4">
        <v>45959</v>
      </c>
      <c r="J1352">
        <f t="shared" si="105"/>
        <v>13</v>
      </c>
      <c r="K1352" t="str">
        <f t="array" ref="K1352">_xlfn.IFS(J1352=1,"Day Use",J1352&lt;=3,"Short Stay",J1352&lt;=7,"Extended Stay",J1352&gt;=8,"Long Stay")</f>
        <v>Long Stay</v>
      </c>
      <c r="L1352" t="s">
        <v>141</v>
      </c>
      <c r="M1352" s="10" t="str">
        <f t="shared" si="106"/>
        <v>Suite</v>
      </c>
      <c r="N1352" t="s">
        <v>26</v>
      </c>
      <c r="O1352" t="s">
        <v>27</v>
      </c>
      <c r="P1352">
        <f>IFERROR(VLOOKUP(TRIM(M1352),Room!D:H,5,FALSE),5000)</f>
        <v>12500</v>
      </c>
      <c r="Q1352">
        <f t="shared" si="107"/>
        <v>162500</v>
      </c>
      <c r="R1352" s="11" t="str">
        <f t="shared" si="108"/>
        <v>Business</v>
      </c>
      <c r="S1352" s="11">
        <f t="shared" si="109"/>
        <v>5</v>
      </c>
    </row>
    <row r="1353" spans="1:19">
      <c r="A1353" t="s">
        <v>7074</v>
      </c>
      <c r="B1353" t="s">
        <v>7075</v>
      </c>
      <c r="C1353" t="s">
        <v>610</v>
      </c>
      <c r="D1353" t="s">
        <v>7076</v>
      </c>
      <c r="E1353" t="s">
        <v>7077</v>
      </c>
      <c r="F1353" t="s">
        <v>7078</v>
      </c>
      <c r="G1353" s="4">
        <v>45858</v>
      </c>
      <c r="H1353" s="4">
        <v>45879</v>
      </c>
      <c r="I1353" s="4">
        <v>45888</v>
      </c>
      <c r="J1353">
        <f t="shared" si="105"/>
        <v>9</v>
      </c>
      <c r="K1353" t="str">
        <f t="array" ref="K1353">_xlfn.IFS(J1353=1,"Day Use",J1353&lt;=3,"Short Stay",J1353&lt;=7,"Extended Stay",J1353&gt;=8,"Long Stay")</f>
        <v>Long Stay</v>
      </c>
      <c r="L1353" t="s">
        <v>91</v>
      </c>
      <c r="M1353" s="10" t="str">
        <f t="shared" si="106"/>
        <v>Premium</v>
      </c>
      <c r="N1353" t="s">
        <v>26</v>
      </c>
      <c r="O1353" t="s">
        <v>35</v>
      </c>
      <c r="P1353">
        <f>IFERROR(VLOOKUP(TRIM(M1353),Room!D:H,5,FALSE),5000)</f>
        <v>9500</v>
      </c>
      <c r="Q1353">
        <f t="shared" si="107"/>
        <v>85500</v>
      </c>
      <c r="R1353" s="11" t="str">
        <f t="shared" si="108"/>
        <v>Conference</v>
      </c>
      <c r="S1353" s="11">
        <f t="shared" si="109"/>
        <v>4</v>
      </c>
    </row>
    <row r="1354" spans="1:19">
      <c r="A1354" t="s">
        <v>7079</v>
      </c>
      <c r="B1354" t="s">
        <v>7080</v>
      </c>
      <c r="C1354" t="s">
        <v>1545</v>
      </c>
      <c r="D1354" t="s">
        <v>7081</v>
      </c>
      <c r="E1354" t="s">
        <v>7082</v>
      </c>
      <c r="F1354" t="s">
        <v>7083</v>
      </c>
      <c r="G1354" s="4">
        <v>45202</v>
      </c>
      <c r="H1354" s="4">
        <v>45329</v>
      </c>
      <c r="I1354" s="4">
        <v>45339</v>
      </c>
      <c r="J1354">
        <f t="shared" si="105"/>
        <v>10</v>
      </c>
      <c r="K1354" t="str">
        <f t="array" ref="K1354">_xlfn.IFS(J1354=1,"Day Use",J1354&lt;=3,"Short Stay",J1354&lt;=7,"Extended Stay",J1354&gt;=8,"Long Stay")</f>
        <v>Long Stay</v>
      </c>
      <c r="L1354" t="s">
        <v>49</v>
      </c>
      <c r="M1354" s="10" t="str">
        <f t="shared" si="106"/>
        <v>Premium</v>
      </c>
      <c r="N1354" t="s">
        <v>26</v>
      </c>
      <c r="O1354" t="s">
        <v>71</v>
      </c>
      <c r="P1354">
        <f>IFERROR(VLOOKUP(TRIM(M1354),Room!D:H,5,FALSE),5000)</f>
        <v>9500</v>
      </c>
      <c r="Q1354">
        <f t="shared" si="107"/>
        <v>95000</v>
      </c>
      <c r="R1354" s="11" t="str">
        <f t="shared" si="108"/>
        <v>Conference</v>
      </c>
      <c r="S1354" s="11">
        <f t="shared" si="109"/>
        <v>4</v>
      </c>
    </row>
    <row r="1355" spans="1:19">
      <c r="A1355" t="s">
        <v>7084</v>
      </c>
      <c r="B1355" t="s">
        <v>7085</v>
      </c>
      <c r="C1355" t="s">
        <v>835</v>
      </c>
      <c r="D1355" t="s">
        <v>7086</v>
      </c>
      <c r="E1355" t="s">
        <v>7087</v>
      </c>
      <c r="F1355" t="s">
        <v>7088</v>
      </c>
      <c r="G1355" s="4">
        <v>45948</v>
      </c>
      <c r="H1355" s="4">
        <v>46011</v>
      </c>
      <c r="I1355" s="4">
        <v>46021</v>
      </c>
      <c r="J1355">
        <f t="shared" si="105"/>
        <v>10</v>
      </c>
      <c r="K1355" t="str">
        <f t="array" ref="K1355">_xlfn.IFS(J1355=1,"Day Use",J1355&lt;=3,"Short Stay",J1355&lt;=7,"Extended Stay",J1355&gt;=8,"Long Stay")</f>
        <v>Long Stay</v>
      </c>
      <c r="L1355" t="s">
        <v>56</v>
      </c>
      <c r="M1355" s="10" t="str">
        <f t="shared" si="106"/>
        <v>Premium</v>
      </c>
      <c r="N1355" t="s">
        <v>26</v>
      </c>
      <c r="O1355" t="s">
        <v>58</v>
      </c>
      <c r="P1355">
        <f>IFERROR(VLOOKUP(TRIM(M1355),Room!D:H,5,FALSE),5000)</f>
        <v>9500</v>
      </c>
      <c r="Q1355">
        <f t="shared" si="107"/>
        <v>95000</v>
      </c>
      <c r="R1355" s="11" t="str">
        <f t="shared" si="108"/>
        <v>Conference</v>
      </c>
      <c r="S1355" s="11">
        <f t="shared" si="109"/>
        <v>4</v>
      </c>
    </row>
    <row r="1356" spans="1:19">
      <c r="A1356" t="s">
        <v>7089</v>
      </c>
      <c r="B1356" t="s">
        <v>7090</v>
      </c>
      <c r="C1356" t="s">
        <v>2143</v>
      </c>
      <c r="D1356" t="s">
        <v>7091</v>
      </c>
      <c r="E1356" t="s">
        <v>7092</v>
      </c>
      <c r="F1356" t="s">
        <v>7093</v>
      </c>
      <c r="G1356" s="4">
        <v>45664</v>
      </c>
      <c r="H1356" s="4">
        <v>45676</v>
      </c>
      <c r="I1356" s="4">
        <v>45680</v>
      </c>
      <c r="J1356">
        <f t="shared" si="105"/>
        <v>4</v>
      </c>
      <c r="K1356" t="str">
        <f t="array" ref="K1356">_xlfn.IFS(J1356=1,"Day Use",J1356&lt;=3,"Short Stay",J1356&lt;=7,"Extended Stay",J1356&gt;=8,"Long Stay")</f>
        <v>Extended Stay</v>
      </c>
      <c r="L1356" t="s">
        <v>34</v>
      </c>
      <c r="M1356" s="10" t="str">
        <f t="shared" si="106"/>
        <v>Deluxe</v>
      </c>
      <c r="N1356" t="s">
        <v>26</v>
      </c>
      <c r="O1356" t="s">
        <v>35</v>
      </c>
      <c r="P1356">
        <f>IFERROR(VLOOKUP(TRIM(M1356),Room!D:H,5,FALSE),5000)</f>
        <v>5400</v>
      </c>
      <c r="Q1356">
        <f t="shared" si="107"/>
        <v>21600</v>
      </c>
      <c r="R1356" s="11" t="str">
        <f t="shared" si="108"/>
        <v>Conference</v>
      </c>
      <c r="S1356" s="11">
        <f t="shared" si="109"/>
        <v>3</v>
      </c>
    </row>
    <row r="1357" spans="1:19">
      <c r="A1357" t="s">
        <v>7094</v>
      </c>
      <c r="B1357" t="s">
        <v>7095</v>
      </c>
      <c r="C1357" t="s">
        <v>1757</v>
      </c>
      <c r="D1357" t="s">
        <v>7096</v>
      </c>
      <c r="E1357" t="s">
        <v>7097</v>
      </c>
      <c r="F1357" t="s">
        <v>7098</v>
      </c>
      <c r="G1357" s="4">
        <v>45712</v>
      </c>
      <c r="H1357" s="4">
        <v>45879</v>
      </c>
      <c r="I1357" s="4">
        <v>45880</v>
      </c>
      <c r="J1357">
        <f t="shared" si="105"/>
        <v>1</v>
      </c>
      <c r="K1357" t="str">
        <f t="array" ref="K1357">_xlfn.IFS(J1357=1,"Day Use",J1357&lt;=3,"Short Stay",J1357&lt;=7,"Extended Stay",J1357&gt;=8,"Long Stay")</f>
        <v>Day Use</v>
      </c>
      <c r="L1357" t="s">
        <v>141</v>
      </c>
      <c r="M1357" s="10" t="str">
        <f t="shared" si="106"/>
        <v>Standard</v>
      </c>
      <c r="N1357" t="s">
        <v>26</v>
      </c>
      <c r="O1357" t="s">
        <v>71</v>
      </c>
      <c r="P1357">
        <f>IFERROR(VLOOKUP(TRIM(M1357),Room!D:H,5,FALSE),5000)</f>
        <v>3200</v>
      </c>
      <c r="Q1357">
        <f t="shared" si="107"/>
        <v>3200</v>
      </c>
      <c r="R1357" s="11" t="str">
        <f t="shared" si="108"/>
        <v>Other</v>
      </c>
      <c r="S1357" s="11">
        <f t="shared" si="109"/>
        <v>1</v>
      </c>
    </row>
    <row r="1358" spans="1:19">
      <c r="A1358" t="s">
        <v>7099</v>
      </c>
      <c r="B1358" t="s">
        <v>7100</v>
      </c>
      <c r="C1358" t="s">
        <v>835</v>
      </c>
      <c r="D1358" t="s">
        <v>7101</v>
      </c>
      <c r="E1358" t="s">
        <v>7102</v>
      </c>
      <c r="F1358" t="s">
        <v>7103</v>
      </c>
      <c r="G1358" s="4">
        <v>45714</v>
      </c>
      <c r="H1358" s="4">
        <v>45841</v>
      </c>
      <c r="I1358" s="4">
        <v>45852</v>
      </c>
      <c r="J1358">
        <f t="shared" si="105"/>
        <v>11</v>
      </c>
      <c r="K1358" t="str">
        <f t="array" ref="K1358">_xlfn.IFS(J1358=1,"Day Use",J1358&lt;=3,"Short Stay",J1358&lt;=7,"Extended Stay",J1358&gt;=8,"Long Stay")</f>
        <v>Long Stay</v>
      </c>
      <c r="L1358" t="s">
        <v>84</v>
      </c>
      <c r="M1358" s="10" t="str">
        <f t="shared" si="106"/>
        <v>Suite</v>
      </c>
      <c r="N1358" t="s">
        <v>57</v>
      </c>
      <c r="O1358" t="s">
        <v>42</v>
      </c>
      <c r="P1358">
        <f>IFERROR(VLOOKUP(TRIM(M1358),Room!D:H,5,FALSE),5000)</f>
        <v>12500</v>
      </c>
      <c r="Q1358">
        <f t="shared" si="107"/>
        <v>137500</v>
      </c>
      <c r="R1358" s="11" t="str">
        <f t="shared" si="108"/>
        <v>Business</v>
      </c>
      <c r="S1358" s="11">
        <f t="shared" si="109"/>
        <v>5</v>
      </c>
    </row>
    <row r="1359" spans="1:19">
      <c r="A1359" t="s">
        <v>7104</v>
      </c>
      <c r="B1359" t="s">
        <v>7105</v>
      </c>
      <c r="C1359" t="s">
        <v>536</v>
      </c>
      <c r="D1359" t="s">
        <v>7106</v>
      </c>
      <c r="E1359" t="s">
        <v>7107</v>
      </c>
      <c r="F1359" t="s">
        <v>7108</v>
      </c>
      <c r="G1359" s="4">
        <v>45383</v>
      </c>
      <c r="H1359" s="4">
        <v>45987</v>
      </c>
      <c r="I1359" s="4">
        <v>45992</v>
      </c>
      <c r="J1359">
        <f t="shared" si="105"/>
        <v>5</v>
      </c>
      <c r="K1359" t="str">
        <f t="array" ref="K1359">_xlfn.IFS(J1359=1,"Day Use",J1359&lt;=3,"Short Stay",J1359&lt;=7,"Extended Stay",J1359&gt;=8,"Long Stay")</f>
        <v>Extended Stay</v>
      </c>
      <c r="L1359" t="s">
        <v>49</v>
      </c>
      <c r="M1359" s="10" t="str">
        <f t="shared" si="106"/>
        <v>Deluxe</v>
      </c>
      <c r="N1359" t="s">
        <v>26</v>
      </c>
      <c r="O1359" t="s">
        <v>42</v>
      </c>
      <c r="P1359">
        <f>IFERROR(VLOOKUP(TRIM(M1359),Room!D:H,5,FALSE),5000)</f>
        <v>5400</v>
      </c>
      <c r="Q1359">
        <f t="shared" si="107"/>
        <v>27000</v>
      </c>
      <c r="R1359" s="11" t="str">
        <f t="shared" si="108"/>
        <v>Conference</v>
      </c>
      <c r="S1359" s="11">
        <f t="shared" si="109"/>
        <v>3</v>
      </c>
    </row>
    <row r="1360" spans="1:19">
      <c r="A1360" t="s">
        <v>7109</v>
      </c>
      <c r="B1360" t="s">
        <v>7110</v>
      </c>
      <c r="C1360" t="s">
        <v>45</v>
      </c>
      <c r="D1360" t="s">
        <v>7111</v>
      </c>
      <c r="E1360" t="s">
        <v>7112</v>
      </c>
      <c r="F1360" t="s">
        <v>7113</v>
      </c>
      <c r="G1360" s="4">
        <v>45253</v>
      </c>
      <c r="H1360" s="4">
        <v>45597</v>
      </c>
      <c r="I1360" s="4">
        <v>45601</v>
      </c>
      <c r="J1360">
        <f t="shared" si="105"/>
        <v>4</v>
      </c>
      <c r="K1360" t="str">
        <f t="array" ref="K1360">_xlfn.IFS(J1360=1,"Day Use",J1360&lt;=3,"Short Stay",J1360&lt;=7,"Extended Stay",J1360&gt;=8,"Long Stay")</f>
        <v>Extended Stay</v>
      </c>
      <c r="L1360" t="s">
        <v>196</v>
      </c>
      <c r="M1360" s="10" t="str">
        <f t="shared" si="106"/>
        <v>Deluxe</v>
      </c>
      <c r="N1360" t="s">
        <v>148</v>
      </c>
      <c r="O1360" t="s">
        <v>71</v>
      </c>
      <c r="P1360">
        <f>IFERROR(VLOOKUP(TRIM(M1360),Room!D:H,5,FALSE),5000)</f>
        <v>5400</v>
      </c>
      <c r="Q1360">
        <f t="shared" si="107"/>
        <v>21600</v>
      </c>
      <c r="R1360" s="11" t="str">
        <f t="shared" si="108"/>
        <v>Conference</v>
      </c>
      <c r="S1360" s="11">
        <f t="shared" si="109"/>
        <v>3</v>
      </c>
    </row>
    <row r="1361" spans="1:19">
      <c r="A1361" t="s">
        <v>7114</v>
      </c>
      <c r="B1361" t="s">
        <v>7115</v>
      </c>
      <c r="C1361" t="s">
        <v>1710</v>
      </c>
      <c r="D1361" t="s">
        <v>7116</v>
      </c>
      <c r="E1361" t="s">
        <v>7117</v>
      </c>
      <c r="F1361" t="s">
        <v>7118</v>
      </c>
      <c r="G1361" s="4">
        <v>45574</v>
      </c>
      <c r="H1361" s="4">
        <v>45750</v>
      </c>
      <c r="I1361" s="4">
        <v>45758</v>
      </c>
      <c r="J1361">
        <f t="shared" si="105"/>
        <v>8</v>
      </c>
      <c r="K1361" t="str">
        <f t="array" ref="K1361">_xlfn.IFS(J1361=1,"Day Use",J1361&lt;=3,"Short Stay",J1361&lt;=7,"Extended Stay",J1361&gt;=8,"Long Stay")</f>
        <v>Long Stay</v>
      </c>
      <c r="L1361" t="s">
        <v>49</v>
      </c>
      <c r="M1361" s="10" t="str">
        <f t="shared" si="106"/>
        <v>Premium</v>
      </c>
      <c r="N1361" t="s">
        <v>26</v>
      </c>
      <c r="O1361" t="s">
        <v>71</v>
      </c>
      <c r="P1361">
        <f>IFERROR(VLOOKUP(TRIM(M1361),Room!D:H,5,FALSE),5000)</f>
        <v>9500</v>
      </c>
      <c r="Q1361">
        <f t="shared" si="107"/>
        <v>76000</v>
      </c>
      <c r="R1361" s="11" t="str">
        <f t="shared" si="108"/>
        <v>Conference</v>
      </c>
      <c r="S1361" s="11">
        <f t="shared" si="109"/>
        <v>4</v>
      </c>
    </row>
    <row r="1362" spans="1:19">
      <c r="A1362" t="s">
        <v>7119</v>
      </c>
      <c r="B1362" t="s">
        <v>7120</v>
      </c>
      <c r="C1362" t="s">
        <v>2720</v>
      </c>
      <c r="D1362" t="s">
        <v>7121</v>
      </c>
      <c r="E1362" t="s">
        <v>7122</v>
      </c>
      <c r="F1362" t="s">
        <v>7123</v>
      </c>
      <c r="G1362" s="4">
        <v>45317</v>
      </c>
      <c r="H1362" s="4">
        <v>45341</v>
      </c>
      <c r="I1362" s="4">
        <v>45351</v>
      </c>
      <c r="J1362">
        <f t="shared" si="105"/>
        <v>10</v>
      </c>
      <c r="K1362" t="str">
        <f t="array" ref="K1362">_xlfn.IFS(J1362=1,"Day Use",J1362&lt;=3,"Short Stay",J1362&lt;=7,"Extended Stay",J1362&gt;=8,"Long Stay")</f>
        <v>Long Stay</v>
      </c>
      <c r="L1362" t="s">
        <v>25</v>
      </c>
      <c r="M1362" s="10" t="str">
        <f t="shared" si="106"/>
        <v>Premium</v>
      </c>
      <c r="N1362" t="s">
        <v>26</v>
      </c>
      <c r="O1362" t="s">
        <v>27</v>
      </c>
      <c r="P1362">
        <f>IFERROR(VLOOKUP(TRIM(M1362),Room!D:H,5,FALSE),5000)</f>
        <v>9500</v>
      </c>
      <c r="Q1362">
        <f t="shared" si="107"/>
        <v>95000</v>
      </c>
      <c r="R1362" s="11" t="str">
        <f t="shared" si="108"/>
        <v>Conference</v>
      </c>
      <c r="S1362" s="11">
        <f t="shared" si="109"/>
        <v>4</v>
      </c>
    </row>
    <row r="1363" spans="1:19">
      <c r="A1363" t="s">
        <v>7124</v>
      </c>
      <c r="B1363" t="s">
        <v>7125</v>
      </c>
      <c r="C1363" t="s">
        <v>282</v>
      </c>
      <c r="D1363" t="s">
        <v>7126</v>
      </c>
      <c r="E1363" t="s">
        <v>7127</v>
      </c>
      <c r="F1363" t="s">
        <v>7128</v>
      </c>
      <c r="G1363" s="4">
        <v>45718</v>
      </c>
      <c r="H1363" s="4">
        <v>45731</v>
      </c>
      <c r="I1363" s="4">
        <v>45740</v>
      </c>
      <c r="J1363">
        <f t="shared" si="105"/>
        <v>9</v>
      </c>
      <c r="K1363" t="str">
        <f t="array" ref="K1363">_xlfn.IFS(J1363=1,"Day Use",J1363&lt;=3,"Short Stay",J1363&lt;=7,"Extended Stay",J1363&gt;=8,"Long Stay")</f>
        <v>Long Stay</v>
      </c>
      <c r="L1363" t="s">
        <v>56</v>
      </c>
      <c r="M1363" s="10" t="str">
        <f t="shared" si="106"/>
        <v>Premium</v>
      </c>
      <c r="N1363" t="s">
        <v>26</v>
      </c>
      <c r="O1363" t="s">
        <v>35</v>
      </c>
      <c r="P1363">
        <f>IFERROR(VLOOKUP(TRIM(M1363),Room!D:H,5,FALSE),5000)</f>
        <v>9500</v>
      </c>
      <c r="Q1363">
        <f t="shared" si="107"/>
        <v>85500</v>
      </c>
      <c r="R1363" s="11" t="str">
        <f t="shared" si="108"/>
        <v>Conference</v>
      </c>
      <c r="S1363" s="11">
        <f t="shared" si="109"/>
        <v>4</v>
      </c>
    </row>
    <row r="1364" spans="1:19">
      <c r="A1364" t="s">
        <v>7129</v>
      </c>
      <c r="B1364" t="s">
        <v>7130</v>
      </c>
      <c r="C1364" t="s">
        <v>386</v>
      </c>
      <c r="D1364" t="s">
        <v>7131</v>
      </c>
      <c r="E1364" t="s">
        <v>7132</v>
      </c>
      <c r="F1364" t="s">
        <v>7133</v>
      </c>
      <c r="G1364" s="4">
        <v>45525</v>
      </c>
      <c r="H1364" s="4">
        <v>45547</v>
      </c>
      <c r="I1364" s="4">
        <v>45559</v>
      </c>
      <c r="J1364">
        <f t="shared" si="105"/>
        <v>12</v>
      </c>
      <c r="K1364" t="str">
        <f t="array" ref="K1364">_xlfn.IFS(J1364=1,"Day Use",J1364&lt;=3,"Short Stay",J1364&lt;=7,"Extended Stay",J1364&gt;=8,"Long Stay")</f>
        <v>Long Stay</v>
      </c>
      <c r="L1364" t="s">
        <v>84</v>
      </c>
      <c r="M1364" s="10" t="str">
        <f t="shared" si="106"/>
        <v>Suite</v>
      </c>
      <c r="N1364" t="s">
        <v>148</v>
      </c>
      <c r="O1364" t="s">
        <v>58</v>
      </c>
      <c r="P1364">
        <f>IFERROR(VLOOKUP(TRIM(M1364),Room!D:H,5,FALSE),5000)</f>
        <v>12500</v>
      </c>
      <c r="Q1364">
        <f t="shared" si="107"/>
        <v>150000</v>
      </c>
      <c r="R1364" s="11" t="str">
        <f t="shared" si="108"/>
        <v>Business</v>
      </c>
      <c r="S1364" s="11">
        <f t="shared" si="109"/>
        <v>5</v>
      </c>
    </row>
    <row r="1365" spans="1:19">
      <c r="A1365" t="s">
        <v>7134</v>
      </c>
      <c r="B1365" t="s">
        <v>7135</v>
      </c>
      <c r="C1365" t="s">
        <v>2175</v>
      </c>
      <c r="D1365" t="s">
        <v>7136</v>
      </c>
      <c r="E1365" t="s">
        <v>7137</v>
      </c>
      <c r="F1365" t="s">
        <v>7138</v>
      </c>
      <c r="G1365" s="4">
        <v>45390</v>
      </c>
      <c r="H1365" s="4">
        <v>45940</v>
      </c>
      <c r="I1365" s="4">
        <v>45951</v>
      </c>
      <c r="J1365">
        <f t="shared" si="105"/>
        <v>11</v>
      </c>
      <c r="K1365" t="str">
        <f t="array" ref="K1365">_xlfn.IFS(J1365=1,"Day Use",J1365&lt;=3,"Short Stay",J1365&lt;=7,"Extended Stay",J1365&gt;=8,"Long Stay")</f>
        <v>Long Stay</v>
      </c>
      <c r="L1365" t="s">
        <v>141</v>
      </c>
      <c r="M1365" s="10" t="str">
        <f t="shared" si="106"/>
        <v>Suite</v>
      </c>
      <c r="N1365" t="s">
        <v>148</v>
      </c>
      <c r="O1365" t="s">
        <v>58</v>
      </c>
      <c r="P1365">
        <f>IFERROR(VLOOKUP(TRIM(M1365),Room!D:H,5,FALSE),5000)</f>
        <v>12500</v>
      </c>
      <c r="Q1365">
        <f t="shared" si="107"/>
        <v>137500</v>
      </c>
      <c r="R1365" s="11" t="str">
        <f t="shared" si="108"/>
        <v>Business</v>
      </c>
      <c r="S1365" s="11">
        <f t="shared" si="109"/>
        <v>5</v>
      </c>
    </row>
    <row r="1366" spans="1:19">
      <c r="A1366" t="s">
        <v>7139</v>
      </c>
      <c r="B1366" t="s">
        <v>7140</v>
      </c>
      <c r="C1366" t="s">
        <v>610</v>
      </c>
      <c r="D1366" t="s">
        <v>7141</v>
      </c>
      <c r="E1366" t="s">
        <v>7142</v>
      </c>
      <c r="F1366" t="s">
        <v>7143</v>
      </c>
      <c r="G1366" s="4">
        <v>45445</v>
      </c>
      <c r="H1366" s="4">
        <v>45455</v>
      </c>
      <c r="I1366" s="4">
        <v>45467</v>
      </c>
      <c r="J1366">
        <f t="shared" si="105"/>
        <v>12</v>
      </c>
      <c r="K1366" t="str">
        <f t="array" ref="K1366">_xlfn.IFS(J1366=1,"Day Use",J1366&lt;=3,"Short Stay",J1366&lt;=7,"Extended Stay",J1366&gt;=8,"Long Stay")</f>
        <v>Long Stay</v>
      </c>
      <c r="L1366" t="s">
        <v>34</v>
      </c>
      <c r="M1366" s="10" t="str">
        <f t="shared" si="106"/>
        <v>Suite</v>
      </c>
      <c r="N1366" t="s">
        <v>26</v>
      </c>
      <c r="O1366" t="s">
        <v>42</v>
      </c>
      <c r="P1366">
        <f>IFERROR(VLOOKUP(TRIM(M1366),Room!D:H,5,FALSE),5000)</f>
        <v>12500</v>
      </c>
      <c r="Q1366">
        <f t="shared" si="107"/>
        <v>150000</v>
      </c>
      <c r="R1366" s="11" t="str">
        <f t="shared" si="108"/>
        <v>Business</v>
      </c>
      <c r="S1366" s="11">
        <f t="shared" si="109"/>
        <v>5</v>
      </c>
    </row>
    <row r="1367" spans="1:19">
      <c r="A1367" t="s">
        <v>7144</v>
      </c>
      <c r="B1367" t="s">
        <v>7145</v>
      </c>
      <c r="C1367" t="s">
        <v>610</v>
      </c>
      <c r="D1367" t="s">
        <v>7146</v>
      </c>
      <c r="E1367" t="s">
        <v>7147</v>
      </c>
      <c r="F1367" t="s">
        <v>7148</v>
      </c>
      <c r="G1367" s="4">
        <v>45723</v>
      </c>
      <c r="H1367" s="4">
        <v>45922</v>
      </c>
      <c r="I1367" s="4">
        <v>45935</v>
      </c>
      <c r="J1367">
        <f t="shared" si="105"/>
        <v>13</v>
      </c>
      <c r="K1367" t="str">
        <f t="array" ref="K1367">_xlfn.IFS(J1367=1,"Day Use",J1367&lt;=3,"Short Stay",J1367&lt;=7,"Extended Stay",J1367&gt;=8,"Long Stay")</f>
        <v>Long Stay</v>
      </c>
      <c r="L1367" t="s">
        <v>91</v>
      </c>
      <c r="M1367" s="10" t="str">
        <f t="shared" si="106"/>
        <v>Suite</v>
      </c>
      <c r="N1367" t="s">
        <v>26</v>
      </c>
      <c r="O1367" t="s">
        <v>35</v>
      </c>
      <c r="P1367">
        <f>IFERROR(VLOOKUP(TRIM(M1367),Room!D:H,5,FALSE),5000)</f>
        <v>12500</v>
      </c>
      <c r="Q1367">
        <f t="shared" si="107"/>
        <v>162500</v>
      </c>
      <c r="R1367" s="11" t="str">
        <f t="shared" si="108"/>
        <v>Business</v>
      </c>
      <c r="S1367" s="11">
        <f t="shared" si="109"/>
        <v>5</v>
      </c>
    </row>
    <row r="1368" spans="1:19">
      <c r="A1368" t="s">
        <v>7149</v>
      </c>
      <c r="B1368" t="s">
        <v>7150</v>
      </c>
      <c r="C1368" t="s">
        <v>6202</v>
      </c>
      <c r="D1368" t="s">
        <v>7151</v>
      </c>
      <c r="E1368" t="s">
        <v>7152</v>
      </c>
      <c r="F1368" t="s">
        <v>7153</v>
      </c>
      <c r="G1368" s="4">
        <v>45381</v>
      </c>
      <c r="H1368" s="4">
        <v>45814</v>
      </c>
      <c r="I1368" s="4">
        <v>45823</v>
      </c>
      <c r="J1368">
        <f t="shared" si="105"/>
        <v>9</v>
      </c>
      <c r="K1368" t="str">
        <f t="array" ref="K1368">_xlfn.IFS(J1368=1,"Day Use",J1368&lt;=3,"Short Stay",J1368&lt;=7,"Extended Stay",J1368&gt;=8,"Long Stay")</f>
        <v>Long Stay</v>
      </c>
      <c r="L1368" t="s">
        <v>34</v>
      </c>
      <c r="M1368" s="10" t="str">
        <f t="shared" si="106"/>
        <v>Premium</v>
      </c>
      <c r="N1368" t="s">
        <v>26</v>
      </c>
      <c r="O1368" t="s">
        <v>35</v>
      </c>
      <c r="P1368">
        <f>IFERROR(VLOOKUP(TRIM(M1368),Room!D:H,5,FALSE),5000)</f>
        <v>9500</v>
      </c>
      <c r="Q1368">
        <f t="shared" si="107"/>
        <v>85500</v>
      </c>
      <c r="R1368" s="11" t="str">
        <f t="shared" si="108"/>
        <v>Conference</v>
      </c>
      <c r="S1368" s="11">
        <f t="shared" si="109"/>
        <v>4</v>
      </c>
    </row>
    <row r="1369" spans="1:19">
      <c r="A1369" t="s">
        <v>7154</v>
      </c>
      <c r="B1369" t="s">
        <v>7155</v>
      </c>
      <c r="C1369" t="s">
        <v>853</v>
      </c>
      <c r="D1369" t="s">
        <v>7156</v>
      </c>
      <c r="E1369" t="s">
        <v>7157</v>
      </c>
      <c r="F1369" t="s">
        <v>7158</v>
      </c>
      <c r="G1369" s="4">
        <v>45364</v>
      </c>
      <c r="H1369" s="4">
        <v>45365</v>
      </c>
      <c r="I1369" s="4">
        <v>45370</v>
      </c>
      <c r="J1369">
        <f t="shared" si="105"/>
        <v>5</v>
      </c>
      <c r="K1369" t="str">
        <f t="array" ref="K1369">_xlfn.IFS(J1369=1,"Day Use",J1369&lt;=3,"Short Stay",J1369&lt;=7,"Extended Stay",J1369&gt;=8,"Long Stay")</f>
        <v>Extended Stay</v>
      </c>
      <c r="L1369" t="s">
        <v>49</v>
      </c>
      <c r="M1369" s="10" t="str">
        <f t="shared" si="106"/>
        <v>Deluxe</v>
      </c>
      <c r="N1369" t="s">
        <v>26</v>
      </c>
      <c r="O1369" t="s">
        <v>35</v>
      </c>
      <c r="P1369">
        <f>IFERROR(VLOOKUP(TRIM(M1369),Room!D:H,5,FALSE),5000)</f>
        <v>5400</v>
      </c>
      <c r="Q1369">
        <f t="shared" si="107"/>
        <v>27000</v>
      </c>
      <c r="R1369" s="11" t="str">
        <f t="shared" si="108"/>
        <v>Conference</v>
      </c>
      <c r="S1369" s="11">
        <f t="shared" si="109"/>
        <v>3</v>
      </c>
    </row>
    <row r="1370" spans="1:19">
      <c r="A1370" t="s">
        <v>7159</v>
      </c>
      <c r="B1370" t="s">
        <v>7160</v>
      </c>
      <c r="C1370" t="s">
        <v>1186</v>
      </c>
      <c r="D1370" t="s">
        <v>7161</v>
      </c>
      <c r="E1370" t="s">
        <v>7162</v>
      </c>
      <c r="F1370" t="s">
        <v>7163</v>
      </c>
      <c r="G1370" s="4">
        <v>45521</v>
      </c>
      <c r="H1370" s="4">
        <v>45843</v>
      </c>
      <c r="I1370" s="4">
        <v>45844</v>
      </c>
      <c r="J1370">
        <f t="shared" si="105"/>
        <v>1</v>
      </c>
      <c r="K1370" t="str">
        <f t="array" ref="K1370">_xlfn.IFS(J1370=1,"Day Use",J1370&lt;=3,"Short Stay",J1370&lt;=7,"Extended Stay",J1370&gt;=8,"Long Stay")</f>
        <v>Day Use</v>
      </c>
      <c r="L1370" t="s">
        <v>196</v>
      </c>
      <c r="M1370" s="10" t="str">
        <f t="shared" si="106"/>
        <v>Standard</v>
      </c>
      <c r="N1370" t="s">
        <v>26</v>
      </c>
      <c r="O1370" t="s">
        <v>42</v>
      </c>
      <c r="P1370">
        <f>IFERROR(VLOOKUP(TRIM(M1370),Room!D:H,5,FALSE),5000)</f>
        <v>3200</v>
      </c>
      <c r="Q1370">
        <f t="shared" si="107"/>
        <v>3200</v>
      </c>
      <c r="R1370" s="11" t="str">
        <f t="shared" si="108"/>
        <v>Other</v>
      </c>
      <c r="S1370" s="11">
        <f t="shared" si="109"/>
        <v>1</v>
      </c>
    </row>
    <row r="1371" spans="1:19">
      <c r="A1371" t="s">
        <v>7164</v>
      </c>
      <c r="B1371" t="s">
        <v>7165</v>
      </c>
      <c r="C1371" t="s">
        <v>829</v>
      </c>
      <c r="D1371" t="s">
        <v>7166</v>
      </c>
      <c r="E1371" t="s">
        <v>7167</v>
      </c>
      <c r="F1371" t="s">
        <v>7168</v>
      </c>
      <c r="G1371" s="4">
        <v>45911</v>
      </c>
      <c r="H1371" s="4">
        <v>45930</v>
      </c>
      <c r="I1371" s="4">
        <v>45936</v>
      </c>
      <c r="J1371">
        <f t="shared" si="105"/>
        <v>6</v>
      </c>
      <c r="K1371" t="str">
        <f t="array" ref="K1371">_xlfn.IFS(J1371=1,"Day Use",J1371&lt;=3,"Short Stay",J1371&lt;=7,"Extended Stay",J1371&gt;=8,"Long Stay")</f>
        <v>Extended Stay</v>
      </c>
      <c r="L1371" t="s">
        <v>196</v>
      </c>
      <c r="M1371" s="10" t="str">
        <f t="shared" si="106"/>
        <v>Deluxe</v>
      </c>
      <c r="N1371" t="s">
        <v>134</v>
      </c>
      <c r="O1371" t="s">
        <v>71</v>
      </c>
      <c r="P1371">
        <f>IFERROR(VLOOKUP(TRIM(M1371),Room!D:H,5,FALSE),5000)</f>
        <v>5400</v>
      </c>
      <c r="Q1371">
        <f t="shared" si="107"/>
        <v>32400</v>
      </c>
      <c r="R1371" s="11" t="str">
        <f t="shared" si="108"/>
        <v>Conference</v>
      </c>
      <c r="S1371" s="11">
        <f t="shared" si="109"/>
        <v>3</v>
      </c>
    </row>
    <row r="1372" spans="1:19">
      <c r="A1372" t="s">
        <v>7169</v>
      </c>
      <c r="B1372" t="s">
        <v>7170</v>
      </c>
      <c r="C1372" t="s">
        <v>697</v>
      </c>
      <c r="D1372" t="s">
        <v>7171</v>
      </c>
      <c r="E1372" t="s">
        <v>7172</v>
      </c>
      <c r="F1372" t="s">
        <v>7173</v>
      </c>
      <c r="G1372" s="4">
        <v>45231</v>
      </c>
      <c r="H1372" s="4">
        <v>45550</v>
      </c>
      <c r="I1372" s="4">
        <v>45552</v>
      </c>
      <c r="J1372">
        <f t="shared" si="105"/>
        <v>2</v>
      </c>
      <c r="K1372" t="str">
        <f t="array" ref="K1372">_xlfn.IFS(J1372=1,"Day Use",J1372&lt;=3,"Short Stay",J1372&lt;=7,"Extended Stay",J1372&gt;=8,"Long Stay")</f>
        <v>Short Stay</v>
      </c>
      <c r="L1372" t="s">
        <v>49</v>
      </c>
      <c r="M1372" s="10" t="str">
        <f t="shared" si="106"/>
        <v>Standard</v>
      </c>
      <c r="N1372" t="s">
        <v>26</v>
      </c>
      <c r="O1372" t="s">
        <v>42</v>
      </c>
      <c r="P1372">
        <f>IFERROR(VLOOKUP(TRIM(M1372),Room!D:H,5,FALSE),5000)</f>
        <v>3200</v>
      </c>
      <c r="Q1372">
        <f t="shared" si="107"/>
        <v>6400</v>
      </c>
      <c r="R1372" s="11" t="str">
        <f t="shared" si="108"/>
        <v>Other</v>
      </c>
      <c r="S1372" s="11">
        <f t="shared" si="109"/>
        <v>2</v>
      </c>
    </row>
    <row r="1373" spans="1:19">
      <c r="A1373" t="s">
        <v>7174</v>
      </c>
      <c r="B1373" t="s">
        <v>7175</v>
      </c>
      <c r="C1373" t="s">
        <v>1090</v>
      </c>
      <c r="D1373" t="s">
        <v>7176</v>
      </c>
      <c r="E1373" t="s">
        <v>7177</v>
      </c>
      <c r="F1373" t="s">
        <v>7178</v>
      </c>
      <c r="G1373" s="4">
        <v>45305</v>
      </c>
      <c r="H1373" s="4">
        <v>45306</v>
      </c>
      <c r="I1373" s="4">
        <v>45318</v>
      </c>
      <c r="J1373">
        <f t="shared" si="105"/>
        <v>12</v>
      </c>
      <c r="K1373" t="str">
        <f t="array" ref="K1373">_xlfn.IFS(J1373=1,"Day Use",J1373&lt;=3,"Short Stay",J1373&lt;=7,"Extended Stay",J1373&gt;=8,"Long Stay")</f>
        <v>Long Stay</v>
      </c>
      <c r="L1373" t="s">
        <v>84</v>
      </c>
      <c r="M1373" s="10" t="str">
        <f t="shared" si="106"/>
        <v>Suite</v>
      </c>
      <c r="N1373" t="s">
        <v>26</v>
      </c>
      <c r="O1373" t="s">
        <v>58</v>
      </c>
      <c r="P1373">
        <f>IFERROR(VLOOKUP(TRIM(M1373),Room!D:H,5,FALSE),5000)</f>
        <v>12500</v>
      </c>
      <c r="Q1373">
        <f t="shared" si="107"/>
        <v>150000</v>
      </c>
      <c r="R1373" s="11" t="str">
        <f t="shared" si="108"/>
        <v>Business</v>
      </c>
      <c r="S1373" s="11">
        <f t="shared" si="109"/>
        <v>5</v>
      </c>
    </row>
    <row r="1374" spans="1:19">
      <c r="A1374" t="s">
        <v>7179</v>
      </c>
      <c r="B1374" t="s">
        <v>7180</v>
      </c>
      <c r="C1374" t="s">
        <v>21</v>
      </c>
      <c r="D1374" t="s">
        <v>7181</v>
      </c>
      <c r="E1374" t="s">
        <v>7182</v>
      </c>
      <c r="F1374" t="s">
        <v>7183</v>
      </c>
      <c r="G1374" s="4">
        <v>45569</v>
      </c>
      <c r="H1374" s="4">
        <v>45581</v>
      </c>
      <c r="I1374" s="4">
        <v>45589</v>
      </c>
      <c r="J1374">
        <f t="shared" si="105"/>
        <v>8</v>
      </c>
      <c r="K1374" t="str">
        <f t="array" ref="K1374">_xlfn.IFS(J1374=1,"Day Use",J1374&lt;=3,"Short Stay",J1374&lt;=7,"Extended Stay",J1374&gt;=8,"Long Stay")</f>
        <v>Long Stay</v>
      </c>
      <c r="L1374" t="s">
        <v>34</v>
      </c>
      <c r="M1374" s="10" t="str">
        <f t="shared" si="106"/>
        <v>Premium</v>
      </c>
      <c r="N1374" t="s">
        <v>26</v>
      </c>
      <c r="O1374" t="s">
        <v>35</v>
      </c>
      <c r="P1374">
        <f>IFERROR(VLOOKUP(TRIM(M1374),Room!D:H,5,FALSE),5000)</f>
        <v>9500</v>
      </c>
      <c r="Q1374">
        <f t="shared" si="107"/>
        <v>76000</v>
      </c>
      <c r="R1374" s="11" t="str">
        <f t="shared" si="108"/>
        <v>Conference</v>
      </c>
      <c r="S1374" s="11">
        <f t="shared" si="109"/>
        <v>4</v>
      </c>
    </row>
    <row r="1375" spans="1:19">
      <c r="A1375" t="s">
        <v>7184</v>
      </c>
      <c r="B1375" t="s">
        <v>7185</v>
      </c>
      <c r="C1375" t="s">
        <v>2313</v>
      </c>
      <c r="D1375" t="s">
        <v>7186</v>
      </c>
      <c r="E1375" t="s">
        <v>7187</v>
      </c>
      <c r="F1375" t="s">
        <v>7188</v>
      </c>
      <c r="G1375" s="4">
        <v>45873</v>
      </c>
      <c r="H1375" s="4">
        <v>45887</v>
      </c>
      <c r="I1375" s="4">
        <v>45897</v>
      </c>
      <c r="J1375">
        <f t="shared" si="105"/>
        <v>10</v>
      </c>
      <c r="K1375" t="str">
        <f t="array" ref="K1375">_xlfn.IFS(J1375=1,"Day Use",J1375&lt;=3,"Short Stay",J1375&lt;=7,"Extended Stay",J1375&gt;=8,"Long Stay")</f>
        <v>Long Stay</v>
      </c>
      <c r="L1375" t="s">
        <v>25</v>
      </c>
      <c r="M1375" s="10" t="str">
        <f t="shared" si="106"/>
        <v>Premium</v>
      </c>
      <c r="N1375" t="s">
        <v>134</v>
      </c>
      <c r="O1375" t="s">
        <v>42</v>
      </c>
      <c r="P1375">
        <f>IFERROR(VLOOKUP(TRIM(M1375),Room!D:H,5,FALSE),5000)</f>
        <v>9500</v>
      </c>
      <c r="Q1375">
        <f t="shared" si="107"/>
        <v>95000</v>
      </c>
      <c r="R1375" s="11" t="str">
        <f t="shared" si="108"/>
        <v>Conference</v>
      </c>
      <c r="S1375" s="11">
        <f t="shared" si="109"/>
        <v>4</v>
      </c>
    </row>
    <row r="1376" spans="1:19">
      <c r="A1376" t="s">
        <v>7189</v>
      </c>
      <c r="B1376" t="s">
        <v>7190</v>
      </c>
      <c r="C1376" t="s">
        <v>61</v>
      </c>
      <c r="D1376" t="s">
        <v>7191</v>
      </c>
      <c r="E1376" t="s">
        <v>7192</v>
      </c>
      <c r="F1376" t="s">
        <v>7193</v>
      </c>
      <c r="G1376" s="4">
        <v>45391</v>
      </c>
      <c r="H1376" s="4">
        <v>45418</v>
      </c>
      <c r="I1376" s="4">
        <v>45426</v>
      </c>
      <c r="J1376">
        <f t="shared" si="105"/>
        <v>8</v>
      </c>
      <c r="K1376" t="str">
        <f t="array" ref="K1376">_xlfn.IFS(J1376=1,"Day Use",J1376&lt;=3,"Short Stay",J1376&lt;=7,"Extended Stay",J1376&gt;=8,"Long Stay")</f>
        <v>Long Stay</v>
      </c>
      <c r="L1376" t="s">
        <v>25</v>
      </c>
      <c r="M1376" s="10" t="str">
        <f t="shared" si="106"/>
        <v>Premium</v>
      </c>
      <c r="N1376" t="s">
        <v>26</v>
      </c>
      <c r="O1376" t="s">
        <v>71</v>
      </c>
      <c r="P1376">
        <f>IFERROR(VLOOKUP(TRIM(M1376),Room!D:H,5,FALSE),5000)</f>
        <v>9500</v>
      </c>
      <c r="Q1376">
        <f t="shared" si="107"/>
        <v>76000</v>
      </c>
      <c r="R1376" s="11" t="str">
        <f t="shared" si="108"/>
        <v>Conference</v>
      </c>
      <c r="S1376" s="11">
        <f t="shared" si="109"/>
        <v>4</v>
      </c>
    </row>
    <row r="1377" spans="1:19">
      <c r="A1377" t="s">
        <v>7194</v>
      </c>
      <c r="B1377" t="s">
        <v>7195</v>
      </c>
      <c r="C1377" t="s">
        <v>1074</v>
      </c>
      <c r="D1377" t="s">
        <v>7196</v>
      </c>
      <c r="E1377" t="s">
        <v>7197</v>
      </c>
      <c r="F1377" t="s">
        <v>7198</v>
      </c>
      <c r="G1377" s="4">
        <v>45372</v>
      </c>
      <c r="H1377" s="4">
        <v>45397</v>
      </c>
      <c r="I1377" s="4">
        <v>45410</v>
      </c>
      <c r="J1377">
        <f t="shared" si="105"/>
        <v>13</v>
      </c>
      <c r="K1377" t="str">
        <f t="array" ref="K1377">_xlfn.IFS(J1377=1,"Day Use",J1377&lt;=3,"Short Stay",J1377&lt;=7,"Extended Stay",J1377&gt;=8,"Long Stay")</f>
        <v>Long Stay</v>
      </c>
      <c r="L1377" t="s">
        <v>34</v>
      </c>
      <c r="M1377" s="10" t="str">
        <f t="shared" si="106"/>
        <v>Suite</v>
      </c>
      <c r="N1377" t="s">
        <v>57</v>
      </c>
      <c r="O1377" t="s">
        <v>71</v>
      </c>
      <c r="P1377">
        <f>IFERROR(VLOOKUP(TRIM(M1377),Room!D:H,5,FALSE),5000)</f>
        <v>12500</v>
      </c>
      <c r="Q1377">
        <f t="shared" si="107"/>
        <v>162500</v>
      </c>
      <c r="R1377" s="11" t="str">
        <f t="shared" si="108"/>
        <v>Business</v>
      </c>
      <c r="S1377" s="11">
        <f t="shared" si="109"/>
        <v>5</v>
      </c>
    </row>
    <row r="1378" spans="1:19">
      <c r="A1378" t="s">
        <v>7199</v>
      </c>
      <c r="B1378" t="s">
        <v>7200</v>
      </c>
      <c r="C1378" t="s">
        <v>144</v>
      </c>
      <c r="D1378" t="s">
        <v>7201</v>
      </c>
      <c r="E1378" t="s">
        <v>7202</v>
      </c>
      <c r="F1378" t="s">
        <v>7203</v>
      </c>
      <c r="G1378" s="4">
        <v>45529</v>
      </c>
      <c r="H1378" s="4">
        <v>46008</v>
      </c>
      <c r="I1378" s="4">
        <v>46009</v>
      </c>
      <c r="J1378">
        <f t="shared" si="105"/>
        <v>1</v>
      </c>
      <c r="K1378" t="str">
        <f t="array" ref="K1378">_xlfn.IFS(J1378=1,"Day Use",J1378&lt;=3,"Short Stay",J1378&lt;=7,"Extended Stay",J1378&gt;=8,"Long Stay")</f>
        <v>Day Use</v>
      </c>
      <c r="L1378" t="s">
        <v>196</v>
      </c>
      <c r="M1378" s="10" t="str">
        <f t="shared" si="106"/>
        <v>Standard</v>
      </c>
      <c r="N1378" t="s">
        <v>26</v>
      </c>
      <c r="O1378" t="s">
        <v>58</v>
      </c>
      <c r="P1378">
        <f>IFERROR(VLOOKUP(TRIM(M1378),Room!D:H,5,FALSE),5000)</f>
        <v>3200</v>
      </c>
      <c r="Q1378">
        <f t="shared" si="107"/>
        <v>3200</v>
      </c>
      <c r="R1378" s="11" t="str">
        <f t="shared" si="108"/>
        <v>Other</v>
      </c>
      <c r="S1378" s="11">
        <f t="shared" si="109"/>
        <v>1</v>
      </c>
    </row>
    <row r="1379" spans="1:19">
      <c r="A1379" t="s">
        <v>7204</v>
      </c>
      <c r="B1379" t="s">
        <v>7205</v>
      </c>
      <c r="C1379" t="s">
        <v>933</v>
      </c>
      <c r="D1379" t="s">
        <v>7206</v>
      </c>
      <c r="E1379" t="s">
        <v>7207</v>
      </c>
      <c r="F1379" t="s">
        <v>7208</v>
      </c>
      <c r="G1379" s="4">
        <v>45723</v>
      </c>
      <c r="H1379" s="4">
        <v>45744</v>
      </c>
      <c r="I1379" s="4">
        <v>45755</v>
      </c>
      <c r="J1379">
        <f t="shared" si="105"/>
        <v>11</v>
      </c>
      <c r="K1379" t="str">
        <f t="array" ref="K1379">_xlfn.IFS(J1379=1,"Day Use",J1379&lt;=3,"Short Stay",J1379&lt;=7,"Extended Stay",J1379&gt;=8,"Long Stay")</f>
        <v>Long Stay</v>
      </c>
      <c r="L1379" t="s">
        <v>25</v>
      </c>
      <c r="M1379" s="10" t="str">
        <f t="shared" si="106"/>
        <v>Suite</v>
      </c>
      <c r="N1379" t="s">
        <v>148</v>
      </c>
      <c r="O1379" t="s">
        <v>42</v>
      </c>
      <c r="P1379">
        <f>IFERROR(VLOOKUP(TRIM(M1379),Room!D:H,5,FALSE),5000)</f>
        <v>12500</v>
      </c>
      <c r="Q1379">
        <f t="shared" si="107"/>
        <v>137500</v>
      </c>
      <c r="R1379" s="11" t="str">
        <f t="shared" si="108"/>
        <v>Business</v>
      </c>
      <c r="S1379" s="11">
        <f t="shared" si="109"/>
        <v>5</v>
      </c>
    </row>
    <row r="1380" spans="1:19">
      <c r="A1380" t="s">
        <v>7209</v>
      </c>
      <c r="B1380" t="s">
        <v>7210</v>
      </c>
      <c r="C1380" t="s">
        <v>265</v>
      </c>
      <c r="D1380" t="s">
        <v>7211</v>
      </c>
      <c r="E1380" t="s">
        <v>7212</v>
      </c>
      <c r="F1380" t="s">
        <v>7213</v>
      </c>
      <c r="G1380" s="4">
        <v>45578</v>
      </c>
      <c r="H1380" s="4">
        <v>45595</v>
      </c>
      <c r="I1380" s="4">
        <v>45603</v>
      </c>
      <c r="J1380">
        <f t="shared" si="105"/>
        <v>8</v>
      </c>
      <c r="K1380" t="str">
        <f t="array" ref="K1380">_xlfn.IFS(J1380=1,"Day Use",J1380&lt;=3,"Short Stay",J1380&lt;=7,"Extended Stay",J1380&gt;=8,"Long Stay")</f>
        <v>Long Stay</v>
      </c>
      <c r="L1380" t="s">
        <v>84</v>
      </c>
      <c r="M1380" s="10" t="str">
        <f t="shared" si="106"/>
        <v>Premium</v>
      </c>
      <c r="N1380" t="s">
        <v>148</v>
      </c>
      <c r="O1380" t="s">
        <v>35</v>
      </c>
      <c r="P1380">
        <f>IFERROR(VLOOKUP(TRIM(M1380),Room!D:H,5,FALSE),5000)</f>
        <v>9500</v>
      </c>
      <c r="Q1380">
        <f t="shared" si="107"/>
        <v>76000</v>
      </c>
      <c r="R1380" s="11" t="str">
        <f t="shared" si="108"/>
        <v>Conference</v>
      </c>
      <c r="S1380" s="11">
        <f t="shared" si="109"/>
        <v>4</v>
      </c>
    </row>
    <row r="1381" spans="1:19">
      <c r="A1381" t="s">
        <v>7214</v>
      </c>
      <c r="B1381" t="s">
        <v>7215</v>
      </c>
      <c r="C1381" t="s">
        <v>661</v>
      </c>
      <c r="D1381" t="s">
        <v>7216</v>
      </c>
      <c r="E1381" t="s">
        <v>7217</v>
      </c>
      <c r="F1381" t="s">
        <v>7218</v>
      </c>
      <c r="G1381" s="4">
        <v>45327</v>
      </c>
      <c r="H1381" s="4">
        <v>45399</v>
      </c>
      <c r="I1381" s="4">
        <v>45400</v>
      </c>
      <c r="J1381">
        <f t="shared" si="105"/>
        <v>1</v>
      </c>
      <c r="K1381" t="str">
        <f t="array" ref="K1381">_xlfn.IFS(J1381=1,"Day Use",J1381&lt;=3,"Short Stay",J1381&lt;=7,"Extended Stay",J1381&gt;=8,"Long Stay")</f>
        <v>Day Use</v>
      </c>
      <c r="L1381" t="s">
        <v>34</v>
      </c>
      <c r="M1381" s="10" t="str">
        <f t="shared" si="106"/>
        <v>Standard</v>
      </c>
      <c r="N1381" t="s">
        <v>26</v>
      </c>
      <c r="O1381" t="s">
        <v>27</v>
      </c>
      <c r="P1381">
        <f>IFERROR(VLOOKUP(TRIM(M1381),Room!D:H,5,FALSE),5000)</f>
        <v>3200</v>
      </c>
      <c r="Q1381">
        <f t="shared" si="107"/>
        <v>3200</v>
      </c>
      <c r="R1381" s="11" t="str">
        <f t="shared" si="108"/>
        <v>Other</v>
      </c>
      <c r="S1381" s="11">
        <f t="shared" si="109"/>
        <v>1</v>
      </c>
    </row>
    <row r="1382" spans="1:19">
      <c r="A1382" t="s">
        <v>7219</v>
      </c>
      <c r="B1382" t="s">
        <v>7220</v>
      </c>
      <c r="C1382" t="s">
        <v>327</v>
      </c>
      <c r="D1382" t="s">
        <v>7221</v>
      </c>
      <c r="E1382" t="s">
        <v>7222</v>
      </c>
      <c r="F1382" t="s">
        <v>7223</v>
      </c>
      <c r="G1382" s="4">
        <v>45333</v>
      </c>
      <c r="H1382" s="4">
        <v>45914</v>
      </c>
      <c r="I1382" s="4">
        <v>45917</v>
      </c>
      <c r="J1382">
        <f t="shared" si="105"/>
        <v>3</v>
      </c>
      <c r="K1382" t="str">
        <f t="array" ref="K1382">_xlfn.IFS(J1382=1,"Day Use",J1382&lt;=3,"Short Stay",J1382&lt;=7,"Extended Stay",J1382&gt;=8,"Long Stay")</f>
        <v>Short Stay</v>
      </c>
      <c r="L1382" t="s">
        <v>141</v>
      </c>
      <c r="M1382" s="10" t="str">
        <f t="shared" si="106"/>
        <v>Standard</v>
      </c>
      <c r="N1382" t="s">
        <v>26</v>
      </c>
      <c r="O1382" t="s">
        <v>71</v>
      </c>
      <c r="P1382">
        <f>IFERROR(VLOOKUP(TRIM(M1382),Room!D:H,5,FALSE),5000)</f>
        <v>3200</v>
      </c>
      <c r="Q1382">
        <f t="shared" si="107"/>
        <v>9600</v>
      </c>
      <c r="R1382" s="11" t="str">
        <f t="shared" si="108"/>
        <v>Other</v>
      </c>
      <c r="S1382" s="11">
        <f t="shared" si="109"/>
        <v>2</v>
      </c>
    </row>
    <row r="1383" spans="1:19">
      <c r="A1383" t="s">
        <v>7224</v>
      </c>
      <c r="B1383" t="s">
        <v>7225</v>
      </c>
      <c r="C1383" t="s">
        <v>4370</v>
      </c>
      <c r="D1383" t="s">
        <v>7226</v>
      </c>
      <c r="E1383" t="s">
        <v>7227</v>
      </c>
      <c r="F1383" t="s">
        <v>7228</v>
      </c>
      <c r="G1383" s="4">
        <v>45613</v>
      </c>
      <c r="H1383" s="4">
        <v>45623</v>
      </c>
      <c r="I1383" s="4">
        <v>45628</v>
      </c>
      <c r="J1383">
        <f t="shared" si="105"/>
        <v>5</v>
      </c>
      <c r="K1383" t="str">
        <f t="array" ref="K1383">_xlfn.IFS(J1383=1,"Day Use",J1383&lt;=3,"Short Stay",J1383&lt;=7,"Extended Stay",J1383&gt;=8,"Long Stay")</f>
        <v>Extended Stay</v>
      </c>
      <c r="L1383" t="s">
        <v>34</v>
      </c>
      <c r="M1383" s="10" t="str">
        <f t="shared" si="106"/>
        <v>Deluxe</v>
      </c>
      <c r="N1383" t="s">
        <v>26</v>
      </c>
      <c r="O1383" t="s">
        <v>35</v>
      </c>
      <c r="P1383">
        <f>IFERROR(VLOOKUP(TRIM(M1383),Room!D:H,5,FALSE),5000)</f>
        <v>5400</v>
      </c>
      <c r="Q1383">
        <f t="shared" si="107"/>
        <v>27000</v>
      </c>
      <c r="R1383" s="11" t="str">
        <f t="shared" si="108"/>
        <v>Conference</v>
      </c>
      <c r="S1383" s="11">
        <f t="shared" si="109"/>
        <v>3</v>
      </c>
    </row>
    <row r="1384" spans="1:19">
      <c r="A1384" t="s">
        <v>7229</v>
      </c>
      <c r="B1384" t="s">
        <v>7230</v>
      </c>
      <c r="C1384" t="s">
        <v>1810</v>
      </c>
      <c r="D1384" t="s">
        <v>7231</v>
      </c>
      <c r="E1384" t="s">
        <v>7232</v>
      </c>
      <c r="F1384" t="s">
        <v>7233</v>
      </c>
      <c r="G1384" s="4">
        <v>45822</v>
      </c>
      <c r="H1384" s="4">
        <v>45849</v>
      </c>
      <c r="I1384" s="4">
        <v>45854</v>
      </c>
      <c r="J1384">
        <f t="shared" si="105"/>
        <v>5</v>
      </c>
      <c r="K1384" t="str">
        <f t="array" ref="K1384">_xlfn.IFS(J1384=1,"Day Use",J1384&lt;=3,"Short Stay",J1384&lt;=7,"Extended Stay",J1384&gt;=8,"Long Stay")</f>
        <v>Extended Stay</v>
      </c>
      <c r="L1384" t="s">
        <v>49</v>
      </c>
      <c r="M1384" s="10" t="str">
        <f t="shared" si="106"/>
        <v>Deluxe</v>
      </c>
      <c r="N1384" t="s">
        <v>26</v>
      </c>
      <c r="O1384" t="s">
        <v>42</v>
      </c>
      <c r="P1384">
        <f>IFERROR(VLOOKUP(TRIM(M1384),Room!D:H,5,FALSE),5000)</f>
        <v>5400</v>
      </c>
      <c r="Q1384">
        <f t="shared" si="107"/>
        <v>27000</v>
      </c>
      <c r="R1384" s="11" t="str">
        <f t="shared" si="108"/>
        <v>Conference</v>
      </c>
      <c r="S1384" s="11">
        <f t="shared" si="109"/>
        <v>3</v>
      </c>
    </row>
    <row r="1385" spans="1:19">
      <c r="A1385" t="s">
        <v>7234</v>
      </c>
      <c r="B1385" t="s">
        <v>7235</v>
      </c>
      <c r="C1385" t="s">
        <v>1498</v>
      </c>
      <c r="D1385" t="s">
        <v>7236</v>
      </c>
      <c r="E1385" t="s">
        <v>7237</v>
      </c>
      <c r="F1385" t="s">
        <v>7238</v>
      </c>
      <c r="G1385" s="4">
        <v>45787</v>
      </c>
      <c r="H1385" s="4">
        <v>45924</v>
      </c>
      <c r="I1385" s="4">
        <v>45925</v>
      </c>
      <c r="J1385">
        <f t="shared" si="105"/>
        <v>1</v>
      </c>
      <c r="K1385" t="str">
        <f t="array" ref="K1385">_xlfn.IFS(J1385=1,"Day Use",J1385&lt;=3,"Short Stay",J1385&lt;=7,"Extended Stay",J1385&gt;=8,"Long Stay")</f>
        <v>Day Use</v>
      </c>
      <c r="L1385" t="s">
        <v>25</v>
      </c>
      <c r="M1385" s="10" t="str">
        <f t="shared" si="106"/>
        <v>Standard</v>
      </c>
      <c r="N1385" t="s">
        <v>148</v>
      </c>
      <c r="O1385" t="s">
        <v>42</v>
      </c>
      <c r="P1385">
        <f>IFERROR(VLOOKUP(TRIM(M1385),Room!D:H,5,FALSE),5000)</f>
        <v>3200</v>
      </c>
      <c r="Q1385">
        <f t="shared" si="107"/>
        <v>3200</v>
      </c>
      <c r="R1385" s="11" t="str">
        <f t="shared" si="108"/>
        <v>Other</v>
      </c>
      <c r="S1385" s="11">
        <f t="shared" si="109"/>
        <v>1</v>
      </c>
    </row>
    <row r="1386" spans="1:19">
      <c r="A1386" t="s">
        <v>7239</v>
      </c>
      <c r="B1386" t="s">
        <v>7240</v>
      </c>
      <c r="C1386" t="s">
        <v>1431</v>
      </c>
      <c r="D1386" t="s">
        <v>7241</v>
      </c>
      <c r="E1386" t="s">
        <v>7242</v>
      </c>
      <c r="F1386" t="s">
        <v>7243</v>
      </c>
      <c r="G1386" s="4">
        <v>45596</v>
      </c>
      <c r="H1386" s="4">
        <v>45768</v>
      </c>
      <c r="I1386" s="4">
        <v>45776</v>
      </c>
      <c r="J1386">
        <f t="shared" si="105"/>
        <v>8</v>
      </c>
      <c r="K1386" t="str">
        <f t="array" ref="K1386">_xlfn.IFS(J1386=1,"Day Use",J1386&lt;=3,"Short Stay",J1386&lt;=7,"Extended Stay",J1386&gt;=8,"Long Stay")</f>
        <v>Long Stay</v>
      </c>
      <c r="L1386" t="s">
        <v>56</v>
      </c>
      <c r="M1386" s="10" t="str">
        <f t="shared" si="106"/>
        <v>Premium</v>
      </c>
      <c r="N1386" t="s">
        <v>26</v>
      </c>
      <c r="O1386" t="s">
        <v>58</v>
      </c>
      <c r="P1386">
        <f>IFERROR(VLOOKUP(TRIM(M1386),Room!D:H,5,FALSE),5000)</f>
        <v>9500</v>
      </c>
      <c r="Q1386">
        <f t="shared" si="107"/>
        <v>76000</v>
      </c>
      <c r="R1386" s="11" t="str">
        <f t="shared" si="108"/>
        <v>Conference</v>
      </c>
      <c r="S1386" s="11">
        <f t="shared" si="109"/>
        <v>4</v>
      </c>
    </row>
    <row r="1387" spans="1:19">
      <c r="A1387" t="s">
        <v>7244</v>
      </c>
      <c r="B1387" t="s">
        <v>7245</v>
      </c>
      <c r="C1387" t="s">
        <v>679</v>
      </c>
      <c r="D1387" t="s">
        <v>7246</v>
      </c>
      <c r="E1387" t="s">
        <v>7247</v>
      </c>
      <c r="F1387" t="s">
        <v>7248</v>
      </c>
      <c r="G1387" s="4">
        <v>45488</v>
      </c>
      <c r="H1387" s="4">
        <v>45517</v>
      </c>
      <c r="I1387" s="4">
        <v>45521</v>
      </c>
      <c r="J1387">
        <f t="shared" si="105"/>
        <v>4</v>
      </c>
      <c r="K1387" t="str">
        <f t="array" ref="K1387">_xlfn.IFS(J1387=1,"Day Use",J1387&lt;=3,"Short Stay",J1387&lt;=7,"Extended Stay",J1387&gt;=8,"Long Stay")</f>
        <v>Extended Stay</v>
      </c>
      <c r="L1387" t="s">
        <v>25</v>
      </c>
      <c r="M1387" s="10" t="str">
        <f t="shared" si="106"/>
        <v>Deluxe</v>
      </c>
      <c r="N1387" t="s">
        <v>26</v>
      </c>
      <c r="O1387" t="s">
        <v>27</v>
      </c>
      <c r="P1387">
        <f>IFERROR(VLOOKUP(TRIM(M1387),Room!D:H,5,FALSE),5000)</f>
        <v>5400</v>
      </c>
      <c r="Q1387">
        <f t="shared" si="107"/>
        <v>21600</v>
      </c>
      <c r="R1387" s="11" t="str">
        <f t="shared" si="108"/>
        <v>Conference</v>
      </c>
      <c r="S1387" s="11">
        <f t="shared" si="109"/>
        <v>3</v>
      </c>
    </row>
    <row r="1388" spans="1:19">
      <c r="A1388" t="s">
        <v>7249</v>
      </c>
      <c r="B1388" t="s">
        <v>7250</v>
      </c>
      <c r="C1388" t="s">
        <v>1008</v>
      </c>
      <c r="D1388" t="s">
        <v>7251</v>
      </c>
      <c r="E1388" t="s">
        <v>7252</v>
      </c>
      <c r="F1388" t="s">
        <v>7253</v>
      </c>
      <c r="G1388" s="4">
        <v>45314</v>
      </c>
      <c r="H1388" s="4">
        <v>45382</v>
      </c>
      <c r="I1388" s="4">
        <v>45394</v>
      </c>
      <c r="J1388">
        <f t="shared" si="105"/>
        <v>12</v>
      </c>
      <c r="K1388" t="str">
        <f t="array" ref="K1388">_xlfn.IFS(J1388=1,"Day Use",J1388&lt;=3,"Short Stay",J1388&lt;=7,"Extended Stay",J1388&gt;=8,"Long Stay")</f>
        <v>Long Stay</v>
      </c>
      <c r="L1388" t="s">
        <v>34</v>
      </c>
      <c r="M1388" s="10" t="str">
        <f t="shared" si="106"/>
        <v>Suite</v>
      </c>
      <c r="N1388" t="s">
        <v>26</v>
      </c>
      <c r="O1388" t="s">
        <v>71</v>
      </c>
      <c r="P1388">
        <f>IFERROR(VLOOKUP(TRIM(M1388),Room!D:H,5,FALSE),5000)</f>
        <v>12500</v>
      </c>
      <c r="Q1388">
        <f t="shared" si="107"/>
        <v>150000</v>
      </c>
      <c r="R1388" s="11" t="str">
        <f t="shared" si="108"/>
        <v>Business</v>
      </c>
      <c r="S1388" s="11">
        <f t="shared" si="109"/>
        <v>5</v>
      </c>
    </row>
    <row r="1389" spans="1:19">
      <c r="A1389" t="s">
        <v>7254</v>
      </c>
      <c r="B1389" t="s">
        <v>7255</v>
      </c>
      <c r="C1389" t="s">
        <v>421</v>
      </c>
      <c r="D1389" t="s">
        <v>7256</v>
      </c>
      <c r="E1389" t="s">
        <v>7257</v>
      </c>
      <c r="F1389" t="s">
        <v>7258</v>
      </c>
      <c r="G1389" s="4">
        <v>45203</v>
      </c>
      <c r="H1389" s="4">
        <v>45798</v>
      </c>
      <c r="I1389" s="4">
        <v>45800</v>
      </c>
      <c r="J1389">
        <f t="shared" si="105"/>
        <v>2</v>
      </c>
      <c r="K1389" t="str">
        <f t="array" ref="K1389">_xlfn.IFS(J1389=1,"Day Use",J1389&lt;=3,"Short Stay",J1389&lt;=7,"Extended Stay",J1389&gt;=8,"Long Stay")</f>
        <v>Short Stay</v>
      </c>
      <c r="L1389" t="s">
        <v>196</v>
      </c>
      <c r="M1389" s="10" t="str">
        <f t="shared" si="106"/>
        <v>Standard</v>
      </c>
      <c r="N1389" t="s">
        <v>26</v>
      </c>
      <c r="O1389" t="s">
        <v>42</v>
      </c>
      <c r="P1389">
        <f>IFERROR(VLOOKUP(TRIM(M1389),Room!D:H,5,FALSE),5000)</f>
        <v>3200</v>
      </c>
      <c r="Q1389">
        <f t="shared" si="107"/>
        <v>6400</v>
      </c>
      <c r="R1389" s="11" t="str">
        <f t="shared" si="108"/>
        <v>Other</v>
      </c>
      <c r="S1389" s="11">
        <f t="shared" si="109"/>
        <v>2</v>
      </c>
    </row>
    <row r="1390" spans="1:19">
      <c r="A1390" t="s">
        <v>7259</v>
      </c>
      <c r="B1390" t="s">
        <v>7260</v>
      </c>
      <c r="C1390" t="s">
        <v>2837</v>
      </c>
      <c r="D1390" t="s">
        <v>7261</v>
      </c>
      <c r="E1390" t="s">
        <v>7262</v>
      </c>
      <c r="F1390" t="s">
        <v>7263</v>
      </c>
      <c r="G1390" s="4">
        <v>45467</v>
      </c>
      <c r="H1390" s="4">
        <v>45468</v>
      </c>
      <c r="I1390" s="4">
        <v>45473</v>
      </c>
      <c r="J1390">
        <f t="shared" si="105"/>
        <v>5</v>
      </c>
      <c r="K1390" t="str">
        <f t="array" ref="K1390">_xlfn.IFS(J1390=1,"Day Use",J1390&lt;=3,"Short Stay",J1390&lt;=7,"Extended Stay",J1390&gt;=8,"Long Stay")</f>
        <v>Extended Stay</v>
      </c>
      <c r="L1390" t="s">
        <v>56</v>
      </c>
      <c r="M1390" s="10" t="str">
        <f t="shared" si="106"/>
        <v>Deluxe</v>
      </c>
      <c r="N1390" t="s">
        <v>26</v>
      </c>
      <c r="O1390" t="s">
        <v>27</v>
      </c>
      <c r="P1390">
        <f>IFERROR(VLOOKUP(TRIM(M1390),Room!D:H,5,FALSE),5000)</f>
        <v>5400</v>
      </c>
      <c r="Q1390">
        <f t="shared" si="107"/>
        <v>27000</v>
      </c>
      <c r="R1390" s="11" t="str">
        <f t="shared" si="108"/>
        <v>Conference</v>
      </c>
      <c r="S1390" s="11">
        <f t="shared" si="109"/>
        <v>3</v>
      </c>
    </row>
    <row r="1391" spans="1:19">
      <c r="A1391" t="s">
        <v>7264</v>
      </c>
      <c r="B1391" t="s">
        <v>7265</v>
      </c>
      <c r="C1391" t="s">
        <v>558</v>
      </c>
      <c r="D1391" t="s">
        <v>7266</v>
      </c>
      <c r="E1391" t="s">
        <v>7267</v>
      </c>
      <c r="F1391" t="s">
        <v>7268</v>
      </c>
      <c r="G1391" s="4">
        <v>45410</v>
      </c>
      <c r="H1391" s="4">
        <v>45963</v>
      </c>
      <c r="I1391" s="4">
        <v>45976</v>
      </c>
      <c r="J1391">
        <f t="shared" si="105"/>
        <v>13</v>
      </c>
      <c r="K1391" t="str">
        <f t="array" ref="K1391">_xlfn.IFS(J1391=1,"Day Use",J1391&lt;=3,"Short Stay",J1391&lt;=7,"Extended Stay",J1391&gt;=8,"Long Stay")</f>
        <v>Long Stay</v>
      </c>
      <c r="L1391" t="s">
        <v>49</v>
      </c>
      <c r="M1391" s="10" t="str">
        <f t="shared" si="106"/>
        <v>Suite</v>
      </c>
      <c r="N1391" t="s">
        <v>26</v>
      </c>
      <c r="O1391" t="s">
        <v>27</v>
      </c>
      <c r="P1391">
        <f>IFERROR(VLOOKUP(TRIM(M1391),Room!D:H,5,FALSE),5000)</f>
        <v>12500</v>
      </c>
      <c r="Q1391">
        <f t="shared" si="107"/>
        <v>162500</v>
      </c>
      <c r="R1391" s="11" t="str">
        <f t="shared" si="108"/>
        <v>Business</v>
      </c>
      <c r="S1391" s="11">
        <f t="shared" si="109"/>
        <v>5</v>
      </c>
    </row>
    <row r="1392" spans="1:19">
      <c r="A1392" t="s">
        <v>7269</v>
      </c>
      <c r="B1392" t="s">
        <v>7270</v>
      </c>
      <c r="C1392" t="s">
        <v>1476</v>
      </c>
      <c r="D1392" t="s">
        <v>7271</v>
      </c>
      <c r="E1392" t="s">
        <v>7272</v>
      </c>
      <c r="F1392" t="s">
        <v>7273</v>
      </c>
      <c r="G1392" s="4">
        <v>45668</v>
      </c>
      <c r="H1392" s="4">
        <v>45741</v>
      </c>
      <c r="I1392" s="4">
        <v>45747</v>
      </c>
      <c r="J1392">
        <f t="shared" si="105"/>
        <v>6</v>
      </c>
      <c r="K1392" t="str">
        <f t="array" ref="K1392">_xlfn.IFS(J1392=1,"Day Use",J1392&lt;=3,"Short Stay",J1392&lt;=7,"Extended Stay",J1392&gt;=8,"Long Stay")</f>
        <v>Extended Stay</v>
      </c>
      <c r="L1392" t="s">
        <v>84</v>
      </c>
      <c r="M1392" s="10" t="str">
        <f t="shared" si="106"/>
        <v>Deluxe</v>
      </c>
      <c r="N1392" t="s">
        <v>26</v>
      </c>
      <c r="O1392" t="s">
        <v>71</v>
      </c>
      <c r="P1392">
        <f>IFERROR(VLOOKUP(TRIM(M1392),Room!D:H,5,FALSE),5000)</f>
        <v>5400</v>
      </c>
      <c r="Q1392">
        <f t="shared" si="107"/>
        <v>32400</v>
      </c>
      <c r="R1392" s="11" t="str">
        <f t="shared" si="108"/>
        <v>Conference</v>
      </c>
      <c r="S1392" s="11">
        <f t="shared" si="109"/>
        <v>3</v>
      </c>
    </row>
    <row r="1393" spans="1:19">
      <c r="A1393" t="s">
        <v>7274</v>
      </c>
      <c r="B1393" t="s">
        <v>7275</v>
      </c>
      <c r="C1393" t="s">
        <v>2863</v>
      </c>
      <c r="D1393" t="s">
        <v>7276</v>
      </c>
      <c r="E1393" t="s">
        <v>7277</v>
      </c>
      <c r="F1393" t="s">
        <v>7278</v>
      </c>
      <c r="G1393" s="4">
        <v>45485</v>
      </c>
      <c r="H1393" s="4">
        <v>45487</v>
      </c>
      <c r="I1393" s="4">
        <v>45497</v>
      </c>
      <c r="J1393">
        <f t="shared" si="105"/>
        <v>10</v>
      </c>
      <c r="K1393" t="str">
        <f t="array" ref="K1393">_xlfn.IFS(J1393=1,"Day Use",J1393&lt;=3,"Short Stay",J1393&lt;=7,"Extended Stay",J1393&gt;=8,"Long Stay")</f>
        <v>Long Stay</v>
      </c>
      <c r="L1393" t="s">
        <v>56</v>
      </c>
      <c r="M1393" s="10" t="str">
        <f t="shared" si="106"/>
        <v>Premium</v>
      </c>
      <c r="N1393" t="s">
        <v>26</v>
      </c>
      <c r="O1393" t="s">
        <v>35</v>
      </c>
      <c r="P1393">
        <f>IFERROR(VLOOKUP(TRIM(M1393),Room!D:H,5,FALSE),5000)</f>
        <v>9500</v>
      </c>
      <c r="Q1393">
        <f t="shared" si="107"/>
        <v>95000</v>
      </c>
      <c r="R1393" s="11" t="str">
        <f t="shared" si="108"/>
        <v>Conference</v>
      </c>
      <c r="S1393" s="11">
        <f t="shared" si="109"/>
        <v>4</v>
      </c>
    </row>
    <row r="1394" spans="1:19">
      <c r="A1394" t="s">
        <v>7279</v>
      </c>
      <c r="B1394" t="s">
        <v>7280</v>
      </c>
      <c r="C1394" t="s">
        <v>235</v>
      </c>
      <c r="D1394" t="s">
        <v>7281</v>
      </c>
      <c r="E1394" t="s">
        <v>7282</v>
      </c>
      <c r="F1394" t="s">
        <v>7283</v>
      </c>
      <c r="G1394" s="4">
        <v>45433</v>
      </c>
      <c r="H1394" s="4">
        <v>45928</v>
      </c>
      <c r="I1394" s="4">
        <v>45931</v>
      </c>
      <c r="J1394">
        <f t="shared" si="105"/>
        <v>3</v>
      </c>
      <c r="K1394" t="str">
        <f t="array" ref="K1394">_xlfn.IFS(J1394=1,"Day Use",J1394&lt;=3,"Short Stay",J1394&lt;=7,"Extended Stay",J1394&gt;=8,"Long Stay")</f>
        <v>Short Stay</v>
      </c>
      <c r="L1394" t="s">
        <v>49</v>
      </c>
      <c r="M1394" s="10" t="str">
        <f t="shared" si="106"/>
        <v>Standard</v>
      </c>
      <c r="N1394" t="s">
        <v>26</v>
      </c>
      <c r="O1394" t="s">
        <v>35</v>
      </c>
      <c r="P1394">
        <f>IFERROR(VLOOKUP(TRIM(M1394),Room!D:H,5,FALSE),5000)</f>
        <v>3200</v>
      </c>
      <c r="Q1394">
        <f t="shared" si="107"/>
        <v>9600</v>
      </c>
      <c r="R1394" s="11" t="str">
        <f t="shared" si="108"/>
        <v>Other</v>
      </c>
      <c r="S1394" s="11">
        <f t="shared" si="109"/>
        <v>2</v>
      </c>
    </row>
    <row r="1395" spans="1:19">
      <c r="A1395" t="s">
        <v>7284</v>
      </c>
      <c r="B1395" t="s">
        <v>7285</v>
      </c>
      <c r="C1395" t="s">
        <v>1476</v>
      </c>
      <c r="D1395" t="s">
        <v>7286</v>
      </c>
      <c r="E1395" t="s">
        <v>7287</v>
      </c>
      <c r="F1395" t="s">
        <v>7288</v>
      </c>
      <c r="G1395" s="4">
        <v>45471</v>
      </c>
      <c r="H1395" s="4">
        <v>45939</v>
      </c>
      <c r="I1395" s="4">
        <v>45943</v>
      </c>
      <c r="J1395">
        <f t="shared" si="105"/>
        <v>4</v>
      </c>
      <c r="K1395" t="str">
        <f t="array" ref="K1395">_xlfn.IFS(J1395=1,"Day Use",J1395&lt;=3,"Short Stay",J1395&lt;=7,"Extended Stay",J1395&gt;=8,"Long Stay")</f>
        <v>Extended Stay</v>
      </c>
      <c r="L1395" t="s">
        <v>84</v>
      </c>
      <c r="M1395" s="10" t="str">
        <f t="shared" si="106"/>
        <v>Deluxe</v>
      </c>
      <c r="N1395" t="s">
        <v>26</v>
      </c>
      <c r="O1395" t="s">
        <v>27</v>
      </c>
      <c r="P1395">
        <f>IFERROR(VLOOKUP(TRIM(M1395),Room!D:H,5,FALSE),5000)</f>
        <v>5400</v>
      </c>
      <c r="Q1395">
        <f t="shared" si="107"/>
        <v>21600</v>
      </c>
      <c r="R1395" s="11" t="str">
        <f t="shared" si="108"/>
        <v>Conference</v>
      </c>
      <c r="S1395" s="11">
        <f t="shared" si="109"/>
        <v>3</v>
      </c>
    </row>
    <row r="1396" spans="1:19">
      <c r="A1396" t="s">
        <v>7289</v>
      </c>
      <c r="B1396" t="s">
        <v>7290</v>
      </c>
      <c r="C1396" t="s">
        <v>311</v>
      </c>
      <c r="D1396" t="s">
        <v>7291</v>
      </c>
      <c r="E1396" t="s">
        <v>7292</v>
      </c>
      <c r="F1396" t="s">
        <v>7293</v>
      </c>
      <c r="G1396" s="4">
        <v>45441</v>
      </c>
      <c r="H1396" s="4">
        <v>45460</v>
      </c>
      <c r="I1396" s="4">
        <v>45463</v>
      </c>
      <c r="J1396">
        <f t="shared" si="105"/>
        <v>3</v>
      </c>
      <c r="K1396" t="str">
        <f t="array" ref="K1396">_xlfn.IFS(J1396=1,"Day Use",J1396&lt;=3,"Short Stay",J1396&lt;=7,"Extended Stay",J1396&gt;=8,"Long Stay")</f>
        <v>Short Stay</v>
      </c>
      <c r="L1396" t="s">
        <v>141</v>
      </c>
      <c r="M1396" s="10" t="str">
        <f t="shared" si="106"/>
        <v>Standard</v>
      </c>
      <c r="N1396" t="s">
        <v>26</v>
      </c>
      <c r="O1396" t="s">
        <v>35</v>
      </c>
      <c r="P1396">
        <f>IFERROR(VLOOKUP(TRIM(M1396),Room!D:H,5,FALSE),5000)</f>
        <v>3200</v>
      </c>
      <c r="Q1396">
        <f t="shared" si="107"/>
        <v>9600</v>
      </c>
      <c r="R1396" s="11" t="str">
        <f t="shared" si="108"/>
        <v>Other</v>
      </c>
      <c r="S1396" s="11">
        <f t="shared" si="109"/>
        <v>2</v>
      </c>
    </row>
    <row r="1397" spans="1:19">
      <c r="A1397" t="s">
        <v>7294</v>
      </c>
      <c r="B1397" t="s">
        <v>7295</v>
      </c>
      <c r="C1397" t="s">
        <v>2313</v>
      </c>
      <c r="D1397" t="s">
        <v>7296</v>
      </c>
      <c r="E1397" t="s">
        <v>7297</v>
      </c>
      <c r="F1397" t="s">
        <v>7298</v>
      </c>
      <c r="G1397" s="4">
        <v>45521</v>
      </c>
      <c r="H1397" s="4">
        <v>45550</v>
      </c>
      <c r="I1397" s="4">
        <v>45556</v>
      </c>
      <c r="J1397">
        <f t="shared" si="105"/>
        <v>6</v>
      </c>
      <c r="K1397" t="str">
        <f t="array" ref="K1397">_xlfn.IFS(J1397=1,"Day Use",J1397&lt;=3,"Short Stay",J1397&lt;=7,"Extended Stay",J1397&gt;=8,"Long Stay")</f>
        <v>Extended Stay</v>
      </c>
      <c r="L1397" t="s">
        <v>56</v>
      </c>
      <c r="M1397" s="10" t="str">
        <f t="shared" si="106"/>
        <v>Deluxe</v>
      </c>
      <c r="N1397" t="s">
        <v>148</v>
      </c>
      <c r="O1397" t="s">
        <v>27</v>
      </c>
      <c r="P1397">
        <f>IFERROR(VLOOKUP(TRIM(M1397),Room!D:H,5,FALSE),5000)</f>
        <v>5400</v>
      </c>
      <c r="Q1397">
        <f t="shared" si="107"/>
        <v>32400</v>
      </c>
      <c r="R1397" s="11" t="str">
        <f t="shared" si="108"/>
        <v>Conference</v>
      </c>
      <c r="S1397" s="11">
        <f t="shared" si="109"/>
        <v>3</v>
      </c>
    </row>
    <row r="1398" spans="1:19">
      <c r="A1398" t="s">
        <v>7299</v>
      </c>
      <c r="B1398" t="s">
        <v>7300</v>
      </c>
      <c r="C1398" t="s">
        <v>4328</v>
      </c>
      <c r="D1398" t="s">
        <v>7301</v>
      </c>
      <c r="E1398" t="s">
        <v>7302</v>
      </c>
      <c r="F1398" t="s">
        <v>7303</v>
      </c>
      <c r="G1398" s="4">
        <v>45734</v>
      </c>
      <c r="H1398" s="4">
        <v>45983</v>
      </c>
      <c r="I1398" s="4">
        <v>45996</v>
      </c>
      <c r="J1398">
        <f t="shared" si="105"/>
        <v>13</v>
      </c>
      <c r="K1398" t="str">
        <f t="array" ref="K1398">_xlfn.IFS(J1398=1,"Day Use",J1398&lt;=3,"Short Stay",J1398&lt;=7,"Extended Stay",J1398&gt;=8,"Long Stay")</f>
        <v>Long Stay</v>
      </c>
      <c r="L1398" t="s">
        <v>141</v>
      </c>
      <c r="M1398" s="10" t="str">
        <f t="shared" si="106"/>
        <v>Suite</v>
      </c>
      <c r="N1398" t="s">
        <v>148</v>
      </c>
      <c r="O1398" t="s">
        <v>35</v>
      </c>
      <c r="P1398">
        <f>IFERROR(VLOOKUP(TRIM(M1398),Room!D:H,5,FALSE),5000)</f>
        <v>12500</v>
      </c>
      <c r="Q1398">
        <f t="shared" si="107"/>
        <v>162500</v>
      </c>
      <c r="R1398" s="11" t="str">
        <f t="shared" si="108"/>
        <v>Business</v>
      </c>
      <c r="S1398" s="11">
        <f t="shared" si="109"/>
        <v>5</v>
      </c>
    </row>
    <row r="1399" spans="1:19">
      <c r="A1399" t="s">
        <v>7304</v>
      </c>
      <c r="B1399" t="s">
        <v>7305</v>
      </c>
      <c r="C1399" t="s">
        <v>2154</v>
      </c>
      <c r="D1399" t="s">
        <v>7306</v>
      </c>
      <c r="E1399" t="s">
        <v>7307</v>
      </c>
      <c r="F1399" t="s">
        <v>7308</v>
      </c>
      <c r="G1399" s="4">
        <v>45394</v>
      </c>
      <c r="H1399" s="4">
        <v>45403</v>
      </c>
      <c r="I1399" s="4">
        <v>45406</v>
      </c>
      <c r="J1399">
        <f t="shared" si="105"/>
        <v>3</v>
      </c>
      <c r="K1399" t="str">
        <f t="array" ref="K1399">_xlfn.IFS(J1399=1,"Day Use",J1399&lt;=3,"Short Stay",J1399&lt;=7,"Extended Stay",J1399&gt;=8,"Long Stay")</f>
        <v>Short Stay</v>
      </c>
      <c r="L1399" t="s">
        <v>84</v>
      </c>
      <c r="M1399" s="10" t="str">
        <f t="shared" si="106"/>
        <v>Standard</v>
      </c>
      <c r="N1399" t="s">
        <v>26</v>
      </c>
      <c r="O1399" t="s">
        <v>42</v>
      </c>
      <c r="P1399">
        <f>IFERROR(VLOOKUP(TRIM(M1399),Room!D:H,5,FALSE),5000)</f>
        <v>3200</v>
      </c>
      <c r="Q1399">
        <f t="shared" si="107"/>
        <v>9600</v>
      </c>
      <c r="R1399" s="11" t="str">
        <f t="shared" si="108"/>
        <v>Other</v>
      </c>
      <c r="S1399" s="11">
        <f t="shared" si="109"/>
        <v>2</v>
      </c>
    </row>
    <row r="1400" spans="1:19">
      <c r="A1400" t="s">
        <v>7309</v>
      </c>
      <c r="B1400" t="s">
        <v>7310</v>
      </c>
      <c r="C1400" t="s">
        <v>7311</v>
      </c>
      <c r="D1400" t="s">
        <v>7312</v>
      </c>
      <c r="E1400" t="s">
        <v>7313</v>
      </c>
      <c r="F1400" t="s">
        <v>7314</v>
      </c>
      <c r="G1400" s="4">
        <v>45272</v>
      </c>
      <c r="H1400" s="4">
        <v>45302</v>
      </c>
      <c r="I1400" s="4">
        <v>45308</v>
      </c>
      <c r="J1400">
        <f t="shared" si="105"/>
        <v>6</v>
      </c>
      <c r="K1400" t="str">
        <f t="array" ref="K1400">_xlfn.IFS(J1400=1,"Day Use",J1400&lt;=3,"Short Stay",J1400&lt;=7,"Extended Stay",J1400&gt;=8,"Long Stay")</f>
        <v>Extended Stay</v>
      </c>
      <c r="L1400" t="s">
        <v>196</v>
      </c>
      <c r="M1400" s="10" t="str">
        <f t="shared" si="106"/>
        <v>Deluxe</v>
      </c>
      <c r="N1400" t="s">
        <v>57</v>
      </c>
      <c r="O1400" t="s">
        <v>42</v>
      </c>
      <c r="P1400">
        <f>IFERROR(VLOOKUP(TRIM(M1400),Room!D:H,5,FALSE),5000)</f>
        <v>5400</v>
      </c>
      <c r="Q1400">
        <f t="shared" si="107"/>
        <v>32400</v>
      </c>
      <c r="R1400" s="11" t="str">
        <f t="shared" si="108"/>
        <v>Conference</v>
      </c>
      <c r="S1400" s="11">
        <f t="shared" si="109"/>
        <v>3</v>
      </c>
    </row>
    <row r="1401" spans="1:19">
      <c r="A1401" t="s">
        <v>7315</v>
      </c>
      <c r="B1401" t="s">
        <v>7316</v>
      </c>
      <c r="C1401" t="s">
        <v>288</v>
      </c>
      <c r="D1401" t="s">
        <v>7317</v>
      </c>
      <c r="E1401" t="s">
        <v>7318</v>
      </c>
      <c r="F1401" t="s">
        <v>7319</v>
      </c>
      <c r="G1401" s="4">
        <v>45389</v>
      </c>
      <c r="H1401" s="4">
        <v>45604</v>
      </c>
      <c r="I1401" s="4">
        <v>45617</v>
      </c>
      <c r="J1401">
        <f t="shared" si="105"/>
        <v>13</v>
      </c>
      <c r="K1401" t="str">
        <f t="array" ref="K1401">_xlfn.IFS(J1401=1,"Day Use",J1401&lt;=3,"Short Stay",J1401&lt;=7,"Extended Stay",J1401&gt;=8,"Long Stay")</f>
        <v>Long Stay</v>
      </c>
      <c r="L1401" t="s">
        <v>25</v>
      </c>
      <c r="M1401" s="10" t="str">
        <f t="shared" si="106"/>
        <v>Suite</v>
      </c>
      <c r="N1401" t="s">
        <v>26</v>
      </c>
      <c r="O1401" t="s">
        <v>35</v>
      </c>
      <c r="P1401">
        <f>IFERROR(VLOOKUP(TRIM(M1401),Room!D:H,5,FALSE),5000)</f>
        <v>12500</v>
      </c>
      <c r="Q1401">
        <f t="shared" si="107"/>
        <v>162500</v>
      </c>
      <c r="R1401" s="11" t="str">
        <f t="shared" si="108"/>
        <v>Business</v>
      </c>
      <c r="S1401" s="11">
        <f t="shared" si="109"/>
        <v>5</v>
      </c>
    </row>
    <row r="1402" spans="1:19">
      <c r="A1402" t="s">
        <v>7320</v>
      </c>
      <c r="B1402" t="s">
        <v>7321</v>
      </c>
      <c r="C1402" t="s">
        <v>536</v>
      </c>
      <c r="D1402" t="s">
        <v>7322</v>
      </c>
      <c r="E1402" t="s">
        <v>7323</v>
      </c>
      <c r="F1402" t="s">
        <v>7324</v>
      </c>
      <c r="G1402" s="4">
        <v>45308</v>
      </c>
      <c r="H1402" s="4">
        <v>45455</v>
      </c>
      <c r="I1402" s="4">
        <v>45460</v>
      </c>
      <c r="J1402">
        <f t="shared" si="105"/>
        <v>5</v>
      </c>
      <c r="K1402" t="str">
        <f t="array" ref="K1402">_xlfn.IFS(J1402=1,"Day Use",J1402&lt;=3,"Short Stay",J1402&lt;=7,"Extended Stay",J1402&gt;=8,"Long Stay")</f>
        <v>Extended Stay</v>
      </c>
      <c r="L1402" t="s">
        <v>91</v>
      </c>
      <c r="M1402" s="10" t="str">
        <f t="shared" si="106"/>
        <v>Deluxe</v>
      </c>
      <c r="N1402" t="s">
        <v>26</v>
      </c>
      <c r="O1402" t="s">
        <v>27</v>
      </c>
      <c r="P1402">
        <f>IFERROR(VLOOKUP(TRIM(M1402),Room!D:H,5,FALSE),5000)</f>
        <v>5400</v>
      </c>
      <c r="Q1402">
        <f t="shared" si="107"/>
        <v>27000</v>
      </c>
      <c r="R1402" s="11" t="str">
        <f t="shared" si="108"/>
        <v>Conference</v>
      </c>
      <c r="S1402" s="11">
        <f t="shared" si="109"/>
        <v>3</v>
      </c>
    </row>
    <row r="1403" spans="1:19">
      <c r="A1403" t="s">
        <v>7325</v>
      </c>
      <c r="B1403" t="s">
        <v>7326</v>
      </c>
      <c r="C1403" t="s">
        <v>253</v>
      </c>
      <c r="D1403" t="s">
        <v>7327</v>
      </c>
      <c r="E1403" t="s">
        <v>7328</v>
      </c>
      <c r="F1403" t="s">
        <v>7329</v>
      </c>
      <c r="G1403" s="4">
        <v>45555</v>
      </c>
      <c r="H1403" s="4">
        <v>45703</v>
      </c>
      <c r="I1403" s="4">
        <v>45705</v>
      </c>
      <c r="J1403">
        <f t="shared" si="105"/>
        <v>2</v>
      </c>
      <c r="K1403" t="str">
        <f t="array" ref="K1403">_xlfn.IFS(J1403=1,"Day Use",J1403&lt;=3,"Short Stay",J1403&lt;=7,"Extended Stay",J1403&gt;=8,"Long Stay")</f>
        <v>Short Stay</v>
      </c>
      <c r="L1403" t="s">
        <v>56</v>
      </c>
      <c r="M1403" s="10" t="str">
        <f t="shared" si="106"/>
        <v>Standard</v>
      </c>
      <c r="N1403" t="s">
        <v>57</v>
      </c>
      <c r="O1403" t="s">
        <v>42</v>
      </c>
      <c r="P1403">
        <f>IFERROR(VLOOKUP(TRIM(M1403),Room!D:H,5,FALSE),5000)</f>
        <v>3200</v>
      </c>
      <c r="Q1403">
        <f t="shared" si="107"/>
        <v>6400</v>
      </c>
      <c r="R1403" s="11" t="str">
        <f t="shared" si="108"/>
        <v>Other</v>
      </c>
      <c r="S1403" s="11">
        <f t="shared" si="109"/>
        <v>2</v>
      </c>
    </row>
    <row r="1404" spans="1:19">
      <c r="A1404" t="s">
        <v>7330</v>
      </c>
      <c r="B1404" t="s">
        <v>7331</v>
      </c>
      <c r="C1404" t="s">
        <v>432</v>
      </c>
      <c r="D1404" t="s">
        <v>7332</v>
      </c>
      <c r="E1404" t="s">
        <v>7333</v>
      </c>
      <c r="F1404" t="s">
        <v>7334</v>
      </c>
      <c r="G1404" s="4">
        <v>45482</v>
      </c>
      <c r="H1404" s="4">
        <v>45763</v>
      </c>
      <c r="I1404" s="4">
        <v>45765</v>
      </c>
      <c r="J1404">
        <f t="shared" si="105"/>
        <v>2</v>
      </c>
      <c r="K1404" t="str">
        <f t="array" ref="K1404">_xlfn.IFS(J1404=1,"Day Use",J1404&lt;=3,"Short Stay",J1404&lt;=7,"Extended Stay",J1404&gt;=8,"Long Stay")</f>
        <v>Short Stay</v>
      </c>
      <c r="L1404" t="s">
        <v>84</v>
      </c>
      <c r="M1404" s="10" t="str">
        <f t="shared" si="106"/>
        <v>Standard</v>
      </c>
      <c r="N1404" t="s">
        <v>57</v>
      </c>
      <c r="O1404" t="s">
        <v>71</v>
      </c>
      <c r="P1404">
        <f>IFERROR(VLOOKUP(TRIM(M1404),Room!D:H,5,FALSE),5000)</f>
        <v>3200</v>
      </c>
      <c r="Q1404">
        <f t="shared" si="107"/>
        <v>6400</v>
      </c>
      <c r="R1404" s="11" t="str">
        <f t="shared" si="108"/>
        <v>Other</v>
      </c>
      <c r="S1404" s="11">
        <f t="shared" si="109"/>
        <v>2</v>
      </c>
    </row>
    <row r="1405" spans="1:19">
      <c r="A1405" t="s">
        <v>7335</v>
      </c>
      <c r="B1405" t="s">
        <v>7336</v>
      </c>
      <c r="C1405" t="s">
        <v>1545</v>
      </c>
      <c r="D1405" t="s">
        <v>7337</v>
      </c>
      <c r="E1405" t="s">
        <v>7338</v>
      </c>
      <c r="F1405" t="s">
        <v>7339</v>
      </c>
      <c r="G1405" s="4">
        <v>45713</v>
      </c>
      <c r="H1405" s="4">
        <v>45723</v>
      </c>
      <c r="I1405" s="4">
        <v>45736</v>
      </c>
      <c r="J1405">
        <f t="shared" si="105"/>
        <v>13</v>
      </c>
      <c r="K1405" t="str">
        <f t="array" ref="K1405">_xlfn.IFS(J1405=1,"Day Use",J1405&lt;=3,"Short Stay",J1405&lt;=7,"Extended Stay",J1405&gt;=8,"Long Stay")</f>
        <v>Long Stay</v>
      </c>
      <c r="L1405" t="s">
        <v>49</v>
      </c>
      <c r="M1405" s="10" t="str">
        <f t="shared" si="106"/>
        <v>Suite</v>
      </c>
      <c r="N1405" t="s">
        <v>148</v>
      </c>
      <c r="O1405" t="s">
        <v>42</v>
      </c>
      <c r="P1405">
        <f>IFERROR(VLOOKUP(TRIM(M1405),Room!D:H,5,FALSE),5000)</f>
        <v>12500</v>
      </c>
      <c r="Q1405">
        <f t="shared" si="107"/>
        <v>162500</v>
      </c>
      <c r="R1405" s="11" t="str">
        <f t="shared" si="108"/>
        <v>Business</v>
      </c>
      <c r="S1405" s="11">
        <f t="shared" si="109"/>
        <v>5</v>
      </c>
    </row>
    <row r="1406" spans="1:19">
      <c r="A1406" t="s">
        <v>7340</v>
      </c>
      <c r="B1406" t="s">
        <v>7341</v>
      </c>
      <c r="C1406" t="s">
        <v>2041</v>
      </c>
      <c r="D1406" t="s">
        <v>7342</v>
      </c>
      <c r="E1406" t="s">
        <v>7343</v>
      </c>
      <c r="F1406" t="s">
        <v>7344</v>
      </c>
      <c r="G1406" s="4">
        <v>45520</v>
      </c>
      <c r="H1406" s="4">
        <v>45541</v>
      </c>
      <c r="I1406" s="4">
        <v>45550</v>
      </c>
      <c r="J1406">
        <f t="shared" si="105"/>
        <v>9</v>
      </c>
      <c r="K1406" t="str">
        <f t="array" ref="K1406">_xlfn.IFS(J1406=1,"Day Use",J1406&lt;=3,"Short Stay",J1406&lt;=7,"Extended Stay",J1406&gt;=8,"Long Stay")</f>
        <v>Long Stay</v>
      </c>
      <c r="L1406" t="s">
        <v>141</v>
      </c>
      <c r="M1406" s="10" t="str">
        <f t="shared" si="106"/>
        <v>Premium</v>
      </c>
      <c r="N1406" t="s">
        <v>372</v>
      </c>
      <c r="O1406" t="s">
        <v>27</v>
      </c>
      <c r="P1406">
        <f>IFERROR(VLOOKUP(TRIM(M1406),Room!D:H,5,FALSE),5000)</f>
        <v>9500</v>
      </c>
      <c r="Q1406">
        <f t="shared" si="107"/>
        <v>85500</v>
      </c>
      <c r="R1406" s="11" t="str">
        <f t="shared" si="108"/>
        <v>Conference</v>
      </c>
      <c r="S1406" s="11">
        <f t="shared" si="109"/>
        <v>4</v>
      </c>
    </row>
    <row r="1407" spans="1:19">
      <c r="A1407" t="s">
        <v>7345</v>
      </c>
      <c r="B1407" t="s">
        <v>7346</v>
      </c>
      <c r="C1407" t="s">
        <v>871</v>
      </c>
      <c r="D1407" t="s">
        <v>7347</v>
      </c>
      <c r="E1407" t="s">
        <v>7348</v>
      </c>
      <c r="F1407" t="s">
        <v>7349</v>
      </c>
      <c r="G1407" s="4">
        <v>45568</v>
      </c>
      <c r="H1407" s="4">
        <v>45850</v>
      </c>
      <c r="I1407" s="4">
        <v>45863</v>
      </c>
      <c r="J1407">
        <f t="shared" si="105"/>
        <v>13</v>
      </c>
      <c r="K1407" t="str">
        <f t="array" ref="K1407">_xlfn.IFS(J1407=1,"Day Use",J1407&lt;=3,"Short Stay",J1407&lt;=7,"Extended Stay",J1407&gt;=8,"Long Stay")</f>
        <v>Long Stay</v>
      </c>
      <c r="L1407" t="s">
        <v>84</v>
      </c>
      <c r="M1407" s="10" t="str">
        <f t="shared" si="106"/>
        <v>Suite</v>
      </c>
      <c r="N1407" t="s">
        <v>148</v>
      </c>
      <c r="O1407" t="s">
        <v>71</v>
      </c>
      <c r="P1407">
        <f>IFERROR(VLOOKUP(TRIM(M1407),Room!D:H,5,FALSE),5000)</f>
        <v>12500</v>
      </c>
      <c r="Q1407">
        <f t="shared" si="107"/>
        <v>162500</v>
      </c>
      <c r="R1407" s="11" t="str">
        <f t="shared" si="108"/>
        <v>Business</v>
      </c>
      <c r="S1407" s="11">
        <f t="shared" si="109"/>
        <v>5</v>
      </c>
    </row>
    <row r="1408" spans="1:19">
      <c r="A1408" t="s">
        <v>7350</v>
      </c>
      <c r="B1408" t="s">
        <v>7351</v>
      </c>
      <c r="C1408" t="s">
        <v>2270</v>
      </c>
      <c r="D1408" t="s">
        <v>7352</v>
      </c>
      <c r="E1408" t="s">
        <v>7353</v>
      </c>
      <c r="F1408" t="s">
        <v>7354</v>
      </c>
      <c r="G1408" s="4">
        <v>45222</v>
      </c>
      <c r="H1408" s="4">
        <v>45700</v>
      </c>
      <c r="I1408" s="4">
        <v>45711</v>
      </c>
      <c r="J1408">
        <f t="shared" si="105"/>
        <v>11</v>
      </c>
      <c r="K1408" t="str">
        <f t="array" ref="K1408">_xlfn.IFS(J1408=1,"Day Use",J1408&lt;=3,"Short Stay",J1408&lt;=7,"Extended Stay",J1408&gt;=8,"Long Stay")</f>
        <v>Long Stay</v>
      </c>
      <c r="L1408" t="s">
        <v>84</v>
      </c>
      <c r="M1408" s="10" t="str">
        <f t="shared" si="106"/>
        <v>Suite</v>
      </c>
      <c r="N1408" t="s">
        <v>26</v>
      </c>
      <c r="O1408" t="s">
        <v>35</v>
      </c>
      <c r="P1408">
        <f>IFERROR(VLOOKUP(TRIM(M1408),Room!D:H,5,FALSE),5000)</f>
        <v>12500</v>
      </c>
      <c r="Q1408">
        <f t="shared" si="107"/>
        <v>137500</v>
      </c>
      <c r="R1408" s="11" t="str">
        <f t="shared" si="108"/>
        <v>Business</v>
      </c>
      <c r="S1408" s="11">
        <f t="shared" si="109"/>
        <v>5</v>
      </c>
    </row>
    <row r="1409" spans="1:19">
      <c r="A1409" t="s">
        <v>7355</v>
      </c>
      <c r="B1409" t="s">
        <v>7356</v>
      </c>
      <c r="C1409" t="s">
        <v>2041</v>
      </c>
      <c r="D1409" t="s">
        <v>7357</v>
      </c>
      <c r="E1409" t="s">
        <v>7358</v>
      </c>
      <c r="F1409" t="s">
        <v>7359</v>
      </c>
      <c r="G1409" s="4">
        <v>45452</v>
      </c>
      <c r="H1409" s="4">
        <v>45458</v>
      </c>
      <c r="I1409" s="4">
        <v>45461</v>
      </c>
      <c r="J1409">
        <f t="shared" si="105"/>
        <v>3</v>
      </c>
      <c r="K1409" t="str">
        <f t="array" ref="K1409">_xlfn.IFS(J1409=1,"Day Use",J1409&lt;=3,"Short Stay",J1409&lt;=7,"Extended Stay",J1409&gt;=8,"Long Stay")</f>
        <v>Short Stay</v>
      </c>
      <c r="L1409" t="s">
        <v>34</v>
      </c>
      <c r="M1409" s="10" t="str">
        <f t="shared" si="106"/>
        <v>Standard</v>
      </c>
      <c r="N1409" t="s">
        <v>26</v>
      </c>
      <c r="O1409" t="s">
        <v>42</v>
      </c>
      <c r="P1409">
        <f>IFERROR(VLOOKUP(TRIM(M1409),Room!D:H,5,FALSE),5000)</f>
        <v>3200</v>
      </c>
      <c r="Q1409">
        <f t="shared" si="107"/>
        <v>9600</v>
      </c>
      <c r="R1409" s="11" t="str">
        <f t="shared" si="108"/>
        <v>Other</v>
      </c>
      <c r="S1409" s="11">
        <f t="shared" si="109"/>
        <v>2</v>
      </c>
    </row>
    <row r="1410" spans="1:19">
      <c r="A1410" t="s">
        <v>7360</v>
      </c>
      <c r="B1410" t="s">
        <v>7361</v>
      </c>
      <c r="C1410" t="s">
        <v>3112</v>
      </c>
      <c r="D1410" t="s">
        <v>7362</v>
      </c>
      <c r="E1410" t="s">
        <v>7363</v>
      </c>
      <c r="F1410" t="s">
        <v>7364</v>
      </c>
      <c r="G1410" s="4">
        <v>45295</v>
      </c>
      <c r="H1410" s="4">
        <v>45555</v>
      </c>
      <c r="I1410" s="4">
        <v>45565</v>
      </c>
      <c r="J1410">
        <f t="shared" ref="J1410:J1473" si="110">I1410-H1410</f>
        <v>10</v>
      </c>
      <c r="K1410" t="str">
        <f t="array" ref="K1410">_xlfn.IFS(J1410=1,"Day Use",J1410&lt;=3,"Short Stay",J1410&lt;=7,"Extended Stay",J1410&gt;=8,"Long Stay")</f>
        <v>Long Stay</v>
      </c>
      <c r="L1410" t="s">
        <v>84</v>
      </c>
      <c r="M1410" s="10" t="str">
        <f t="shared" ref="M1410:M1473" si="111">IF($J1410&lt;=3,"Standard",IF($J1410&lt;=6,"Deluxe",IF($J1410&lt;=10,"Premium","Suite")))</f>
        <v>Premium</v>
      </c>
      <c r="N1410" t="s">
        <v>57</v>
      </c>
      <c r="O1410" t="s">
        <v>71</v>
      </c>
      <c r="P1410">
        <f>IFERROR(VLOOKUP(TRIM(M1410),Room!D:H,5,FALSE),5000)</f>
        <v>9500</v>
      </c>
      <c r="Q1410">
        <f t="shared" si="107"/>
        <v>95000</v>
      </c>
      <c r="R1410" s="11" t="str">
        <f t="shared" si="108"/>
        <v>Conference</v>
      </c>
      <c r="S1410" s="11">
        <f t="shared" si="109"/>
        <v>4</v>
      </c>
    </row>
    <row r="1411" spans="1:19">
      <c r="A1411" t="s">
        <v>7365</v>
      </c>
      <c r="B1411" t="s">
        <v>7366</v>
      </c>
      <c r="C1411" t="s">
        <v>604</v>
      </c>
      <c r="D1411" t="s">
        <v>7367</v>
      </c>
      <c r="E1411" t="s">
        <v>7368</v>
      </c>
      <c r="F1411" t="s">
        <v>7369</v>
      </c>
      <c r="G1411" s="4">
        <v>45765</v>
      </c>
      <c r="H1411" s="4">
        <v>46007</v>
      </c>
      <c r="I1411" s="4">
        <v>46011</v>
      </c>
      <c r="J1411">
        <f t="shared" si="110"/>
        <v>4</v>
      </c>
      <c r="K1411" t="str">
        <f t="array" ref="K1411">_xlfn.IFS(J1411=1,"Day Use",J1411&lt;=3,"Short Stay",J1411&lt;=7,"Extended Stay",J1411&gt;=8,"Long Stay")</f>
        <v>Extended Stay</v>
      </c>
      <c r="L1411" t="s">
        <v>84</v>
      </c>
      <c r="M1411" s="10" t="str">
        <f t="shared" si="111"/>
        <v>Deluxe</v>
      </c>
      <c r="N1411" t="s">
        <v>148</v>
      </c>
      <c r="O1411" t="s">
        <v>58</v>
      </c>
      <c r="P1411">
        <f>IFERROR(VLOOKUP(TRIM(M1411),Room!D:H,5,FALSE),5000)</f>
        <v>5400</v>
      </c>
      <c r="Q1411">
        <f t="shared" ref="Q1411:Q1474" si="112">P1411*J1411</f>
        <v>21600</v>
      </c>
      <c r="R1411" s="11" t="str">
        <f t="shared" ref="R1411:R1474" si="113">IF(ISNUMBER(SEARCH("Suite",D1411)),"Honeymoon",IF(P1411&gt;10000,"Business",IF(P1411&gt;5000,"Conference",IF(J1411&gt;=8,"Family Vacation","Other"))))</f>
        <v>Conference</v>
      </c>
      <c r="S1411" s="11">
        <f t="shared" ref="S1411:S1474" si="114">IF(M1411="Suite",5,IF(M1411="Premium",IF(Q1411&gt;20000,4,3),IF(M1411="Deluxe",IF(Q1411&gt;=10000,3,2),IF(M1411="Standard",IF(Q1411&gt;=5000,2,1),1))))</f>
        <v>3</v>
      </c>
    </row>
    <row r="1412" spans="1:19">
      <c r="A1412" t="s">
        <v>7370</v>
      </c>
      <c r="B1412" t="s">
        <v>7371</v>
      </c>
      <c r="C1412" t="s">
        <v>1699</v>
      </c>
      <c r="D1412" t="s">
        <v>7372</v>
      </c>
      <c r="E1412" t="s">
        <v>7373</v>
      </c>
      <c r="F1412" t="s">
        <v>7374</v>
      </c>
      <c r="G1412" s="4">
        <v>45338</v>
      </c>
      <c r="H1412" s="4">
        <v>45345</v>
      </c>
      <c r="I1412" s="4">
        <v>45350</v>
      </c>
      <c r="J1412">
        <f t="shared" si="110"/>
        <v>5</v>
      </c>
      <c r="K1412" t="str">
        <f t="array" ref="K1412">_xlfn.IFS(J1412=1,"Day Use",J1412&lt;=3,"Short Stay",J1412&lt;=7,"Extended Stay",J1412&gt;=8,"Long Stay")</f>
        <v>Extended Stay</v>
      </c>
      <c r="L1412" t="s">
        <v>25</v>
      </c>
      <c r="M1412" s="10" t="str">
        <f t="shared" si="111"/>
        <v>Deluxe</v>
      </c>
      <c r="N1412" t="s">
        <v>57</v>
      </c>
      <c r="O1412" t="s">
        <v>27</v>
      </c>
      <c r="P1412">
        <f>IFERROR(VLOOKUP(TRIM(M1412),Room!D:H,5,FALSE),5000)</f>
        <v>5400</v>
      </c>
      <c r="Q1412">
        <f t="shared" si="112"/>
        <v>27000</v>
      </c>
      <c r="R1412" s="11" t="str">
        <f t="shared" si="113"/>
        <v>Conference</v>
      </c>
      <c r="S1412" s="11">
        <f t="shared" si="114"/>
        <v>3</v>
      </c>
    </row>
    <row r="1413" spans="1:19">
      <c r="A1413" t="s">
        <v>7375</v>
      </c>
      <c r="B1413" t="s">
        <v>7376</v>
      </c>
      <c r="C1413" t="s">
        <v>639</v>
      </c>
      <c r="D1413" t="s">
        <v>7377</v>
      </c>
      <c r="E1413" t="s">
        <v>7378</v>
      </c>
      <c r="F1413" t="s">
        <v>7379</v>
      </c>
      <c r="G1413" s="4">
        <v>45276</v>
      </c>
      <c r="H1413" s="4">
        <v>45295</v>
      </c>
      <c r="I1413" s="4">
        <v>45302</v>
      </c>
      <c r="J1413">
        <f t="shared" si="110"/>
        <v>7</v>
      </c>
      <c r="K1413" t="str">
        <f t="array" ref="K1413">_xlfn.IFS(J1413=1,"Day Use",J1413&lt;=3,"Short Stay",J1413&lt;=7,"Extended Stay",J1413&gt;=8,"Long Stay")</f>
        <v>Extended Stay</v>
      </c>
      <c r="L1413" t="s">
        <v>49</v>
      </c>
      <c r="M1413" s="10" t="str">
        <f t="shared" si="111"/>
        <v>Premium</v>
      </c>
      <c r="N1413" t="s">
        <v>26</v>
      </c>
      <c r="O1413" t="s">
        <v>42</v>
      </c>
      <c r="P1413">
        <f>IFERROR(VLOOKUP(TRIM(M1413),Room!D:H,5,FALSE),5000)</f>
        <v>9500</v>
      </c>
      <c r="Q1413">
        <f t="shared" si="112"/>
        <v>66500</v>
      </c>
      <c r="R1413" s="11" t="str">
        <f t="shared" si="113"/>
        <v>Conference</v>
      </c>
      <c r="S1413" s="11">
        <f t="shared" si="114"/>
        <v>4</v>
      </c>
    </row>
    <row r="1414" spans="1:19">
      <c r="A1414" t="s">
        <v>7380</v>
      </c>
      <c r="B1414" t="s">
        <v>7381</v>
      </c>
      <c r="C1414" t="s">
        <v>1757</v>
      </c>
      <c r="D1414" t="s">
        <v>7382</v>
      </c>
      <c r="E1414" t="s">
        <v>7383</v>
      </c>
      <c r="F1414" t="s">
        <v>7384</v>
      </c>
      <c r="G1414" s="4">
        <v>45491</v>
      </c>
      <c r="H1414" s="4">
        <v>45935</v>
      </c>
      <c r="I1414" s="4">
        <v>45943</v>
      </c>
      <c r="J1414">
        <f t="shared" si="110"/>
        <v>8</v>
      </c>
      <c r="K1414" t="str">
        <f t="array" ref="K1414">_xlfn.IFS(J1414=1,"Day Use",J1414&lt;=3,"Short Stay",J1414&lt;=7,"Extended Stay",J1414&gt;=8,"Long Stay")</f>
        <v>Long Stay</v>
      </c>
      <c r="L1414" t="s">
        <v>196</v>
      </c>
      <c r="M1414" s="10" t="str">
        <f t="shared" si="111"/>
        <v>Premium</v>
      </c>
      <c r="N1414" t="s">
        <v>26</v>
      </c>
      <c r="O1414" t="s">
        <v>35</v>
      </c>
      <c r="P1414">
        <f>IFERROR(VLOOKUP(TRIM(M1414),Room!D:H,5,FALSE),5000)</f>
        <v>9500</v>
      </c>
      <c r="Q1414">
        <f t="shared" si="112"/>
        <v>76000</v>
      </c>
      <c r="R1414" s="11" t="str">
        <f t="shared" si="113"/>
        <v>Conference</v>
      </c>
      <c r="S1414" s="11">
        <f t="shared" si="114"/>
        <v>4</v>
      </c>
    </row>
    <row r="1415" spans="1:19">
      <c r="A1415" t="s">
        <v>7385</v>
      </c>
      <c r="B1415" t="s">
        <v>7386</v>
      </c>
      <c r="C1415" t="s">
        <v>835</v>
      </c>
      <c r="D1415" t="s">
        <v>7387</v>
      </c>
      <c r="E1415" t="s">
        <v>7388</v>
      </c>
      <c r="F1415" t="s">
        <v>7389</v>
      </c>
      <c r="G1415" s="4">
        <v>45710</v>
      </c>
      <c r="H1415" s="4">
        <v>45729</v>
      </c>
      <c r="I1415" s="4">
        <v>45742</v>
      </c>
      <c r="J1415">
        <f t="shared" si="110"/>
        <v>13</v>
      </c>
      <c r="K1415" t="str">
        <f t="array" ref="K1415">_xlfn.IFS(J1415=1,"Day Use",J1415&lt;=3,"Short Stay",J1415&lt;=7,"Extended Stay",J1415&gt;=8,"Long Stay")</f>
        <v>Long Stay</v>
      </c>
      <c r="L1415" t="s">
        <v>49</v>
      </c>
      <c r="M1415" s="10" t="str">
        <f t="shared" si="111"/>
        <v>Suite</v>
      </c>
      <c r="N1415" t="s">
        <v>57</v>
      </c>
      <c r="O1415" t="s">
        <v>58</v>
      </c>
      <c r="P1415">
        <f>IFERROR(VLOOKUP(TRIM(M1415),Room!D:H,5,FALSE),5000)</f>
        <v>12500</v>
      </c>
      <c r="Q1415">
        <f t="shared" si="112"/>
        <v>162500</v>
      </c>
      <c r="R1415" s="11" t="str">
        <f t="shared" si="113"/>
        <v>Business</v>
      </c>
      <c r="S1415" s="11">
        <f t="shared" si="114"/>
        <v>5</v>
      </c>
    </row>
    <row r="1416" spans="1:19">
      <c r="A1416" t="s">
        <v>7390</v>
      </c>
      <c r="B1416" t="s">
        <v>7391</v>
      </c>
      <c r="C1416" t="s">
        <v>575</v>
      </c>
      <c r="D1416" t="s">
        <v>7392</v>
      </c>
      <c r="E1416" t="s">
        <v>7393</v>
      </c>
      <c r="F1416" t="s">
        <v>7394</v>
      </c>
      <c r="G1416" s="4">
        <v>45633</v>
      </c>
      <c r="H1416" s="4">
        <v>45867</v>
      </c>
      <c r="I1416" s="4">
        <v>45872</v>
      </c>
      <c r="J1416">
        <f t="shared" si="110"/>
        <v>5</v>
      </c>
      <c r="K1416" t="str">
        <f t="array" ref="K1416">_xlfn.IFS(J1416=1,"Day Use",J1416&lt;=3,"Short Stay",J1416&lt;=7,"Extended Stay",J1416&gt;=8,"Long Stay")</f>
        <v>Extended Stay</v>
      </c>
      <c r="L1416" t="s">
        <v>49</v>
      </c>
      <c r="M1416" s="10" t="str">
        <f t="shared" si="111"/>
        <v>Deluxe</v>
      </c>
      <c r="N1416" t="s">
        <v>26</v>
      </c>
      <c r="O1416" t="s">
        <v>42</v>
      </c>
      <c r="P1416">
        <f>IFERROR(VLOOKUP(TRIM(M1416),Room!D:H,5,FALSE),5000)</f>
        <v>5400</v>
      </c>
      <c r="Q1416">
        <f t="shared" si="112"/>
        <v>27000</v>
      </c>
      <c r="R1416" s="11" t="str">
        <f t="shared" si="113"/>
        <v>Conference</v>
      </c>
      <c r="S1416" s="11">
        <f t="shared" si="114"/>
        <v>3</v>
      </c>
    </row>
    <row r="1417" spans="1:19">
      <c r="A1417" t="s">
        <v>7395</v>
      </c>
      <c r="B1417" t="s">
        <v>7396</v>
      </c>
      <c r="C1417" t="s">
        <v>392</v>
      </c>
      <c r="D1417" t="s">
        <v>7397</v>
      </c>
      <c r="E1417" t="s">
        <v>7398</v>
      </c>
      <c r="F1417" t="s">
        <v>7399</v>
      </c>
      <c r="G1417" s="4">
        <v>45476</v>
      </c>
      <c r="H1417" s="4">
        <v>45493</v>
      </c>
      <c r="I1417" s="4">
        <v>45507</v>
      </c>
      <c r="J1417">
        <f t="shared" si="110"/>
        <v>14</v>
      </c>
      <c r="K1417" t="str">
        <f t="array" ref="K1417">_xlfn.IFS(J1417=1,"Day Use",J1417&lt;=3,"Short Stay",J1417&lt;=7,"Extended Stay",J1417&gt;=8,"Long Stay")</f>
        <v>Long Stay</v>
      </c>
      <c r="L1417" t="s">
        <v>141</v>
      </c>
      <c r="M1417" s="10" t="str">
        <f t="shared" si="111"/>
        <v>Suite</v>
      </c>
      <c r="N1417" t="s">
        <v>26</v>
      </c>
      <c r="O1417" t="s">
        <v>71</v>
      </c>
      <c r="P1417">
        <f>IFERROR(VLOOKUP(TRIM(M1417),Room!D:H,5,FALSE),5000)</f>
        <v>12500</v>
      </c>
      <c r="Q1417">
        <f t="shared" si="112"/>
        <v>175000</v>
      </c>
      <c r="R1417" s="11" t="str">
        <f t="shared" si="113"/>
        <v>Business</v>
      </c>
      <c r="S1417" s="11">
        <f t="shared" si="114"/>
        <v>5</v>
      </c>
    </row>
    <row r="1418" spans="1:19">
      <c r="A1418" t="s">
        <v>7400</v>
      </c>
      <c r="B1418" t="s">
        <v>7401</v>
      </c>
      <c r="C1418" t="s">
        <v>2510</v>
      </c>
      <c r="D1418" t="s">
        <v>7402</v>
      </c>
      <c r="E1418" t="s">
        <v>7403</v>
      </c>
      <c r="F1418" t="s">
        <v>7404</v>
      </c>
      <c r="G1418" s="4">
        <v>45432</v>
      </c>
      <c r="H1418" s="4">
        <v>45457</v>
      </c>
      <c r="I1418" s="4">
        <v>45470</v>
      </c>
      <c r="J1418">
        <f t="shared" si="110"/>
        <v>13</v>
      </c>
      <c r="K1418" t="str">
        <f t="array" ref="K1418">_xlfn.IFS(J1418=1,"Day Use",J1418&lt;=3,"Short Stay",J1418&lt;=7,"Extended Stay",J1418&gt;=8,"Long Stay")</f>
        <v>Long Stay</v>
      </c>
      <c r="L1418" t="s">
        <v>91</v>
      </c>
      <c r="M1418" s="10" t="str">
        <f t="shared" si="111"/>
        <v>Suite</v>
      </c>
      <c r="N1418" t="s">
        <v>26</v>
      </c>
      <c r="O1418" t="s">
        <v>42</v>
      </c>
      <c r="P1418">
        <f>IFERROR(VLOOKUP(TRIM(M1418),Room!D:H,5,FALSE),5000)</f>
        <v>12500</v>
      </c>
      <c r="Q1418">
        <f t="shared" si="112"/>
        <v>162500</v>
      </c>
      <c r="R1418" s="11" t="str">
        <f t="shared" si="113"/>
        <v>Business</v>
      </c>
      <c r="S1418" s="11">
        <f t="shared" si="114"/>
        <v>5</v>
      </c>
    </row>
    <row r="1419" spans="1:19">
      <c r="A1419" t="s">
        <v>7405</v>
      </c>
      <c r="B1419" t="s">
        <v>7406</v>
      </c>
      <c r="C1419" t="s">
        <v>2474</v>
      </c>
      <c r="D1419" t="s">
        <v>7407</v>
      </c>
      <c r="E1419" t="s">
        <v>7408</v>
      </c>
      <c r="F1419" t="s">
        <v>7409</v>
      </c>
      <c r="G1419" s="4">
        <v>45673</v>
      </c>
      <c r="H1419" s="4">
        <v>45684</v>
      </c>
      <c r="I1419" s="4">
        <v>45694</v>
      </c>
      <c r="J1419">
        <f t="shared" si="110"/>
        <v>10</v>
      </c>
      <c r="K1419" t="str">
        <f t="array" ref="K1419">_xlfn.IFS(J1419=1,"Day Use",J1419&lt;=3,"Short Stay",J1419&lt;=7,"Extended Stay",J1419&gt;=8,"Long Stay")</f>
        <v>Long Stay</v>
      </c>
      <c r="L1419" t="s">
        <v>84</v>
      </c>
      <c r="M1419" s="10" t="str">
        <f t="shared" si="111"/>
        <v>Premium</v>
      </c>
      <c r="N1419" t="s">
        <v>134</v>
      </c>
      <c r="O1419" t="s">
        <v>71</v>
      </c>
      <c r="P1419">
        <f>IFERROR(VLOOKUP(TRIM(M1419),Room!D:H,5,FALSE),5000)</f>
        <v>9500</v>
      </c>
      <c r="Q1419">
        <f t="shared" si="112"/>
        <v>95000</v>
      </c>
      <c r="R1419" s="11" t="str">
        <f t="shared" si="113"/>
        <v>Conference</v>
      </c>
      <c r="S1419" s="11">
        <f t="shared" si="114"/>
        <v>4</v>
      </c>
    </row>
    <row r="1420" spans="1:19">
      <c r="A1420" t="s">
        <v>7410</v>
      </c>
      <c r="B1420" t="s">
        <v>7411</v>
      </c>
      <c r="C1420" t="s">
        <v>1008</v>
      </c>
      <c r="D1420" t="s">
        <v>7412</v>
      </c>
      <c r="E1420" t="s">
        <v>7413</v>
      </c>
      <c r="F1420" t="s">
        <v>7414</v>
      </c>
      <c r="G1420" s="4">
        <v>45854</v>
      </c>
      <c r="H1420" s="4">
        <v>45924</v>
      </c>
      <c r="I1420" s="4">
        <v>45932</v>
      </c>
      <c r="J1420">
        <f t="shared" si="110"/>
        <v>8</v>
      </c>
      <c r="K1420" t="str">
        <f t="array" ref="K1420">_xlfn.IFS(J1420=1,"Day Use",J1420&lt;=3,"Short Stay",J1420&lt;=7,"Extended Stay",J1420&gt;=8,"Long Stay")</f>
        <v>Long Stay</v>
      </c>
      <c r="L1420" t="s">
        <v>34</v>
      </c>
      <c r="M1420" s="10" t="str">
        <f t="shared" si="111"/>
        <v>Premium</v>
      </c>
      <c r="N1420" t="s">
        <v>26</v>
      </c>
      <c r="O1420" t="s">
        <v>42</v>
      </c>
      <c r="P1420">
        <f>IFERROR(VLOOKUP(TRIM(M1420),Room!D:H,5,FALSE),5000)</f>
        <v>9500</v>
      </c>
      <c r="Q1420">
        <f t="shared" si="112"/>
        <v>76000</v>
      </c>
      <c r="R1420" s="11" t="str">
        <f t="shared" si="113"/>
        <v>Conference</v>
      </c>
      <c r="S1420" s="11">
        <f t="shared" si="114"/>
        <v>4</v>
      </c>
    </row>
    <row r="1421" spans="1:19">
      <c r="A1421" t="s">
        <v>7415</v>
      </c>
      <c r="B1421" t="s">
        <v>7416</v>
      </c>
      <c r="C1421" t="s">
        <v>421</v>
      </c>
      <c r="D1421" t="s">
        <v>7417</v>
      </c>
      <c r="E1421" t="s">
        <v>7418</v>
      </c>
      <c r="F1421" t="s">
        <v>7419</v>
      </c>
      <c r="G1421" s="4">
        <v>45465</v>
      </c>
      <c r="H1421" s="4">
        <v>45478</v>
      </c>
      <c r="I1421" s="4">
        <v>45488</v>
      </c>
      <c r="J1421">
        <f t="shared" si="110"/>
        <v>10</v>
      </c>
      <c r="K1421" t="str">
        <f t="array" ref="K1421">_xlfn.IFS(J1421=1,"Day Use",J1421&lt;=3,"Short Stay",J1421&lt;=7,"Extended Stay",J1421&gt;=8,"Long Stay")</f>
        <v>Long Stay</v>
      </c>
      <c r="L1421" t="s">
        <v>84</v>
      </c>
      <c r="M1421" s="10" t="str">
        <f t="shared" si="111"/>
        <v>Premium</v>
      </c>
      <c r="N1421" t="s">
        <v>134</v>
      </c>
      <c r="O1421" t="s">
        <v>58</v>
      </c>
      <c r="P1421">
        <f>IFERROR(VLOOKUP(TRIM(M1421),Room!D:H,5,FALSE),5000)</f>
        <v>9500</v>
      </c>
      <c r="Q1421">
        <f t="shared" si="112"/>
        <v>95000</v>
      </c>
      <c r="R1421" s="11" t="str">
        <f t="shared" si="113"/>
        <v>Conference</v>
      </c>
      <c r="S1421" s="11">
        <f t="shared" si="114"/>
        <v>4</v>
      </c>
    </row>
    <row r="1422" spans="1:19">
      <c r="A1422" t="s">
        <v>7420</v>
      </c>
      <c r="B1422" t="s">
        <v>7421</v>
      </c>
      <c r="C1422" t="s">
        <v>1610</v>
      </c>
      <c r="D1422" t="s">
        <v>7422</v>
      </c>
      <c r="E1422" t="s">
        <v>7423</v>
      </c>
      <c r="F1422" t="s">
        <v>7424</v>
      </c>
      <c r="G1422" s="4">
        <v>45412</v>
      </c>
      <c r="H1422" s="4">
        <v>45795</v>
      </c>
      <c r="I1422" s="4">
        <v>45799</v>
      </c>
      <c r="J1422">
        <f t="shared" si="110"/>
        <v>4</v>
      </c>
      <c r="K1422" t="str">
        <f t="array" ref="K1422">_xlfn.IFS(J1422=1,"Day Use",J1422&lt;=3,"Short Stay",J1422&lt;=7,"Extended Stay",J1422&gt;=8,"Long Stay")</f>
        <v>Extended Stay</v>
      </c>
      <c r="L1422" t="s">
        <v>141</v>
      </c>
      <c r="M1422" s="10" t="str">
        <f t="shared" si="111"/>
        <v>Deluxe</v>
      </c>
      <c r="N1422" t="s">
        <v>26</v>
      </c>
      <c r="O1422" t="s">
        <v>27</v>
      </c>
      <c r="P1422">
        <f>IFERROR(VLOOKUP(TRIM(M1422),Room!D:H,5,FALSE),5000)</f>
        <v>5400</v>
      </c>
      <c r="Q1422">
        <f t="shared" si="112"/>
        <v>21600</v>
      </c>
      <c r="R1422" s="11" t="str">
        <f t="shared" si="113"/>
        <v>Conference</v>
      </c>
      <c r="S1422" s="11">
        <f t="shared" si="114"/>
        <v>3</v>
      </c>
    </row>
    <row r="1423" spans="1:19">
      <c r="A1423" t="s">
        <v>7425</v>
      </c>
      <c r="B1423" t="s">
        <v>7426</v>
      </c>
      <c r="C1423" t="s">
        <v>3586</v>
      </c>
      <c r="D1423" t="s">
        <v>7427</v>
      </c>
      <c r="E1423" t="s">
        <v>7428</v>
      </c>
      <c r="F1423" t="s">
        <v>7429</v>
      </c>
      <c r="G1423" s="4">
        <v>45632</v>
      </c>
      <c r="H1423" s="4">
        <v>45761</v>
      </c>
      <c r="I1423" s="4">
        <v>45763</v>
      </c>
      <c r="J1423">
        <f t="shared" si="110"/>
        <v>2</v>
      </c>
      <c r="K1423" t="str">
        <f t="array" ref="K1423">_xlfn.IFS(J1423=1,"Day Use",J1423&lt;=3,"Short Stay",J1423&lt;=7,"Extended Stay",J1423&gt;=8,"Long Stay")</f>
        <v>Short Stay</v>
      </c>
      <c r="L1423" t="s">
        <v>34</v>
      </c>
      <c r="M1423" s="10" t="str">
        <f t="shared" si="111"/>
        <v>Standard</v>
      </c>
      <c r="N1423" t="s">
        <v>26</v>
      </c>
      <c r="O1423" t="s">
        <v>42</v>
      </c>
      <c r="P1423">
        <f>IFERROR(VLOOKUP(TRIM(M1423),Room!D:H,5,FALSE),5000)</f>
        <v>3200</v>
      </c>
      <c r="Q1423">
        <f t="shared" si="112"/>
        <v>6400</v>
      </c>
      <c r="R1423" s="11" t="str">
        <f t="shared" si="113"/>
        <v>Other</v>
      </c>
      <c r="S1423" s="11">
        <f t="shared" si="114"/>
        <v>2</v>
      </c>
    </row>
    <row r="1424" spans="1:19">
      <c r="A1424" t="s">
        <v>7430</v>
      </c>
      <c r="B1424" t="s">
        <v>7431</v>
      </c>
      <c r="C1424" t="s">
        <v>363</v>
      </c>
      <c r="D1424" t="s">
        <v>7432</v>
      </c>
      <c r="E1424" t="s">
        <v>7433</v>
      </c>
      <c r="F1424" t="s">
        <v>7434</v>
      </c>
      <c r="G1424" s="4">
        <v>45565</v>
      </c>
      <c r="H1424" s="4">
        <v>45591</v>
      </c>
      <c r="I1424" s="4">
        <v>45593</v>
      </c>
      <c r="J1424">
        <f t="shared" si="110"/>
        <v>2</v>
      </c>
      <c r="K1424" t="str">
        <f t="array" ref="K1424">_xlfn.IFS(J1424=1,"Day Use",J1424&lt;=3,"Short Stay",J1424&lt;=7,"Extended Stay",J1424&gt;=8,"Long Stay")</f>
        <v>Short Stay</v>
      </c>
      <c r="L1424" t="s">
        <v>84</v>
      </c>
      <c r="M1424" s="10" t="str">
        <f t="shared" si="111"/>
        <v>Standard</v>
      </c>
      <c r="N1424" t="s">
        <v>26</v>
      </c>
      <c r="O1424" t="s">
        <v>35</v>
      </c>
      <c r="P1424">
        <f>IFERROR(VLOOKUP(TRIM(M1424),Room!D:H,5,FALSE),5000)</f>
        <v>3200</v>
      </c>
      <c r="Q1424">
        <f t="shared" si="112"/>
        <v>6400</v>
      </c>
      <c r="R1424" s="11" t="str">
        <f t="shared" si="113"/>
        <v>Other</v>
      </c>
      <c r="S1424" s="11">
        <f t="shared" si="114"/>
        <v>2</v>
      </c>
    </row>
    <row r="1425" spans="1:19">
      <c r="A1425" t="s">
        <v>7435</v>
      </c>
      <c r="B1425" t="s">
        <v>7436</v>
      </c>
      <c r="C1425" t="s">
        <v>1068</v>
      </c>
      <c r="D1425" t="s">
        <v>7437</v>
      </c>
      <c r="E1425" t="s">
        <v>7438</v>
      </c>
      <c r="F1425" t="s">
        <v>7439</v>
      </c>
      <c r="G1425" s="4">
        <v>45535</v>
      </c>
      <c r="H1425" s="4">
        <v>45675</v>
      </c>
      <c r="I1425" s="4">
        <v>45683</v>
      </c>
      <c r="J1425">
        <f t="shared" si="110"/>
        <v>8</v>
      </c>
      <c r="K1425" t="str">
        <f t="array" ref="K1425">_xlfn.IFS(J1425=1,"Day Use",J1425&lt;=3,"Short Stay",J1425&lt;=7,"Extended Stay",J1425&gt;=8,"Long Stay")</f>
        <v>Long Stay</v>
      </c>
      <c r="L1425" t="s">
        <v>84</v>
      </c>
      <c r="M1425" s="10" t="str">
        <f t="shared" si="111"/>
        <v>Premium</v>
      </c>
      <c r="N1425" t="s">
        <v>57</v>
      </c>
      <c r="O1425" t="s">
        <v>58</v>
      </c>
      <c r="P1425">
        <f>IFERROR(VLOOKUP(TRIM(M1425),Room!D:H,5,FALSE),5000)</f>
        <v>9500</v>
      </c>
      <c r="Q1425">
        <f t="shared" si="112"/>
        <v>76000</v>
      </c>
      <c r="R1425" s="11" t="str">
        <f t="shared" si="113"/>
        <v>Conference</v>
      </c>
      <c r="S1425" s="11">
        <f t="shared" si="114"/>
        <v>4</v>
      </c>
    </row>
    <row r="1426" spans="1:19">
      <c r="A1426" t="s">
        <v>7440</v>
      </c>
      <c r="B1426" t="s">
        <v>7441</v>
      </c>
      <c r="C1426" t="s">
        <v>6541</v>
      </c>
      <c r="D1426" t="s">
        <v>7442</v>
      </c>
      <c r="E1426" t="s">
        <v>7443</v>
      </c>
      <c r="F1426" t="s">
        <v>7444</v>
      </c>
      <c r="G1426" s="4">
        <v>45689</v>
      </c>
      <c r="H1426" s="4">
        <v>45954</v>
      </c>
      <c r="I1426" s="4">
        <v>45962</v>
      </c>
      <c r="J1426">
        <f t="shared" si="110"/>
        <v>8</v>
      </c>
      <c r="K1426" t="str">
        <f t="array" ref="K1426">_xlfn.IFS(J1426=1,"Day Use",J1426&lt;=3,"Short Stay",J1426&lt;=7,"Extended Stay",J1426&gt;=8,"Long Stay")</f>
        <v>Long Stay</v>
      </c>
      <c r="L1426" t="s">
        <v>49</v>
      </c>
      <c r="M1426" s="10" t="str">
        <f t="shared" si="111"/>
        <v>Premium</v>
      </c>
      <c r="N1426" t="s">
        <v>26</v>
      </c>
      <c r="O1426" t="s">
        <v>35</v>
      </c>
      <c r="P1426">
        <f>IFERROR(VLOOKUP(TRIM(M1426),Room!D:H,5,FALSE),5000)</f>
        <v>9500</v>
      </c>
      <c r="Q1426">
        <f t="shared" si="112"/>
        <v>76000</v>
      </c>
      <c r="R1426" s="11" t="str">
        <f t="shared" si="113"/>
        <v>Conference</v>
      </c>
      <c r="S1426" s="11">
        <f t="shared" si="114"/>
        <v>4</v>
      </c>
    </row>
    <row r="1427" spans="1:19">
      <c r="A1427" t="s">
        <v>7445</v>
      </c>
      <c r="B1427" t="s">
        <v>7446</v>
      </c>
      <c r="C1427" t="s">
        <v>5267</v>
      </c>
      <c r="D1427" t="s">
        <v>7447</v>
      </c>
      <c r="E1427" t="s">
        <v>7448</v>
      </c>
      <c r="F1427" t="s">
        <v>7449</v>
      </c>
      <c r="G1427" s="4">
        <v>45332</v>
      </c>
      <c r="H1427" s="4">
        <v>45361</v>
      </c>
      <c r="I1427" s="4">
        <v>45369</v>
      </c>
      <c r="J1427">
        <f t="shared" si="110"/>
        <v>8</v>
      </c>
      <c r="K1427" t="str">
        <f t="array" ref="K1427">_xlfn.IFS(J1427=1,"Day Use",J1427&lt;=3,"Short Stay",J1427&lt;=7,"Extended Stay",J1427&gt;=8,"Long Stay")</f>
        <v>Long Stay</v>
      </c>
      <c r="L1427" t="s">
        <v>56</v>
      </c>
      <c r="M1427" s="10" t="str">
        <f t="shared" si="111"/>
        <v>Premium</v>
      </c>
      <c r="N1427" t="s">
        <v>57</v>
      </c>
      <c r="O1427" t="s">
        <v>71</v>
      </c>
      <c r="P1427">
        <f>IFERROR(VLOOKUP(TRIM(M1427),Room!D:H,5,FALSE),5000)</f>
        <v>9500</v>
      </c>
      <c r="Q1427">
        <f t="shared" si="112"/>
        <v>76000</v>
      </c>
      <c r="R1427" s="11" t="str">
        <f t="shared" si="113"/>
        <v>Conference</v>
      </c>
      <c r="S1427" s="11">
        <f t="shared" si="114"/>
        <v>4</v>
      </c>
    </row>
    <row r="1428" spans="1:19">
      <c r="A1428" t="s">
        <v>7450</v>
      </c>
      <c r="B1428" t="s">
        <v>7451</v>
      </c>
      <c r="C1428" t="s">
        <v>4512</v>
      </c>
      <c r="D1428" t="s">
        <v>7452</v>
      </c>
      <c r="E1428" t="s">
        <v>7453</v>
      </c>
      <c r="F1428" t="s">
        <v>7454</v>
      </c>
      <c r="G1428" s="4">
        <v>45327</v>
      </c>
      <c r="H1428" s="4">
        <v>45374</v>
      </c>
      <c r="I1428" s="4">
        <v>45381</v>
      </c>
      <c r="J1428">
        <f t="shared" si="110"/>
        <v>7</v>
      </c>
      <c r="K1428" t="str">
        <f t="array" ref="K1428">_xlfn.IFS(J1428=1,"Day Use",J1428&lt;=3,"Short Stay",J1428&lt;=7,"Extended Stay",J1428&gt;=8,"Long Stay")</f>
        <v>Extended Stay</v>
      </c>
      <c r="L1428" t="s">
        <v>91</v>
      </c>
      <c r="M1428" s="10" t="str">
        <f t="shared" si="111"/>
        <v>Premium</v>
      </c>
      <c r="N1428" t="s">
        <v>26</v>
      </c>
      <c r="O1428" t="s">
        <v>42</v>
      </c>
      <c r="P1428">
        <f>IFERROR(VLOOKUP(TRIM(M1428),Room!D:H,5,FALSE),5000)</f>
        <v>9500</v>
      </c>
      <c r="Q1428">
        <f t="shared" si="112"/>
        <v>66500</v>
      </c>
      <c r="R1428" s="11" t="str">
        <f t="shared" si="113"/>
        <v>Conference</v>
      </c>
      <c r="S1428" s="11">
        <f t="shared" si="114"/>
        <v>4</v>
      </c>
    </row>
    <row r="1429" spans="1:19">
      <c r="A1429" t="s">
        <v>7455</v>
      </c>
      <c r="B1429" t="s">
        <v>7456</v>
      </c>
      <c r="C1429" t="s">
        <v>518</v>
      </c>
      <c r="D1429" t="s">
        <v>7457</v>
      </c>
      <c r="E1429" t="s">
        <v>7458</v>
      </c>
      <c r="F1429" t="s">
        <v>7459</v>
      </c>
      <c r="G1429" s="4">
        <v>45298</v>
      </c>
      <c r="H1429" s="4">
        <v>45708</v>
      </c>
      <c r="I1429" s="4">
        <v>45719</v>
      </c>
      <c r="J1429">
        <f t="shared" si="110"/>
        <v>11</v>
      </c>
      <c r="K1429" t="str">
        <f t="array" ref="K1429">_xlfn.IFS(J1429=1,"Day Use",J1429&lt;=3,"Short Stay",J1429&lt;=7,"Extended Stay",J1429&gt;=8,"Long Stay")</f>
        <v>Long Stay</v>
      </c>
      <c r="L1429" t="s">
        <v>84</v>
      </c>
      <c r="M1429" s="10" t="str">
        <f t="shared" si="111"/>
        <v>Suite</v>
      </c>
      <c r="N1429" t="s">
        <v>26</v>
      </c>
      <c r="O1429" t="s">
        <v>58</v>
      </c>
      <c r="P1429">
        <f>IFERROR(VLOOKUP(TRIM(M1429),Room!D:H,5,FALSE),5000)</f>
        <v>12500</v>
      </c>
      <c r="Q1429">
        <f t="shared" si="112"/>
        <v>137500</v>
      </c>
      <c r="R1429" s="11" t="str">
        <f t="shared" si="113"/>
        <v>Business</v>
      </c>
      <c r="S1429" s="11">
        <f t="shared" si="114"/>
        <v>5</v>
      </c>
    </row>
    <row r="1430" spans="1:19">
      <c r="A1430" t="s">
        <v>7460</v>
      </c>
      <c r="B1430" t="s">
        <v>7461</v>
      </c>
      <c r="C1430" t="s">
        <v>1146</v>
      </c>
      <c r="D1430" t="s">
        <v>7462</v>
      </c>
      <c r="E1430" t="s">
        <v>7463</v>
      </c>
      <c r="F1430" t="s">
        <v>7464</v>
      </c>
      <c r="G1430" s="4">
        <v>45316</v>
      </c>
      <c r="H1430" s="4">
        <v>45320</v>
      </c>
      <c r="I1430" s="4">
        <v>45322</v>
      </c>
      <c r="J1430">
        <f t="shared" si="110"/>
        <v>2</v>
      </c>
      <c r="K1430" t="str">
        <f t="array" ref="K1430">_xlfn.IFS(J1430=1,"Day Use",J1430&lt;=3,"Short Stay",J1430&lt;=7,"Extended Stay",J1430&gt;=8,"Long Stay")</f>
        <v>Short Stay</v>
      </c>
      <c r="L1430" t="s">
        <v>196</v>
      </c>
      <c r="M1430" s="10" t="str">
        <f t="shared" si="111"/>
        <v>Standard</v>
      </c>
      <c r="N1430" t="s">
        <v>148</v>
      </c>
      <c r="O1430" t="s">
        <v>71</v>
      </c>
      <c r="P1430">
        <f>IFERROR(VLOOKUP(TRIM(M1430),Room!D:H,5,FALSE),5000)</f>
        <v>3200</v>
      </c>
      <c r="Q1430">
        <f t="shared" si="112"/>
        <v>6400</v>
      </c>
      <c r="R1430" s="11" t="str">
        <f t="shared" si="113"/>
        <v>Other</v>
      </c>
      <c r="S1430" s="11">
        <f t="shared" si="114"/>
        <v>2</v>
      </c>
    </row>
    <row r="1431" spans="1:19">
      <c r="A1431" t="s">
        <v>7465</v>
      </c>
      <c r="B1431" t="s">
        <v>7466</v>
      </c>
      <c r="C1431" t="s">
        <v>1757</v>
      </c>
      <c r="D1431" t="s">
        <v>7467</v>
      </c>
      <c r="E1431" t="s">
        <v>7468</v>
      </c>
      <c r="F1431" t="s">
        <v>7469</v>
      </c>
      <c r="G1431" s="4">
        <v>45206</v>
      </c>
      <c r="H1431" s="4">
        <v>45980</v>
      </c>
      <c r="I1431" s="4">
        <v>45993</v>
      </c>
      <c r="J1431">
        <f t="shared" si="110"/>
        <v>13</v>
      </c>
      <c r="K1431" t="str">
        <f t="array" ref="K1431">_xlfn.IFS(J1431=1,"Day Use",J1431&lt;=3,"Short Stay",J1431&lt;=7,"Extended Stay",J1431&gt;=8,"Long Stay")</f>
        <v>Long Stay</v>
      </c>
      <c r="L1431" t="s">
        <v>25</v>
      </c>
      <c r="M1431" s="10" t="str">
        <f t="shared" si="111"/>
        <v>Suite</v>
      </c>
      <c r="N1431" t="s">
        <v>26</v>
      </c>
      <c r="O1431" t="s">
        <v>42</v>
      </c>
      <c r="P1431">
        <f>IFERROR(VLOOKUP(TRIM(M1431),Room!D:H,5,FALSE),5000)</f>
        <v>12500</v>
      </c>
      <c r="Q1431">
        <f t="shared" si="112"/>
        <v>162500</v>
      </c>
      <c r="R1431" s="11" t="str">
        <f t="shared" si="113"/>
        <v>Business</v>
      </c>
      <c r="S1431" s="11">
        <f t="shared" si="114"/>
        <v>5</v>
      </c>
    </row>
    <row r="1432" spans="1:19">
      <c r="A1432" t="s">
        <v>7470</v>
      </c>
      <c r="B1432" t="s">
        <v>7471</v>
      </c>
      <c r="C1432" t="s">
        <v>708</v>
      </c>
      <c r="D1432" t="s">
        <v>7472</v>
      </c>
      <c r="E1432" t="s">
        <v>7473</v>
      </c>
      <c r="F1432" t="s">
        <v>7474</v>
      </c>
      <c r="G1432" s="4">
        <v>45357</v>
      </c>
      <c r="H1432" s="4">
        <v>45383</v>
      </c>
      <c r="I1432" s="4">
        <v>45393</v>
      </c>
      <c r="J1432">
        <f t="shared" si="110"/>
        <v>10</v>
      </c>
      <c r="K1432" t="str">
        <f t="array" ref="K1432">_xlfn.IFS(J1432=1,"Day Use",J1432&lt;=3,"Short Stay",J1432&lt;=7,"Extended Stay",J1432&gt;=8,"Long Stay")</f>
        <v>Long Stay</v>
      </c>
      <c r="L1432" t="s">
        <v>84</v>
      </c>
      <c r="M1432" s="10" t="str">
        <f t="shared" si="111"/>
        <v>Premium</v>
      </c>
      <c r="N1432" t="s">
        <v>26</v>
      </c>
      <c r="O1432" t="s">
        <v>58</v>
      </c>
      <c r="P1432">
        <f>IFERROR(VLOOKUP(TRIM(M1432),Room!D:H,5,FALSE),5000)</f>
        <v>9500</v>
      </c>
      <c r="Q1432">
        <f t="shared" si="112"/>
        <v>95000</v>
      </c>
      <c r="R1432" s="11" t="str">
        <f t="shared" si="113"/>
        <v>Conference</v>
      </c>
      <c r="S1432" s="11">
        <f t="shared" si="114"/>
        <v>4</v>
      </c>
    </row>
    <row r="1433" spans="1:19">
      <c r="A1433" t="s">
        <v>7475</v>
      </c>
      <c r="B1433" t="s">
        <v>7476</v>
      </c>
      <c r="C1433" t="s">
        <v>667</v>
      </c>
      <c r="D1433" t="s">
        <v>7477</v>
      </c>
      <c r="E1433" t="s">
        <v>7478</v>
      </c>
      <c r="F1433" t="s">
        <v>7479</v>
      </c>
      <c r="G1433" s="4">
        <v>45398</v>
      </c>
      <c r="H1433" s="4">
        <v>45429</v>
      </c>
      <c r="I1433" s="4">
        <v>45442</v>
      </c>
      <c r="J1433">
        <f t="shared" si="110"/>
        <v>13</v>
      </c>
      <c r="K1433" t="str">
        <f t="array" ref="K1433">_xlfn.IFS(J1433=1,"Day Use",J1433&lt;=3,"Short Stay",J1433&lt;=7,"Extended Stay",J1433&gt;=8,"Long Stay")</f>
        <v>Long Stay</v>
      </c>
      <c r="L1433" t="s">
        <v>141</v>
      </c>
      <c r="M1433" s="10" t="str">
        <f t="shared" si="111"/>
        <v>Suite</v>
      </c>
      <c r="N1433" t="s">
        <v>26</v>
      </c>
      <c r="O1433" t="s">
        <v>35</v>
      </c>
      <c r="P1433">
        <f>IFERROR(VLOOKUP(TRIM(M1433),Room!D:H,5,FALSE),5000)</f>
        <v>12500</v>
      </c>
      <c r="Q1433">
        <f t="shared" si="112"/>
        <v>162500</v>
      </c>
      <c r="R1433" s="11" t="str">
        <f t="shared" si="113"/>
        <v>Business</v>
      </c>
      <c r="S1433" s="11">
        <f t="shared" si="114"/>
        <v>5</v>
      </c>
    </row>
    <row r="1434" spans="1:19">
      <c r="A1434" t="s">
        <v>7480</v>
      </c>
      <c r="B1434" t="s">
        <v>7481</v>
      </c>
      <c r="C1434" t="s">
        <v>882</v>
      </c>
      <c r="D1434" t="s">
        <v>7482</v>
      </c>
      <c r="E1434" t="s">
        <v>7483</v>
      </c>
      <c r="F1434" t="s">
        <v>7484</v>
      </c>
      <c r="G1434" s="4">
        <v>45736</v>
      </c>
      <c r="H1434" s="4">
        <v>45840</v>
      </c>
      <c r="I1434" s="4">
        <v>45844</v>
      </c>
      <c r="J1434">
        <f t="shared" si="110"/>
        <v>4</v>
      </c>
      <c r="K1434" t="str">
        <f t="array" ref="K1434">_xlfn.IFS(J1434=1,"Day Use",J1434&lt;=3,"Short Stay",J1434&lt;=7,"Extended Stay",J1434&gt;=8,"Long Stay")</f>
        <v>Extended Stay</v>
      </c>
      <c r="L1434" t="s">
        <v>56</v>
      </c>
      <c r="M1434" s="10" t="str">
        <f t="shared" si="111"/>
        <v>Deluxe</v>
      </c>
      <c r="N1434" t="s">
        <v>26</v>
      </c>
      <c r="O1434" t="s">
        <v>71</v>
      </c>
      <c r="P1434">
        <f>IFERROR(VLOOKUP(TRIM(M1434),Room!D:H,5,FALSE),5000)</f>
        <v>5400</v>
      </c>
      <c r="Q1434">
        <f t="shared" si="112"/>
        <v>21600</v>
      </c>
      <c r="R1434" s="11" t="str">
        <f t="shared" si="113"/>
        <v>Conference</v>
      </c>
      <c r="S1434" s="11">
        <f t="shared" si="114"/>
        <v>3</v>
      </c>
    </row>
    <row r="1435" spans="1:19">
      <c r="A1435" t="s">
        <v>7485</v>
      </c>
      <c r="B1435" t="s">
        <v>7486</v>
      </c>
      <c r="C1435" t="s">
        <v>1383</v>
      </c>
      <c r="D1435" t="s">
        <v>7487</v>
      </c>
      <c r="E1435" t="s">
        <v>7488</v>
      </c>
      <c r="F1435" t="s">
        <v>7489</v>
      </c>
      <c r="G1435" s="4">
        <v>45289</v>
      </c>
      <c r="H1435" s="4">
        <v>45866</v>
      </c>
      <c r="I1435" s="4">
        <v>45872</v>
      </c>
      <c r="J1435">
        <f t="shared" si="110"/>
        <v>6</v>
      </c>
      <c r="K1435" t="str">
        <f t="array" ref="K1435">_xlfn.IFS(J1435=1,"Day Use",J1435&lt;=3,"Short Stay",J1435&lt;=7,"Extended Stay",J1435&gt;=8,"Long Stay")</f>
        <v>Extended Stay</v>
      </c>
      <c r="L1435" t="s">
        <v>56</v>
      </c>
      <c r="M1435" s="10" t="str">
        <f t="shared" si="111"/>
        <v>Deluxe</v>
      </c>
      <c r="N1435" t="s">
        <v>26</v>
      </c>
      <c r="O1435" t="s">
        <v>35</v>
      </c>
      <c r="P1435">
        <f>IFERROR(VLOOKUP(TRIM(M1435),Room!D:H,5,FALSE),5000)</f>
        <v>5400</v>
      </c>
      <c r="Q1435">
        <f t="shared" si="112"/>
        <v>32400</v>
      </c>
      <c r="R1435" s="11" t="str">
        <f t="shared" si="113"/>
        <v>Conference</v>
      </c>
      <c r="S1435" s="11">
        <f t="shared" si="114"/>
        <v>3</v>
      </c>
    </row>
    <row r="1436" spans="1:19">
      <c r="A1436" t="s">
        <v>7490</v>
      </c>
      <c r="B1436" t="s">
        <v>7491</v>
      </c>
      <c r="C1436" t="s">
        <v>524</v>
      </c>
      <c r="D1436" t="s">
        <v>7492</v>
      </c>
      <c r="E1436" t="s">
        <v>7493</v>
      </c>
      <c r="F1436" t="s">
        <v>7494</v>
      </c>
      <c r="G1436" s="4">
        <v>45294</v>
      </c>
      <c r="H1436" s="4">
        <v>45316</v>
      </c>
      <c r="I1436" s="4">
        <v>45320</v>
      </c>
      <c r="J1436">
        <f t="shared" si="110"/>
        <v>4</v>
      </c>
      <c r="K1436" t="str">
        <f t="array" ref="K1436">_xlfn.IFS(J1436=1,"Day Use",J1436&lt;=3,"Short Stay",J1436&lt;=7,"Extended Stay",J1436&gt;=8,"Long Stay")</f>
        <v>Extended Stay</v>
      </c>
      <c r="L1436" t="s">
        <v>49</v>
      </c>
      <c r="M1436" s="10" t="str">
        <f t="shared" si="111"/>
        <v>Deluxe</v>
      </c>
      <c r="N1436" t="s">
        <v>26</v>
      </c>
      <c r="O1436" t="s">
        <v>71</v>
      </c>
      <c r="P1436">
        <f>IFERROR(VLOOKUP(TRIM(M1436),Room!D:H,5,FALSE),5000)</f>
        <v>5400</v>
      </c>
      <c r="Q1436">
        <f t="shared" si="112"/>
        <v>21600</v>
      </c>
      <c r="R1436" s="11" t="str">
        <f t="shared" si="113"/>
        <v>Conference</v>
      </c>
      <c r="S1436" s="11">
        <f t="shared" si="114"/>
        <v>3</v>
      </c>
    </row>
    <row r="1437" spans="1:19">
      <c r="A1437" t="s">
        <v>7495</v>
      </c>
      <c r="B1437" t="s">
        <v>7496</v>
      </c>
      <c r="C1437" t="s">
        <v>547</v>
      </c>
      <c r="D1437" t="s">
        <v>7497</v>
      </c>
      <c r="E1437" t="s">
        <v>7498</v>
      </c>
      <c r="F1437" t="s">
        <v>7499</v>
      </c>
      <c r="G1437" s="4">
        <v>45298</v>
      </c>
      <c r="H1437" s="4">
        <v>45320</v>
      </c>
      <c r="I1437" s="4">
        <v>45332</v>
      </c>
      <c r="J1437">
        <f t="shared" si="110"/>
        <v>12</v>
      </c>
      <c r="K1437" t="str">
        <f t="array" ref="K1437">_xlfn.IFS(J1437=1,"Day Use",J1437&lt;=3,"Short Stay",J1437&lt;=7,"Extended Stay",J1437&gt;=8,"Long Stay")</f>
        <v>Long Stay</v>
      </c>
      <c r="L1437" t="s">
        <v>84</v>
      </c>
      <c r="M1437" s="10" t="str">
        <f t="shared" si="111"/>
        <v>Suite</v>
      </c>
      <c r="N1437" t="s">
        <v>57</v>
      </c>
      <c r="O1437" t="s">
        <v>27</v>
      </c>
      <c r="P1437">
        <f>IFERROR(VLOOKUP(TRIM(M1437),Room!D:H,5,FALSE),5000)</f>
        <v>12500</v>
      </c>
      <c r="Q1437">
        <f t="shared" si="112"/>
        <v>150000</v>
      </c>
      <c r="R1437" s="11" t="str">
        <f t="shared" si="113"/>
        <v>Business</v>
      </c>
      <c r="S1437" s="11">
        <f t="shared" si="114"/>
        <v>5</v>
      </c>
    </row>
    <row r="1438" spans="1:19">
      <c r="A1438" t="s">
        <v>7500</v>
      </c>
      <c r="B1438" t="s">
        <v>7501</v>
      </c>
      <c r="C1438" t="s">
        <v>1114</v>
      </c>
      <c r="D1438" t="s">
        <v>7502</v>
      </c>
      <c r="E1438" t="s">
        <v>7503</v>
      </c>
      <c r="F1438" t="s">
        <v>7504</v>
      </c>
      <c r="G1438" s="4">
        <v>45267</v>
      </c>
      <c r="H1438" s="4">
        <v>45856</v>
      </c>
      <c r="I1438" s="4">
        <v>45860</v>
      </c>
      <c r="J1438">
        <f t="shared" si="110"/>
        <v>4</v>
      </c>
      <c r="K1438" t="str">
        <f t="array" ref="K1438">_xlfn.IFS(J1438=1,"Day Use",J1438&lt;=3,"Short Stay",J1438&lt;=7,"Extended Stay",J1438&gt;=8,"Long Stay")</f>
        <v>Extended Stay</v>
      </c>
      <c r="L1438" t="s">
        <v>25</v>
      </c>
      <c r="M1438" s="10" t="str">
        <f t="shared" si="111"/>
        <v>Deluxe</v>
      </c>
      <c r="N1438" t="s">
        <v>372</v>
      </c>
      <c r="O1438" t="s">
        <v>71</v>
      </c>
      <c r="P1438">
        <f>IFERROR(VLOOKUP(TRIM(M1438),Room!D:H,5,FALSE),5000)</f>
        <v>5400</v>
      </c>
      <c r="Q1438">
        <f t="shared" si="112"/>
        <v>21600</v>
      </c>
      <c r="R1438" s="11" t="str">
        <f t="shared" si="113"/>
        <v>Conference</v>
      </c>
      <c r="S1438" s="11">
        <f t="shared" si="114"/>
        <v>3</v>
      </c>
    </row>
    <row r="1439" spans="1:19">
      <c r="A1439" t="s">
        <v>7505</v>
      </c>
      <c r="B1439" t="s">
        <v>7506</v>
      </c>
      <c r="C1439" t="s">
        <v>2663</v>
      </c>
      <c r="D1439" t="s">
        <v>7507</v>
      </c>
      <c r="E1439" t="s">
        <v>7508</v>
      </c>
      <c r="F1439" t="s">
        <v>7509</v>
      </c>
      <c r="G1439" s="4">
        <v>45278</v>
      </c>
      <c r="H1439" s="4">
        <v>45816</v>
      </c>
      <c r="I1439" s="4">
        <v>45819</v>
      </c>
      <c r="J1439">
        <f t="shared" si="110"/>
        <v>3</v>
      </c>
      <c r="K1439" t="str">
        <f t="array" ref="K1439">_xlfn.IFS(J1439=1,"Day Use",J1439&lt;=3,"Short Stay",J1439&lt;=7,"Extended Stay",J1439&gt;=8,"Long Stay")</f>
        <v>Short Stay</v>
      </c>
      <c r="L1439" t="s">
        <v>56</v>
      </c>
      <c r="M1439" s="10" t="str">
        <f t="shared" si="111"/>
        <v>Standard</v>
      </c>
      <c r="N1439" t="s">
        <v>26</v>
      </c>
      <c r="O1439" t="s">
        <v>35</v>
      </c>
      <c r="P1439">
        <f>IFERROR(VLOOKUP(TRIM(M1439),Room!D:H,5,FALSE),5000)</f>
        <v>3200</v>
      </c>
      <c r="Q1439">
        <f t="shared" si="112"/>
        <v>9600</v>
      </c>
      <c r="R1439" s="11" t="str">
        <f t="shared" si="113"/>
        <v>Other</v>
      </c>
      <c r="S1439" s="11">
        <f t="shared" si="114"/>
        <v>2</v>
      </c>
    </row>
    <row r="1440" spans="1:19">
      <c r="A1440" t="s">
        <v>7510</v>
      </c>
      <c r="B1440" t="s">
        <v>7511</v>
      </c>
      <c r="C1440" t="s">
        <v>655</v>
      </c>
      <c r="D1440" t="s">
        <v>7512</v>
      </c>
      <c r="E1440" t="s">
        <v>7513</v>
      </c>
      <c r="F1440" t="s">
        <v>7514</v>
      </c>
      <c r="G1440" s="4">
        <v>45400</v>
      </c>
      <c r="H1440" s="4">
        <v>45445</v>
      </c>
      <c r="I1440" s="4">
        <v>45450</v>
      </c>
      <c r="J1440">
        <f t="shared" si="110"/>
        <v>5</v>
      </c>
      <c r="K1440" t="str">
        <f t="array" ref="K1440">_xlfn.IFS(J1440=1,"Day Use",J1440&lt;=3,"Short Stay",J1440&lt;=7,"Extended Stay",J1440&gt;=8,"Long Stay")</f>
        <v>Extended Stay</v>
      </c>
      <c r="L1440" t="s">
        <v>25</v>
      </c>
      <c r="M1440" s="10" t="str">
        <f t="shared" si="111"/>
        <v>Deluxe</v>
      </c>
      <c r="N1440" t="s">
        <v>57</v>
      </c>
      <c r="O1440" t="s">
        <v>27</v>
      </c>
      <c r="P1440">
        <f>IFERROR(VLOOKUP(TRIM(M1440),Room!D:H,5,FALSE),5000)</f>
        <v>5400</v>
      </c>
      <c r="Q1440">
        <f t="shared" si="112"/>
        <v>27000</v>
      </c>
      <c r="R1440" s="11" t="str">
        <f t="shared" si="113"/>
        <v>Conference</v>
      </c>
      <c r="S1440" s="11">
        <f t="shared" si="114"/>
        <v>3</v>
      </c>
    </row>
    <row r="1441" spans="1:19">
      <c r="A1441" t="s">
        <v>7515</v>
      </c>
      <c r="B1441" t="s">
        <v>7516</v>
      </c>
      <c r="C1441" t="s">
        <v>1324</v>
      </c>
      <c r="D1441" t="s">
        <v>7517</v>
      </c>
      <c r="E1441" t="s">
        <v>7518</v>
      </c>
      <c r="F1441" t="s">
        <v>7519</v>
      </c>
      <c r="G1441" s="4">
        <v>45690</v>
      </c>
      <c r="H1441" s="4">
        <v>45961</v>
      </c>
      <c r="I1441" s="4">
        <v>45973</v>
      </c>
      <c r="J1441">
        <f t="shared" si="110"/>
        <v>12</v>
      </c>
      <c r="K1441" t="str">
        <f t="array" ref="K1441">_xlfn.IFS(J1441=1,"Day Use",J1441&lt;=3,"Short Stay",J1441&lt;=7,"Extended Stay",J1441&gt;=8,"Long Stay")</f>
        <v>Long Stay</v>
      </c>
      <c r="L1441" t="s">
        <v>25</v>
      </c>
      <c r="M1441" s="10" t="str">
        <f t="shared" si="111"/>
        <v>Suite</v>
      </c>
      <c r="N1441" t="s">
        <v>26</v>
      </c>
      <c r="O1441" t="s">
        <v>42</v>
      </c>
      <c r="P1441">
        <f>IFERROR(VLOOKUP(TRIM(M1441),Room!D:H,5,FALSE),5000)</f>
        <v>12500</v>
      </c>
      <c r="Q1441">
        <f t="shared" si="112"/>
        <v>150000</v>
      </c>
      <c r="R1441" s="11" t="str">
        <f t="shared" si="113"/>
        <v>Business</v>
      </c>
      <c r="S1441" s="11">
        <f t="shared" si="114"/>
        <v>5</v>
      </c>
    </row>
    <row r="1442" spans="1:19">
      <c r="A1442" t="s">
        <v>7520</v>
      </c>
      <c r="B1442" t="s">
        <v>7521</v>
      </c>
      <c r="C1442" t="s">
        <v>253</v>
      </c>
      <c r="D1442" t="s">
        <v>7522</v>
      </c>
      <c r="E1442" t="s">
        <v>7523</v>
      </c>
      <c r="F1442" t="s">
        <v>7524</v>
      </c>
      <c r="G1442" s="4">
        <v>45346</v>
      </c>
      <c r="H1442" s="4">
        <v>45379</v>
      </c>
      <c r="I1442" s="4">
        <v>45390</v>
      </c>
      <c r="J1442">
        <f t="shared" si="110"/>
        <v>11</v>
      </c>
      <c r="K1442" t="str">
        <f t="array" ref="K1442">_xlfn.IFS(J1442=1,"Day Use",J1442&lt;=3,"Short Stay",J1442&lt;=7,"Extended Stay",J1442&gt;=8,"Long Stay")</f>
        <v>Long Stay</v>
      </c>
      <c r="L1442" t="s">
        <v>196</v>
      </c>
      <c r="M1442" s="10" t="str">
        <f t="shared" si="111"/>
        <v>Suite</v>
      </c>
      <c r="N1442" t="s">
        <v>26</v>
      </c>
      <c r="O1442" t="s">
        <v>35</v>
      </c>
      <c r="P1442">
        <f>IFERROR(VLOOKUP(TRIM(M1442),Room!D:H,5,FALSE),5000)</f>
        <v>12500</v>
      </c>
      <c r="Q1442">
        <f t="shared" si="112"/>
        <v>137500</v>
      </c>
      <c r="R1442" s="11" t="str">
        <f t="shared" si="113"/>
        <v>Business</v>
      </c>
      <c r="S1442" s="11">
        <f t="shared" si="114"/>
        <v>5</v>
      </c>
    </row>
    <row r="1443" spans="1:19">
      <c r="A1443" t="s">
        <v>7525</v>
      </c>
      <c r="B1443" t="s">
        <v>7526</v>
      </c>
      <c r="C1443" t="s">
        <v>7311</v>
      </c>
      <c r="D1443" t="s">
        <v>7527</v>
      </c>
      <c r="E1443" t="s">
        <v>7528</v>
      </c>
      <c r="F1443" t="s">
        <v>7529</v>
      </c>
      <c r="G1443" s="4">
        <v>45369</v>
      </c>
      <c r="H1443" s="4">
        <v>45719</v>
      </c>
      <c r="I1443" s="4">
        <v>45722</v>
      </c>
      <c r="J1443">
        <f t="shared" si="110"/>
        <v>3</v>
      </c>
      <c r="K1443" t="str">
        <f t="array" ref="K1443">_xlfn.IFS(J1443=1,"Day Use",J1443&lt;=3,"Short Stay",J1443&lt;=7,"Extended Stay",J1443&gt;=8,"Long Stay")</f>
        <v>Short Stay</v>
      </c>
      <c r="L1443" t="s">
        <v>141</v>
      </c>
      <c r="M1443" s="10" t="str">
        <f t="shared" si="111"/>
        <v>Standard</v>
      </c>
      <c r="N1443" t="s">
        <v>26</v>
      </c>
      <c r="O1443" t="s">
        <v>58</v>
      </c>
      <c r="P1443">
        <f>IFERROR(VLOOKUP(TRIM(M1443),Room!D:H,5,FALSE),5000)</f>
        <v>3200</v>
      </c>
      <c r="Q1443">
        <f t="shared" si="112"/>
        <v>9600</v>
      </c>
      <c r="R1443" s="11" t="str">
        <f t="shared" si="113"/>
        <v>Other</v>
      </c>
      <c r="S1443" s="11">
        <f t="shared" si="114"/>
        <v>2</v>
      </c>
    </row>
    <row r="1444" spans="1:19">
      <c r="A1444" t="s">
        <v>7530</v>
      </c>
      <c r="B1444" t="s">
        <v>7531</v>
      </c>
      <c r="C1444" t="s">
        <v>506</v>
      </c>
      <c r="D1444" t="s">
        <v>7532</v>
      </c>
      <c r="E1444" t="s">
        <v>7533</v>
      </c>
      <c r="F1444" t="s">
        <v>7534</v>
      </c>
      <c r="G1444" s="4">
        <v>45335</v>
      </c>
      <c r="H1444" s="4">
        <v>45360</v>
      </c>
      <c r="I1444" s="4">
        <v>45366</v>
      </c>
      <c r="J1444">
        <f t="shared" si="110"/>
        <v>6</v>
      </c>
      <c r="K1444" t="str">
        <f t="array" ref="K1444">_xlfn.IFS(J1444=1,"Day Use",J1444&lt;=3,"Short Stay",J1444&lt;=7,"Extended Stay",J1444&gt;=8,"Long Stay")</f>
        <v>Extended Stay</v>
      </c>
      <c r="L1444" t="s">
        <v>196</v>
      </c>
      <c r="M1444" s="10" t="str">
        <f t="shared" si="111"/>
        <v>Deluxe</v>
      </c>
      <c r="N1444" t="s">
        <v>26</v>
      </c>
      <c r="O1444" t="s">
        <v>71</v>
      </c>
      <c r="P1444">
        <f>IFERROR(VLOOKUP(TRIM(M1444),Room!D:H,5,FALSE),5000)</f>
        <v>5400</v>
      </c>
      <c r="Q1444">
        <f t="shared" si="112"/>
        <v>32400</v>
      </c>
      <c r="R1444" s="11" t="str">
        <f t="shared" si="113"/>
        <v>Conference</v>
      </c>
      <c r="S1444" s="11">
        <f t="shared" si="114"/>
        <v>3</v>
      </c>
    </row>
    <row r="1445" spans="1:19">
      <c r="A1445" t="s">
        <v>7535</v>
      </c>
      <c r="B1445" t="s">
        <v>7536</v>
      </c>
      <c r="C1445" t="s">
        <v>1637</v>
      </c>
      <c r="D1445" t="s">
        <v>7537</v>
      </c>
      <c r="E1445" t="s">
        <v>7538</v>
      </c>
      <c r="F1445" t="s">
        <v>7539</v>
      </c>
      <c r="G1445" s="4">
        <v>45741</v>
      </c>
      <c r="H1445" s="4">
        <v>45753</v>
      </c>
      <c r="I1445" s="4">
        <v>45761</v>
      </c>
      <c r="J1445">
        <f t="shared" si="110"/>
        <v>8</v>
      </c>
      <c r="K1445" t="str">
        <f t="array" ref="K1445">_xlfn.IFS(J1445=1,"Day Use",J1445&lt;=3,"Short Stay",J1445&lt;=7,"Extended Stay",J1445&gt;=8,"Long Stay")</f>
        <v>Long Stay</v>
      </c>
      <c r="L1445" t="s">
        <v>141</v>
      </c>
      <c r="M1445" s="10" t="str">
        <f t="shared" si="111"/>
        <v>Premium</v>
      </c>
      <c r="N1445" t="s">
        <v>57</v>
      </c>
      <c r="O1445" t="s">
        <v>35</v>
      </c>
      <c r="P1445">
        <f>IFERROR(VLOOKUP(TRIM(M1445),Room!D:H,5,FALSE),5000)</f>
        <v>9500</v>
      </c>
      <c r="Q1445">
        <f t="shared" si="112"/>
        <v>76000</v>
      </c>
      <c r="R1445" s="11" t="str">
        <f t="shared" si="113"/>
        <v>Conference</v>
      </c>
      <c r="S1445" s="11">
        <f t="shared" si="114"/>
        <v>4</v>
      </c>
    </row>
    <row r="1446" spans="1:19">
      <c r="A1446" t="s">
        <v>7540</v>
      </c>
      <c r="B1446" t="s">
        <v>7541</v>
      </c>
      <c r="C1446" t="s">
        <v>564</v>
      </c>
      <c r="D1446" t="s">
        <v>7542</v>
      </c>
      <c r="E1446" t="s">
        <v>7543</v>
      </c>
      <c r="F1446" t="s">
        <v>7544</v>
      </c>
      <c r="G1446" s="4">
        <v>45742</v>
      </c>
      <c r="H1446" s="4">
        <v>45761</v>
      </c>
      <c r="I1446" s="4">
        <v>45768</v>
      </c>
      <c r="J1446">
        <f t="shared" si="110"/>
        <v>7</v>
      </c>
      <c r="K1446" t="str">
        <f t="array" ref="K1446">_xlfn.IFS(J1446=1,"Day Use",J1446&lt;=3,"Short Stay",J1446&lt;=7,"Extended Stay",J1446&gt;=8,"Long Stay")</f>
        <v>Extended Stay</v>
      </c>
      <c r="L1446" t="s">
        <v>49</v>
      </c>
      <c r="M1446" s="10" t="str">
        <f t="shared" si="111"/>
        <v>Premium</v>
      </c>
      <c r="N1446" t="s">
        <v>148</v>
      </c>
      <c r="O1446" t="s">
        <v>35</v>
      </c>
      <c r="P1446">
        <f>IFERROR(VLOOKUP(TRIM(M1446),Room!D:H,5,FALSE),5000)</f>
        <v>9500</v>
      </c>
      <c r="Q1446">
        <f t="shared" si="112"/>
        <v>66500</v>
      </c>
      <c r="R1446" s="11" t="str">
        <f t="shared" si="113"/>
        <v>Conference</v>
      </c>
      <c r="S1446" s="11">
        <f t="shared" si="114"/>
        <v>4</v>
      </c>
    </row>
    <row r="1447" spans="1:19">
      <c r="A1447" t="s">
        <v>7545</v>
      </c>
      <c r="B1447" t="s">
        <v>7546</v>
      </c>
      <c r="C1447" t="s">
        <v>1186</v>
      </c>
      <c r="D1447" t="s">
        <v>7547</v>
      </c>
      <c r="E1447" t="s">
        <v>7548</v>
      </c>
      <c r="F1447" t="s">
        <v>7549</v>
      </c>
      <c r="G1447" s="4">
        <v>45595</v>
      </c>
      <c r="H1447" s="4">
        <v>45622</v>
      </c>
      <c r="I1447" s="4">
        <v>45627</v>
      </c>
      <c r="J1447">
        <f t="shared" si="110"/>
        <v>5</v>
      </c>
      <c r="K1447" t="str">
        <f t="array" ref="K1447">_xlfn.IFS(J1447=1,"Day Use",J1447&lt;=3,"Short Stay",J1447&lt;=7,"Extended Stay",J1447&gt;=8,"Long Stay")</f>
        <v>Extended Stay</v>
      </c>
      <c r="L1447" t="s">
        <v>141</v>
      </c>
      <c r="M1447" s="10" t="str">
        <f t="shared" si="111"/>
        <v>Deluxe</v>
      </c>
      <c r="N1447" t="s">
        <v>26</v>
      </c>
      <c r="O1447" t="s">
        <v>27</v>
      </c>
      <c r="P1447">
        <f>IFERROR(VLOOKUP(TRIM(M1447),Room!D:H,5,FALSE),5000)</f>
        <v>5400</v>
      </c>
      <c r="Q1447">
        <f t="shared" si="112"/>
        <v>27000</v>
      </c>
      <c r="R1447" s="11" t="str">
        <f t="shared" si="113"/>
        <v>Conference</v>
      </c>
      <c r="S1447" s="11">
        <f t="shared" si="114"/>
        <v>3</v>
      </c>
    </row>
    <row r="1448" spans="1:19">
      <c r="A1448" t="s">
        <v>7550</v>
      </c>
      <c r="B1448" t="s">
        <v>7551</v>
      </c>
      <c r="C1448" t="s">
        <v>853</v>
      </c>
      <c r="D1448" t="s">
        <v>7552</v>
      </c>
      <c r="E1448" t="s">
        <v>7553</v>
      </c>
      <c r="F1448" t="s">
        <v>7554</v>
      </c>
      <c r="G1448" s="4">
        <v>45466</v>
      </c>
      <c r="H1448" s="4">
        <v>45553</v>
      </c>
      <c r="I1448" s="4">
        <v>45554</v>
      </c>
      <c r="J1448">
        <f t="shared" si="110"/>
        <v>1</v>
      </c>
      <c r="K1448" t="str">
        <f t="array" ref="K1448">_xlfn.IFS(J1448=1,"Day Use",J1448&lt;=3,"Short Stay",J1448&lt;=7,"Extended Stay",J1448&gt;=8,"Long Stay")</f>
        <v>Day Use</v>
      </c>
      <c r="L1448" t="s">
        <v>25</v>
      </c>
      <c r="M1448" s="10" t="str">
        <f t="shared" si="111"/>
        <v>Standard</v>
      </c>
      <c r="N1448" t="s">
        <v>148</v>
      </c>
      <c r="O1448" t="s">
        <v>27</v>
      </c>
      <c r="P1448">
        <f>IFERROR(VLOOKUP(TRIM(M1448),Room!D:H,5,FALSE),5000)</f>
        <v>3200</v>
      </c>
      <c r="Q1448">
        <f t="shared" si="112"/>
        <v>3200</v>
      </c>
      <c r="R1448" s="11" t="str">
        <f t="shared" si="113"/>
        <v>Other</v>
      </c>
      <c r="S1448" s="11">
        <f t="shared" si="114"/>
        <v>1</v>
      </c>
    </row>
    <row r="1449" spans="1:19">
      <c r="A1449" t="s">
        <v>7555</v>
      </c>
      <c r="B1449" t="s">
        <v>7556</v>
      </c>
      <c r="C1449" t="s">
        <v>1068</v>
      </c>
      <c r="D1449" t="s">
        <v>7557</v>
      </c>
      <c r="E1449" t="s">
        <v>7558</v>
      </c>
      <c r="F1449" t="s">
        <v>7559</v>
      </c>
      <c r="G1449" s="4">
        <v>45747</v>
      </c>
      <c r="H1449" s="4">
        <v>45755</v>
      </c>
      <c r="I1449" s="4">
        <v>45764</v>
      </c>
      <c r="J1449">
        <f t="shared" si="110"/>
        <v>9</v>
      </c>
      <c r="K1449" t="str">
        <f t="array" ref="K1449">_xlfn.IFS(J1449=1,"Day Use",J1449&lt;=3,"Short Stay",J1449&lt;=7,"Extended Stay",J1449&gt;=8,"Long Stay")</f>
        <v>Long Stay</v>
      </c>
      <c r="L1449" t="s">
        <v>34</v>
      </c>
      <c r="M1449" s="10" t="str">
        <f t="shared" si="111"/>
        <v>Premium</v>
      </c>
      <c r="N1449" t="s">
        <v>26</v>
      </c>
      <c r="O1449" t="s">
        <v>71</v>
      </c>
      <c r="P1449">
        <f>IFERROR(VLOOKUP(TRIM(M1449),Room!D:H,5,FALSE),5000)</f>
        <v>9500</v>
      </c>
      <c r="Q1449">
        <f t="shared" si="112"/>
        <v>85500</v>
      </c>
      <c r="R1449" s="11" t="str">
        <f t="shared" si="113"/>
        <v>Conference</v>
      </c>
      <c r="S1449" s="11">
        <f t="shared" si="114"/>
        <v>4</v>
      </c>
    </row>
    <row r="1450" spans="1:19">
      <c r="A1450" t="s">
        <v>7560</v>
      </c>
      <c r="B1450" t="s">
        <v>7561</v>
      </c>
      <c r="C1450" t="s">
        <v>1102</v>
      </c>
      <c r="D1450" t="s">
        <v>7562</v>
      </c>
      <c r="E1450" t="s">
        <v>7563</v>
      </c>
      <c r="F1450" t="s">
        <v>7564</v>
      </c>
      <c r="G1450" s="4">
        <v>45707</v>
      </c>
      <c r="H1450" s="4">
        <v>45802</v>
      </c>
      <c r="I1450" s="4">
        <v>45808</v>
      </c>
      <c r="J1450">
        <f t="shared" si="110"/>
        <v>6</v>
      </c>
      <c r="K1450" t="str">
        <f t="array" ref="K1450">_xlfn.IFS(J1450=1,"Day Use",J1450&lt;=3,"Short Stay",J1450&lt;=7,"Extended Stay",J1450&gt;=8,"Long Stay")</f>
        <v>Extended Stay</v>
      </c>
      <c r="L1450" t="s">
        <v>196</v>
      </c>
      <c r="M1450" s="10" t="str">
        <f t="shared" si="111"/>
        <v>Deluxe</v>
      </c>
      <c r="N1450" t="s">
        <v>148</v>
      </c>
      <c r="O1450" t="s">
        <v>42</v>
      </c>
      <c r="P1450">
        <f>IFERROR(VLOOKUP(TRIM(M1450),Room!D:H,5,FALSE),5000)</f>
        <v>5400</v>
      </c>
      <c r="Q1450">
        <f t="shared" si="112"/>
        <v>32400</v>
      </c>
      <c r="R1450" s="11" t="str">
        <f t="shared" si="113"/>
        <v>Conference</v>
      </c>
      <c r="S1450" s="11">
        <f t="shared" si="114"/>
        <v>3</v>
      </c>
    </row>
    <row r="1451" spans="1:19">
      <c r="A1451" t="s">
        <v>7565</v>
      </c>
      <c r="B1451" t="s">
        <v>7566</v>
      </c>
      <c r="C1451" t="s">
        <v>253</v>
      </c>
      <c r="D1451" t="s">
        <v>7567</v>
      </c>
      <c r="E1451" t="s">
        <v>7568</v>
      </c>
      <c r="F1451" t="s">
        <v>7569</v>
      </c>
      <c r="G1451" s="4">
        <v>45388</v>
      </c>
      <c r="H1451" s="4">
        <v>45413</v>
      </c>
      <c r="I1451" s="4">
        <v>45420</v>
      </c>
      <c r="J1451">
        <f t="shared" si="110"/>
        <v>7</v>
      </c>
      <c r="K1451" t="str">
        <f t="array" ref="K1451">_xlfn.IFS(J1451=1,"Day Use",J1451&lt;=3,"Short Stay",J1451&lt;=7,"Extended Stay",J1451&gt;=8,"Long Stay")</f>
        <v>Extended Stay</v>
      </c>
      <c r="L1451" t="s">
        <v>25</v>
      </c>
      <c r="M1451" s="10" t="str">
        <f t="shared" si="111"/>
        <v>Premium</v>
      </c>
      <c r="N1451" t="s">
        <v>134</v>
      </c>
      <c r="O1451" t="s">
        <v>42</v>
      </c>
      <c r="P1451">
        <f>IFERROR(VLOOKUP(TRIM(M1451),Room!D:H,5,FALSE),5000)</f>
        <v>9500</v>
      </c>
      <c r="Q1451">
        <f t="shared" si="112"/>
        <v>66500</v>
      </c>
      <c r="R1451" s="11" t="str">
        <f t="shared" si="113"/>
        <v>Conference</v>
      </c>
      <c r="S1451" s="11">
        <f t="shared" si="114"/>
        <v>4</v>
      </c>
    </row>
    <row r="1452" spans="1:19">
      <c r="A1452" t="s">
        <v>7570</v>
      </c>
      <c r="B1452" t="s">
        <v>7571</v>
      </c>
      <c r="C1452" t="s">
        <v>1068</v>
      </c>
      <c r="D1452" t="s">
        <v>7572</v>
      </c>
      <c r="E1452" t="s">
        <v>7573</v>
      </c>
      <c r="F1452" t="s">
        <v>7574</v>
      </c>
      <c r="G1452" s="4">
        <v>45624</v>
      </c>
      <c r="H1452" s="4">
        <v>45645</v>
      </c>
      <c r="I1452" s="4">
        <v>45656</v>
      </c>
      <c r="J1452">
        <f t="shared" si="110"/>
        <v>11</v>
      </c>
      <c r="K1452" t="str">
        <f t="array" ref="K1452">_xlfn.IFS(J1452=1,"Day Use",J1452&lt;=3,"Short Stay",J1452&lt;=7,"Extended Stay",J1452&gt;=8,"Long Stay")</f>
        <v>Long Stay</v>
      </c>
      <c r="L1452" t="s">
        <v>141</v>
      </c>
      <c r="M1452" s="10" t="str">
        <f t="shared" si="111"/>
        <v>Suite</v>
      </c>
      <c r="N1452" t="s">
        <v>26</v>
      </c>
      <c r="O1452" t="s">
        <v>71</v>
      </c>
      <c r="P1452">
        <f>IFERROR(VLOOKUP(TRIM(M1452),Room!D:H,5,FALSE),5000)</f>
        <v>12500</v>
      </c>
      <c r="Q1452">
        <f t="shared" si="112"/>
        <v>137500</v>
      </c>
      <c r="R1452" s="11" t="str">
        <f t="shared" si="113"/>
        <v>Business</v>
      </c>
      <c r="S1452" s="11">
        <f t="shared" si="114"/>
        <v>5</v>
      </c>
    </row>
    <row r="1453" spans="1:19">
      <c r="A1453" t="s">
        <v>7575</v>
      </c>
      <c r="B1453" t="s">
        <v>7576</v>
      </c>
      <c r="C1453" t="s">
        <v>7577</v>
      </c>
      <c r="D1453" t="s">
        <v>7578</v>
      </c>
      <c r="E1453" t="s">
        <v>7579</v>
      </c>
      <c r="F1453" t="s">
        <v>7580</v>
      </c>
      <c r="G1453" s="4">
        <v>45305</v>
      </c>
      <c r="H1453" s="4">
        <v>45317</v>
      </c>
      <c r="I1453" s="4">
        <v>45329</v>
      </c>
      <c r="J1453">
        <f t="shared" si="110"/>
        <v>12</v>
      </c>
      <c r="K1453" t="str">
        <f t="array" ref="K1453">_xlfn.IFS(J1453=1,"Day Use",J1453&lt;=3,"Short Stay",J1453&lt;=7,"Extended Stay",J1453&gt;=8,"Long Stay")</f>
        <v>Long Stay</v>
      </c>
      <c r="L1453" t="s">
        <v>84</v>
      </c>
      <c r="M1453" s="10" t="str">
        <f t="shared" si="111"/>
        <v>Suite</v>
      </c>
      <c r="N1453" t="s">
        <v>57</v>
      </c>
      <c r="O1453" t="s">
        <v>35</v>
      </c>
      <c r="P1453">
        <f>IFERROR(VLOOKUP(TRIM(M1453),Room!D:H,5,FALSE),5000)</f>
        <v>12500</v>
      </c>
      <c r="Q1453">
        <f t="shared" si="112"/>
        <v>150000</v>
      </c>
      <c r="R1453" s="11" t="str">
        <f t="shared" si="113"/>
        <v>Business</v>
      </c>
      <c r="S1453" s="11">
        <f t="shared" si="114"/>
        <v>5</v>
      </c>
    </row>
    <row r="1454" spans="1:19">
      <c r="A1454" t="s">
        <v>7581</v>
      </c>
      <c r="B1454" t="s">
        <v>7582</v>
      </c>
      <c r="C1454" t="s">
        <v>982</v>
      </c>
      <c r="D1454" t="s">
        <v>7583</v>
      </c>
      <c r="E1454" t="s">
        <v>7584</v>
      </c>
      <c r="F1454" t="s">
        <v>7585</v>
      </c>
      <c r="G1454" s="4">
        <v>45395</v>
      </c>
      <c r="H1454" s="4">
        <v>45414</v>
      </c>
      <c r="I1454" s="4">
        <v>45418</v>
      </c>
      <c r="J1454">
        <f t="shared" si="110"/>
        <v>4</v>
      </c>
      <c r="K1454" t="str">
        <f t="array" ref="K1454">_xlfn.IFS(J1454=1,"Day Use",J1454&lt;=3,"Short Stay",J1454&lt;=7,"Extended Stay",J1454&gt;=8,"Long Stay")</f>
        <v>Extended Stay</v>
      </c>
      <c r="L1454" t="s">
        <v>56</v>
      </c>
      <c r="M1454" s="10" t="str">
        <f t="shared" si="111"/>
        <v>Deluxe</v>
      </c>
      <c r="N1454" t="s">
        <v>148</v>
      </c>
      <c r="O1454" t="s">
        <v>27</v>
      </c>
      <c r="P1454">
        <f>IFERROR(VLOOKUP(TRIM(M1454),Room!D:H,5,FALSE),5000)</f>
        <v>5400</v>
      </c>
      <c r="Q1454">
        <f t="shared" si="112"/>
        <v>21600</v>
      </c>
      <c r="R1454" s="11" t="str">
        <f t="shared" si="113"/>
        <v>Conference</v>
      </c>
      <c r="S1454" s="11">
        <f t="shared" si="114"/>
        <v>3</v>
      </c>
    </row>
    <row r="1455" spans="1:19">
      <c r="A1455" t="s">
        <v>7586</v>
      </c>
      <c r="B1455" t="s">
        <v>7587</v>
      </c>
      <c r="C1455" t="s">
        <v>241</v>
      </c>
      <c r="D1455" t="s">
        <v>7588</v>
      </c>
      <c r="E1455" t="s">
        <v>7589</v>
      </c>
      <c r="F1455" t="s">
        <v>7590</v>
      </c>
      <c r="G1455" s="4">
        <v>45408</v>
      </c>
      <c r="H1455" s="4">
        <v>45457</v>
      </c>
      <c r="I1455" s="4">
        <v>45469</v>
      </c>
      <c r="J1455">
        <f t="shared" si="110"/>
        <v>12</v>
      </c>
      <c r="K1455" t="str">
        <f t="array" ref="K1455">_xlfn.IFS(J1455=1,"Day Use",J1455&lt;=3,"Short Stay",J1455&lt;=7,"Extended Stay",J1455&gt;=8,"Long Stay")</f>
        <v>Long Stay</v>
      </c>
      <c r="L1455" t="s">
        <v>49</v>
      </c>
      <c r="M1455" s="10" t="str">
        <f t="shared" si="111"/>
        <v>Suite</v>
      </c>
      <c r="N1455" t="s">
        <v>26</v>
      </c>
      <c r="O1455" t="s">
        <v>27</v>
      </c>
      <c r="P1455">
        <f>IFERROR(VLOOKUP(TRIM(M1455),Room!D:H,5,FALSE),5000)</f>
        <v>12500</v>
      </c>
      <c r="Q1455">
        <f t="shared" si="112"/>
        <v>150000</v>
      </c>
      <c r="R1455" s="11" t="str">
        <f t="shared" si="113"/>
        <v>Business</v>
      </c>
      <c r="S1455" s="11">
        <f t="shared" si="114"/>
        <v>5</v>
      </c>
    </row>
    <row r="1456" spans="1:19">
      <c r="A1456" t="s">
        <v>7591</v>
      </c>
      <c r="B1456" t="s">
        <v>7592</v>
      </c>
      <c r="C1456" t="s">
        <v>7593</v>
      </c>
      <c r="D1456" t="s">
        <v>7594</v>
      </c>
      <c r="E1456" t="s">
        <v>7595</v>
      </c>
      <c r="F1456" t="s">
        <v>7596</v>
      </c>
      <c r="G1456" s="4">
        <v>45401</v>
      </c>
      <c r="H1456" s="4">
        <v>45428</v>
      </c>
      <c r="I1456" s="4">
        <v>45432</v>
      </c>
      <c r="J1456">
        <f t="shared" si="110"/>
        <v>4</v>
      </c>
      <c r="K1456" t="str">
        <f t="array" ref="K1456">_xlfn.IFS(J1456=1,"Day Use",J1456&lt;=3,"Short Stay",J1456&lt;=7,"Extended Stay",J1456&gt;=8,"Long Stay")</f>
        <v>Extended Stay</v>
      </c>
      <c r="L1456" t="s">
        <v>25</v>
      </c>
      <c r="M1456" s="10" t="str">
        <f t="shared" si="111"/>
        <v>Deluxe</v>
      </c>
      <c r="N1456" t="s">
        <v>26</v>
      </c>
      <c r="O1456" t="s">
        <v>27</v>
      </c>
      <c r="P1456">
        <f>IFERROR(VLOOKUP(TRIM(M1456),Room!D:H,5,FALSE),5000)</f>
        <v>5400</v>
      </c>
      <c r="Q1456">
        <f t="shared" si="112"/>
        <v>21600</v>
      </c>
      <c r="R1456" s="11" t="str">
        <f t="shared" si="113"/>
        <v>Conference</v>
      </c>
      <c r="S1456" s="11">
        <f t="shared" si="114"/>
        <v>3</v>
      </c>
    </row>
    <row r="1457" spans="1:19">
      <c r="A1457" t="s">
        <v>7597</v>
      </c>
      <c r="B1457" t="s">
        <v>7598</v>
      </c>
      <c r="C1457" t="s">
        <v>661</v>
      </c>
      <c r="D1457" t="s">
        <v>7599</v>
      </c>
      <c r="E1457" t="s">
        <v>7600</v>
      </c>
      <c r="F1457" t="s">
        <v>7601</v>
      </c>
      <c r="G1457" s="4">
        <v>45254</v>
      </c>
      <c r="H1457" s="4">
        <v>45607</v>
      </c>
      <c r="I1457" s="4">
        <v>45611</v>
      </c>
      <c r="J1457">
        <f t="shared" si="110"/>
        <v>4</v>
      </c>
      <c r="K1457" t="str">
        <f t="array" ref="K1457">_xlfn.IFS(J1457=1,"Day Use",J1457&lt;=3,"Short Stay",J1457&lt;=7,"Extended Stay",J1457&gt;=8,"Long Stay")</f>
        <v>Extended Stay</v>
      </c>
      <c r="L1457" t="s">
        <v>91</v>
      </c>
      <c r="M1457" s="10" t="str">
        <f t="shared" si="111"/>
        <v>Deluxe</v>
      </c>
      <c r="N1457" t="s">
        <v>26</v>
      </c>
      <c r="O1457" t="s">
        <v>27</v>
      </c>
      <c r="P1457">
        <f>IFERROR(VLOOKUP(TRIM(M1457),Room!D:H,5,FALSE),5000)</f>
        <v>5400</v>
      </c>
      <c r="Q1457">
        <f t="shared" si="112"/>
        <v>21600</v>
      </c>
      <c r="R1457" s="11" t="str">
        <f t="shared" si="113"/>
        <v>Conference</v>
      </c>
      <c r="S1457" s="11">
        <f t="shared" si="114"/>
        <v>3</v>
      </c>
    </row>
    <row r="1458" spans="1:19">
      <c r="A1458" t="s">
        <v>7602</v>
      </c>
      <c r="B1458" t="s">
        <v>7603</v>
      </c>
      <c r="C1458" t="s">
        <v>853</v>
      </c>
      <c r="D1458" t="s">
        <v>7604</v>
      </c>
      <c r="E1458" t="s">
        <v>7605</v>
      </c>
      <c r="F1458" t="s">
        <v>7606</v>
      </c>
      <c r="G1458" s="4">
        <v>45442</v>
      </c>
      <c r="H1458" s="4">
        <v>45458</v>
      </c>
      <c r="I1458" s="4">
        <v>45463</v>
      </c>
      <c r="J1458">
        <f t="shared" si="110"/>
        <v>5</v>
      </c>
      <c r="K1458" t="str">
        <f t="array" ref="K1458">_xlfn.IFS(J1458=1,"Day Use",J1458&lt;=3,"Short Stay",J1458&lt;=7,"Extended Stay",J1458&gt;=8,"Long Stay")</f>
        <v>Extended Stay</v>
      </c>
      <c r="L1458" t="s">
        <v>56</v>
      </c>
      <c r="M1458" s="10" t="str">
        <f t="shared" si="111"/>
        <v>Deluxe</v>
      </c>
      <c r="N1458" t="s">
        <v>57</v>
      </c>
      <c r="O1458" t="s">
        <v>71</v>
      </c>
      <c r="P1458">
        <f>IFERROR(VLOOKUP(TRIM(M1458),Room!D:H,5,FALSE),5000)</f>
        <v>5400</v>
      </c>
      <c r="Q1458">
        <f t="shared" si="112"/>
        <v>27000</v>
      </c>
      <c r="R1458" s="11" t="str">
        <f t="shared" si="113"/>
        <v>Conference</v>
      </c>
      <c r="S1458" s="11">
        <f t="shared" si="114"/>
        <v>3</v>
      </c>
    </row>
    <row r="1459" spans="1:19">
      <c r="A1459" t="s">
        <v>7607</v>
      </c>
      <c r="B1459" t="s">
        <v>7608</v>
      </c>
      <c r="C1459" t="s">
        <v>2510</v>
      </c>
      <c r="D1459" t="s">
        <v>7609</v>
      </c>
      <c r="E1459" t="s">
        <v>7610</v>
      </c>
      <c r="F1459" t="s">
        <v>7611</v>
      </c>
      <c r="G1459" s="4">
        <v>45353</v>
      </c>
      <c r="H1459" s="4">
        <v>45640</v>
      </c>
      <c r="I1459" s="4">
        <v>45644</v>
      </c>
      <c r="J1459">
        <f t="shared" si="110"/>
        <v>4</v>
      </c>
      <c r="K1459" t="str">
        <f t="array" ref="K1459">_xlfn.IFS(J1459=1,"Day Use",J1459&lt;=3,"Short Stay",J1459&lt;=7,"Extended Stay",J1459&gt;=8,"Long Stay")</f>
        <v>Extended Stay</v>
      </c>
      <c r="L1459" t="s">
        <v>25</v>
      </c>
      <c r="M1459" s="10" t="str">
        <f t="shared" si="111"/>
        <v>Deluxe</v>
      </c>
      <c r="N1459" t="s">
        <v>26</v>
      </c>
      <c r="O1459" t="s">
        <v>35</v>
      </c>
      <c r="P1459">
        <f>IFERROR(VLOOKUP(TRIM(M1459),Room!D:H,5,FALSE),5000)</f>
        <v>5400</v>
      </c>
      <c r="Q1459">
        <f t="shared" si="112"/>
        <v>21600</v>
      </c>
      <c r="R1459" s="11" t="str">
        <f t="shared" si="113"/>
        <v>Conference</v>
      </c>
      <c r="S1459" s="11">
        <f t="shared" si="114"/>
        <v>3</v>
      </c>
    </row>
    <row r="1460" spans="1:19">
      <c r="A1460" t="s">
        <v>7612</v>
      </c>
      <c r="B1460" t="s">
        <v>7613</v>
      </c>
      <c r="C1460" t="s">
        <v>679</v>
      </c>
      <c r="D1460" t="s">
        <v>7614</v>
      </c>
      <c r="E1460" t="s">
        <v>7615</v>
      </c>
      <c r="F1460" t="s">
        <v>7616</v>
      </c>
      <c r="G1460" s="4">
        <v>45462</v>
      </c>
      <c r="H1460" s="4">
        <v>45485</v>
      </c>
      <c r="I1460" s="4">
        <v>45486</v>
      </c>
      <c r="J1460">
        <f t="shared" si="110"/>
        <v>1</v>
      </c>
      <c r="K1460" t="str">
        <f t="array" ref="K1460">_xlfn.IFS(J1460=1,"Day Use",J1460&lt;=3,"Short Stay",J1460&lt;=7,"Extended Stay",J1460&gt;=8,"Long Stay")</f>
        <v>Day Use</v>
      </c>
      <c r="L1460" t="s">
        <v>25</v>
      </c>
      <c r="M1460" s="10" t="str">
        <f t="shared" si="111"/>
        <v>Standard</v>
      </c>
      <c r="N1460" t="s">
        <v>26</v>
      </c>
      <c r="O1460" t="s">
        <v>42</v>
      </c>
      <c r="P1460">
        <f>IFERROR(VLOOKUP(TRIM(M1460),Room!D:H,5,FALSE),5000)</f>
        <v>3200</v>
      </c>
      <c r="Q1460">
        <f t="shared" si="112"/>
        <v>3200</v>
      </c>
      <c r="R1460" s="11" t="str">
        <f t="shared" si="113"/>
        <v>Other</v>
      </c>
      <c r="S1460" s="11">
        <f t="shared" si="114"/>
        <v>1</v>
      </c>
    </row>
    <row r="1461" spans="1:19">
      <c r="A1461" t="s">
        <v>7617</v>
      </c>
      <c r="B1461" t="s">
        <v>7618</v>
      </c>
      <c r="C1461" t="s">
        <v>2062</v>
      </c>
      <c r="D1461" t="s">
        <v>7619</v>
      </c>
      <c r="E1461" t="s">
        <v>7620</v>
      </c>
      <c r="F1461" t="s">
        <v>7621</v>
      </c>
      <c r="G1461" s="4">
        <v>45345</v>
      </c>
      <c r="H1461" s="4">
        <v>45363</v>
      </c>
      <c r="I1461" s="4">
        <v>45365</v>
      </c>
      <c r="J1461">
        <f t="shared" si="110"/>
        <v>2</v>
      </c>
      <c r="K1461" t="str">
        <f t="array" ref="K1461">_xlfn.IFS(J1461=1,"Day Use",J1461&lt;=3,"Short Stay",J1461&lt;=7,"Extended Stay",J1461&gt;=8,"Long Stay")</f>
        <v>Short Stay</v>
      </c>
      <c r="L1461" t="s">
        <v>196</v>
      </c>
      <c r="M1461" s="10" t="str">
        <f t="shared" si="111"/>
        <v>Standard</v>
      </c>
      <c r="N1461" t="s">
        <v>26</v>
      </c>
      <c r="O1461" t="s">
        <v>42</v>
      </c>
      <c r="P1461">
        <f>IFERROR(VLOOKUP(TRIM(M1461),Room!D:H,5,FALSE),5000)</f>
        <v>3200</v>
      </c>
      <c r="Q1461">
        <f t="shared" si="112"/>
        <v>6400</v>
      </c>
      <c r="R1461" s="11" t="str">
        <f t="shared" si="113"/>
        <v>Other</v>
      </c>
      <c r="S1461" s="11">
        <f t="shared" si="114"/>
        <v>2</v>
      </c>
    </row>
    <row r="1462" spans="1:19">
      <c r="A1462" t="s">
        <v>7622</v>
      </c>
      <c r="B1462" t="s">
        <v>7623</v>
      </c>
      <c r="C1462" t="s">
        <v>2863</v>
      </c>
      <c r="D1462" t="s">
        <v>7624</v>
      </c>
      <c r="E1462" t="s">
        <v>7625</v>
      </c>
      <c r="F1462" t="s">
        <v>7626</v>
      </c>
      <c r="G1462" s="4">
        <v>45528</v>
      </c>
      <c r="H1462" s="4">
        <v>45539</v>
      </c>
      <c r="I1462" s="4">
        <v>45540</v>
      </c>
      <c r="J1462">
        <f t="shared" si="110"/>
        <v>1</v>
      </c>
      <c r="K1462" t="str">
        <f t="array" ref="K1462">_xlfn.IFS(J1462=1,"Day Use",J1462&lt;=3,"Short Stay",J1462&lt;=7,"Extended Stay",J1462&gt;=8,"Long Stay")</f>
        <v>Day Use</v>
      </c>
      <c r="L1462" t="s">
        <v>196</v>
      </c>
      <c r="M1462" s="10" t="str">
        <f t="shared" si="111"/>
        <v>Standard</v>
      </c>
      <c r="N1462" t="s">
        <v>26</v>
      </c>
      <c r="O1462" t="s">
        <v>71</v>
      </c>
      <c r="P1462">
        <f>IFERROR(VLOOKUP(TRIM(M1462),Room!D:H,5,FALSE),5000)</f>
        <v>3200</v>
      </c>
      <c r="Q1462">
        <f t="shared" si="112"/>
        <v>3200</v>
      </c>
      <c r="R1462" s="11" t="str">
        <f t="shared" si="113"/>
        <v>Other</v>
      </c>
      <c r="S1462" s="11">
        <f t="shared" si="114"/>
        <v>1</v>
      </c>
    </row>
    <row r="1463" spans="1:19">
      <c r="A1463" t="s">
        <v>7627</v>
      </c>
      <c r="B1463" t="s">
        <v>7628</v>
      </c>
      <c r="C1463" t="s">
        <v>835</v>
      </c>
      <c r="D1463" t="s">
        <v>7629</v>
      </c>
      <c r="E1463" t="s">
        <v>7630</v>
      </c>
      <c r="F1463" t="s">
        <v>7631</v>
      </c>
      <c r="G1463" s="4">
        <v>45435</v>
      </c>
      <c r="H1463" s="4">
        <v>45724</v>
      </c>
      <c r="I1463" s="4">
        <v>45731</v>
      </c>
      <c r="J1463">
        <f t="shared" si="110"/>
        <v>7</v>
      </c>
      <c r="K1463" t="str">
        <f t="array" ref="K1463">_xlfn.IFS(J1463=1,"Day Use",J1463&lt;=3,"Short Stay",J1463&lt;=7,"Extended Stay",J1463&gt;=8,"Long Stay")</f>
        <v>Extended Stay</v>
      </c>
      <c r="L1463" t="s">
        <v>56</v>
      </c>
      <c r="M1463" s="10" t="str">
        <f t="shared" si="111"/>
        <v>Premium</v>
      </c>
      <c r="N1463" t="s">
        <v>26</v>
      </c>
      <c r="O1463" t="s">
        <v>35</v>
      </c>
      <c r="P1463">
        <f>IFERROR(VLOOKUP(TRIM(M1463),Room!D:H,5,FALSE),5000)</f>
        <v>9500</v>
      </c>
      <c r="Q1463">
        <f t="shared" si="112"/>
        <v>66500</v>
      </c>
      <c r="R1463" s="11" t="str">
        <f t="shared" si="113"/>
        <v>Conference</v>
      </c>
      <c r="S1463" s="11">
        <f t="shared" si="114"/>
        <v>4</v>
      </c>
    </row>
    <row r="1464" spans="1:19">
      <c r="A1464" t="s">
        <v>7632</v>
      </c>
      <c r="B1464" t="s">
        <v>7633</v>
      </c>
      <c r="C1464" t="s">
        <v>939</v>
      </c>
      <c r="D1464" t="s">
        <v>7634</v>
      </c>
      <c r="E1464" t="s">
        <v>7635</v>
      </c>
      <c r="F1464" t="s">
        <v>7636</v>
      </c>
      <c r="G1464" s="4">
        <v>45620</v>
      </c>
      <c r="H1464" s="4">
        <v>45622</v>
      </c>
      <c r="I1464" s="4">
        <v>45623</v>
      </c>
      <c r="J1464">
        <f t="shared" si="110"/>
        <v>1</v>
      </c>
      <c r="K1464" t="str">
        <f t="array" ref="K1464">_xlfn.IFS(J1464=1,"Day Use",J1464&lt;=3,"Short Stay",J1464&lt;=7,"Extended Stay",J1464&gt;=8,"Long Stay")</f>
        <v>Day Use</v>
      </c>
      <c r="L1464" t="s">
        <v>25</v>
      </c>
      <c r="M1464" s="10" t="str">
        <f t="shared" si="111"/>
        <v>Standard</v>
      </c>
      <c r="N1464" t="s">
        <v>26</v>
      </c>
      <c r="O1464" t="s">
        <v>71</v>
      </c>
      <c r="P1464">
        <f>IFERROR(VLOOKUP(TRIM(M1464),Room!D:H,5,FALSE),5000)</f>
        <v>3200</v>
      </c>
      <c r="Q1464">
        <f t="shared" si="112"/>
        <v>3200</v>
      </c>
      <c r="R1464" s="11" t="str">
        <f t="shared" si="113"/>
        <v>Other</v>
      </c>
      <c r="S1464" s="11">
        <f t="shared" si="114"/>
        <v>1</v>
      </c>
    </row>
    <row r="1465" spans="1:19">
      <c r="A1465" t="s">
        <v>7637</v>
      </c>
      <c r="B1465" t="s">
        <v>7638</v>
      </c>
      <c r="C1465" t="s">
        <v>2457</v>
      </c>
      <c r="D1465" t="s">
        <v>7639</v>
      </c>
      <c r="E1465" t="s">
        <v>7640</v>
      </c>
      <c r="F1465" t="s">
        <v>7641</v>
      </c>
      <c r="G1465" s="4">
        <v>45236</v>
      </c>
      <c r="H1465" s="4">
        <v>45896</v>
      </c>
      <c r="I1465" s="4">
        <v>45901</v>
      </c>
      <c r="J1465">
        <f t="shared" si="110"/>
        <v>5</v>
      </c>
      <c r="K1465" t="str">
        <f t="array" ref="K1465">_xlfn.IFS(J1465=1,"Day Use",J1465&lt;=3,"Short Stay",J1465&lt;=7,"Extended Stay",J1465&gt;=8,"Long Stay")</f>
        <v>Extended Stay</v>
      </c>
      <c r="L1465" t="s">
        <v>91</v>
      </c>
      <c r="M1465" s="10" t="str">
        <f t="shared" si="111"/>
        <v>Deluxe</v>
      </c>
      <c r="N1465" t="s">
        <v>148</v>
      </c>
      <c r="O1465" t="s">
        <v>42</v>
      </c>
      <c r="P1465">
        <f>IFERROR(VLOOKUP(TRIM(M1465),Room!D:H,5,FALSE),5000)</f>
        <v>5400</v>
      </c>
      <c r="Q1465">
        <f t="shared" si="112"/>
        <v>27000</v>
      </c>
      <c r="R1465" s="11" t="str">
        <f t="shared" si="113"/>
        <v>Conference</v>
      </c>
      <c r="S1465" s="11">
        <f t="shared" si="114"/>
        <v>3</v>
      </c>
    </row>
    <row r="1466" spans="1:19">
      <c r="A1466" t="s">
        <v>7642</v>
      </c>
      <c r="B1466" t="s">
        <v>7643</v>
      </c>
      <c r="C1466" t="s">
        <v>1213</v>
      </c>
      <c r="D1466" t="s">
        <v>7644</v>
      </c>
      <c r="E1466" t="s">
        <v>7645</v>
      </c>
      <c r="F1466" t="s">
        <v>7646</v>
      </c>
      <c r="G1466" s="4">
        <v>45359</v>
      </c>
      <c r="H1466" s="4">
        <v>45917</v>
      </c>
      <c r="I1466" s="4">
        <v>45923</v>
      </c>
      <c r="J1466">
        <f t="shared" si="110"/>
        <v>6</v>
      </c>
      <c r="K1466" t="str">
        <f t="array" ref="K1466">_xlfn.IFS(J1466=1,"Day Use",J1466&lt;=3,"Short Stay",J1466&lt;=7,"Extended Stay",J1466&gt;=8,"Long Stay")</f>
        <v>Extended Stay</v>
      </c>
      <c r="L1466" t="s">
        <v>49</v>
      </c>
      <c r="M1466" s="10" t="str">
        <f t="shared" si="111"/>
        <v>Deluxe</v>
      </c>
      <c r="N1466" t="s">
        <v>57</v>
      </c>
      <c r="O1466" t="s">
        <v>42</v>
      </c>
      <c r="P1466">
        <f>IFERROR(VLOOKUP(TRIM(M1466),Room!D:H,5,FALSE),5000)</f>
        <v>5400</v>
      </c>
      <c r="Q1466">
        <f t="shared" si="112"/>
        <v>32400</v>
      </c>
      <c r="R1466" s="11" t="str">
        <f t="shared" si="113"/>
        <v>Conference</v>
      </c>
      <c r="S1466" s="11">
        <f t="shared" si="114"/>
        <v>3</v>
      </c>
    </row>
    <row r="1467" spans="1:19">
      <c r="A1467" t="s">
        <v>7647</v>
      </c>
      <c r="B1467" t="s">
        <v>7648</v>
      </c>
      <c r="C1467" t="s">
        <v>2510</v>
      </c>
      <c r="D1467" t="s">
        <v>7649</v>
      </c>
      <c r="E1467" t="s">
        <v>7650</v>
      </c>
      <c r="F1467" t="s">
        <v>7651</v>
      </c>
      <c r="G1467" s="4">
        <v>45441</v>
      </c>
      <c r="H1467" s="4">
        <v>45583</v>
      </c>
      <c r="I1467" s="4">
        <v>45594</v>
      </c>
      <c r="J1467">
        <f t="shared" si="110"/>
        <v>11</v>
      </c>
      <c r="K1467" t="str">
        <f t="array" ref="K1467">_xlfn.IFS(J1467=1,"Day Use",J1467&lt;=3,"Short Stay",J1467&lt;=7,"Extended Stay",J1467&gt;=8,"Long Stay")</f>
        <v>Long Stay</v>
      </c>
      <c r="L1467" t="s">
        <v>25</v>
      </c>
      <c r="M1467" s="10" t="str">
        <f t="shared" si="111"/>
        <v>Suite</v>
      </c>
      <c r="N1467" t="s">
        <v>26</v>
      </c>
      <c r="O1467" t="s">
        <v>35</v>
      </c>
      <c r="P1467">
        <f>IFERROR(VLOOKUP(TRIM(M1467),Room!D:H,5,FALSE),5000)</f>
        <v>12500</v>
      </c>
      <c r="Q1467">
        <f t="shared" si="112"/>
        <v>137500</v>
      </c>
      <c r="R1467" s="11" t="str">
        <f t="shared" si="113"/>
        <v>Business</v>
      </c>
      <c r="S1467" s="11">
        <f t="shared" si="114"/>
        <v>5</v>
      </c>
    </row>
    <row r="1468" spans="1:19">
      <c r="A1468" t="s">
        <v>7652</v>
      </c>
      <c r="B1468" t="s">
        <v>7653</v>
      </c>
      <c r="C1468" t="s">
        <v>1626</v>
      </c>
      <c r="D1468" t="s">
        <v>7654</v>
      </c>
      <c r="E1468" t="s">
        <v>7655</v>
      </c>
      <c r="F1468" t="s">
        <v>7656</v>
      </c>
      <c r="G1468" s="4">
        <v>45640</v>
      </c>
      <c r="H1468" s="4">
        <v>45644</v>
      </c>
      <c r="I1468" s="4">
        <v>45645</v>
      </c>
      <c r="J1468">
        <f t="shared" si="110"/>
        <v>1</v>
      </c>
      <c r="K1468" t="str">
        <f t="array" ref="K1468">_xlfn.IFS(J1468=1,"Day Use",J1468&lt;=3,"Short Stay",J1468&lt;=7,"Extended Stay",J1468&gt;=8,"Long Stay")</f>
        <v>Day Use</v>
      </c>
      <c r="L1468" t="s">
        <v>91</v>
      </c>
      <c r="M1468" s="10" t="str">
        <f t="shared" si="111"/>
        <v>Standard</v>
      </c>
      <c r="N1468" t="s">
        <v>26</v>
      </c>
      <c r="O1468" t="s">
        <v>27</v>
      </c>
      <c r="P1468">
        <f>IFERROR(VLOOKUP(TRIM(M1468),Room!D:H,5,FALSE),5000)</f>
        <v>3200</v>
      </c>
      <c r="Q1468">
        <f t="shared" si="112"/>
        <v>3200</v>
      </c>
      <c r="R1468" s="11" t="str">
        <f t="shared" si="113"/>
        <v>Other</v>
      </c>
      <c r="S1468" s="11">
        <f t="shared" si="114"/>
        <v>1</v>
      </c>
    </row>
    <row r="1469" spans="1:19">
      <c r="A1469" t="s">
        <v>7657</v>
      </c>
      <c r="B1469" t="s">
        <v>7658</v>
      </c>
      <c r="C1469" t="s">
        <v>500</v>
      </c>
      <c r="D1469" t="s">
        <v>7659</v>
      </c>
      <c r="E1469" t="s">
        <v>7660</v>
      </c>
      <c r="F1469" t="s">
        <v>7661</v>
      </c>
      <c r="G1469" s="4">
        <v>45855</v>
      </c>
      <c r="H1469" s="4">
        <v>45967</v>
      </c>
      <c r="I1469" s="4">
        <v>45975</v>
      </c>
      <c r="J1469">
        <f t="shared" si="110"/>
        <v>8</v>
      </c>
      <c r="K1469" t="str">
        <f t="array" ref="K1469">_xlfn.IFS(J1469=1,"Day Use",J1469&lt;=3,"Short Stay",J1469&lt;=7,"Extended Stay",J1469&gt;=8,"Long Stay")</f>
        <v>Long Stay</v>
      </c>
      <c r="L1469" t="s">
        <v>196</v>
      </c>
      <c r="M1469" s="10" t="str">
        <f t="shared" si="111"/>
        <v>Premium</v>
      </c>
      <c r="N1469" t="s">
        <v>148</v>
      </c>
      <c r="O1469" t="s">
        <v>58</v>
      </c>
      <c r="P1469">
        <f>IFERROR(VLOOKUP(TRIM(M1469),Room!D:H,5,FALSE),5000)</f>
        <v>9500</v>
      </c>
      <c r="Q1469">
        <f t="shared" si="112"/>
        <v>76000</v>
      </c>
      <c r="R1469" s="11" t="str">
        <f t="shared" si="113"/>
        <v>Conference</v>
      </c>
      <c r="S1469" s="11">
        <f t="shared" si="114"/>
        <v>4</v>
      </c>
    </row>
    <row r="1470" spans="1:19">
      <c r="A1470" t="s">
        <v>7662</v>
      </c>
      <c r="B1470" t="s">
        <v>7663</v>
      </c>
      <c r="C1470" t="s">
        <v>61</v>
      </c>
      <c r="D1470" t="s">
        <v>7664</v>
      </c>
      <c r="E1470" t="s">
        <v>7665</v>
      </c>
      <c r="F1470" t="s">
        <v>7666</v>
      </c>
      <c r="G1470" s="4">
        <v>45669</v>
      </c>
      <c r="H1470" s="4">
        <v>45706</v>
      </c>
      <c r="I1470" s="4">
        <v>45713</v>
      </c>
      <c r="J1470">
        <f t="shared" si="110"/>
        <v>7</v>
      </c>
      <c r="K1470" t="str">
        <f t="array" ref="K1470">_xlfn.IFS(J1470=1,"Day Use",J1470&lt;=3,"Short Stay",J1470&lt;=7,"Extended Stay",J1470&gt;=8,"Long Stay")</f>
        <v>Extended Stay</v>
      </c>
      <c r="L1470" t="s">
        <v>56</v>
      </c>
      <c r="M1470" s="10" t="str">
        <f t="shared" si="111"/>
        <v>Premium</v>
      </c>
      <c r="N1470" t="s">
        <v>26</v>
      </c>
      <c r="O1470" t="s">
        <v>71</v>
      </c>
      <c r="P1470">
        <f>IFERROR(VLOOKUP(TRIM(M1470),Room!D:H,5,FALSE),5000)</f>
        <v>9500</v>
      </c>
      <c r="Q1470">
        <f t="shared" si="112"/>
        <v>66500</v>
      </c>
      <c r="R1470" s="11" t="str">
        <f t="shared" si="113"/>
        <v>Conference</v>
      </c>
      <c r="S1470" s="11">
        <f t="shared" si="114"/>
        <v>4</v>
      </c>
    </row>
    <row r="1471" spans="1:19">
      <c r="A1471" t="s">
        <v>7667</v>
      </c>
      <c r="B1471" t="s">
        <v>7668</v>
      </c>
      <c r="C1471" t="s">
        <v>575</v>
      </c>
      <c r="D1471" t="s">
        <v>7669</v>
      </c>
      <c r="E1471" t="s">
        <v>7670</v>
      </c>
      <c r="F1471" t="s">
        <v>7671</v>
      </c>
      <c r="G1471" s="4">
        <v>45298</v>
      </c>
      <c r="H1471" s="4">
        <v>45849</v>
      </c>
      <c r="I1471" s="4">
        <v>45862</v>
      </c>
      <c r="J1471">
        <f t="shared" si="110"/>
        <v>13</v>
      </c>
      <c r="K1471" t="str">
        <f t="array" ref="K1471">_xlfn.IFS(J1471=1,"Day Use",J1471&lt;=3,"Short Stay",J1471&lt;=7,"Extended Stay",J1471&gt;=8,"Long Stay")</f>
        <v>Long Stay</v>
      </c>
      <c r="L1471" t="s">
        <v>34</v>
      </c>
      <c r="M1471" s="10" t="str">
        <f t="shared" si="111"/>
        <v>Suite</v>
      </c>
      <c r="N1471" t="s">
        <v>372</v>
      </c>
      <c r="O1471" t="s">
        <v>35</v>
      </c>
      <c r="P1471">
        <f>IFERROR(VLOOKUP(TRIM(M1471),Room!D:H,5,FALSE),5000)</f>
        <v>12500</v>
      </c>
      <c r="Q1471">
        <f t="shared" si="112"/>
        <v>162500</v>
      </c>
      <c r="R1471" s="11" t="str">
        <f t="shared" si="113"/>
        <v>Business</v>
      </c>
      <c r="S1471" s="11">
        <f t="shared" si="114"/>
        <v>5</v>
      </c>
    </row>
    <row r="1472" spans="1:19">
      <c r="A1472" t="s">
        <v>7672</v>
      </c>
      <c r="B1472" t="s">
        <v>7673</v>
      </c>
      <c r="C1472" t="s">
        <v>174</v>
      </c>
      <c r="D1472" t="s">
        <v>7674</v>
      </c>
      <c r="E1472" t="s">
        <v>7675</v>
      </c>
      <c r="F1472" t="s">
        <v>7676</v>
      </c>
      <c r="G1472" s="4">
        <v>45585</v>
      </c>
      <c r="H1472" s="4">
        <v>45613</v>
      </c>
      <c r="I1472" s="4">
        <v>45620</v>
      </c>
      <c r="J1472">
        <f t="shared" si="110"/>
        <v>7</v>
      </c>
      <c r="K1472" t="str">
        <f t="array" ref="K1472">_xlfn.IFS(J1472=1,"Day Use",J1472&lt;=3,"Short Stay",J1472&lt;=7,"Extended Stay",J1472&gt;=8,"Long Stay")</f>
        <v>Extended Stay</v>
      </c>
      <c r="L1472" t="s">
        <v>91</v>
      </c>
      <c r="M1472" s="10" t="str">
        <f t="shared" si="111"/>
        <v>Premium</v>
      </c>
      <c r="N1472" t="s">
        <v>26</v>
      </c>
      <c r="O1472" t="s">
        <v>35</v>
      </c>
      <c r="P1472">
        <f>IFERROR(VLOOKUP(TRIM(M1472),Room!D:H,5,FALSE),5000)</f>
        <v>9500</v>
      </c>
      <c r="Q1472">
        <f t="shared" si="112"/>
        <v>66500</v>
      </c>
      <c r="R1472" s="11" t="str">
        <f t="shared" si="113"/>
        <v>Conference</v>
      </c>
      <c r="S1472" s="11">
        <f t="shared" si="114"/>
        <v>4</v>
      </c>
    </row>
    <row r="1473" spans="1:19">
      <c r="A1473" t="s">
        <v>7677</v>
      </c>
      <c r="B1473" t="s">
        <v>7678</v>
      </c>
      <c r="C1473" t="s">
        <v>2863</v>
      </c>
      <c r="D1473" t="s">
        <v>7679</v>
      </c>
      <c r="E1473" t="s">
        <v>7680</v>
      </c>
      <c r="F1473" t="s">
        <v>7681</v>
      </c>
      <c r="G1473" s="4">
        <v>45291</v>
      </c>
      <c r="H1473" s="4">
        <v>45657</v>
      </c>
      <c r="I1473" s="4">
        <v>45658</v>
      </c>
      <c r="J1473">
        <f t="shared" si="110"/>
        <v>1</v>
      </c>
      <c r="K1473" t="str">
        <f t="array" ref="K1473">_xlfn.IFS(J1473=1,"Day Use",J1473&lt;=3,"Short Stay",J1473&lt;=7,"Extended Stay",J1473&gt;=8,"Long Stay")</f>
        <v>Day Use</v>
      </c>
      <c r="L1473" t="s">
        <v>91</v>
      </c>
      <c r="M1473" s="10" t="str">
        <f t="shared" si="111"/>
        <v>Standard</v>
      </c>
      <c r="N1473" t="s">
        <v>26</v>
      </c>
      <c r="O1473" t="s">
        <v>27</v>
      </c>
      <c r="P1473">
        <f>IFERROR(VLOOKUP(TRIM(M1473),Room!D:H,5,FALSE),5000)</f>
        <v>3200</v>
      </c>
      <c r="Q1473">
        <f t="shared" si="112"/>
        <v>3200</v>
      </c>
      <c r="R1473" s="11" t="str">
        <f t="shared" si="113"/>
        <v>Other</v>
      </c>
      <c r="S1473" s="11">
        <f t="shared" si="114"/>
        <v>1</v>
      </c>
    </row>
    <row r="1474" spans="1:19">
      <c r="A1474" t="s">
        <v>7682</v>
      </c>
      <c r="B1474" t="s">
        <v>7683</v>
      </c>
      <c r="C1474" t="s">
        <v>4892</v>
      </c>
      <c r="D1474" t="s">
        <v>7684</v>
      </c>
      <c r="E1474" t="s">
        <v>7685</v>
      </c>
      <c r="F1474" t="s">
        <v>7686</v>
      </c>
      <c r="G1474" s="4">
        <v>45423</v>
      </c>
      <c r="H1474" s="4">
        <v>45432</v>
      </c>
      <c r="I1474" s="4">
        <v>45446</v>
      </c>
      <c r="J1474">
        <f t="shared" ref="J1474:J1537" si="115">I1474-H1474</f>
        <v>14</v>
      </c>
      <c r="K1474" t="str">
        <f t="array" ref="K1474">_xlfn.IFS(J1474=1,"Day Use",J1474&lt;=3,"Short Stay",J1474&lt;=7,"Extended Stay",J1474&gt;=8,"Long Stay")</f>
        <v>Long Stay</v>
      </c>
      <c r="L1474" t="s">
        <v>141</v>
      </c>
      <c r="M1474" s="10" t="str">
        <f t="shared" ref="M1474:M1537" si="116">IF($J1474&lt;=3,"Standard",IF($J1474&lt;=6,"Deluxe",IF($J1474&lt;=10,"Premium","Suite")))</f>
        <v>Suite</v>
      </c>
      <c r="N1474" t="s">
        <v>26</v>
      </c>
      <c r="O1474" t="s">
        <v>42</v>
      </c>
      <c r="P1474">
        <f>IFERROR(VLOOKUP(TRIM(M1474),Room!D:H,5,FALSE),5000)</f>
        <v>12500</v>
      </c>
      <c r="Q1474">
        <f t="shared" si="112"/>
        <v>175000</v>
      </c>
      <c r="R1474" s="11" t="str">
        <f t="shared" si="113"/>
        <v>Business</v>
      </c>
      <c r="S1474" s="11">
        <f t="shared" si="114"/>
        <v>5</v>
      </c>
    </row>
    <row r="1475" spans="1:19">
      <c r="A1475" t="s">
        <v>7687</v>
      </c>
      <c r="B1475" t="s">
        <v>7688</v>
      </c>
      <c r="C1475" t="s">
        <v>1470</v>
      </c>
      <c r="D1475" t="s">
        <v>7689</v>
      </c>
      <c r="E1475" t="s">
        <v>7690</v>
      </c>
      <c r="F1475" t="s">
        <v>7691</v>
      </c>
      <c r="G1475" s="4">
        <v>45522</v>
      </c>
      <c r="H1475" s="4">
        <v>45796</v>
      </c>
      <c r="I1475" s="4">
        <v>45798</v>
      </c>
      <c r="J1475">
        <f t="shared" si="115"/>
        <v>2</v>
      </c>
      <c r="K1475" t="str">
        <f t="array" ref="K1475">_xlfn.IFS(J1475=1,"Day Use",J1475&lt;=3,"Short Stay",J1475&lt;=7,"Extended Stay",J1475&gt;=8,"Long Stay")</f>
        <v>Short Stay</v>
      </c>
      <c r="L1475" t="s">
        <v>196</v>
      </c>
      <c r="M1475" s="10" t="str">
        <f t="shared" si="116"/>
        <v>Standard</v>
      </c>
      <c r="N1475" t="s">
        <v>148</v>
      </c>
      <c r="O1475" t="s">
        <v>42</v>
      </c>
      <c r="P1475">
        <f>IFERROR(VLOOKUP(TRIM(M1475),Room!D:H,5,FALSE),5000)</f>
        <v>3200</v>
      </c>
      <c r="Q1475">
        <f t="shared" ref="Q1475:Q1538" si="117">P1475*J1475</f>
        <v>6400</v>
      </c>
      <c r="R1475" s="11" t="str">
        <f t="shared" ref="R1475:R1538" si="118">IF(ISNUMBER(SEARCH("Suite",D1475)),"Honeymoon",IF(P1475&gt;10000,"Business",IF(P1475&gt;5000,"Conference",IF(J1475&gt;=8,"Family Vacation","Other"))))</f>
        <v>Other</v>
      </c>
      <c r="S1475" s="11">
        <f t="shared" ref="S1475:S1538" si="119">IF(M1475="Suite",5,IF(M1475="Premium",IF(Q1475&gt;20000,4,3),IF(M1475="Deluxe",IF(Q1475&gt;=10000,3,2),IF(M1475="Standard",IF(Q1475&gt;=5000,2,1),1))))</f>
        <v>2</v>
      </c>
    </row>
    <row r="1476" spans="1:19">
      <c r="A1476" t="s">
        <v>7692</v>
      </c>
      <c r="B1476" t="s">
        <v>7693</v>
      </c>
      <c r="C1476" t="s">
        <v>2642</v>
      </c>
      <c r="D1476" t="s">
        <v>7694</v>
      </c>
      <c r="E1476" t="s">
        <v>7695</v>
      </c>
      <c r="F1476" t="s">
        <v>7696</v>
      </c>
      <c r="G1476" s="4">
        <v>45591</v>
      </c>
      <c r="H1476" s="4">
        <v>45618</v>
      </c>
      <c r="I1476" s="4">
        <v>45622</v>
      </c>
      <c r="J1476">
        <f t="shared" si="115"/>
        <v>4</v>
      </c>
      <c r="K1476" t="str">
        <f t="array" ref="K1476">_xlfn.IFS(J1476=1,"Day Use",J1476&lt;=3,"Short Stay",J1476&lt;=7,"Extended Stay",J1476&gt;=8,"Long Stay")</f>
        <v>Extended Stay</v>
      </c>
      <c r="L1476" t="s">
        <v>34</v>
      </c>
      <c r="M1476" s="10" t="str">
        <f t="shared" si="116"/>
        <v>Deluxe</v>
      </c>
      <c r="N1476" t="s">
        <v>26</v>
      </c>
      <c r="O1476" t="s">
        <v>27</v>
      </c>
      <c r="P1476">
        <f>IFERROR(VLOOKUP(TRIM(M1476),Room!D:H,5,FALSE),5000)</f>
        <v>5400</v>
      </c>
      <c r="Q1476">
        <f t="shared" si="117"/>
        <v>21600</v>
      </c>
      <c r="R1476" s="11" t="str">
        <f t="shared" si="118"/>
        <v>Conference</v>
      </c>
      <c r="S1476" s="11">
        <f t="shared" si="119"/>
        <v>3</v>
      </c>
    </row>
    <row r="1477" spans="1:19">
      <c r="A1477" t="s">
        <v>7697</v>
      </c>
      <c r="B1477" t="s">
        <v>7698</v>
      </c>
      <c r="C1477" t="s">
        <v>1983</v>
      </c>
      <c r="D1477" t="s">
        <v>7699</v>
      </c>
      <c r="E1477" t="s">
        <v>7700</v>
      </c>
      <c r="F1477" t="s">
        <v>7701</v>
      </c>
      <c r="G1477" s="4">
        <v>45202</v>
      </c>
      <c r="H1477" s="4">
        <v>45845</v>
      </c>
      <c r="I1477" s="4">
        <v>45854</v>
      </c>
      <c r="J1477">
        <f t="shared" si="115"/>
        <v>9</v>
      </c>
      <c r="K1477" t="str">
        <f t="array" ref="K1477">_xlfn.IFS(J1477=1,"Day Use",J1477&lt;=3,"Short Stay",J1477&lt;=7,"Extended Stay",J1477&gt;=8,"Long Stay")</f>
        <v>Long Stay</v>
      </c>
      <c r="L1477" t="s">
        <v>49</v>
      </c>
      <c r="M1477" s="10" t="str">
        <f t="shared" si="116"/>
        <v>Premium</v>
      </c>
      <c r="N1477" t="s">
        <v>148</v>
      </c>
      <c r="O1477" t="s">
        <v>42</v>
      </c>
      <c r="P1477">
        <f>IFERROR(VLOOKUP(TRIM(M1477),Room!D:H,5,FALSE),5000)</f>
        <v>9500</v>
      </c>
      <c r="Q1477">
        <f t="shared" si="117"/>
        <v>85500</v>
      </c>
      <c r="R1477" s="11" t="str">
        <f t="shared" si="118"/>
        <v>Conference</v>
      </c>
      <c r="S1477" s="11">
        <f t="shared" si="119"/>
        <v>4</v>
      </c>
    </row>
    <row r="1478" spans="1:19">
      <c r="A1478" t="s">
        <v>7702</v>
      </c>
      <c r="B1478" t="s">
        <v>7703</v>
      </c>
      <c r="C1478" t="s">
        <v>679</v>
      </c>
      <c r="D1478" t="s">
        <v>7704</v>
      </c>
      <c r="E1478" t="s">
        <v>7705</v>
      </c>
      <c r="F1478" t="s">
        <v>7706</v>
      </c>
      <c r="G1478" s="4">
        <v>45664</v>
      </c>
      <c r="H1478" s="4">
        <v>45682</v>
      </c>
      <c r="I1478" s="4">
        <v>45686</v>
      </c>
      <c r="J1478">
        <f t="shared" si="115"/>
        <v>4</v>
      </c>
      <c r="K1478" t="str">
        <f t="array" ref="K1478">_xlfn.IFS(J1478=1,"Day Use",J1478&lt;=3,"Short Stay",J1478&lt;=7,"Extended Stay",J1478&gt;=8,"Long Stay")</f>
        <v>Extended Stay</v>
      </c>
      <c r="L1478" t="s">
        <v>196</v>
      </c>
      <c r="M1478" s="10" t="str">
        <f t="shared" si="116"/>
        <v>Deluxe</v>
      </c>
      <c r="N1478" t="s">
        <v>26</v>
      </c>
      <c r="O1478" t="s">
        <v>35</v>
      </c>
      <c r="P1478">
        <f>IFERROR(VLOOKUP(TRIM(M1478),Room!D:H,5,FALSE),5000)</f>
        <v>5400</v>
      </c>
      <c r="Q1478">
        <f t="shared" si="117"/>
        <v>21600</v>
      </c>
      <c r="R1478" s="11" t="str">
        <f t="shared" si="118"/>
        <v>Conference</v>
      </c>
      <c r="S1478" s="11">
        <f t="shared" si="119"/>
        <v>3</v>
      </c>
    </row>
    <row r="1479" spans="1:19">
      <c r="A1479" t="s">
        <v>7707</v>
      </c>
      <c r="B1479" t="s">
        <v>7708</v>
      </c>
      <c r="C1479" t="s">
        <v>1594</v>
      </c>
      <c r="D1479" t="s">
        <v>7709</v>
      </c>
      <c r="E1479" t="s">
        <v>7710</v>
      </c>
      <c r="F1479" t="s">
        <v>7711</v>
      </c>
      <c r="G1479" s="4">
        <v>45278</v>
      </c>
      <c r="H1479" s="4">
        <v>45298</v>
      </c>
      <c r="I1479" s="4">
        <v>45304</v>
      </c>
      <c r="J1479">
        <f t="shared" si="115"/>
        <v>6</v>
      </c>
      <c r="K1479" t="str">
        <f t="array" ref="K1479">_xlfn.IFS(J1479=1,"Day Use",J1479&lt;=3,"Short Stay",J1479&lt;=7,"Extended Stay",J1479&gt;=8,"Long Stay")</f>
        <v>Extended Stay</v>
      </c>
      <c r="L1479" t="s">
        <v>25</v>
      </c>
      <c r="M1479" s="10" t="str">
        <f t="shared" si="116"/>
        <v>Deluxe</v>
      </c>
      <c r="N1479" t="s">
        <v>26</v>
      </c>
      <c r="O1479" t="s">
        <v>35</v>
      </c>
      <c r="P1479">
        <f>IFERROR(VLOOKUP(TRIM(M1479),Room!D:H,5,FALSE),5000)</f>
        <v>5400</v>
      </c>
      <c r="Q1479">
        <f t="shared" si="117"/>
        <v>32400</v>
      </c>
      <c r="R1479" s="11" t="str">
        <f t="shared" si="118"/>
        <v>Conference</v>
      </c>
      <c r="S1479" s="11">
        <f t="shared" si="119"/>
        <v>3</v>
      </c>
    </row>
    <row r="1480" spans="1:19">
      <c r="A1480" t="s">
        <v>7712</v>
      </c>
      <c r="B1480" t="s">
        <v>7713</v>
      </c>
      <c r="C1480" t="s">
        <v>151</v>
      </c>
      <c r="D1480" t="s">
        <v>7714</v>
      </c>
      <c r="E1480" t="s">
        <v>7715</v>
      </c>
      <c r="F1480" t="s">
        <v>7716</v>
      </c>
      <c r="G1480" s="4">
        <v>45336</v>
      </c>
      <c r="H1480" s="4">
        <v>45347</v>
      </c>
      <c r="I1480" s="4">
        <v>45349</v>
      </c>
      <c r="J1480">
        <f t="shared" si="115"/>
        <v>2</v>
      </c>
      <c r="K1480" t="str">
        <f t="array" ref="K1480">_xlfn.IFS(J1480=1,"Day Use",J1480&lt;=3,"Short Stay",J1480&lt;=7,"Extended Stay",J1480&gt;=8,"Long Stay")</f>
        <v>Short Stay</v>
      </c>
      <c r="L1480" t="s">
        <v>196</v>
      </c>
      <c r="M1480" s="10" t="str">
        <f t="shared" si="116"/>
        <v>Standard</v>
      </c>
      <c r="N1480" t="s">
        <v>26</v>
      </c>
      <c r="O1480" t="s">
        <v>42</v>
      </c>
      <c r="P1480">
        <f>IFERROR(VLOOKUP(TRIM(M1480),Room!D:H,5,FALSE),5000)</f>
        <v>3200</v>
      </c>
      <c r="Q1480">
        <f t="shared" si="117"/>
        <v>6400</v>
      </c>
      <c r="R1480" s="11" t="str">
        <f t="shared" si="118"/>
        <v>Other</v>
      </c>
      <c r="S1480" s="11">
        <f t="shared" si="119"/>
        <v>2</v>
      </c>
    </row>
    <row r="1481" spans="1:19">
      <c r="A1481" t="s">
        <v>7717</v>
      </c>
      <c r="B1481" t="s">
        <v>7718</v>
      </c>
      <c r="C1481" t="s">
        <v>271</v>
      </c>
      <c r="D1481" t="s">
        <v>7719</v>
      </c>
      <c r="E1481" t="s">
        <v>7720</v>
      </c>
      <c r="F1481" t="s">
        <v>7721</v>
      </c>
      <c r="G1481" s="4">
        <v>45406</v>
      </c>
      <c r="H1481" s="4">
        <v>45730</v>
      </c>
      <c r="I1481" s="4">
        <v>45740</v>
      </c>
      <c r="J1481">
        <f t="shared" si="115"/>
        <v>10</v>
      </c>
      <c r="K1481" t="str">
        <f t="array" ref="K1481">_xlfn.IFS(J1481=1,"Day Use",J1481&lt;=3,"Short Stay",J1481&lt;=7,"Extended Stay",J1481&gt;=8,"Long Stay")</f>
        <v>Long Stay</v>
      </c>
      <c r="L1481" t="s">
        <v>196</v>
      </c>
      <c r="M1481" s="10" t="str">
        <f t="shared" si="116"/>
        <v>Premium</v>
      </c>
      <c r="N1481" t="s">
        <v>26</v>
      </c>
      <c r="O1481" t="s">
        <v>58</v>
      </c>
      <c r="P1481">
        <f>IFERROR(VLOOKUP(TRIM(M1481),Room!D:H,5,FALSE),5000)</f>
        <v>9500</v>
      </c>
      <c r="Q1481">
        <f t="shared" si="117"/>
        <v>95000</v>
      </c>
      <c r="R1481" s="11" t="str">
        <f t="shared" si="118"/>
        <v>Conference</v>
      </c>
      <c r="S1481" s="11">
        <f t="shared" si="119"/>
        <v>4</v>
      </c>
    </row>
    <row r="1482" spans="1:19">
      <c r="A1482" t="s">
        <v>7722</v>
      </c>
      <c r="B1482" t="s">
        <v>7723</v>
      </c>
      <c r="C1482" t="s">
        <v>163</v>
      </c>
      <c r="D1482" t="s">
        <v>7724</v>
      </c>
      <c r="E1482" t="s">
        <v>7725</v>
      </c>
      <c r="F1482" t="s">
        <v>7726</v>
      </c>
      <c r="G1482" s="4">
        <v>45306</v>
      </c>
      <c r="H1482" s="4">
        <v>45318</v>
      </c>
      <c r="I1482" s="4">
        <v>45324</v>
      </c>
      <c r="J1482">
        <f t="shared" si="115"/>
        <v>6</v>
      </c>
      <c r="K1482" t="str">
        <f t="array" ref="K1482">_xlfn.IFS(J1482=1,"Day Use",J1482&lt;=3,"Short Stay",J1482&lt;=7,"Extended Stay",J1482&gt;=8,"Long Stay")</f>
        <v>Extended Stay</v>
      </c>
      <c r="L1482" t="s">
        <v>196</v>
      </c>
      <c r="M1482" s="10" t="str">
        <f t="shared" si="116"/>
        <v>Deluxe</v>
      </c>
      <c r="N1482" t="s">
        <v>26</v>
      </c>
      <c r="O1482" t="s">
        <v>71</v>
      </c>
      <c r="P1482">
        <f>IFERROR(VLOOKUP(TRIM(M1482),Room!D:H,5,FALSE),5000)</f>
        <v>5400</v>
      </c>
      <c r="Q1482">
        <f t="shared" si="117"/>
        <v>32400</v>
      </c>
      <c r="R1482" s="11" t="str">
        <f t="shared" si="118"/>
        <v>Conference</v>
      </c>
      <c r="S1482" s="11">
        <f t="shared" si="119"/>
        <v>3</v>
      </c>
    </row>
    <row r="1483" spans="1:19">
      <c r="A1483" t="s">
        <v>7727</v>
      </c>
      <c r="B1483" t="s">
        <v>7728</v>
      </c>
      <c r="C1483" t="s">
        <v>1036</v>
      </c>
      <c r="D1483" t="s">
        <v>7729</v>
      </c>
      <c r="E1483" t="s">
        <v>7730</v>
      </c>
      <c r="F1483" t="s">
        <v>7731</v>
      </c>
      <c r="G1483" s="4">
        <v>45459</v>
      </c>
      <c r="H1483" s="4">
        <v>45486</v>
      </c>
      <c r="I1483" s="4">
        <v>45498</v>
      </c>
      <c r="J1483">
        <f t="shared" si="115"/>
        <v>12</v>
      </c>
      <c r="K1483" t="str">
        <f t="array" ref="K1483">_xlfn.IFS(J1483=1,"Day Use",J1483&lt;=3,"Short Stay",J1483&lt;=7,"Extended Stay",J1483&gt;=8,"Long Stay")</f>
        <v>Long Stay</v>
      </c>
      <c r="L1483" t="s">
        <v>56</v>
      </c>
      <c r="M1483" s="10" t="str">
        <f t="shared" si="116"/>
        <v>Suite</v>
      </c>
      <c r="N1483" t="s">
        <v>26</v>
      </c>
      <c r="O1483" t="s">
        <v>58</v>
      </c>
      <c r="P1483">
        <f>IFERROR(VLOOKUP(TRIM(M1483),Room!D:H,5,FALSE),5000)</f>
        <v>12500</v>
      </c>
      <c r="Q1483">
        <f t="shared" si="117"/>
        <v>150000</v>
      </c>
      <c r="R1483" s="11" t="str">
        <f t="shared" si="118"/>
        <v>Business</v>
      </c>
      <c r="S1483" s="11">
        <f t="shared" si="119"/>
        <v>5</v>
      </c>
    </row>
    <row r="1484" spans="1:19">
      <c r="A1484" t="s">
        <v>7732</v>
      </c>
      <c r="B1484" t="s">
        <v>7733</v>
      </c>
      <c r="C1484" t="s">
        <v>1014</v>
      </c>
      <c r="D1484" t="s">
        <v>7734</v>
      </c>
      <c r="E1484" t="s">
        <v>7735</v>
      </c>
      <c r="F1484" t="s">
        <v>7736</v>
      </c>
      <c r="G1484" s="4">
        <v>45322</v>
      </c>
      <c r="H1484" s="4">
        <v>45339</v>
      </c>
      <c r="I1484" s="4">
        <v>45341</v>
      </c>
      <c r="J1484">
        <f t="shared" si="115"/>
        <v>2</v>
      </c>
      <c r="K1484" t="str">
        <f t="array" ref="K1484">_xlfn.IFS(J1484=1,"Day Use",J1484&lt;=3,"Short Stay",J1484&lt;=7,"Extended Stay",J1484&gt;=8,"Long Stay")</f>
        <v>Short Stay</v>
      </c>
      <c r="L1484" t="s">
        <v>141</v>
      </c>
      <c r="M1484" s="10" t="str">
        <f t="shared" si="116"/>
        <v>Standard</v>
      </c>
      <c r="N1484" t="s">
        <v>26</v>
      </c>
      <c r="O1484" t="s">
        <v>58</v>
      </c>
      <c r="P1484">
        <f>IFERROR(VLOOKUP(TRIM(M1484),Room!D:H,5,FALSE),5000)</f>
        <v>3200</v>
      </c>
      <c r="Q1484">
        <f t="shared" si="117"/>
        <v>6400</v>
      </c>
      <c r="R1484" s="11" t="str">
        <f t="shared" si="118"/>
        <v>Other</v>
      </c>
      <c r="S1484" s="11">
        <f t="shared" si="119"/>
        <v>2</v>
      </c>
    </row>
    <row r="1485" spans="1:19">
      <c r="A1485" t="s">
        <v>7737</v>
      </c>
      <c r="B1485" t="s">
        <v>7738</v>
      </c>
      <c r="C1485" t="s">
        <v>3525</v>
      </c>
      <c r="D1485" t="s">
        <v>7739</v>
      </c>
      <c r="E1485" t="s">
        <v>7740</v>
      </c>
      <c r="F1485" t="s">
        <v>7741</v>
      </c>
      <c r="G1485" s="4">
        <v>45361</v>
      </c>
      <c r="H1485" s="4">
        <v>45388</v>
      </c>
      <c r="I1485" s="4">
        <v>45398</v>
      </c>
      <c r="J1485">
        <f t="shared" si="115"/>
        <v>10</v>
      </c>
      <c r="K1485" t="str">
        <f t="array" ref="K1485">_xlfn.IFS(J1485=1,"Day Use",J1485&lt;=3,"Short Stay",J1485&lt;=7,"Extended Stay",J1485&gt;=8,"Long Stay")</f>
        <v>Long Stay</v>
      </c>
      <c r="L1485" t="s">
        <v>84</v>
      </c>
      <c r="M1485" s="10" t="str">
        <f t="shared" si="116"/>
        <v>Premium</v>
      </c>
      <c r="N1485" t="s">
        <v>148</v>
      </c>
      <c r="O1485" t="s">
        <v>35</v>
      </c>
      <c r="P1485">
        <f>IFERROR(VLOOKUP(TRIM(M1485),Room!D:H,5,FALSE),5000)</f>
        <v>9500</v>
      </c>
      <c r="Q1485">
        <f t="shared" si="117"/>
        <v>95000</v>
      </c>
      <c r="R1485" s="11" t="str">
        <f t="shared" si="118"/>
        <v>Conference</v>
      </c>
      <c r="S1485" s="11">
        <f t="shared" si="119"/>
        <v>4</v>
      </c>
    </row>
    <row r="1486" spans="1:19">
      <c r="A1486" t="s">
        <v>7742</v>
      </c>
      <c r="B1486" t="s">
        <v>7743</v>
      </c>
      <c r="C1486" t="s">
        <v>1594</v>
      </c>
      <c r="D1486" t="s">
        <v>7744</v>
      </c>
      <c r="E1486" t="s">
        <v>7745</v>
      </c>
      <c r="F1486" t="s">
        <v>7746</v>
      </c>
      <c r="G1486" s="4">
        <v>45306</v>
      </c>
      <c r="H1486" s="4">
        <v>45325</v>
      </c>
      <c r="I1486" s="4">
        <v>45334</v>
      </c>
      <c r="J1486">
        <f t="shared" si="115"/>
        <v>9</v>
      </c>
      <c r="K1486" t="str">
        <f t="array" ref="K1486">_xlfn.IFS(J1486=1,"Day Use",J1486&lt;=3,"Short Stay",J1486&lt;=7,"Extended Stay",J1486&gt;=8,"Long Stay")</f>
        <v>Long Stay</v>
      </c>
      <c r="L1486" t="s">
        <v>196</v>
      </c>
      <c r="M1486" s="10" t="str">
        <f t="shared" si="116"/>
        <v>Premium</v>
      </c>
      <c r="N1486" t="s">
        <v>57</v>
      </c>
      <c r="O1486" t="s">
        <v>58</v>
      </c>
      <c r="P1486">
        <f>IFERROR(VLOOKUP(TRIM(M1486),Room!D:H,5,FALSE),5000)</f>
        <v>9500</v>
      </c>
      <c r="Q1486">
        <f t="shared" si="117"/>
        <v>85500</v>
      </c>
      <c r="R1486" s="11" t="str">
        <f t="shared" si="118"/>
        <v>Conference</v>
      </c>
      <c r="S1486" s="11">
        <f t="shared" si="119"/>
        <v>4</v>
      </c>
    </row>
    <row r="1487" spans="1:19">
      <c r="A1487" t="s">
        <v>7747</v>
      </c>
      <c r="B1487" t="s">
        <v>7748</v>
      </c>
      <c r="C1487" t="s">
        <v>939</v>
      </c>
      <c r="D1487" t="s">
        <v>7749</v>
      </c>
      <c r="E1487" t="s">
        <v>7750</v>
      </c>
      <c r="F1487" t="s">
        <v>7751</v>
      </c>
      <c r="G1487" s="4">
        <v>45486</v>
      </c>
      <c r="H1487" s="4">
        <v>45677</v>
      </c>
      <c r="I1487" s="4">
        <v>45687</v>
      </c>
      <c r="J1487">
        <f t="shared" si="115"/>
        <v>10</v>
      </c>
      <c r="K1487" t="str">
        <f t="array" ref="K1487">_xlfn.IFS(J1487=1,"Day Use",J1487&lt;=3,"Short Stay",J1487&lt;=7,"Extended Stay",J1487&gt;=8,"Long Stay")</f>
        <v>Long Stay</v>
      </c>
      <c r="L1487" t="s">
        <v>49</v>
      </c>
      <c r="M1487" s="10" t="str">
        <f t="shared" si="116"/>
        <v>Premium</v>
      </c>
      <c r="N1487" t="s">
        <v>26</v>
      </c>
      <c r="O1487" t="s">
        <v>27</v>
      </c>
      <c r="P1487">
        <f>IFERROR(VLOOKUP(TRIM(M1487),Room!D:H,5,FALSE),5000)</f>
        <v>9500</v>
      </c>
      <c r="Q1487">
        <f t="shared" si="117"/>
        <v>95000</v>
      </c>
      <c r="R1487" s="11" t="str">
        <f t="shared" si="118"/>
        <v>Conference</v>
      </c>
      <c r="S1487" s="11">
        <f t="shared" si="119"/>
        <v>4</v>
      </c>
    </row>
    <row r="1488" spans="1:19">
      <c r="A1488" t="s">
        <v>7752</v>
      </c>
      <c r="B1488" t="s">
        <v>7753</v>
      </c>
      <c r="C1488" t="s">
        <v>1014</v>
      </c>
      <c r="D1488" t="s">
        <v>7754</v>
      </c>
      <c r="E1488" t="s">
        <v>7755</v>
      </c>
      <c r="F1488" t="s">
        <v>7756</v>
      </c>
      <c r="G1488" s="4">
        <v>45437</v>
      </c>
      <c r="H1488" s="4">
        <v>45974</v>
      </c>
      <c r="I1488" s="4">
        <v>45980</v>
      </c>
      <c r="J1488">
        <f t="shared" si="115"/>
        <v>6</v>
      </c>
      <c r="K1488" t="str">
        <f t="array" ref="K1488">_xlfn.IFS(J1488=1,"Day Use",J1488&lt;=3,"Short Stay",J1488&lt;=7,"Extended Stay",J1488&gt;=8,"Long Stay")</f>
        <v>Extended Stay</v>
      </c>
      <c r="L1488" t="s">
        <v>49</v>
      </c>
      <c r="M1488" s="10" t="str">
        <f t="shared" si="116"/>
        <v>Deluxe</v>
      </c>
      <c r="N1488" t="s">
        <v>26</v>
      </c>
      <c r="O1488" t="s">
        <v>35</v>
      </c>
      <c r="P1488">
        <f>IFERROR(VLOOKUP(TRIM(M1488),Room!D:H,5,FALSE),5000)</f>
        <v>5400</v>
      </c>
      <c r="Q1488">
        <f t="shared" si="117"/>
        <v>32400</v>
      </c>
      <c r="R1488" s="11" t="str">
        <f t="shared" si="118"/>
        <v>Conference</v>
      </c>
      <c r="S1488" s="11">
        <f t="shared" si="119"/>
        <v>3</v>
      </c>
    </row>
    <row r="1489" spans="1:19">
      <c r="A1489" t="s">
        <v>7757</v>
      </c>
      <c r="B1489" t="s">
        <v>7758</v>
      </c>
      <c r="C1489" t="s">
        <v>5231</v>
      </c>
      <c r="D1489" t="s">
        <v>7759</v>
      </c>
      <c r="E1489" t="s">
        <v>7760</v>
      </c>
      <c r="F1489" t="s">
        <v>7761</v>
      </c>
      <c r="G1489" s="4">
        <v>45326</v>
      </c>
      <c r="H1489" s="4">
        <v>45353</v>
      </c>
      <c r="I1489" s="4">
        <v>45355</v>
      </c>
      <c r="J1489">
        <f t="shared" si="115"/>
        <v>2</v>
      </c>
      <c r="K1489" t="str">
        <f t="array" ref="K1489">_xlfn.IFS(J1489=1,"Day Use",J1489&lt;=3,"Short Stay",J1489&lt;=7,"Extended Stay",J1489&gt;=8,"Long Stay")</f>
        <v>Short Stay</v>
      </c>
      <c r="L1489" t="s">
        <v>91</v>
      </c>
      <c r="M1489" s="10" t="str">
        <f t="shared" si="116"/>
        <v>Standard</v>
      </c>
      <c r="N1489" t="s">
        <v>26</v>
      </c>
      <c r="O1489" t="s">
        <v>27</v>
      </c>
      <c r="P1489">
        <f>IFERROR(VLOOKUP(TRIM(M1489),Room!D:H,5,FALSE),5000)</f>
        <v>3200</v>
      </c>
      <c r="Q1489">
        <f t="shared" si="117"/>
        <v>6400</v>
      </c>
      <c r="R1489" s="11" t="str">
        <f t="shared" si="118"/>
        <v>Other</v>
      </c>
      <c r="S1489" s="11">
        <f t="shared" si="119"/>
        <v>2</v>
      </c>
    </row>
    <row r="1490" spans="1:19">
      <c r="A1490" t="s">
        <v>7762</v>
      </c>
      <c r="B1490" t="s">
        <v>7763</v>
      </c>
      <c r="C1490" t="s">
        <v>708</v>
      </c>
      <c r="D1490" t="s">
        <v>7764</v>
      </c>
      <c r="E1490" t="s">
        <v>7765</v>
      </c>
      <c r="F1490" t="s">
        <v>7766</v>
      </c>
      <c r="G1490" s="4">
        <v>45293</v>
      </c>
      <c r="H1490" s="4">
        <v>45600</v>
      </c>
      <c r="I1490" s="4">
        <v>45603</v>
      </c>
      <c r="J1490">
        <f t="shared" si="115"/>
        <v>3</v>
      </c>
      <c r="K1490" t="str">
        <f t="array" ref="K1490">_xlfn.IFS(J1490=1,"Day Use",J1490&lt;=3,"Short Stay",J1490&lt;=7,"Extended Stay",J1490&gt;=8,"Long Stay")</f>
        <v>Short Stay</v>
      </c>
      <c r="L1490" t="s">
        <v>84</v>
      </c>
      <c r="M1490" s="10" t="str">
        <f t="shared" si="116"/>
        <v>Standard</v>
      </c>
      <c r="N1490" t="s">
        <v>26</v>
      </c>
      <c r="O1490" t="s">
        <v>42</v>
      </c>
      <c r="P1490">
        <f>IFERROR(VLOOKUP(TRIM(M1490),Room!D:H,5,FALSE),5000)</f>
        <v>3200</v>
      </c>
      <c r="Q1490">
        <f t="shared" si="117"/>
        <v>9600</v>
      </c>
      <c r="R1490" s="11" t="str">
        <f t="shared" si="118"/>
        <v>Other</v>
      </c>
      <c r="S1490" s="11">
        <f t="shared" si="119"/>
        <v>2</v>
      </c>
    </row>
    <row r="1491" spans="1:19">
      <c r="A1491" t="s">
        <v>7767</v>
      </c>
      <c r="B1491" t="s">
        <v>7768</v>
      </c>
      <c r="C1491" t="s">
        <v>163</v>
      </c>
      <c r="D1491" t="s">
        <v>7769</v>
      </c>
      <c r="E1491" t="s">
        <v>7770</v>
      </c>
      <c r="F1491" t="s">
        <v>7771</v>
      </c>
      <c r="G1491" s="4">
        <v>45382</v>
      </c>
      <c r="H1491" s="4">
        <v>45951</v>
      </c>
      <c r="I1491" s="4">
        <v>45965</v>
      </c>
      <c r="J1491">
        <f t="shared" si="115"/>
        <v>14</v>
      </c>
      <c r="K1491" t="str">
        <f t="array" ref="K1491">_xlfn.IFS(J1491=1,"Day Use",J1491&lt;=3,"Short Stay",J1491&lt;=7,"Extended Stay",J1491&gt;=8,"Long Stay")</f>
        <v>Long Stay</v>
      </c>
      <c r="L1491" t="s">
        <v>84</v>
      </c>
      <c r="M1491" s="10" t="str">
        <f t="shared" si="116"/>
        <v>Suite</v>
      </c>
      <c r="N1491" t="s">
        <v>26</v>
      </c>
      <c r="O1491" t="s">
        <v>27</v>
      </c>
      <c r="P1491">
        <f>IFERROR(VLOOKUP(TRIM(M1491),Room!D:H,5,FALSE),5000)</f>
        <v>12500</v>
      </c>
      <c r="Q1491">
        <f t="shared" si="117"/>
        <v>175000</v>
      </c>
      <c r="R1491" s="11" t="str">
        <f t="shared" si="118"/>
        <v>Business</v>
      </c>
      <c r="S1491" s="11">
        <f t="shared" si="119"/>
        <v>5</v>
      </c>
    </row>
    <row r="1492" spans="1:19">
      <c r="A1492" t="s">
        <v>7772</v>
      </c>
      <c r="B1492" t="s">
        <v>7773</v>
      </c>
      <c r="C1492" t="s">
        <v>1470</v>
      </c>
      <c r="D1492" t="s">
        <v>7774</v>
      </c>
      <c r="E1492" t="s">
        <v>7775</v>
      </c>
      <c r="F1492" t="s">
        <v>7776</v>
      </c>
      <c r="G1492" s="4">
        <v>45509</v>
      </c>
      <c r="H1492" s="4">
        <v>45511</v>
      </c>
      <c r="I1492" s="4">
        <v>45519</v>
      </c>
      <c r="J1492">
        <f t="shared" si="115"/>
        <v>8</v>
      </c>
      <c r="K1492" t="str">
        <f t="array" ref="K1492">_xlfn.IFS(J1492=1,"Day Use",J1492&lt;=3,"Short Stay",J1492&lt;=7,"Extended Stay",J1492&gt;=8,"Long Stay")</f>
        <v>Long Stay</v>
      </c>
      <c r="L1492" t="s">
        <v>91</v>
      </c>
      <c r="M1492" s="10" t="str">
        <f t="shared" si="116"/>
        <v>Premium</v>
      </c>
      <c r="N1492" t="s">
        <v>57</v>
      </c>
      <c r="O1492" t="s">
        <v>58</v>
      </c>
      <c r="P1492">
        <f>IFERROR(VLOOKUP(TRIM(M1492),Room!D:H,5,FALSE),5000)</f>
        <v>9500</v>
      </c>
      <c r="Q1492">
        <f t="shared" si="117"/>
        <v>76000</v>
      </c>
      <c r="R1492" s="11" t="str">
        <f t="shared" si="118"/>
        <v>Conference</v>
      </c>
      <c r="S1492" s="11">
        <f t="shared" si="119"/>
        <v>4</v>
      </c>
    </row>
    <row r="1493" spans="1:19">
      <c r="A1493" t="s">
        <v>7777</v>
      </c>
      <c r="B1493" t="s">
        <v>7778</v>
      </c>
      <c r="C1493" t="s">
        <v>2924</v>
      </c>
      <c r="D1493" t="s">
        <v>7779</v>
      </c>
      <c r="E1493" t="s">
        <v>7780</v>
      </c>
      <c r="F1493" t="s">
        <v>7781</v>
      </c>
      <c r="G1493" s="4">
        <v>45766</v>
      </c>
      <c r="H1493" s="4">
        <v>45914</v>
      </c>
      <c r="I1493" s="4">
        <v>45916</v>
      </c>
      <c r="J1493">
        <f t="shared" si="115"/>
        <v>2</v>
      </c>
      <c r="K1493" t="str">
        <f t="array" ref="K1493">_xlfn.IFS(J1493=1,"Day Use",J1493&lt;=3,"Short Stay",J1493&lt;=7,"Extended Stay",J1493&gt;=8,"Long Stay")</f>
        <v>Short Stay</v>
      </c>
      <c r="L1493" t="s">
        <v>56</v>
      </c>
      <c r="M1493" s="10" t="str">
        <f t="shared" si="116"/>
        <v>Standard</v>
      </c>
      <c r="N1493" t="s">
        <v>148</v>
      </c>
      <c r="O1493" t="s">
        <v>35</v>
      </c>
      <c r="P1493">
        <f>IFERROR(VLOOKUP(TRIM(M1493),Room!D:H,5,FALSE),5000)</f>
        <v>3200</v>
      </c>
      <c r="Q1493">
        <f t="shared" si="117"/>
        <v>6400</v>
      </c>
      <c r="R1493" s="11" t="str">
        <f t="shared" si="118"/>
        <v>Other</v>
      </c>
      <c r="S1493" s="11">
        <f t="shared" si="119"/>
        <v>2</v>
      </c>
    </row>
    <row r="1494" spans="1:19">
      <c r="A1494" t="s">
        <v>7782</v>
      </c>
      <c r="B1494" t="s">
        <v>7783</v>
      </c>
      <c r="C1494" t="s">
        <v>4892</v>
      </c>
      <c r="D1494" t="s">
        <v>7784</v>
      </c>
      <c r="E1494" t="s">
        <v>7785</v>
      </c>
      <c r="F1494" t="s">
        <v>7786</v>
      </c>
      <c r="G1494" s="4">
        <v>45417</v>
      </c>
      <c r="H1494" s="4">
        <v>45428</v>
      </c>
      <c r="I1494" s="4">
        <v>45439</v>
      </c>
      <c r="J1494">
        <f t="shared" si="115"/>
        <v>11</v>
      </c>
      <c r="K1494" t="str">
        <f t="array" ref="K1494">_xlfn.IFS(J1494=1,"Day Use",J1494&lt;=3,"Short Stay",J1494&lt;=7,"Extended Stay",J1494&gt;=8,"Long Stay")</f>
        <v>Long Stay</v>
      </c>
      <c r="L1494" t="s">
        <v>34</v>
      </c>
      <c r="M1494" s="10" t="str">
        <f t="shared" si="116"/>
        <v>Suite</v>
      </c>
      <c r="N1494" t="s">
        <v>26</v>
      </c>
      <c r="O1494" t="s">
        <v>35</v>
      </c>
      <c r="P1494">
        <f>IFERROR(VLOOKUP(TRIM(M1494),Room!D:H,5,FALSE),5000)</f>
        <v>12500</v>
      </c>
      <c r="Q1494">
        <f t="shared" si="117"/>
        <v>137500</v>
      </c>
      <c r="R1494" s="11" t="str">
        <f t="shared" si="118"/>
        <v>Business</v>
      </c>
      <c r="S1494" s="11">
        <f t="shared" si="119"/>
        <v>5</v>
      </c>
    </row>
    <row r="1495" spans="1:19">
      <c r="A1495" t="s">
        <v>7787</v>
      </c>
      <c r="B1495" t="s">
        <v>7788</v>
      </c>
      <c r="C1495" t="s">
        <v>247</v>
      </c>
      <c r="D1495" t="s">
        <v>7789</v>
      </c>
      <c r="E1495" t="s">
        <v>7790</v>
      </c>
      <c r="F1495" t="s">
        <v>7791</v>
      </c>
      <c r="G1495" s="4">
        <v>45442</v>
      </c>
      <c r="H1495" s="4">
        <v>45444</v>
      </c>
      <c r="I1495" s="4">
        <v>45456</v>
      </c>
      <c r="J1495">
        <f t="shared" si="115"/>
        <v>12</v>
      </c>
      <c r="K1495" t="str">
        <f t="array" ref="K1495">_xlfn.IFS(J1495=1,"Day Use",J1495&lt;=3,"Short Stay",J1495&lt;=7,"Extended Stay",J1495&gt;=8,"Long Stay")</f>
        <v>Long Stay</v>
      </c>
      <c r="L1495" t="s">
        <v>49</v>
      </c>
      <c r="M1495" s="10" t="str">
        <f t="shared" si="116"/>
        <v>Suite</v>
      </c>
      <c r="N1495" t="s">
        <v>26</v>
      </c>
      <c r="O1495" t="s">
        <v>42</v>
      </c>
      <c r="P1495">
        <f>IFERROR(VLOOKUP(TRIM(M1495),Room!D:H,5,FALSE),5000)</f>
        <v>12500</v>
      </c>
      <c r="Q1495">
        <f t="shared" si="117"/>
        <v>150000</v>
      </c>
      <c r="R1495" s="11" t="str">
        <f t="shared" si="118"/>
        <v>Business</v>
      </c>
      <c r="S1495" s="11">
        <f t="shared" si="119"/>
        <v>5</v>
      </c>
    </row>
    <row r="1496" spans="1:19">
      <c r="A1496" t="s">
        <v>7792</v>
      </c>
      <c r="B1496" t="s">
        <v>7793</v>
      </c>
      <c r="C1496" t="s">
        <v>1682</v>
      </c>
      <c r="D1496" t="s">
        <v>7794</v>
      </c>
      <c r="E1496" t="s">
        <v>7795</v>
      </c>
      <c r="F1496" t="s">
        <v>7796</v>
      </c>
      <c r="G1496" s="4">
        <v>45873</v>
      </c>
      <c r="H1496" s="4">
        <v>45894</v>
      </c>
      <c r="I1496" s="4">
        <v>45908</v>
      </c>
      <c r="J1496">
        <f t="shared" si="115"/>
        <v>14</v>
      </c>
      <c r="K1496" t="str">
        <f t="array" ref="K1496">_xlfn.IFS(J1496=1,"Day Use",J1496&lt;=3,"Short Stay",J1496&lt;=7,"Extended Stay",J1496&gt;=8,"Long Stay")</f>
        <v>Long Stay</v>
      </c>
      <c r="L1496" t="s">
        <v>141</v>
      </c>
      <c r="M1496" s="10" t="str">
        <f t="shared" si="116"/>
        <v>Suite</v>
      </c>
      <c r="N1496" t="s">
        <v>26</v>
      </c>
      <c r="O1496" t="s">
        <v>71</v>
      </c>
      <c r="P1496">
        <f>IFERROR(VLOOKUP(TRIM(M1496),Room!D:H,5,FALSE),5000)</f>
        <v>12500</v>
      </c>
      <c r="Q1496">
        <f t="shared" si="117"/>
        <v>175000</v>
      </c>
      <c r="R1496" s="11" t="str">
        <f t="shared" si="118"/>
        <v>Business</v>
      </c>
      <c r="S1496" s="11">
        <f t="shared" si="119"/>
        <v>5</v>
      </c>
    </row>
    <row r="1497" spans="1:19">
      <c r="A1497" t="s">
        <v>7797</v>
      </c>
      <c r="B1497" t="s">
        <v>7798</v>
      </c>
      <c r="C1497" t="s">
        <v>421</v>
      </c>
      <c r="D1497" t="s">
        <v>7799</v>
      </c>
      <c r="E1497" t="s">
        <v>7800</v>
      </c>
      <c r="F1497" t="s">
        <v>7801</v>
      </c>
      <c r="G1497" s="4">
        <v>45502</v>
      </c>
      <c r="H1497" s="4">
        <v>45508</v>
      </c>
      <c r="I1497" s="4">
        <v>45509</v>
      </c>
      <c r="J1497">
        <f t="shared" si="115"/>
        <v>1</v>
      </c>
      <c r="K1497" t="str">
        <f t="array" ref="K1497">_xlfn.IFS(J1497=1,"Day Use",J1497&lt;=3,"Short Stay",J1497&lt;=7,"Extended Stay",J1497&gt;=8,"Long Stay")</f>
        <v>Day Use</v>
      </c>
      <c r="L1497" t="s">
        <v>91</v>
      </c>
      <c r="M1497" s="10" t="str">
        <f t="shared" si="116"/>
        <v>Standard</v>
      </c>
      <c r="N1497" t="s">
        <v>26</v>
      </c>
      <c r="O1497" t="s">
        <v>58</v>
      </c>
      <c r="P1497">
        <f>IFERROR(VLOOKUP(TRIM(M1497),Room!D:H,5,FALSE),5000)</f>
        <v>3200</v>
      </c>
      <c r="Q1497">
        <f t="shared" si="117"/>
        <v>3200</v>
      </c>
      <c r="R1497" s="11" t="str">
        <f t="shared" si="118"/>
        <v>Other</v>
      </c>
      <c r="S1497" s="11">
        <f t="shared" si="119"/>
        <v>1</v>
      </c>
    </row>
    <row r="1498" spans="1:19">
      <c r="A1498" t="s">
        <v>7802</v>
      </c>
      <c r="B1498" t="s">
        <v>7803</v>
      </c>
      <c r="C1498" t="s">
        <v>2101</v>
      </c>
      <c r="D1498" t="s">
        <v>7804</v>
      </c>
      <c r="E1498" t="s">
        <v>7805</v>
      </c>
      <c r="F1498" t="s">
        <v>7806</v>
      </c>
      <c r="G1498" s="4">
        <v>45484</v>
      </c>
      <c r="H1498" s="4">
        <v>45605</v>
      </c>
      <c r="I1498" s="4">
        <v>45610</v>
      </c>
      <c r="J1498">
        <f t="shared" si="115"/>
        <v>5</v>
      </c>
      <c r="K1498" t="str">
        <f t="array" ref="K1498">_xlfn.IFS(J1498=1,"Day Use",J1498&lt;=3,"Short Stay",J1498&lt;=7,"Extended Stay",J1498&gt;=8,"Long Stay")</f>
        <v>Extended Stay</v>
      </c>
      <c r="L1498" t="s">
        <v>84</v>
      </c>
      <c r="M1498" s="10" t="str">
        <f t="shared" si="116"/>
        <v>Deluxe</v>
      </c>
      <c r="N1498" t="s">
        <v>372</v>
      </c>
      <c r="O1498" t="s">
        <v>27</v>
      </c>
      <c r="P1498">
        <f>IFERROR(VLOOKUP(TRIM(M1498),Room!D:H,5,FALSE),5000)</f>
        <v>5400</v>
      </c>
      <c r="Q1498">
        <f t="shared" si="117"/>
        <v>27000</v>
      </c>
      <c r="R1498" s="11" t="str">
        <f t="shared" si="118"/>
        <v>Conference</v>
      </c>
      <c r="S1498" s="11">
        <f t="shared" si="119"/>
        <v>3</v>
      </c>
    </row>
    <row r="1499" spans="1:19">
      <c r="A1499" t="s">
        <v>7807</v>
      </c>
      <c r="B1499" t="s">
        <v>7808</v>
      </c>
      <c r="C1499" t="s">
        <v>1763</v>
      </c>
      <c r="D1499" t="s">
        <v>7809</v>
      </c>
      <c r="E1499" t="s">
        <v>7810</v>
      </c>
      <c r="F1499" t="s">
        <v>7811</v>
      </c>
      <c r="G1499" s="4">
        <v>45340</v>
      </c>
      <c r="H1499" s="4">
        <v>45367</v>
      </c>
      <c r="I1499" s="4">
        <v>45378</v>
      </c>
      <c r="J1499">
        <f t="shared" si="115"/>
        <v>11</v>
      </c>
      <c r="K1499" t="str">
        <f t="array" ref="K1499">_xlfn.IFS(J1499=1,"Day Use",J1499&lt;=3,"Short Stay",J1499&lt;=7,"Extended Stay",J1499&gt;=8,"Long Stay")</f>
        <v>Long Stay</v>
      </c>
      <c r="L1499" t="s">
        <v>141</v>
      </c>
      <c r="M1499" s="10" t="str">
        <f t="shared" si="116"/>
        <v>Suite</v>
      </c>
      <c r="N1499" t="s">
        <v>57</v>
      </c>
      <c r="O1499" t="s">
        <v>71</v>
      </c>
      <c r="P1499">
        <f>IFERROR(VLOOKUP(TRIM(M1499),Room!D:H,5,FALSE),5000)</f>
        <v>12500</v>
      </c>
      <c r="Q1499">
        <f t="shared" si="117"/>
        <v>137500</v>
      </c>
      <c r="R1499" s="11" t="str">
        <f t="shared" si="118"/>
        <v>Business</v>
      </c>
      <c r="S1499" s="11">
        <f t="shared" si="119"/>
        <v>5</v>
      </c>
    </row>
    <row r="1500" spans="1:19">
      <c r="A1500" t="s">
        <v>7812</v>
      </c>
      <c r="B1500" t="s">
        <v>7813</v>
      </c>
      <c r="C1500" t="s">
        <v>1324</v>
      </c>
      <c r="D1500" t="s">
        <v>7814</v>
      </c>
      <c r="E1500" t="s">
        <v>7815</v>
      </c>
      <c r="F1500" t="s">
        <v>7816</v>
      </c>
      <c r="G1500" s="4">
        <v>45351</v>
      </c>
      <c r="H1500" s="4">
        <v>45534</v>
      </c>
      <c r="I1500" s="4">
        <v>45540</v>
      </c>
      <c r="J1500">
        <f t="shared" si="115"/>
        <v>6</v>
      </c>
      <c r="K1500" t="str">
        <f t="array" ref="K1500">_xlfn.IFS(J1500=1,"Day Use",J1500&lt;=3,"Short Stay",J1500&lt;=7,"Extended Stay",J1500&gt;=8,"Long Stay")</f>
        <v>Extended Stay</v>
      </c>
      <c r="L1500" t="s">
        <v>141</v>
      </c>
      <c r="M1500" s="10" t="str">
        <f t="shared" si="116"/>
        <v>Deluxe</v>
      </c>
      <c r="N1500" t="s">
        <v>26</v>
      </c>
      <c r="O1500" t="s">
        <v>58</v>
      </c>
      <c r="P1500">
        <f>IFERROR(VLOOKUP(TRIM(M1500),Room!D:H,5,FALSE),5000)</f>
        <v>5400</v>
      </c>
      <c r="Q1500">
        <f t="shared" si="117"/>
        <v>32400</v>
      </c>
      <c r="R1500" s="11" t="str">
        <f t="shared" si="118"/>
        <v>Conference</v>
      </c>
      <c r="S1500" s="11">
        <f t="shared" si="119"/>
        <v>3</v>
      </c>
    </row>
    <row r="1501" spans="1:19">
      <c r="A1501" t="s">
        <v>7817</v>
      </c>
      <c r="B1501" t="s">
        <v>7818</v>
      </c>
      <c r="C1501" t="s">
        <v>7311</v>
      </c>
      <c r="D1501" t="s">
        <v>7819</v>
      </c>
      <c r="E1501" t="s">
        <v>7820</v>
      </c>
      <c r="F1501" t="s">
        <v>7821</v>
      </c>
      <c r="G1501" s="4">
        <v>45257</v>
      </c>
      <c r="H1501" s="4">
        <v>45380</v>
      </c>
      <c r="I1501" s="4">
        <v>45393</v>
      </c>
      <c r="J1501">
        <f t="shared" si="115"/>
        <v>13</v>
      </c>
      <c r="K1501" t="str">
        <f t="array" ref="K1501">_xlfn.IFS(J1501=1,"Day Use",J1501&lt;=3,"Short Stay",J1501&lt;=7,"Extended Stay",J1501&gt;=8,"Long Stay")</f>
        <v>Long Stay</v>
      </c>
      <c r="L1501" t="s">
        <v>196</v>
      </c>
      <c r="M1501" s="10" t="str">
        <f t="shared" si="116"/>
        <v>Suite</v>
      </c>
      <c r="N1501" t="s">
        <v>26</v>
      </c>
      <c r="O1501" t="s">
        <v>42</v>
      </c>
      <c r="P1501">
        <f>IFERROR(VLOOKUP(TRIM(M1501),Room!D:H,5,FALSE),5000)</f>
        <v>12500</v>
      </c>
      <c r="Q1501">
        <f t="shared" si="117"/>
        <v>162500</v>
      </c>
      <c r="R1501" s="11" t="str">
        <f t="shared" si="118"/>
        <v>Business</v>
      </c>
      <c r="S1501" s="11">
        <f t="shared" si="119"/>
        <v>5</v>
      </c>
    </row>
    <row r="1502" spans="1:19">
      <c r="A1502" t="s">
        <v>7822</v>
      </c>
      <c r="B1502" t="s">
        <v>7823</v>
      </c>
      <c r="C1502" t="s">
        <v>841</v>
      </c>
      <c r="D1502" t="s">
        <v>7824</v>
      </c>
      <c r="E1502" t="s">
        <v>7825</v>
      </c>
      <c r="F1502" t="s">
        <v>7826</v>
      </c>
      <c r="G1502" s="4">
        <v>45480</v>
      </c>
      <c r="H1502" s="4">
        <v>45675</v>
      </c>
      <c r="I1502" s="4">
        <v>45689</v>
      </c>
      <c r="J1502">
        <f t="shared" si="115"/>
        <v>14</v>
      </c>
      <c r="K1502" t="str">
        <f t="array" ref="K1502">_xlfn.IFS(J1502=1,"Day Use",J1502&lt;=3,"Short Stay",J1502&lt;=7,"Extended Stay",J1502&gt;=8,"Long Stay")</f>
        <v>Long Stay</v>
      </c>
      <c r="L1502" t="s">
        <v>141</v>
      </c>
      <c r="M1502" s="10" t="str">
        <f t="shared" si="116"/>
        <v>Suite</v>
      </c>
      <c r="N1502" t="s">
        <v>148</v>
      </c>
      <c r="O1502" t="s">
        <v>58</v>
      </c>
      <c r="P1502">
        <f>IFERROR(VLOOKUP(TRIM(M1502),Room!D:H,5,FALSE),5000)</f>
        <v>12500</v>
      </c>
      <c r="Q1502">
        <f t="shared" si="117"/>
        <v>175000</v>
      </c>
      <c r="R1502" s="11" t="str">
        <f t="shared" si="118"/>
        <v>Business</v>
      </c>
      <c r="S1502" s="11">
        <f t="shared" si="119"/>
        <v>5</v>
      </c>
    </row>
    <row r="1503" spans="1:19">
      <c r="A1503" t="s">
        <v>7827</v>
      </c>
      <c r="B1503" t="s">
        <v>7828</v>
      </c>
      <c r="C1503" t="s">
        <v>449</v>
      </c>
      <c r="D1503" t="s">
        <v>7829</v>
      </c>
      <c r="E1503" t="s">
        <v>7830</v>
      </c>
      <c r="F1503" t="s">
        <v>7831</v>
      </c>
      <c r="G1503" s="4">
        <v>45866</v>
      </c>
      <c r="H1503" s="4">
        <v>45868</v>
      </c>
      <c r="I1503" s="4">
        <v>45875</v>
      </c>
      <c r="J1503">
        <f t="shared" si="115"/>
        <v>7</v>
      </c>
      <c r="K1503" t="str">
        <f t="array" ref="K1503">_xlfn.IFS(J1503=1,"Day Use",J1503&lt;=3,"Short Stay",J1503&lt;=7,"Extended Stay",J1503&gt;=8,"Long Stay")</f>
        <v>Extended Stay</v>
      </c>
      <c r="L1503" t="s">
        <v>84</v>
      </c>
      <c r="M1503" s="10" t="str">
        <f t="shared" si="116"/>
        <v>Premium</v>
      </c>
      <c r="N1503" t="s">
        <v>26</v>
      </c>
      <c r="O1503" t="s">
        <v>35</v>
      </c>
      <c r="P1503">
        <f>IFERROR(VLOOKUP(TRIM(M1503),Room!D:H,5,FALSE),5000)</f>
        <v>9500</v>
      </c>
      <c r="Q1503">
        <f t="shared" si="117"/>
        <v>66500</v>
      </c>
      <c r="R1503" s="11" t="str">
        <f t="shared" si="118"/>
        <v>Conference</v>
      </c>
      <c r="S1503" s="11">
        <f t="shared" si="119"/>
        <v>4</v>
      </c>
    </row>
    <row r="1504" spans="1:19">
      <c r="A1504" t="s">
        <v>7832</v>
      </c>
      <c r="B1504" t="s">
        <v>7833</v>
      </c>
      <c r="C1504" t="s">
        <v>729</v>
      </c>
      <c r="D1504" t="s">
        <v>7834</v>
      </c>
      <c r="E1504" t="s">
        <v>7835</v>
      </c>
      <c r="F1504" t="s">
        <v>7836</v>
      </c>
      <c r="G1504" s="4">
        <v>45511</v>
      </c>
      <c r="H1504" s="4">
        <v>45787</v>
      </c>
      <c r="I1504" s="4">
        <v>45801</v>
      </c>
      <c r="J1504">
        <f t="shared" si="115"/>
        <v>14</v>
      </c>
      <c r="K1504" t="str">
        <f t="array" ref="K1504">_xlfn.IFS(J1504=1,"Day Use",J1504&lt;=3,"Short Stay",J1504&lt;=7,"Extended Stay",J1504&gt;=8,"Long Stay")</f>
        <v>Long Stay</v>
      </c>
      <c r="L1504" t="s">
        <v>25</v>
      </c>
      <c r="M1504" s="10" t="str">
        <f t="shared" si="116"/>
        <v>Suite</v>
      </c>
      <c r="N1504" t="s">
        <v>372</v>
      </c>
      <c r="O1504" t="s">
        <v>27</v>
      </c>
      <c r="P1504">
        <f>IFERROR(VLOOKUP(TRIM(M1504),Room!D:H,5,FALSE),5000)</f>
        <v>12500</v>
      </c>
      <c r="Q1504">
        <f t="shared" si="117"/>
        <v>175000</v>
      </c>
      <c r="R1504" s="11" t="str">
        <f t="shared" si="118"/>
        <v>Business</v>
      </c>
      <c r="S1504" s="11">
        <f t="shared" si="119"/>
        <v>5</v>
      </c>
    </row>
    <row r="1505" spans="1:19">
      <c r="A1505" t="s">
        <v>7837</v>
      </c>
      <c r="B1505" t="s">
        <v>7838</v>
      </c>
      <c r="C1505" t="s">
        <v>7839</v>
      </c>
      <c r="D1505" t="s">
        <v>7840</v>
      </c>
      <c r="E1505" t="s">
        <v>7841</v>
      </c>
      <c r="F1505" t="s">
        <v>7842</v>
      </c>
      <c r="G1505" s="4">
        <v>45282</v>
      </c>
      <c r="H1505" s="4">
        <v>45307</v>
      </c>
      <c r="I1505" s="4">
        <v>45313</v>
      </c>
      <c r="J1505">
        <f t="shared" si="115"/>
        <v>6</v>
      </c>
      <c r="K1505" t="str">
        <f t="array" ref="K1505">_xlfn.IFS(J1505=1,"Day Use",J1505&lt;=3,"Short Stay",J1505&lt;=7,"Extended Stay",J1505&gt;=8,"Long Stay")</f>
        <v>Extended Stay</v>
      </c>
      <c r="L1505" t="s">
        <v>49</v>
      </c>
      <c r="M1505" s="10" t="str">
        <f t="shared" si="116"/>
        <v>Deluxe</v>
      </c>
      <c r="N1505" t="s">
        <v>26</v>
      </c>
      <c r="O1505" t="s">
        <v>58</v>
      </c>
      <c r="P1505">
        <f>IFERROR(VLOOKUP(TRIM(M1505),Room!D:H,5,FALSE),5000)</f>
        <v>5400</v>
      </c>
      <c r="Q1505">
        <f t="shared" si="117"/>
        <v>32400</v>
      </c>
      <c r="R1505" s="11" t="str">
        <f t="shared" si="118"/>
        <v>Conference</v>
      </c>
      <c r="S1505" s="11">
        <f t="shared" si="119"/>
        <v>3</v>
      </c>
    </row>
    <row r="1506" spans="1:19">
      <c r="A1506" t="s">
        <v>7843</v>
      </c>
      <c r="B1506" t="s">
        <v>7844</v>
      </c>
      <c r="C1506" t="s">
        <v>627</v>
      </c>
      <c r="D1506" t="s">
        <v>7845</v>
      </c>
      <c r="E1506" t="s">
        <v>7846</v>
      </c>
      <c r="F1506" t="s">
        <v>7847</v>
      </c>
      <c r="G1506" s="4">
        <v>45607</v>
      </c>
      <c r="H1506" s="4">
        <v>46001</v>
      </c>
      <c r="I1506" s="4">
        <v>46003</v>
      </c>
      <c r="J1506">
        <f t="shared" si="115"/>
        <v>2</v>
      </c>
      <c r="K1506" t="str">
        <f t="array" ref="K1506">_xlfn.IFS(J1506=1,"Day Use",J1506&lt;=3,"Short Stay",J1506&lt;=7,"Extended Stay",J1506&gt;=8,"Long Stay")</f>
        <v>Short Stay</v>
      </c>
      <c r="L1506" t="s">
        <v>56</v>
      </c>
      <c r="M1506" s="10" t="str">
        <f t="shared" si="116"/>
        <v>Standard</v>
      </c>
      <c r="N1506" t="s">
        <v>26</v>
      </c>
      <c r="O1506" t="s">
        <v>71</v>
      </c>
      <c r="P1506">
        <f>IFERROR(VLOOKUP(TRIM(M1506),Room!D:H,5,FALSE),5000)</f>
        <v>3200</v>
      </c>
      <c r="Q1506">
        <f t="shared" si="117"/>
        <v>6400</v>
      </c>
      <c r="R1506" s="11" t="str">
        <f t="shared" si="118"/>
        <v>Other</v>
      </c>
      <c r="S1506" s="11">
        <f t="shared" si="119"/>
        <v>2</v>
      </c>
    </row>
    <row r="1507" spans="1:19">
      <c r="A1507" t="s">
        <v>7848</v>
      </c>
      <c r="B1507" t="s">
        <v>7849</v>
      </c>
      <c r="C1507" t="s">
        <v>2474</v>
      </c>
      <c r="D1507" t="s">
        <v>7850</v>
      </c>
      <c r="E1507" t="s">
        <v>7851</v>
      </c>
      <c r="F1507" t="s">
        <v>7852</v>
      </c>
      <c r="G1507" s="4">
        <v>45670</v>
      </c>
      <c r="H1507" s="4">
        <v>45823</v>
      </c>
      <c r="I1507" s="4">
        <v>45835</v>
      </c>
      <c r="J1507">
        <f t="shared" si="115"/>
        <v>12</v>
      </c>
      <c r="K1507" t="str">
        <f t="array" ref="K1507">_xlfn.IFS(J1507=1,"Day Use",J1507&lt;=3,"Short Stay",J1507&lt;=7,"Extended Stay",J1507&gt;=8,"Long Stay")</f>
        <v>Long Stay</v>
      </c>
      <c r="L1507" t="s">
        <v>141</v>
      </c>
      <c r="M1507" s="10" t="str">
        <f t="shared" si="116"/>
        <v>Suite</v>
      </c>
      <c r="N1507" t="s">
        <v>26</v>
      </c>
      <c r="O1507" t="s">
        <v>71</v>
      </c>
      <c r="P1507">
        <f>IFERROR(VLOOKUP(TRIM(M1507),Room!D:H,5,FALSE),5000)</f>
        <v>12500</v>
      </c>
      <c r="Q1507">
        <f t="shared" si="117"/>
        <v>150000</v>
      </c>
      <c r="R1507" s="11" t="str">
        <f t="shared" si="118"/>
        <v>Business</v>
      </c>
      <c r="S1507" s="11">
        <f t="shared" si="119"/>
        <v>5</v>
      </c>
    </row>
    <row r="1508" spans="1:19">
      <c r="A1508" t="s">
        <v>7853</v>
      </c>
      <c r="B1508" t="s">
        <v>7854</v>
      </c>
      <c r="C1508" t="s">
        <v>3216</v>
      </c>
      <c r="D1508" t="s">
        <v>7855</v>
      </c>
      <c r="E1508" t="s">
        <v>7856</v>
      </c>
      <c r="F1508" t="s">
        <v>7857</v>
      </c>
      <c r="G1508" s="4">
        <v>45640</v>
      </c>
      <c r="H1508" s="4">
        <v>45796</v>
      </c>
      <c r="I1508" s="4">
        <v>45809</v>
      </c>
      <c r="J1508">
        <f t="shared" si="115"/>
        <v>13</v>
      </c>
      <c r="K1508" t="str">
        <f t="array" ref="K1508">_xlfn.IFS(J1508=1,"Day Use",J1508&lt;=3,"Short Stay",J1508&lt;=7,"Extended Stay",J1508&gt;=8,"Long Stay")</f>
        <v>Long Stay</v>
      </c>
      <c r="L1508" t="s">
        <v>34</v>
      </c>
      <c r="M1508" s="10" t="str">
        <f t="shared" si="116"/>
        <v>Suite</v>
      </c>
      <c r="N1508" t="s">
        <v>148</v>
      </c>
      <c r="O1508" t="s">
        <v>35</v>
      </c>
      <c r="P1508">
        <f>IFERROR(VLOOKUP(TRIM(M1508),Room!D:H,5,FALSE),5000)</f>
        <v>12500</v>
      </c>
      <c r="Q1508">
        <f t="shared" si="117"/>
        <v>162500</v>
      </c>
      <c r="R1508" s="11" t="str">
        <f t="shared" si="118"/>
        <v>Business</v>
      </c>
      <c r="S1508" s="11">
        <f t="shared" si="119"/>
        <v>5</v>
      </c>
    </row>
    <row r="1509" spans="1:19">
      <c r="A1509" t="s">
        <v>7858</v>
      </c>
      <c r="B1509" t="s">
        <v>7859</v>
      </c>
      <c r="C1509" t="s">
        <v>1036</v>
      </c>
      <c r="D1509" t="s">
        <v>7860</v>
      </c>
      <c r="E1509" t="s">
        <v>7861</v>
      </c>
      <c r="F1509" t="s">
        <v>7862</v>
      </c>
      <c r="G1509" s="4">
        <v>45545</v>
      </c>
      <c r="H1509" s="4">
        <v>45587</v>
      </c>
      <c r="I1509" s="4">
        <v>45599</v>
      </c>
      <c r="J1509">
        <f t="shared" si="115"/>
        <v>12</v>
      </c>
      <c r="K1509" t="str">
        <f t="array" ref="K1509">_xlfn.IFS(J1509=1,"Day Use",J1509&lt;=3,"Short Stay",J1509&lt;=7,"Extended Stay",J1509&gt;=8,"Long Stay")</f>
        <v>Long Stay</v>
      </c>
      <c r="L1509" t="s">
        <v>141</v>
      </c>
      <c r="M1509" s="10" t="str">
        <f t="shared" si="116"/>
        <v>Suite</v>
      </c>
      <c r="N1509" t="s">
        <v>57</v>
      </c>
      <c r="O1509" t="s">
        <v>71</v>
      </c>
      <c r="P1509">
        <f>IFERROR(VLOOKUP(TRIM(M1509),Room!D:H,5,FALSE),5000)</f>
        <v>12500</v>
      </c>
      <c r="Q1509">
        <f t="shared" si="117"/>
        <v>150000</v>
      </c>
      <c r="R1509" s="11" t="str">
        <f t="shared" si="118"/>
        <v>Business</v>
      </c>
      <c r="S1509" s="11">
        <f t="shared" si="119"/>
        <v>5</v>
      </c>
    </row>
    <row r="1510" spans="1:19">
      <c r="A1510" t="s">
        <v>7863</v>
      </c>
      <c r="B1510" t="s">
        <v>7864</v>
      </c>
      <c r="C1510" t="s">
        <v>4740</v>
      </c>
      <c r="D1510" t="s">
        <v>7865</v>
      </c>
      <c r="E1510" t="s">
        <v>7866</v>
      </c>
      <c r="F1510" t="s">
        <v>7867</v>
      </c>
      <c r="G1510" s="4">
        <v>45488</v>
      </c>
      <c r="H1510" s="4">
        <v>45496</v>
      </c>
      <c r="I1510" s="4">
        <v>45505</v>
      </c>
      <c r="J1510">
        <f t="shared" si="115"/>
        <v>9</v>
      </c>
      <c r="K1510" t="str">
        <f t="array" ref="K1510">_xlfn.IFS(J1510=1,"Day Use",J1510&lt;=3,"Short Stay",J1510&lt;=7,"Extended Stay",J1510&gt;=8,"Long Stay")</f>
        <v>Long Stay</v>
      </c>
      <c r="L1510" t="s">
        <v>56</v>
      </c>
      <c r="M1510" s="10" t="str">
        <f t="shared" si="116"/>
        <v>Premium</v>
      </c>
      <c r="N1510" t="s">
        <v>148</v>
      </c>
      <c r="O1510" t="s">
        <v>27</v>
      </c>
      <c r="P1510">
        <f>IFERROR(VLOOKUP(TRIM(M1510),Room!D:H,5,FALSE),5000)</f>
        <v>9500</v>
      </c>
      <c r="Q1510">
        <f t="shared" si="117"/>
        <v>85500</v>
      </c>
      <c r="R1510" s="11" t="str">
        <f t="shared" si="118"/>
        <v>Conference</v>
      </c>
      <c r="S1510" s="11">
        <f t="shared" si="119"/>
        <v>4</v>
      </c>
    </row>
    <row r="1511" spans="1:19">
      <c r="A1511" t="s">
        <v>7868</v>
      </c>
      <c r="B1511" t="s">
        <v>7869</v>
      </c>
      <c r="C1511" t="s">
        <v>5369</v>
      </c>
      <c r="D1511" t="s">
        <v>7870</v>
      </c>
      <c r="E1511" t="s">
        <v>7871</v>
      </c>
      <c r="F1511" t="s">
        <v>7872</v>
      </c>
      <c r="G1511" s="4">
        <v>45363</v>
      </c>
      <c r="H1511" s="4">
        <v>45388</v>
      </c>
      <c r="I1511" s="4">
        <v>45392</v>
      </c>
      <c r="J1511">
        <f t="shared" si="115"/>
        <v>4</v>
      </c>
      <c r="K1511" t="str">
        <f t="array" ref="K1511">_xlfn.IFS(J1511=1,"Day Use",J1511&lt;=3,"Short Stay",J1511&lt;=7,"Extended Stay",J1511&gt;=8,"Long Stay")</f>
        <v>Extended Stay</v>
      </c>
      <c r="L1511" t="s">
        <v>49</v>
      </c>
      <c r="M1511" s="10" t="str">
        <f t="shared" si="116"/>
        <v>Deluxe</v>
      </c>
      <c r="N1511" t="s">
        <v>26</v>
      </c>
      <c r="O1511" t="s">
        <v>71</v>
      </c>
      <c r="P1511">
        <f>IFERROR(VLOOKUP(TRIM(M1511),Room!D:H,5,FALSE),5000)</f>
        <v>5400</v>
      </c>
      <c r="Q1511">
        <f t="shared" si="117"/>
        <v>21600</v>
      </c>
      <c r="R1511" s="11" t="str">
        <f t="shared" si="118"/>
        <v>Conference</v>
      </c>
      <c r="S1511" s="11">
        <f t="shared" si="119"/>
        <v>3</v>
      </c>
    </row>
    <row r="1512" spans="1:19">
      <c r="A1512" t="s">
        <v>7873</v>
      </c>
      <c r="B1512" t="s">
        <v>7874</v>
      </c>
      <c r="C1512" t="s">
        <v>4892</v>
      </c>
      <c r="D1512" t="s">
        <v>7875</v>
      </c>
      <c r="E1512" t="s">
        <v>7876</v>
      </c>
      <c r="F1512" t="s">
        <v>7877</v>
      </c>
      <c r="G1512" s="4">
        <v>45313</v>
      </c>
      <c r="H1512" s="4">
        <v>45314</v>
      </c>
      <c r="I1512" s="4">
        <v>45316</v>
      </c>
      <c r="J1512">
        <f t="shared" si="115"/>
        <v>2</v>
      </c>
      <c r="K1512" t="str">
        <f t="array" ref="K1512">_xlfn.IFS(J1512=1,"Day Use",J1512&lt;=3,"Short Stay",J1512&lt;=7,"Extended Stay",J1512&gt;=8,"Long Stay")</f>
        <v>Short Stay</v>
      </c>
      <c r="L1512" t="s">
        <v>84</v>
      </c>
      <c r="M1512" s="10" t="str">
        <f t="shared" si="116"/>
        <v>Standard</v>
      </c>
      <c r="N1512" t="s">
        <v>134</v>
      </c>
      <c r="O1512" t="s">
        <v>58</v>
      </c>
      <c r="P1512">
        <f>IFERROR(VLOOKUP(TRIM(M1512),Room!D:H,5,FALSE),5000)</f>
        <v>3200</v>
      </c>
      <c r="Q1512">
        <f t="shared" si="117"/>
        <v>6400</v>
      </c>
      <c r="R1512" s="11" t="str">
        <f t="shared" si="118"/>
        <v>Other</v>
      </c>
      <c r="S1512" s="11">
        <f t="shared" si="119"/>
        <v>2</v>
      </c>
    </row>
    <row r="1513" spans="1:19">
      <c r="A1513" t="s">
        <v>7878</v>
      </c>
      <c r="B1513" t="s">
        <v>7879</v>
      </c>
      <c r="C1513" t="s">
        <v>265</v>
      </c>
      <c r="D1513" t="s">
        <v>7880</v>
      </c>
      <c r="E1513" t="s">
        <v>7881</v>
      </c>
      <c r="F1513" t="s">
        <v>7882</v>
      </c>
      <c r="G1513" s="4">
        <v>45331</v>
      </c>
      <c r="H1513" s="4">
        <v>45337</v>
      </c>
      <c r="I1513" s="4">
        <v>45346</v>
      </c>
      <c r="J1513">
        <f t="shared" si="115"/>
        <v>9</v>
      </c>
      <c r="K1513" t="str">
        <f t="array" ref="K1513">_xlfn.IFS(J1513=1,"Day Use",J1513&lt;=3,"Short Stay",J1513&lt;=7,"Extended Stay",J1513&gt;=8,"Long Stay")</f>
        <v>Long Stay</v>
      </c>
      <c r="L1513" t="s">
        <v>141</v>
      </c>
      <c r="M1513" s="10" t="str">
        <f t="shared" si="116"/>
        <v>Premium</v>
      </c>
      <c r="N1513" t="s">
        <v>148</v>
      </c>
      <c r="O1513" t="s">
        <v>35</v>
      </c>
      <c r="P1513">
        <f>IFERROR(VLOOKUP(TRIM(M1513),Room!D:H,5,FALSE),5000)</f>
        <v>9500</v>
      </c>
      <c r="Q1513">
        <f t="shared" si="117"/>
        <v>85500</v>
      </c>
      <c r="R1513" s="11" t="str">
        <f t="shared" si="118"/>
        <v>Conference</v>
      </c>
      <c r="S1513" s="11">
        <f t="shared" si="119"/>
        <v>4</v>
      </c>
    </row>
    <row r="1514" spans="1:19">
      <c r="A1514" t="s">
        <v>7883</v>
      </c>
      <c r="B1514" t="s">
        <v>7884</v>
      </c>
      <c r="C1514" t="s">
        <v>52</v>
      </c>
      <c r="D1514" t="s">
        <v>7885</v>
      </c>
      <c r="E1514" t="s">
        <v>7886</v>
      </c>
      <c r="F1514" t="s">
        <v>7887</v>
      </c>
      <c r="G1514" s="4">
        <v>45848</v>
      </c>
      <c r="H1514" s="4">
        <v>45873</v>
      </c>
      <c r="I1514" s="4">
        <v>45885</v>
      </c>
      <c r="J1514">
        <f t="shared" si="115"/>
        <v>12</v>
      </c>
      <c r="K1514" t="str">
        <f t="array" ref="K1514">_xlfn.IFS(J1514=1,"Day Use",J1514&lt;=3,"Short Stay",J1514&lt;=7,"Extended Stay",J1514&gt;=8,"Long Stay")</f>
        <v>Long Stay</v>
      </c>
      <c r="L1514" t="s">
        <v>34</v>
      </c>
      <c r="M1514" s="10" t="str">
        <f t="shared" si="116"/>
        <v>Suite</v>
      </c>
      <c r="N1514" t="s">
        <v>26</v>
      </c>
      <c r="O1514" t="s">
        <v>35</v>
      </c>
      <c r="P1514">
        <f>IFERROR(VLOOKUP(TRIM(M1514),Room!D:H,5,FALSE),5000)</f>
        <v>12500</v>
      </c>
      <c r="Q1514">
        <f t="shared" si="117"/>
        <v>150000</v>
      </c>
      <c r="R1514" s="11" t="str">
        <f t="shared" si="118"/>
        <v>Business</v>
      </c>
      <c r="S1514" s="11">
        <f t="shared" si="119"/>
        <v>5</v>
      </c>
    </row>
    <row r="1515" spans="1:19">
      <c r="A1515" t="s">
        <v>7888</v>
      </c>
      <c r="B1515" t="s">
        <v>7889</v>
      </c>
      <c r="C1515" t="s">
        <v>311</v>
      </c>
      <c r="D1515" t="s">
        <v>7890</v>
      </c>
      <c r="E1515" t="s">
        <v>7891</v>
      </c>
      <c r="F1515" t="s">
        <v>7892</v>
      </c>
      <c r="G1515" s="4">
        <v>45661</v>
      </c>
      <c r="H1515" s="4">
        <v>45669</v>
      </c>
      <c r="I1515" s="4">
        <v>45679</v>
      </c>
      <c r="J1515">
        <f t="shared" si="115"/>
        <v>10</v>
      </c>
      <c r="K1515" t="str">
        <f t="array" ref="K1515">_xlfn.IFS(J1515=1,"Day Use",J1515&lt;=3,"Short Stay",J1515&lt;=7,"Extended Stay",J1515&gt;=8,"Long Stay")</f>
        <v>Long Stay</v>
      </c>
      <c r="L1515" t="s">
        <v>56</v>
      </c>
      <c r="M1515" s="10" t="str">
        <f t="shared" si="116"/>
        <v>Premium</v>
      </c>
      <c r="N1515" t="s">
        <v>57</v>
      </c>
      <c r="O1515" t="s">
        <v>35</v>
      </c>
      <c r="P1515">
        <f>IFERROR(VLOOKUP(TRIM(M1515),Room!D:H,5,FALSE),5000)</f>
        <v>9500</v>
      </c>
      <c r="Q1515">
        <f t="shared" si="117"/>
        <v>95000</v>
      </c>
      <c r="R1515" s="11" t="str">
        <f t="shared" si="118"/>
        <v>Conference</v>
      </c>
      <c r="S1515" s="11">
        <f t="shared" si="119"/>
        <v>4</v>
      </c>
    </row>
    <row r="1516" spans="1:19">
      <c r="A1516" t="s">
        <v>7893</v>
      </c>
      <c r="B1516" t="s">
        <v>7894</v>
      </c>
      <c r="C1516" t="s">
        <v>2329</v>
      </c>
      <c r="D1516" t="s">
        <v>7895</v>
      </c>
      <c r="E1516" t="s">
        <v>7896</v>
      </c>
      <c r="F1516" t="s">
        <v>7897</v>
      </c>
      <c r="G1516" s="4">
        <v>45814</v>
      </c>
      <c r="H1516" s="4">
        <v>45820</v>
      </c>
      <c r="I1516" s="4">
        <v>45821</v>
      </c>
      <c r="J1516">
        <f t="shared" si="115"/>
        <v>1</v>
      </c>
      <c r="K1516" t="str">
        <f t="array" ref="K1516">_xlfn.IFS(J1516=1,"Day Use",J1516&lt;=3,"Short Stay",J1516&lt;=7,"Extended Stay",J1516&gt;=8,"Long Stay")</f>
        <v>Day Use</v>
      </c>
      <c r="L1516" t="s">
        <v>84</v>
      </c>
      <c r="M1516" s="10" t="str">
        <f t="shared" si="116"/>
        <v>Standard</v>
      </c>
      <c r="N1516" t="s">
        <v>372</v>
      </c>
      <c r="O1516" t="s">
        <v>71</v>
      </c>
      <c r="P1516">
        <f>IFERROR(VLOOKUP(TRIM(M1516),Room!D:H,5,FALSE),5000)</f>
        <v>3200</v>
      </c>
      <c r="Q1516">
        <f t="shared" si="117"/>
        <v>3200</v>
      </c>
      <c r="R1516" s="11" t="str">
        <f t="shared" si="118"/>
        <v>Other</v>
      </c>
      <c r="S1516" s="11">
        <f t="shared" si="119"/>
        <v>1</v>
      </c>
    </row>
    <row r="1517" spans="1:19">
      <c r="A1517" t="s">
        <v>7898</v>
      </c>
      <c r="B1517" t="s">
        <v>7899</v>
      </c>
      <c r="C1517" t="s">
        <v>536</v>
      </c>
      <c r="D1517" t="s">
        <v>7900</v>
      </c>
      <c r="E1517" t="s">
        <v>7901</v>
      </c>
      <c r="F1517" t="s">
        <v>7902</v>
      </c>
      <c r="G1517" s="4">
        <v>45349</v>
      </c>
      <c r="H1517" s="4">
        <v>45378</v>
      </c>
      <c r="I1517" s="4">
        <v>45388</v>
      </c>
      <c r="J1517">
        <f t="shared" si="115"/>
        <v>10</v>
      </c>
      <c r="K1517" t="str">
        <f t="array" ref="K1517">_xlfn.IFS(J1517=1,"Day Use",J1517&lt;=3,"Short Stay",J1517&lt;=7,"Extended Stay",J1517&gt;=8,"Long Stay")</f>
        <v>Long Stay</v>
      </c>
      <c r="L1517" t="s">
        <v>141</v>
      </c>
      <c r="M1517" s="10" t="str">
        <f t="shared" si="116"/>
        <v>Premium</v>
      </c>
      <c r="N1517" t="s">
        <v>57</v>
      </c>
      <c r="O1517" t="s">
        <v>58</v>
      </c>
      <c r="P1517">
        <f>IFERROR(VLOOKUP(TRIM(M1517),Room!D:H,5,FALSE),5000)</f>
        <v>9500</v>
      </c>
      <c r="Q1517">
        <f t="shared" si="117"/>
        <v>95000</v>
      </c>
      <c r="R1517" s="11" t="str">
        <f t="shared" si="118"/>
        <v>Conference</v>
      </c>
      <c r="S1517" s="11">
        <f t="shared" si="119"/>
        <v>4</v>
      </c>
    </row>
    <row r="1518" spans="1:19">
      <c r="A1518" t="s">
        <v>7903</v>
      </c>
      <c r="B1518" t="s">
        <v>7904</v>
      </c>
      <c r="C1518" t="s">
        <v>1545</v>
      </c>
      <c r="D1518" t="s">
        <v>7905</v>
      </c>
      <c r="E1518" t="s">
        <v>7906</v>
      </c>
      <c r="F1518" t="s">
        <v>7907</v>
      </c>
      <c r="G1518" s="4">
        <v>45750</v>
      </c>
      <c r="H1518" s="4">
        <v>45862</v>
      </c>
      <c r="I1518" s="4">
        <v>45874</v>
      </c>
      <c r="J1518">
        <f t="shared" si="115"/>
        <v>12</v>
      </c>
      <c r="K1518" t="str">
        <f t="array" ref="K1518">_xlfn.IFS(J1518=1,"Day Use",J1518&lt;=3,"Short Stay",J1518&lt;=7,"Extended Stay",J1518&gt;=8,"Long Stay")</f>
        <v>Long Stay</v>
      </c>
      <c r="L1518" t="s">
        <v>25</v>
      </c>
      <c r="M1518" s="10" t="str">
        <f t="shared" si="116"/>
        <v>Suite</v>
      </c>
      <c r="N1518" t="s">
        <v>26</v>
      </c>
      <c r="O1518" t="s">
        <v>42</v>
      </c>
      <c r="P1518">
        <f>IFERROR(VLOOKUP(TRIM(M1518),Room!D:H,5,FALSE),5000)</f>
        <v>12500</v>
      </c>
      <c r="Q1518">
        <f t="shared" si="117"/>
        <v>150000</v>
      </c>
      <c r="R1518" s="11" t="str">
        <f t="shared" si="118"/>
        <v>Business</v>
      </c>
      <c r="S1518" s="11">
        <f t="shared" si="119"/>
        <v>5</v>
      </c>
    </row>
    <row r="1519" spans="1:19">
      <c r="A1519" t="s">
        <v>7908</v>
      </c>
      <c r="B1519" t="s">
        <v>7909</v>
      </c>
      <c r="C1519" t="s">
        <v>1014</v>
      </c>
      <c r="D1519" t="s">
        <v>7910</v>
      </c>
      <c r="E1519" t="s">
        <v>7911</v>
      </c>
      <c r="F1519" t="s">
        <v>7912</v>
      </c>
      <c r="G1519" s="4">
        <v>45473</v>
      </c>
      <c r="H1519" s="4">
        <v>45582</v>
      </c>
      <c r="I1519" s="4">
        <v>45586</v>
      </c>
      <c r="J1519">
        <f t="shared" si="115"/>
        <v>4</v>
      </c>
      <c r="K1519" t="str">
        <f t="array" ref="K1519">_xlfn.IFS(J1519=1,"Day Use",J1519&lt;=3,"Short Stay",J1519&lt;=7,"Extended Stay",J1519&gt;=8,"Long Stay")</f>
        <v>Extended Stay</v>
      </c>
      <c r="L1519" t="s">
        <v>141</v>
      </c>
      <c r="M1519" s="10" t="str">
        <f t="shared" si="116"/>
        <v>Deluxe</v>
      </c>
      <c r="N1519" t="s">
        <v>57</v>
      </c>
      <c r="O1519" t="s">
        <v>71</v>
      </c>
      <c r="P1519">
        <f>IFERROR(VLOOKUP(TRIM(M1519),Room!D:H,5,FALSE),5000)</f>
        <v>5400</v>
      </c>
      <c r="Q1519">
        <f t="shared" si="117"/>
        <v>21600</v>
      </c>
      <c r="R1519" s="11" t="str">
        <f t="shared" si="118"/>
        <v>Conference</v>
      </c>
      <c r="S1519" s="11">
        <f t="shared" si="119"/>
        <v>3</v>
      </c>
    </row>
    <row r="1520" spans="1:19">
      <c r="A1520" t="s">
        <v>7913</v>
      </c>
      <c r="B1520" t="s">
        <v>7914</v>
      </c>
      <c r="C1520" t="s">
        <v>2451</v>
      </c>
      <c r="D1520" t="s">
        <v>7915</v>
      </c>
      <c r="E1520" t="s">
        <v>7916</v>
      </c>
      <c r="F1520" t="s">
        <v>7917</v>
      </c>
      <c r="G1520" s="4">
        <v>45614</v>
      </c>
      <c r="H1520" s="4">
        <v>45640</v>
      </c>
      <c r="I1520" s="4">
        <v>45653</v>
      </c>
      <c r="J1520">
        <f t="shared" si="115"/>
        <v>13</v>
      </c>
      <c r="K1520" t="str">
        <f t="array" ref="K1520">_xlfn.IFS(J1520=1,"Day Use",J1520&lt;=3,"Short Stay",J1520&lt;=7,"Extended Stay",J1520&gt;=8,"Long Stay")</f>
        <v>Long Stay</v>
      </c>
      <c r="L1520" t="s">
        <v>49</v>
      </c>
      <c r="M1520" s="10" t="str">
        <f t="shared" si="116"/>
        <v>Suite</v>
      </c>
      <c r="N1520" t="s">
        <v>26</v>
      </c>
      <c r="O1520" t="s">
        <v>71</v>
      </c>
      <c r="P1520">
        <f>IFERROR(VLOOKUP(TRIM(M1520),Room!D:H,5,FALSE),5000)</f>
        <v>12500</v>
      </c>
      <c r="Q1520">
        <f t="shared" si="117"/>
        <v>162500</v>
      </c>
      <c r="R1520" s="11" t="str">
        <f t="shared" si="118"/>
        <v>Business</v>
      </c>
      <c r="S1520" s="11">
        <f t="shared" si="119"/>
        <v>5</v>
      </c>
    </row>
    <row r="1521" spans="1:19">
      <c r="A1521" t="s">
        <v>7918</v>
      </c>
      <c r="B1521" t="s">
        <v>7919</v>
      </c>
      <c r="C1521" t="s">
        <v>1470</v>
      </c>
      <c r="D1521" t="s">
        <v>7920</v>
      </c>
      <c r="E1521" t="s">
        <v>7921</v>
      </c>
      <c r="F1521" t="s">
        <v>7922</v>
      </c>
      <c r="G1521" s="4">
        <v>45509</v>
      </c>
      <c r="H1521" s="4">
        <v>45846</v>
      </c>
      <c r="I1521" s="4">
        <v>45859</v>
      </c>
      <c r="J1521">
        <f t="shared" si="115"/>
        <v>13</v>
      </c>
      <c r="K1521" t="str">
        <f t="array" ref="K1521">_xlfn.IFS(J1521=1,"Day Use",J1521&lt;=3,"Short Stay",J1521&lt;=7,"Extended Stay",J1521&gt;=8,"Long Stay")</f>
        <v>Long Stay</v>
      </c>
      <c r="L1521" t="s">
        <v>196</v>
      </c>
      <c r="M1521" s="10" t="str">
        <f t="shared" si="116"/>
        <v>Suite</v>
      </c>
      <c r="N1521" t="s">
        <v>57</v>
      </c>
      <c r="O1521" t="s">
        <v>27</v>
      </c>
      <c r="P1521">
        <f>IFERROR(VLOOKUP(TRIM(M1521),Room!D:H,5,FALSE),5000)</f>
        <v>12500</v>
      </c>
      <c r="Q1521">
        <f t="shared" si="117"/>
        <v>162500</v>
      </c>
      <c r="R1521" s="11" t="str">
        <f t="shared" si="118"/>
        <v>Business</v>
      </c>
      <c r="S1521" s="11">
        <f t="shared" si="119"/>
        <v>5</v>
      </c>
    </row>
    <row r="1522" spans="1:19">
      <c r="A1522" t="s">
        <v>7923</v>
      </c>
      <c r="B1522" t="s">
        <v>7924</v>
      </c>
      <c r="C1522" t="s">
        <v>375</v>
      </c>
      <c r="D1522" t="s">
        <v>7925</v>
      </c>
      <c r="E1522" t="s">
        <v>7926</v>
      </c>
      <c r="F1522" t="s">
        <v>7927</v>
      </c>
      <c r="G1522" s="4">
        <v>45652</v>
      </c>
      <c r="H1522" s="4">
        <v>45669</v>
      </c>
      <c r="I1522" s="4">
        <v>45671</v>
      </c>
      <c r="J1522">
        <f t="shared" si="115"/>
        <v>2</v>
      </c>
      <c r="K1522" t="str">
        <f t="array" ref="K1522">_xlfn.IFS(J1522=1,"Day Use",J1522&lt;=3,"Short Stay",J1522&lt;=7,"Extended Stay",J1522&gt;=8,"Long Stay")</f>
        <v>Short Stay</v>
      </c>
      <c r="L1522" t="s">
        <v>91</v>
      </c>
      <c r="M1522" s="10" t="str">
        <f t="shared" si="116"/>
        <v>Standard</v>
      </c>
      <c r="N1522" t="s">
        <v>26</v>
      </c>
      <c r="O1522" t="s">
        <v>27</v>
      </c>
      <c r="P1522">
        <f>IFERROR(VLOOKUP(TRIM(M1522),Room!D:H,5,FALSE),5000)</f>
        <v>3200</v>
      </c>
      <c r="Q1522">
        <f t="shared" si="117"/>
        <v>6400</v>
      </c>
      <c r="R1522" s="11" t="str">
        <f t="shared" si="118"/>
        <v>Other</v>
      </c>
      <c r="S1522" s="11">
        <f t="shared" si="119"/>
        <v>2</v>
      </c>
    </row>
    <row r="1523" spans="1:19">
      <c r="A1523" t="s">
        <v>7928</v>
      </c>
      <c r="B1523" t="s">
        <v>7929</v>
      </c>
      <c r="C1523" t="s">
        <v>282</v>
      </c>
      <c r="D1523" t="s">
        <v>7930</v>
      </c>
      <c r="E1523" t="s">
        <v>7931</v>
      </c>
      <c r="F1523" t="s">
        <v>7932</v>
      </c>
      <c r="G1523" s="4">
        <v>45291</v>
      </c>
      <c r="H1523" s="4">
        <v>45300</v>
      </c>
      <c r="I1523" s="4">
        <v>45307</v>
      </c>
      <c r="J1523">
        <f t="shared" si="115"/>
        <v>7</v>
      </c>
      <c r="K1523" t="str">
        <f t="array" ref="K1523">_xlfn.IFS(J1523=1,"Day Use",J1523&lt;=3,"Short Stay",J1523&lt;=7,"Extended Stay",J1523&gt;=8,"Long Stay")</f>
        <v>Extended Stay</v>
      </c>
      <c r="L1523" t="s">
        <v>49</v>
      </c>
      <c r="M1523" s="10" t="str">
        <f t="shared" si="116"/>
        <v>Premium</v>
      </c>
      <c r="N1523" t="s">
        <v>26</v>
      </c>
      <c r="O1523" t="s">
        <v>42</v>
      </c>
      <c r="P1523">
        <f>IFERROR(VLOOKUP(TRIM(M1523),Room!D:H,5,FALSE),5000)</f>
        <v>9500</v>
      </c>
      <c r="Q1523">
        <f t="shared" si="117"/>
        <v>66500</v>
      </c>
      <c r="R1523" s="11" t="str">
        <f t="shared" si="118"/>
        <v>Conference</v>
      </c>
      <c r="S1523" s="11">
        <f t="shared" si="119"/>
        <v>4</v>
      </c>
    </row>
    <row r="1524" spans="1:19">
      <c r="A1524" t="s">
        <v>7933</v>
      </c>
      <c r="B1524" t="s">
        <v>7934</v>
      </c>
      <c r="C1524" t="s">
        <v>1074</v>
      </c>
      <c r="D1524" t="s">
        <v>7935</v>
      </c>
      <c r="E1524" t="s">
        <v>7936</v>
      </c>
      <c r="F1524" t="s">
        <v>7937</v>
      </c>
      <c r="G1524" s="4">
        <v>45286</v>
      </c>
      <c r="H1524" s="4">
        <v>45445</v>
      </c>
      <c r="I1524" s="4">
        <v>45450</v>
      </c>
      <c r="J1524">
        <f t="shared" si="115"/>
        <v>5</v>
      </c>
      <c r="K1524" t="str">
        <f t="array" ref="K1524">_xlfn.IFS(J1524=1,"Day Use",J1524&lt;=3,"Short Stay",J1524&lt;=7,"Extended Stay",J1524&gt;=8,"Long Stay")</f>
        <v>Extended Stay</v>
      </c>
      <c r="L1524" t="s">
        <v>34</v>
      </c>
      <c r="M1524" s="10" t="str">
        <f t="shared" si="116"/>
        <v>Deluxe</v>
      </c>
      <c r="N1524" t="s">
        <v>26</v>
      </c>
      <c r="O1524" t="s">
        <v>35</v>
      </c>
      <c r="P1524">
        <f>IFERROR(VLOOKUP(TRIM(M1524),Room!D:H,5,FALSE),5000)</f>
        <v>5400</v>
      </c>
      <c r="Q1524">
        <f t="shared" si="117"/>
        <v>27000</v>
      </c>
      <c r="R1524" s="11" t="str">
        <f t="shared" si="118"/>
        <v>Conference</v>
      </c>
      <c r="S1524" s="11">
        <f t="shared" si="119"/>
        <v>3</v>
      </c>
    </row>
    <row r="1525" spans="1:19">
      <c r="A1525" t="s">
        <v>7938</v>
      </c>
      <c r="B1525" t="s">
        <v>7939</v>
      </c>
      <c r="C1525" t="s">
        <v>1014</v>
      </c>
      <c r="D1525" t="s">
        <v>7940</v>
      </c>
      <c r="E1525" t="s">
        <v>7941</v>
      </c>
      <c r="F1525" t="s">
        <v>7942</v>
      </c>
      <c r="G1525" s="4">
        <v>45451</v>
      </c>
      <c r="H1525" s="4">
        <v>45474</v>
      </c>
      <c r="I1525" s="4">
        <v>45476</v>
      </c>
      <c r="J1525">
        <f t="shared" si="115"/>
        <v>2</v>
      </c>
      <c r="K1525" t="str">
        <f t="array" ref="K1525">_xlfn.IFS(J1525=1,"Day Use",J1525&lt;=3,"Short Stay",J1525&lt;=7,"Extended Stay",J1525&gt;=8,"Long Stay")</f>
        <v>Short Stay</v>
      </c>
      <c r="L1525" t="s">
        <v>56</v>
      </c>
      <c r="M1525" s="10" t="str">
        <f t="shared" si="116"/>
        <v>Standard</v>
      </c>
      <c r="N1525" t="s">
        <v>57</v>
      </c>
      <c r="O1525" t="s">
        <v>58</v>
      </c>
      <c r="P1525">
        <f>IFERROR(VLOOKUP(TRIM(M1525),Room!D:H,5,FALSE),5000)</f>
        <v>3200</v>
      </c>
      <c r="Q1525">
        <f t="shared" si="117"/>
        <v>6400</v>
      </c>
      <c r="R1525" s="11" t="str">
        <f t="shared" si="118"/>
        <v>Other</v>
      </c>
      <c r="S1525" s="11">
        <f t="shared" si="119"/>
        <v>2</v>
      </c>
    </row>
    <row r="1526" spans="1:19">
      <c r="A1526" t="s">
        <v>7943</v>
      </c>
      <c r="B1526" t="s">
        <v>7944</v>
      </c>
      <c r="C1526" t="s">
        <v>253</v>
      </c>
      <c r="D1526" t="s">
        <v>7945</v>
      </c>
      <c r="E1526" t="s">
        <v>7946</v>
      </c>
      <c r="F1526" t="s">
        <v>7947</v>
      </c>
      <c r="G1526" s="4">
        <v>45269</v>
      </c>
      <c r="H1526" s="4">
        <v>45327</v>
      </c>
      <c r="I1526" s="4">
        <v>45337</v>
      </c>
      <c r="J1526">
        <f t="shared" si="115"/>
        <v>10</v>
      </c>
      <c r="K1526" t="str">
        <f t="array" ref="K1526">_xlfn.IFS(J1526=1,"Day Use",J1526&lt;=3,"Short Stay",J1526&lt;=7,"Extended Stay",J1526&gt;=8,"Long Stay")</f>
        <v>Long Stay</v>
      </c>
      <c r="L1526" t="s">
        <v>25</v>
      </c>
      <c r="M1526" s="10" t="str">
        <f t="shared" si="116"/>
        <v>Premium</v>
      </c>
      <c r="N1526" t="s">
        <v>26</v>
      </c>
      <c r="O1526" t="s">
        <v>27</v>
      </c>
      <c r="P1526">
        <f>IFERROR(VLOOKUP(TRIM(M1526),Room!D:H,5,FALSE),5000)</f>
        <v>9500</v>
      </c>
      <c r="Q1526">
        <f t="shared" si="117"/>
        <v>95000</v>
      </c>
      <c r="R1526" s="11" t="str">
        <f t="shared" si="118"/>
        <v>Conference</v>
      </c>
      <c r="S1526" s="11">
        <f t="shared" si="119"/>
        <v>4</v>
      </c>
    </row>
    <row r="1527" spans="1:19">
      <c r="A1527" t="s">
        <v>7948</v>
      </c>
      <c r="B1527" t="s">
        <v>7949</v>
      </c>
      <c r="C1527" t="s">
        <v>6465</v>
      </c>
      <c r="D1527" t="s">
        <v>7950</v>
      </c>
      <c r="E1527" t="s">
        <v>7951</v>
      </c>
      <c r="F1527" t="s">
        <v>7952</v>
      </c>
      <c r="G1527" s="4">
        <v>45396</v>
      </c>
      <c r="H1527" s="4">
        <v>45418</v>
      </c>
      <c r="I1527" s="4">
        <v>45426</v>
      </c>
      <c r="J1527">
        <f t="shared" si="115"/>
        <v>8</v>
      </c>
      <c r="K1527" t="str">
        <f t="array" ref="K1527">_xlfn.IFS(J1527=1,"Day Use",J1527&lt;=3,"Short Stay",J1527&lt;=7,"Extended Stay",J1527&gt;=8,"Long Stay")</f>
        <v>Long Stay</v>
      </c>
      <c r="L1527" t="s">
        <v>25</v>
      </c>
      <c r="M1527" s="10" t="str">
        <f t="shared" si="116"/>
        <v>Premium</v>
      </c>
      <c r="N1527" t="s">
        <v>148</v>
      </c>
      <c r="O1527" t="s">
        <v>58</v>
      </c>
      <c r="P1527">
        <f>IFERROR(VLOOKUP(TRIM(M1527),Room!D:H,5,FALSE),5000)</f>
        <v>9500</v>
      </c>
      <c r="Q1527">
        <f t="shared" si="117"/>
        <v>76000</v>
      </c>
      <c r="R1527" s="11" t="str">
        <f t="shared" si="118"/>
        <v>Conference</v>
      </c>
      <c r="S1527" s="11">
        <f t="shared" si="119"/>
        <v>4</v>
      </c>
    </row>
    <row r="1528" spans="1:19">
      <c r="A1528" t="s">
        <v>7953</v>
      </c>
      <c r="B1528" t="s">
        <v>7954</v>
      </c>
      <c r="C1528" t="s">
        <v>524</v>
      </c>
      <c r="D1528" t="s">
        <v>7955</v>
      </c>
      <c r="E1528" t="s">
        <v>7956</v>
      </c>
      <c r="F1528" t="s">
        <v>7957</v>
      </c>
      <c r="G1528" s="4">
        <v>45217</v>
      </c>
      <c r="H1528" s="4">
        <v>45507</v>
      </c>
      <c r="I1528" s="4">
        <v>45515</v>
      </c>
      <c r="J1528">
        <f t="shared" si="115"/>
        <v>8</v>
      </c>
      <c r="K1528" t="str">
        <f t="array" ref="K1528">_xlfn.IFS(J1528=1,"Day Use",J1528&lt;=3,"Short Stay",J1528&lt;=7,"Extended Stay",J1528&gt;=8,"Long Stay")</f>
        <v>Long Stay</v>
      </c>
      <c r="L1528" t="s">
        <v>49</v>
      </c>
      <c r="M1528" s="10" t="str">
        <f t="shared" si="116"/>
        <v>Premium</v>
      </c>
      <c r="N1528" t="s">
        <v>148</v>
      </c>
      <c r="O1528" t="s">
        <v>71</v>
      </c>
      <c r="P1528">
        <f>IFERROR(VLOOKUP(TRIM(M1528),Room!D:H,5,FALSE),5000)</f>
        <v>9500</v>
      </c>
      <c r="Q1528">
        <f t="shared" si="117"/>
        <v>76000</v>
      </c>
      <c r="R1528" s="11" t="str">
        <f t="shared" si="118"/>
        <v>Conference</v>
      </c>
      <c r="S1528" s="11">
        <f t="shared" si="119"/>
        <v>4</v>
      </c>
    </row>
    <row r="1529" spans="1:19">
      <c r="A1529" t="s">
        <v>7958</v>
      </c>
      <c r="B1529" t="s">
        <v>7959</v>
      </c>
      <c r="C1529" t="s">
        <v>163</v>
      </c>
      <c r="D1529" t="s">
        <v>7960</v>
      </c>
      <c r="E1529" t="s">
        <v>7961</v>
      </c>
      <c r="F1529" t="s">
        <v>7962</v>
      </c>
      <c r="G1529" s="4">
        <v>45303</v>
      </c>
      <c r="H1529" s="4">
        <v>45317</v>
      </c>
      <c r="I1529" s="4">
        <v>45328</v>
      </c>
      <c r="J1529">
        <f t="shared" si="115"/>
        <v>11</v>
      </c>
      <c r="K1529" t="str">
        <f t="array" ref="K1529">_xlfn.IFS(J1529=1,"Day Use",J1529&lt;=3,"Short Stay",J1529&lt;=7,"Extended Stay",J1529&gt;=8,"Long Stay")</f>
        <v>Long Stay</v>
      </c>
      <c r="L1529" t="s">
        <v>141</v>
      </c>
      <c r="M1529" s="10" t="str">
        <f t="shared" si="116"/>
        <v>Suite</v>
      </c>
      <c r="N1529" t="s">
        <v>134</v>
      </c>
      <c r="O1529" t="s">
        <v>27</v>
      </c>
      <c r="P1529">
        <f>IFERROR(VLOOKUP(TRIM(M1529),Room!D:H,5,FALSE),5000)</f>
        <v>12500</v>
      </c>
      <c r="Q1529">
        <f t="shared" si="117"/>
        <v>137500</v>
      </c>
      <c r="R1529" s="11" t="str">
        <f t="shared" si="118"/>
        <v>Business</v>
      </c>
      <c r="S1529" s="11">
        <f t="shared" si="119"/>
        <v>5</v>
      </c>
    </row>
    <row r="1530" spans="1:19">
      <c r="A1530" t="s">
        <v>7963</v>
      </c>
      <c r="B1530" t="s">
        <v>7964</v>
      </c>
      <c r="C1530" t="s">
        <v>3586</v>
      </c>
      <c r="D1530" t="s">
        <v>7965</v>
      </c>
      <c r="E1530" t="s">
        <v>7966</v>
      </c>
      <c r="F1530" t="s">
        <v>7967</v>
      </c>
      <c r="G1530" s="4">
        <v>45494</v>
      </c>
      <c r="H1530" s="4">
        <v>45517</v>
      </c>
      <c r="I1530" s="4">
        <v>45522</v>
      </c>
      <c r="J1530">
        <f t="shared" si="115"/>
        <v>5</v>
      </c>
      <c r="K1530" t="str">
        <f t="array" ref="K1530">_xlfn.IFS(J1530=1,"Day Use",J1530&lt;=3,"Short Stay",J1530&lt;=7,"Extended Stay",J1530&gt;=8,"Long Stay")</f>
        <v>Extended Stay</v>
      </c>
      <c r="L1530" t="s">
        <v>25</v>
      </c>
      <c r="M1530" s="10" t="str">
        <f t="shared" si="116"/>
        <v>Deluxe</v>
      </c>
      <c r="N1530" t="s">
        <v>26</v>
      </c>
      <c r="O1530" t="s">
        <v>27</v>
      </c>
      <c r="P1530">
        <f>IFERROR(VLOOKUP(TRIM(M1530),Room!D:H,5,FALSE),5000)</f>
        <v>5400</v>
      </c>
      <c r="Q1530">
        <f t="shared" si="117"/>
        <v>27000</v>
      </c>
      <c r="R1530" s="11" t="str">
        <f t="shared" si="118"/>
        <v>Conference</v>
      </c>
      <c r="S1530" s="11">
        <f t="shared" si="119"/>
        <v>3</v>
      </c>
    </row>
    <row r="1531" spans="1:19">
      <c r="A1531" t="s">
        <v>7968</v>
      </c>
      <c r="B1531" t="s">
        <v>7969</v>
      </c>
      <c r="C1531" t="s">
        <v>67</v>
      </c>
      <c r="D1531" t="s">
        <v>7970</v>
      </c>
      <c r="E1531" t="s">
        <v>7971</v>
      </c>
      <c r="F1531" t="s">
        <v>7972</v>
      </c>
      <c r="G1531" s="4">
        <v>45250</v>
      </c>
      <c r="H1531" s="4">
        <v>45320</v>
      </c>
      <c r="I1531" s="4">
        <v>45325</v>
      </c>
      <c r="J1531">
        <f t="shared" si="115"/>
        <v>5</v>
      </c>
      <c r="K1531" t="str">
        <f t="array" ref="K1531">_xlfn.IFS(J1531=1,"Day Use",J1531&lt;=3,"Short Stay",J1531&lt;=7,"Extended Stay",J1531&gt;=8,"Long Stay")</f>
        <v>Extended Stay</v>
      </c>
      <c r="L1531" t="s">
        <v>34</v>
      </c>
      <c r="M1531" s="10" t="str">
        <f t="shared" si="116"/>
        <v>Deluxe</v>
      </c>
      <c r="N1531" t="s">
        <v>26</v>
      </c>
      <c r="O1531" t="s">
        <v>27</v>
      </c>
      <c r="P1531">
        <f>IFERROR(VLOOKUP(TRIM(M1531),Room!D:H,5,FALSE),5000)</f>
        <v>5400</v>
      </c>
      <c r="Q1531">
        <f t="shared" si="117"/>
        <v>27000</v>
      </c>
      <c r="R1531" s="11" t="str">
        <f t="shared" si="118"/>
        <v>Conference</v>
      </c>
      <c r="S1531" s="11">
        <f t="shared" si="119"/>
        <v>3</v>
      </c>
    </row>
    <row r="1532" spans="1:19">
      <c r="A1532" t="s">
        <v>7973</v>
      </c>
      <c r="B1532" t="s">
        <v>7974</v>
      </c>
      <c r="C1532" t="s">
        <v>882</v>
      </c>
      <c r="D1532" t="s">
        <v>7975</v>
      </c>
      <c r="E1532" t="s">
        <v>7976</v>
      </c>
      <c r="F1532" t="s">
        <v>7977</v>
      </c>
      <c r="G1532" s="4">
        <v>45243</v>
      </c>
      <c r="H1532" s="4">
        <v>45384</v>
      </c>
      <c r="I1532" s="4">
        <v>45387</v>
      </c>
      <c r="J1532">
        <f t="shared" si="115"/>
        <v>3</v>
      </c>
      <c r="K1532" t="str">
        <f t="array" ref="K1532">_xlfn.IFS(J1532=1,"Day Use",J1532&lt;=3,"Short Stay",J1532&lt;=7,"Extended Stay",J1532&gt;=8,"Long Stay")</f>
        <v>Short Stay</v>
      </c>
      <c r="L1532" t="s">
        <v>56</v>
      </c>
      <c r="M1532" s="10" t="str">
        <f t="shared" si="116"/>
        <v>Standard</v>
      </c>
      <c r="N1532" t="s">
        <v>26</v>
      </c>
      <c r="O1532" t="s">
        <v>42</v>
      </c>
      <c r="P1532">
        <f>IFERROR(VLOOKUP(TRIM(M1532),Room!D:H,5,FALSE),5000)</f>
        <v>3200</v>
      </c>
      <c r="Q1532">
        <f t="shared" si="117"/>
        <v>9600</v>
      </c>
      <c r="R1532" s="11" t="str">
        <f t="shared" si="118"/>
        <v>Other</v>
      </c>
      <c r="S1532" s="11">
        <f t="shared" si="119"/>
        <v>2</v>
      </c>
    </row>
    <row r="1533" spans="1:19">
      <c r="A1533" t="s">
        <v>7978</v>
      </c>
      <c r="B1533" t="s">
        <v>7979</v>
      </c>
      <c r="C1533" t="s">
        <v>1361</v>
      </c>
      <c r="D1533" t="s">
        <v>7980</v>
      </c>
      <c r="E1533" t="s">
        <v>7981</v>
      </c>
      <c r="F1533" t="s">
        <v>7982</v>
      </c>
      <c r="G1533" s="4">
        <v>45709</v>
      </c>
      <c r="H1533" s="4">
        <v>45724</v>
      </c>
      <c r="I1533" s="4">
        <v>45731</v>
      </c>
      <c r="J1533">
        <f t="shared" si="115"/>
        <v>7</v>
      </c>
      <c r="K1533" t="str">
        <f t="array" ref="K1533">_xlfn.IFS(J1533=1,"Day Use",J1533&lt;=3,"Short Stay",J1533&lt;=7,"Extended Stay",J1533&gt;=8,"Long Stay")</f>
        <v>Extended Stay</v>
      </c>
      <c r="L1533" t="s">
        <v>84</v>
      </c>
      <c r="M1533" s="10" t="str">
        <f t="shared" si="116"/>
        <v>Premium</v>
      </c>
      <c r="N1533" t="s">
        <v>372</v>
      </c>
      <c r="O1533" t="s">
        <v>35</v>
      </c>
      <c r="P1533">
        <f>IFERROR(VLOOKUP(TRIM(M1533),Room!D:H,5,FALSE),5000)</f>
        <v>9500</v>
      </c>
      <c r="Q1533">
        <f t="shared" si="117"/>
        <v>66500</v>
      </c>
      <c r="R1533" s="11" t="str">
        <f t="shared" si="118"/>
        <v>Conference</v>
      </c>
      <c r="S1533" s="11">
        <f t="shared" si="119"/>
        <v>4</v>
      </c>
    </row>
    <row r="1534" spans="1:19">
      <c r="A1534" t="s">
        <v>7983</v>
      </c>
      <c r="B1534" t="s">
        <v>7984</v>
      </c>
      <c r="C1534" t="s">
        <v>1610</v>
      </c>
      <c r="D1534" t="s">
        <v>7985</v>
      </c>
      <c r="E1534" t="s">
        <v>7986</v>
      </c>
      <c r="F1534" t="s">
        <v>7987</v>
      </c>
      <c r="G1534" s="4">
        <v>45432</v>
      </c>
      <c r="H1534" s="4">
        <v>45437</v>
      </c>
      <c r="I1534" s="4">
        <v>45439</v>
      </c>
      <c r="J1534">
        <f t="shared" si="115"/>
        <v>2</v>
      </c>
      <c r="K1534" t="str">
        <f t="array" ref="K1534">_xlfn.IFS(J1534=1,"Day Use",J1534&lt;=3,"Short Stay",J1534&lt;=7,"Extended Stay",J1534&gt;=8,"Long Stay")</f>
        <v>Short Stay</v>
      </c>
      <c r="L1534" t="s">
        <v>84</v>
      </c>
      <c r="M1534" s="10" t="str">
        <f t="shared" si="116"/>
        <v>Standard</v>
      </c>
      <c r="N1534" t="s">
        <v>148</v>
      </c>
      <c r="O1534" t="s">
        <v>58</v>
      </c>
      <c r="P1534">
        <f>IFERROR(VLOOKUP(TRIM(M1534),Room!D:H,5,FALSE),5000)</f>
        <v>3200</v>
      </c>
      <c r="Q1534">
        <f t="shared" si="117"/>
        <v>6400</v>
      </c>
      <c r="R1534" s="11" t="str">
        <f t="shared" si="118"/>
        <v>Other</v>
      </c>
      <c r="S1534" s="11">
        <f t="shared" si="119"/>
        <v>2</v>
      </c>
    </row>
    <row r="1535" spans="1:19">
      <c r="A1535" t="s">
        <v>7988</v>
      </c>
      <c r="B1535" t="s">
        <v>7989</v>
      </c>
      <c r="C1535" t="s">
        <v>363</v>
      </c>
      <c r="D1535" t="s">
        <v>7990</v>
      </c>
      <c r="E1535" t="s">
        <v>7991</v>
      </c>
      <c r="F1535" t="s">
        <v>7992</v>
      </c>
      <c r="G1535" s="4">
        <v>45396</v>
      </c>
      <c r="H1535" s="4">
        <v>45614</v>
      </c>
      <c r="I1535" s="4">
        <v>45624</v>
      </c>
      <c r="J1535">
        <f t="shared" si="115"/>
        <v>10</v>
      </c>
      <c r="K1535" t="str">
        <f t="array" ref="K1535">_xlfn.IFS(J1535=1,"Day Use",J1535&lt;=3,"Short Stay",J1535&lt;=7,"Extended Stay",J1535&gt;=8,"Long Stay")</f>
        <v>Long Stay</v>
      </c>
      <c r="L1535" t="s">
        <v>56</v>
      </c>
      <c r="M1535" s="10" t="str">
        <f t="shared" si="116"/>
        <v>Premium</v>
      </c>
      <c r="N1535" t="s">
        <v>26</v>
      </c>
      <c r="O1535" t="s">
        <v>71</v>
      </c>
      <c r="P1535">
        <f>IFERROR(VLOOKUP(TRIM(M1535),Room!D:H,5,FALSE),5000)</f>
        <v>9500</v>
      </c>
      <c r="Q1535">
        <f t="shared" si="117"/>
        <v>95000</v>
      </c>
      <c r="R1535" s="11" t="str">
        <f t="shared" si="118"/>
        <v>Conference</v>
      </c>
      <c r="S1535" s="11">
        <f t="shared" si="119"/>
        <v>4</v>
      </c>
    </row>
    <row r="1536" spans="1:19">
      <c r="A1536" t="s">
        <v>7993</v>
      </c>
      <c r="B1536" t="s">
        <v>7994</v>
      </c>
      <c r="C1536" t="s">
        <v>106</v>
      </c>
      <c r="D1536" t="s">
        <v>7995</v>
      </c>
      <c r="E1536" t="s">
        <v>7996</v>
      </c>
      <c r="F1536" t="s">
        <v>7997</v>
      </c>
      <c r="G1536" s="4">
        <v>45692</v>
      </c>
      <c r="H1536" s="4">
        <v>45714</v>
      </c>
      <c r="I1536" s="4">
        <v>45720</v>
      </c>
      <c r="J1536">
        <f t="shared" si="115"/>
        <v>6</v>
      </c>
      <c r="K1536" t="str">
        <f t="array" ref="K1536">_xlfn.IFS(J1536=1,"Day Use",J1536&lt;=3,"Short Stay",J1536&lt;=7,"Extended Stay",J1536&gt;=8,"Long Stay")</f>
        <v>Extended Stay</v>
      </c>
      <c r="L1536" t="s">
        <v>196</v>
      </c>
      <c r="M1536" s="10" t="str">
        <f t="shared" si="116"/>
        <v>Deluxe</v>
      </c>
      <c r="N1536" t="s">
        <v>26</v>
      </c>
      <c r="O1536" t="s">
        <v>35</v>
      </c>
      <c r="P1536">
        <f>IFERROR(VLOOKUP(TRIM(M1536),Room!D:H,5,FALSE),5000)</f>
        <v>5400</v>
      </c>
      <c r="Q1536">
        <f t="shared" si="117"/>
        <v>32400</v>
      </c>
      <c r="R1536" s="11" t="str">
        <f t="shared" si="118"/>
        <v>Conference</v>
      </c>
      <c r="S1536" s="11">
        <f t="shared" si="119"/>
        <v>3</v>
      </c>
    </row>
    <row r="1537" spans="1:19">
      <c r="A1537" t="s">
        <v>7998</v>
      </c>
      <c r="B1537" t="s">
        <v>7999</v>
      </c>
      <c r="C1537" t="s">
        <v>265</v>
      </c>
      <c r="D1537" t="s">
        <v>8000</v>
      </c>
      <c r="E1537" t="s">
        <v>8001</v>
      </c>
      <c r="F1537" t="s">
        <v>8002</v>
      </c>
      <c r="G1537" s="4">
        <v>45260</v>
      </c>
      <c r="H1537" s="4">
        <v>45965</v>
      </c>
      <c r="I1537" s="4">
        <v>45969</v>
      </c>
      <c r="J1537">
        <f t="shared" si="115"/>
        <v>4</v>
      </c>
      <c r="K1537" t="str">
        <f t="array" ref="K1537">_xlfn.IFS(J1537=1,"Day Use",J1537&lt;=3,"Short Stay",J1537&lt;=7,"Extended Stay",J1537&gt;=8,"Long Stay")</f>
        <v>Extended Stay</v>
      </c>
      <c r="L1537" t="s">
        <v>34</v>
      </c>
      <c r="M1537" s="10" t="str">
        <f t="shared" si="116"/>
        <v>Deluxe</v>
      </c>
      <c r="N1537" t="s">
        <v>57</v>
      </c>
      <c r="O1537" t="s">
        <v>58</v>
      </c>
      <c r="P1537">
        <f>IFERROR(VLOOKUP(TRIM(M1537),Room!D:H,5,FALSE),5000)</f>
        <v>5400</v>
      </c>
      <c r="Q1537">
        <f t="shared" si="117"/>
        <v>21600</v>
      </c>
      <c r="R1537" s="11" t="str">
        <f t="shared" si="118"/>
        <v>Conference</v>
      </c>
      <c r="S1537" s="11">
        <f t="shared" si="119"/>
        <v>3</v>
      </c>
    </row>
    <row r="1538" spans="1:19">
      <c r="A1538" t="s">
        <v>8003</v>
      </c>
      <c r="B1538" t="s">
        <v>8004</v>
      </c>
      <c r="C1538" t="s">
        <v>581</v>
      </c>
      <c r="D1538" t="s">
        <v>8005</v>
      </c>
      <c r="E1538" t="s">
        <v>8006</v>
      </c>
      <c r="F1538" t="s">
        <v>8007</v>
      </c>
      <c r="G1538" s="4">
        <v>45881</v>
      </c>
      <c r="H1538" s="4">
        <v>45985</v>
      </c>
      <c r="I1538" s="4">
        <v>45994</v>
      </c>
      <c r="J1538">
        <f t="shared" ref="J1538:J1601" si="120">I1538-H1538</f>
        <v>9</v>
      </c>
      <c r="K1538" t="str">
        <f t="array" ref="K1538">_xlfn.IFS(J1538=1,"Day Use",J1538&lt;=3,"Short Stay",J1538&lt;=7,"Extended Stay",J1538&gt;=8,"Long Stay")</f>
        <v>Long Stay</v>
      </c>
      <c r="L1538" t="s">
        <v>34</v>
      </c>
      <c r="M1538" s="10" t="str">
        <f t="shared" ref="M1538:M1601" si="121">IF($J1538&lt;=3,"Standard",IF($J1538&lt;=6,"Deluxe",IF($J1538&lt;=10,"Premium","Suite")))</f>
        <v>Premium</v>
      </c>
      <c r="N1538" t="s">
        <v>26</v>
      </c>
      <c r="O1538" t="s">
        <v>35</v>
      </c>
      <c r="P1538">
        <f>IFERROR(VLOOKUP(TRIM(M1538),Room!D:H,5,FALSE),5000)</f>
        <v>9500</v>
      </c>
      <c r="Q1538">
        <f t="shared" si="117"/>
        <v>85500</v>
      </c>
      <c r="R1538" s="11" t="str">
        <f t="shared" si="118"/>
        <v>Conference</v>
      </c>
      <c r="S1538" s="11">
        <f t="shared" si="119"/>
        <v>4</v>
      </c>
    </row>
    <row r="1539" spans="1:19">
      <c r="A1539" t="s">
        <v>8008</v>
      </c>
      <c r="B1539" t="s">
        <v>8009</v>
      </c>
      <c r="C1539" t="s">
        <v>398</v>
      </c>
      <c r="D1539" t="s">
        <v>8010</v>
      </c>
      <c r="E1539" t="s">
        <v>8011</v>
      </c>
      <c r="F1539" t="s">
        <v>8012</v>
      </c>
      <c r="G1539" s="4">
        <v>45440</v>
      </c>
      <c r="H1539" s="4">
        <v>45469</v>
      </c>
      <c r="I1539" s="4">
        <v>45474</v>
      </c>
      <c r="J1539">
        <f t="shared" si="120"/>
        <v>5</v>
      </c>
      <c r="K1539" t="str">
        <f t="array" ref="K1539">_xlfn.IFS(J1539=1,"Day Use",J1539&lt;=3,"Short Stay",J1539&lt;=7,"Extended Stay",J1539&gt;=8,"Long Stay")</f>
        <v>Extended Stay</v>
      </c>
      <c r="L1539" t="s">
        <v>141</v>
      </c>
      <c r="M1539" s="10" t="str">
        <f t="shared" si="121"/>
        <v>Deluxe</v>
      </c>
      <c r="N1539" t="s">
        <v>26</v>
      </c>
      <c r="O1539" t="s">
        <v>42</v>
      </c>
      <c r="P1539">
        <f>IFERROR(VLOOKUP(TRIM(M1539),Room!D:H,5,FALSE),5000)</f>
        <v>5400</v>
      </c>
      <c r="Q1539">
        <f t="shared" ref="Q1539:Q1602" si="122">P1539*J1539</f>
        <v>27000</v>
      </c>
      <c r="R1539" s="11" t="str">
        <f t="shared" ref="R1539:R1602" si="123">IF(ISNUMBER(SEARCH("Suite",D1539)),"Honeymoon",IF(P1539&gt;10000,"Business",IF(P1539&gt;5000,"Conference",IF(J1539&gt;=8,"Family Vacation","Other"))))</f>
        <v>Conference</v>
      </c>
      <c r="S1539" s="11">
        <f t="shared" ref="S1539:S1602" si="124">IF(M1539="Suite",5,IF(M1539="Premium",IF(Q1539&gt;20000,4,3),IF(M1539="Deluxe",IF(Q1539&gt;=10000,3,2),IF(M1539="Standard",IF(Q1539&gt;=5000,2,1),1))))</f>
        <v>3</v>
      </c>
    </row>
    <row r="1540" spans="1:19">
      <c r="A1540" t="s">
        <v>8013</v>
      </c>
      <c r="B1540" t="s">
        <v>8014</v>
      </c>
      <c r="C1540" t="s">
        <v>2420</v>
      </c>
      <c r="D1540" t="s">
        <v>8015</v>
      </c>
      <c r="E1540" t="s">
        <v>8016</v>
      </c>
      <c r="F1540" t="s">
        <v>8017</v>
      </c>
      <c r="G1540" s="4">
        <v>45316</v>
      </c>
      <c r="H1540" s="4">
        <v>45337</v>
      </c>
      <c r="I1540" s="4">
        <v>45341</v>
      </c>
      <c r="J1540">
        <f t="shared" si="120"/>
        <v>4</v>
      </c>
      <c r="K1540" t="str">
        <f t="array" ref="K1540">_xlfn.IFS(J1540=1,"Day Use",J1540&lt;=3,"Short Stay",J1540&lt;=7,"Extended Stay",J1540&gt;=8,"Long Stay")</f>
        <v>Extended Stay</v>
      </c>
      <c r="L1540" t="s">
        <v>25</v>
      </c>
      <c r="M1540" s="10" t="str">
        <f t="shared" si="121"/>
        <v>Deluxe</v>
      </c>
      <c r="N1540" t="s">
        <v>26</v>
      </c>
      <c r="O1540" t="s">
        <v>35</v>
      </c>
      <c r="P1540">
        <f>IFERROR(VLOOKUP(TRIM(M1540),Room!D:H,5,FALSE),5000)</f>
        <v>5400</v>
      </c>
      <c r="Q1540">
        <f t="shared" si="122"/>
        <v>21600</v>
      </c>
      <c r="R1540" s="11" t="str">
        <f t="shared" si="123"/>
        <v>Conference</v>
      </c>
      <c r="S1540" s="11">
        <f t="shared" si="124"/>
        <v>3</v>
      </c>
    </row>
    <row r="1541" spans="1:19">
      <c r="A1541" t="s">
        <v>8018</v>
      </c>
      <c r="B1541" t="s">
        <v>8019</v>
      </c>
      <c r="C1541" t="s">
        <v>163</v>
      </c>
      <c r="D1541" t="s">
        <v>8020</v>
      </c>
      <c r="E1541" t="s">
        <v>8021</v>
      </c>
      <c r="F1541" t="s">
        <v>8022</v>
      </c>
      <c r="G1541" s="4">
        <v>45519</v>
      </c>
      <c r="H1541" s="4">
        <v>45850</v>
      </c>
      <c r="I1541" s="4">
        <v>45852</v>
      </c>
      <c r="J1541">
        <f t="shared" si="120"/>
        <v>2</v>
      </c>
      <c r="K1541" t="str">
        <f t="array" ref="K1541">_xlfn.IFS(J1541=1,"Day Use",J1541&lt;=3,"Short Stay",J1541&lt;=7,"Extended Stay",J1541&gt;=8,"Long Stay")</f>
        <v>Short Stay</v>
      </c>
      <c r="L1541" t="s">
        <v>141</v>
      </c>
      <c r="M1541" s="10" t="str">
        <f t="shared" si="121"/>
        <v>Standard</v>
      </c>
      <c r="N1541" t="s">
        <v>57</v>
      </c>
      <c r="O1541" t="s">
        <v>42</v>
      </c>
      <c r="P1541">
        <f>IFERROR(VLOOKUP(TRIM(M1541),Room!D:H,5,FALSE),5000)</f>
        <v>3200</v>
      </c>
      <c r="Q1541">
        <f t="shared" si="122"/>
        <v>6400</v>
      </c>
      <c r="R1541" s="11" t="str">
        <f t="shared" si="123"/>
        <v>Other</v>
      </c>
      <c r="S1541" s="11">
        <f t="shared" si="124"/>
        <v>2</v>
      </c>
    </row>
    <row r="1542" spans="1:19">
      <c r="A1542" t="s">
        <v>8023</v>
      </c>
      <c r="B1542" t="s">
        <v>8024</v>
      </c>
      <c r="C1542" t="s">
        <v>1250</v>
      </c>
      <c r="D1542" t="s">
        <v>8025</v>
      </c>
      <c r="E1542" t="s">
        <v>8026</v>
      </c>
      <c r="F1542" t="s">
        <v>8027</v>
      </c>
      <c r="G1542" s="4">
        <v>45463</v>
      </c>
      <c r="H1542" s="4">
        <v>45650</v>
      </c>
      <c r="I1542" s="4">
        <v>45651</v>
      </c>
      <c r="J1542">
        <f t="shared" si="120"/>
        <v>1</v>
      </c>
      <c r="K1542" t="str">
        <f t="array" ref="K1542">_xlfn.IFS(J1542=1,"Day Use",J1542&lt;=3,"Short Stay",J1542&lt;=7,"Extended Stay",J1542&gt;=8,"Long Stay")</f>
        <v>Day Use</v>
      </c>
      <c r="L1542" t="s">
        <v>196</v>
      </c>
      <c r="M1542" s="10" t="str">
        <f t="shared" si="121"/>
        <v>Standard</v>
      </c>
      <c r="N1542" t="s">
        <v>26</v>
      </c>
      <c r="O1542" t="s">
        <v>42</v>
      </c>
      <c r="P1542">
        <f>IFERROR(VLOOKUP(TRIM(M1542),Room!D:H,5,FALSE),5000)</f>
        <v>3200</v>
      </c>
      <c r="Q1542">
        <f t="shared" si="122"/>
        <v>3200</v>
      </c>
      <c r="R1542" s="11" t="str">
        <f t="shared" si="123"/>
        <v>Other</v>
      </c>
      <c r="S1542" s="11">
        <f t="shared" si="124"/>
        <v>1</v>
      </c>
    </row>
    <row r="1543" spans="1:19">
      <c r="A1543" t="s">
        <v>8028</v>
      </c>
      <c r="B1543" t="s">
        <v>8029</v>
      </c>
      <c r="C1543" t="s">
        <v>604</v>
      </c>
      <c r="D1543" t="s">
        <v>8030</v>
      </c>
      <c r="E1543" t="s">
        <v>8031</v>
      </c>
      <c r="F1543" t="s">
        <v>8032</v>
      </c>
      <c r="G1543" s="4">
        <v>45389</v>
      </c>
      <c r="H1543" s="4">
        <v>45609</v>
      </c>
      <c r="I1543" s="4">
        <v>45613</v>
      </c>
      <c r="J1543">
        <f t="shared" si="120"/>
        <v>4</v>
      </c>
      <c r="K1543" t="str">
        <f t="array" ref="K1543">_xlfn.IFS(J1543=1,"Day Use",J1543&lt;=3,"Short Stay",J1543&lt;=7,"Extended Stay",J1543&gt;=8,"Long Stay")</f>
        <v>Extended Stay</v>
      </c>
      <c r="L1543" t="s">
        <v>49</v>
      </c>
      <c r="M1543" s="10" t="str">
        <f t="shared" si="121"/>
        <v>Deluxe</v>
      </c>
      <c r="N1543" t="s">
        <v>26</v>
      </c>
      <c r="O1543" t="s">
        <v>71</v>
      </c>
      <c r="P1543">
        <f>IFERROR(VLOOKUP(TRIM(M1543),Room!D:H,5,FALSE),5000)</f>
        <v>5400</v>
      </c>
      <c r="Q1543">
        <f t="shared" si="122"/>
        <v>21600</v>
      </c>
      <c r="R1543" s="11" t="str">
        <f t="shared" si="123"/>
        <v>Conference</v>
      </c>
      <c r="S1543" s="11">
        <f t="shared" si="124"/>
        <v>3</v>
      </c>
    </row>
    <row r="1544" spans="1:19">
      <c r="A1544" t="s">
        <v>8033</v>
      </c>
      <c r="B1544" t="s">
        <v>8034</v>
      </c>
      <c r="C1544" t="s">
        <v>961</v>
      </c>
      <c r="D1544" t="s">
        <v>8035</v>
      </c>
      <c r="E1544" t="s">
        <v>8036</v>
      </c>
      <c r="F1544" t="s">
        <v>8037</v>
      </c>
      <c r="G1544" s="4">
        <v>45685</v>
      </c>
      <c r="H1544" s="4">
        <v>45685</v>
      </c>
      <c r="I1544" s="4">
        <v>45687</v>
      </c>
      <c r="J1544">
        <f t="shared" si="120"/>
        <v>2</v>
      </c>
      <c r="K1544" t="str">
        <f t="array" ref="K1544">_xlfn.IFS(J1544=1,"Day Use",J1544&lt;=3,"Short Stay",J1544&lt;=7,"Extended Stay",J1544&gt;=8,"Long Stay")</f>
        <v>Short Stay</v>
      </c>
      <c r="L1544" t="s">
        <v>49</v>
      </c>
      <c r="M1544" s="10" t="str">
        <f t="shared" si="121"/>
        <v>Standard</v>
      </c>
      <c r="N1544" t="s">
        <v>148</v>
      </c>
      <c r="O1544" t="s">
        <v>35</v>
      </c>
      <c r="P1544">
        <f>IFERROR(VLOOKUP(TRIM(M1544),Room!D:H,5,FALSE),5000)</f>
        <v>3200</v>
      </c>
      <c r="Q1544">
        <f t="shared" si="122"/>
        <v>6400</v>
      </c>
      <c r="R1544" s="11" t="str">
        <f t="shared" si="123"/>
        <v>Other</v>
      </c>
      <c r="S1544" s="11">
        <f t="shared" si="124"/>
        <v>2</v>
      </c>
    </row>
    <row r="1545" spans="1:19">
      <c r="A1545" t="s">
        <v>8038</v>
      </c>
      <c r="B1545" t="s">
        <v>8039</v>
      </c>
      <c r="C1545" t="s">
        <v>7593</v>
      </c>
      <c r="D1545" t="s">
        <v>8040</v>
      </c>
      <c r="E1545" t="s">
        <v>8041</v>
      </c>
      <c r="F1545" t="s">
        <v>8042</v>
      </c>
      <c r="G1545" s="4">
        <v>45228</v>
      </c>
      <c r="H1545" s="4">
        <v>45783</v>
      </c>
      <c r="I1545" s="4">
        <v>45788</v>
      </c>
      <c r="J1545">
        <f t="shared" si="120"/>
        <v>5</v>
      </c>
      <c r="K1545" t="str">
        <f t="array" ref="K1545">_xlfn.IFS(J1545=1,"Day Use",J1545&lt;=3,"Short Stay",J1545&lt;=7,"Extended Stay",J1545&gt;=8,"Long Stay")</f>
        <v>Extended Stay</v>
      </c>
      <c r="L1545" t="s">
        <v>141</v>
      </c>
      <c r="M1545" s="10" t="str">
        <f t="shared" si="121"/>
        <v>Deluxe</v>
      </c>
      <c r="N1545" t="s">
        <v>57</v>
      </c>
      <c r="O1545" t="s">
        <v>58</v>
      </c>
      <c r="P1545">
        <f>IFERROR(VLOOKUP(TRIM(M1545),Room!D:H,5,FALSE),5000)</f>
        <v>5400</v>
      </c>
      <c r="Q1545">
        <f t="shared" si="122"/>
        <v>27000</v>
      </c>
      <c r="R1545" s="11" t="str">
        <f t="shared" si="123"/>
        <v>Conference</v>
      </c>
      <c r="S1545" s="11">
        <f t="shared" si="124"/>
        <v>3</v>
      </c>
    </row>
    <row r="1546" spans="1:19">
      <c r="A1546" t="s">
        <v>8043</v>
      </c>
      <c r="B1546" t="s">
        <v>8044</v>
      </c>
      <c r="C1546" t="s">
        <v>2154</v>
      </c>
      <c r="D1546" t="s">
        <v>8045</v>
      </c>
      <c r="E1546" t="s">
        <v>8046</v>
      </c>
      <c r="F1546" t="s">
        <v>8047</v>
      </c>
      <c r="G1546" s="4">
        <v>45659</v>
      </c>
      <c r="H1546" s="4">
        <v>45971</v>
      </c>
      <c r="I1546" s="4">
        <v>45977</v>
      </c>
      <c r="J1546">
        <f t="shared" si="120"/>
        <v>6</v>
      </c>
      <c r="K1546" t="str">
        <f t="array" ref="K1546">_xlfn.IFS(J1546=1,"Day Use",J1546&lt;=3,"Short Stay",J1546&lt;=7,"Extended Stay",J1546&gt;=8,"Long Stay")</f>
        <v>Extended Stay</v>
      </c>
      <c r="L1546" t="s">
        <v>84</v>
      </c>
      <c r="M1546" s="10" t="str">
        <f t="shared" si="121"/>
        <v>Deluxe</v>
      </c>
      <c r="N1546" t="s">
        <v>26</v>
      </c>
      <c r="O1546" t="s">
        <v>27</v>
      </c>
      <c r="P1546">
        <f>IFERROR(VLOOKUP(TRIM(M1546),Room!D:H,5,FALSE),5000)</f>
        <v>5400</v>
      </c>
      <c r="Q1546">
        <f t="shared" si="122"/>
        <v>32400</v>
      </c>
      <c r="R1546" s="11" t="str">
        <f t="shared" si="123"/>
        <v>Conference</v>
      </c>
      <c r="S1546" s="11">
        <f t="shared" si="124"/>
        <v>3</v>
      </c>
    </row>
    <row r="1547" spans="1:19">
      <c r="A1547" t="s">
        <v>8048</v>
      </c>
      <c r="B1547" t="s">
        <v>8049</v>
      </c>
      <c r="C1547" t="s">
        <v>1498</v>
      </c>
      <c r="D1547" t="s">
        <v>8050</v>
      </c>
      <c r="E1547" t="s">
        <v>8051</v>
      </c>
      <c r="F1547" t="s">
        <v>8052</v>
      </c>
      <c r="G1547" s="4">
        <v>45616</v>
      </c>
      <c r="H1547" s="4">
        <v>45640</v>
      </c>
      <c r="I1547" s="4">
        <v>45649</v>
      </c>
      <c r="J1547">
        <f t="shared" si="120"/>
        <v>9</v>
      </c>
      <c r="K1547" t="str">
        <f t="array" ref="K1547">_xlfn.IFS(J1547=1,"Day Use",J1547&lt;=3,"Short Stay",J1547&lt;=7,"Extended Stay",J1547&gt;=8,"Long Stay")</f>
        <v>Long Stay</v>
      </c>
      <c r="L1547" t="s">
        <v>91</v>
      </c>
      <c r="M1547" s="10" t="str">
        <f t="shared" si="121"/>
        <v>Premium</v>
      </c>
      <c r="N1547" t="s">
        <v>26</v>
      </c>
      <c r="O1547" t="s">
        <v>42</v>
      </c>
      <c r="P1547">
        <f>IFERROR(VLOOKUP(TRIM(M1547),Room!D:H,5,FALSE),5000)</f>
        <v>9500</v>
      </c>
      <c r="Q1547">
        <f t="shared" si="122"/>
        <v>85500</v>
      </c>
      <c r="R1547" s="11" t="str">
        <f t="shared" si="123"/>
        <v>Conference</v>
      </c>
      <c r="S1547" s="11">
        <f t="shared" si="124"/>
        <v>4</v>
      </c>
    </row>
    <row r="1548" spans="1:19">
      <c r="A1548" t="s">
        <v>8053</v>
      </c>
      <c r="B1548" t="s">
        <v>8054</v>
      </c>
      <c r="C1548" t="s">
        <v>679</v>
      </c>
      <c r="D1548" t="s">
        <v>8055</v>
      </c>
      <c r="E1548" t="s">
        <v>8056</v>
      </c>
      <c r="F1548" t="s">
        <v>8057</v>
      </c>
      <c r="G1548" s="4">
        <v>45454</v>
      </c>
      <c r="H1548" s="4">
        <v>45688</v>
      </c>
      <c r="I1548" s="4">
        <v>45695</v>
      </c>
      <c r="J1548">
        <f t="shared" si="120"/>
        <v>7</v>
      </c>
      <c r="K1548" t="str">
        <f t="array" ref="K1548">_xlfn.IFS(J1548=1,"Day Use",J1548&lt;=3,"Short Stay",J1548&lt;=7,"Extended Stay",J1548&gt;=8,"Long Stay")</f>
        <v>Extended Stay</v>
      </c>
      <c r="L1548" t="s">
        <v>84</v>
      </c>
      <c r="M1548" s="10" t="str">
        <f t="shared" si="121"/>
        <v>Premium</v>
      </c>
      <c r="N1548" t="s">
        <v>26</v>
      </c>
      <c r="O1548" t="s">
        <v>58</v>
      </c>
      <c r="P1548">
        <f>IFERROR(VLOOKUP(TRIM(M1548),Room!D:H,5,FALSE),5000)</f>
        <v>9500</v>
      </c>
      <c r="Q1548">
        <f t="shared" si="122"/>
        <v>66500</v>
      </c>
      <c r="R1548" s="11" t="str">
        <f t="shared" si="123"/>
        <v>Conference</v>
      </c>
      <c r="S1548" s="11">
        <f t="shared" si="124"/>
        <v>4</v>
      </c>
    </row>
    <row r="1549" spans="1:19">
      <c r="A1549" t="s">
        <v>8058</v>
      </c>
      <c r="B1549" t="s">
        <v>8059</v>
      </c>
      <c r="C1549" t="s">
        <v>4669</v>
      </c>
      <c r="D1549" t="s">
        <v>8060</v>
      </c>
      <c r="E1549" t="s">
        <v>8061</v>
      </c>
      <c r="F1549" t="s">
        <v>8062</v>
      </c>
      <c r="G1549" s="4">
        <v>45320</v>
      </c>
      <c r="H1549" s="4">
        <v>45976</v>
      </c>
      <c r="I1549" s="4">
        <v>45978</v>
      </c>
      <c r="J1549">
        <f t="shared" si="120"/>
        <v>2</v>
      </c>
      <c r="K1549" t="str">
        <f t="array" ref="K1549">_xlfn.IFS(J1549=1,"Day Use",J1549&lt;=3,"Short Stay",J1549&lt;=7,"Extended Stay",J1549&gt;=8,"Long Stay")</f>
        <v>Short Stay</v>
      </c>
      <c r="L1549" t="s">
        <v>25</v>
      </c>
      <c r="M1549" s="10" t="str">
        <f t="shared" si="121"/>
        <v>Standard</v>
      </c>
      <c r="N1549" t="s">
        <v>26</v>
      </c>
      <c r="O1549" t="s">
        <v>27</v>
      </c>
      <c r="P1549">
        <f>IFERROR(VLOOKUP(TRIM(M1549),Room!D:H,5,FALSE),5000)</f>
        <v>3200</v>
      </c>
      <c r="Q1549">
        <f t="shared" si="122"/>
        <v>6400</v>
      </c>
      <c r="R1549" s="11" t="str">
        <f t="shared" si="123"/>
        <v>Other</v>
      </c>
      <c r="S1549" s="11">
        <f t="shared" si="124"/>
        <v>2</v>
      </c>
    </row>
    <row r="1550" spans="1:19">
      <c r="A1550" t="s">
        <v>8063</v>
      </c>
      <c r="B1550" t="s">
        <v>8064</v>
      </c>
      <c r="C1550" t="s">
        <v>933</v>
      </c>
      <c r="D1550" t="s">
        <v>8065</v>
      </c>
      <c r="E1550" t="s">
        <v>8066</v>
      </c>
      <c r="F1550" t="s">
        <v>8067</v>
      </c>
      <c r="G1550" s="4">
        <v>45415</v>
      </c>
      <c r="H1550" s="4">
        <v>45444</v>
      </c>
      <c r="I1550" s="4">
        <v>45457</v>
      </c>
      <c r="J1550">
        <f t="shared" si="120"/>
        <v>13</v>
      </c>
      <c r="K1550" t="str">
        <f t="array" ref="K1550">_xlfn.IFS(J1550=1,"Day Use",J1550&lt;=3,"Short Stay",J1550&lt;=7,"Extended Stay",J1550&gt;=8,"Long Stay")</f>
        <v>Long Stay</v>
      </c>
      <c r="L1550" t="s">
        <v>141</v>
      </c>
      <c r="M1550" s="10" t="str">
        <f t="shared" si="121"/>
        <v>Suite</v>
      </c>
      <c r="N1550" t="s">
        <v>57</v>
      </c>
      <c r="O1550" t="s">
        <v>71</v>
      </c>
      <c r="P1550">
        <f>IFERROR(VLOOKUP(TRIM(M1550),Room!D:H,5,FALSE),5000)</f>
        <v>12500</v>
      </c>
      <c r="Q1550">
        <f t="shared" si="122"/>
        <v>162500</v>
      </c>
      <c r="R1550" s="11" t="str">
        <f t="shared" si="123"/>
        <v>Business</v>
      </c>
      <c r="S1550" s="11">
        <f t="shared" si="124"/>
        <v>5</v>
      </c>
    </row>
    <row r="1551" spans="1:19">
      <c r="A1551" t="s">
        <v>8068</v>
      </c>
      <c r="B1551" t="s">
        <v>8069</v>
      </c>
      <c r="C1551" t="s">
        <v>421</v>
      </c>
      <c r="D1551" t="s">
        <v>8070</v>
      </c>
      <c r="E1551" t="s">
        <v>8071</v>
      </c>
      <c r="F1551" t="s">
        <v>8072</v>
      </c>
      <c r="G1551" s="4">
        <v>45366</v>
      </c>
      <c r="H1551" s="4">
        <v>45372</v>
      </c>
      <c r="I1551" s="4">
        <v>45376</v>
      </c>
      <c r="J1551">
        <f t="shared" si="120"/>
        <v>4</v>
      </c>
      <c r="K1551" t="str">
        <f t="array" ref="K1551">_xlfn.IFS(J1551=1,"Day Use",J1551&lt;=3,"Short Stay",J1551&lt;=7,"Extended Stay",J1551&gt;=8,"Long Stay")</f>
        <v>Extended Stay</v>
      </c>
      <c r="L1551" t="s">
        <v>34</v>
      </c>
      <c r="M1551" s="10" t="str">
        <f t="shared" si="121"/>
        <v>Deluxe</v>
      </c>
      <c r="N1551" t="s">
        <v>26</v>
      </c>
      <c r="O1551" t="s">
        <v>71</v>
      </c>
      <c r="P1551">
        <f>IFERROR(VLOOKUP(TRIM(M1551),Room!D:H,5,FALSE),5000)</f>
        <v>5400</v>
      </c>
      <c r="Q1551">
        <f t="shared" si="122"/>
        <v>21600</v>
      </c>
      <c r="R1551" s="11" t="str">
        <f t="shared" si="123"/>
        <v>Conference</v>
      </c>
      <c r="S1551" s="11">
        <f t="shared" si="124"/>
        <v>3</v>
      </c>
    </row>
    <row r="1552" spans="1:19">
      <c r="A1552" t="s">
        <v>8073</v>
      </c>
      <c r="B1552" t="s">
        <v>8074</v>
      </c>
      <c r="C1552" t="s">
        <v>2510</v>
      </c>
      <c r="D1552" t="s">
        <v>8075</v>
      </c>
      <c r="E1552" t="s">
        <v>8076</v>
      </c>
      <c r="F1552" t="s">
        <v>8077</v>
      </c>
      <c r="G1552" s="4">
        <v>45488</v>
      </c>
      <c r="H1552" s="4">
        <v>45512</v>
      </c>
      <c r="I1552" s="4">
        <v>45522</v>
      </c>
      <c r="J1552">
        <f t="shared" si="120"/>
        <v>10</v>
      </c>
      <c r="K1552" t="str">
        <f t="array" ref="K1552">_xlfn.IFS(J1552=1,"Day Use",J1552&lt;=3,"Short Stay",J1552&lt;=7,"Extended Stay",J1552&gt;=8,"Long Stay")</f>
        <v>Long Stay</v>
      </c>
      <c r="L1552" t="s">
        <v>196</v>
      </c>
      <c r="M1552" s="10" t="str">
        <f t="shared" si="121"/>
        <v>Premium</v>
      </c>
      <c r="N1552" t="s">
        <v>148</v>
      </c>
      <c r="O1552" t="s">
        <v>71</v>
      </c>
      <c r="P1552">
        <f>IFERROR(VLOOKUP(TRIM(M1552),Room!D:H,5,FALSE),5000)</f>
        <v>9500</v>
      </c>
      <c r="Q1552">
        <f t="shared" si="122"/>
        <v>95000</v>
      </c>
      <c r="R1552" s="11" t="str">
        <f t="shared" si="123"/>
        <v>Conference</v>
      </c>
      <c r="S1552" s="11">
        <f t="shared" si="124"/>
        <v>4</v>
      </c>
    </row>
    <row r="1553" spans="1:19">
      <c r="A1553" t="s">
        <v>8078</v>
      </c>
      <c r="B1553" t="s">
        <v>8079</v>
      </c>
      <c r="C1553" t="s">
        <v>835</v>
      </c>
      <c r="D1553" t="s">
        <v>8080</v>
      </c>
      <c r="E1553" t="s">
        <v>8081</v>
      </c>
      <c r="F1553" t="s">
        <v>8082</v>
      </c>
      <c r="G1553" s="4">
        <v>45681</v>
      </c>
      <c r="H1553" s="4">
        <v>46007</v>
      </c>
      <c r="I1553" s="4">
        <v>46019</v>
      </c>
      <c r="J1553">
        <f t="shared" si="120"/>
        <v>12</v>
      </c>
      <c r="K1553" t="str">
        <f t="array" ref="K1553">_xlfn.IFS(J1553=1,"Day Use",J1553&lt;=3,"Short Stay",J1553&lt;=7,"Extended Stay",J1553&gt;=8,"Long Stay")</f>
        <v>Long Stay</v>
      </c>
      <c r="L1553" t="s">
        <v>91</v>
      </c>
      <c r="M1553" s="10" t="str">
        <f t="shared" si="121"/>
        <v>Suite</v>
      </c>
      <c r="N1553" t="s">
        <v>26</v>
      </c>
      <c r="O1553" t="s">
        <v>27</v>
      </c>
      <c r="P1553">
        <f>IFERROR(VLOOKUP(TRIM(M1553),Room!D:H,5,FALSE),5000)</f>
        <v>12500</v>
      </c>
      <c r="Q1553">
        <f t="shared" si="122"/>
        <v>150000</v>
      </c>
      <c r="R1553" s="11" t="str">
        <f t="shared" si="123"/>
        <v>Business</v>
      </c>
      <c r="S1553" s="11">
        <f t="shared" si="124"/>
        <v>5</v>
      </c>
    </row>
    <row r="1554" spans="1:19">
      <c r="A1554" t="s">
        <v>8083</v>
      </c>
      <c r="B1554" t="s">
        <v>8084</v>
      </c>
      <c r="C1554" t="s">
        <v>1660</v>
      </c>
      <c r="D1554" t="s">
        <v>8085</v>
      </c>
      <c r="E1554" t="s">
        <v>8086</v>
      </c>
      <c r="F1554" t="s">
        <v>8087</v>
      </c>
      <c r="G1554" s="4">
        <v>45594</v>
      </c>
      <c r="H1554" s="4">
        <v>45661</v>
      </c>
      <c r="I1554" s="4">
        <v>45671</v>
      </c>
      <c r="J1554">
        <f t="shared" si="120"/>
        <v>10</v>
      </c>
      <c r="K1554" t="str">
        <f t="array" ref="K1554">_xlfn.IFS(J1554=1,"Day Use",J1554&lt;=3,"Short Stay",J1554&lt;=7,"Extended Stay",J1554&gt;=8,"Long Stay")</f>
        <v>Long Stay</v>
      </c>
      <c r="L1554" t="s">
        <v>25</v>
      </c>
      <c r="M1554" s="10" t="str">
        <f t="shared" si="121"/>
        <v>Premium</v>
      </c>
      <c r="N1554" t="s">
        <v>26</v>
      </c>
      <c r="O1554" t="s">
        <v>27</v>
      </c>
      <c r="P1554">
        <f>IFERROR(VLOOKUP(TRIM(M1554),Room!D:H,5,FALSE),5000)</f>
        <v>9500</v>
      </c>
      <c r="Q1554">
        <f t="shared" si="122"/>
        <v>95000</v>
      </c>
      <c r="R1554" s="11" t="str">
        <f t="shared" si="123"/>
        <v>Conference</v>
      </c>
      <c r="S1554" s="11">
        <f t="shared" si="124"/>
        <v>4</v>
      </c>
    </row>
    <row r="1555" spans="1:19">
      <c r="A1555" t="s">
        <v>8088</v>
      </c>
      <c r="B1555" t="s">
        <v>8089</v>
      </c>
      <c r="C1555" t="s">
        <v>253</v>
      </c>
      <c r="D1555" t="s">
        <v>8090</v>
      </c>
      <c r="E1555" t="s">
        <v>8091</v>
      </c>
      <c r="F1555" t="s">
        <v>8092</v>
      </c>
      <c r="G1555" s="4">
        <v>45671</v>
      </c>
      <c r="H1555" s="4">
        <v>45799</v>
      </c>
      <c r="I1555" s="4">
        <v>45801</v>
      </c>
      <c r="J1555">
        <f t="shared" si="120"/>
        <v>2</v>
      </c>
      <c r="K1555" t="str">
        <f t="array" ref="K1555">_xlfn.IFS(J1555=1,"Day Use",J1555&lt;=3,"Short Stay",J1555&lt;=7,"Extended Stay",J1555&gt;=8,"Long Stay")</f>
        <v>Short Stay</v>
      </c>
      <c r="L1555" t="s">
        <v>34</v>
      </c>
      <c r="M1555" s="10" t="str">
        <f t="shared" si="121"/>
        <v>Standard</v>
      </c>
      <c r="N1555" t="s">
        <v>26</v>
      </c>
      <c r="O1555" t="s">
        <v>71</v>
      </c>
      <c r="P1555">
        <f>IFERROR(VLOOKUP(TRIM(M1555),Room!D:H,5,FALSE),5000)</f>
        <v>3200</v>
      </c>
      <c r="Q1555">
        <f t="shared" si="122"/>
        <v>6400</v>
      </c>
      <c r="R1555" s="11" t="str">
        <f t="shared" si="123"/>
        <v>Other</v>
      </c>
      <c r="S1555" s="11">
        <f t="shared" si="124"/>
        <v>2</v>
      </c>
    </row>
    <row r="1556" spans="1:19">
      <c r="A1556" t="s">
        <v>8093</v>
      </c>
      <c r="B1556" t="s">
        <v>8094</v>
      </c>
      <c r="C1556" t="s">
        <v>871</v>
      </c>
      <c r="D1556" t="s">
        <v>8095</v>
      </c>
      <c r="E1556" t="s">
        <v>8096</v>
      </c>
      <c r="F1556" t="s">
        <v>8097</v>
      </c>
      <c r="G1556" s="4">
        <v>45555</v>
      </c>
      <c r="H1556" s="4">
        <v>45582</v>
      </c>
      <c r="I1556" s="4">
        <v>45587</v>
      </c>
      <c r="J1556">
        <f t="shared" si="120"/>
        <v>5</v>
      </c>
      <c r="K1556" t="str">
        <f t="array" ref="K1556">_xlfn.IFS(J1556=1,"Day Use",J1556&lt;=3,"Short Stay",J1556&lt;=7,"Extended Stay",J1556&gt;=8,"Long Stay")</f>
        <v>Extended Stay</v>
      </c>
      <c r="L1556" t="s">
        <v>56</v>
      </c>
      <c r="M1556" s="10" t="str">
        <f t="shared" si="121"/>
        <v>Deluxe</v>
      </c>
      <c r="N1556" t="s">
        <v>148</v>
      </c>
      <c r="O1556" t="s">
        <v>35</v>
      </c>
      <c r="P1556">
        <f>IFERROR(VLOOKUP(TRIM(M1556),Room!D:H,5,FALSE),5000)</f>
        <v>5400</v>
      </c>
      <c r="Q1556">
        <f t="shared" si="122"/>
        <v>27000</v>
      </c>
      <c r="R1556" s="11" t="str">
        <f t="shared" si="123"/>
        <v>Conference</v>
      </c>
      <c r="S1556" s="11">
        <f t="shared" si="124"/>
        <v>3</v>
      </c>
    </row>
    <row r="1557" spans="1:19">
      <c r="A1557" t="s">
        <v>8098</v>
      </c>
      <c r="B1557" t="s">
        <v>8099</v>
      </c>
      <c r="C1557" t="s">
        <v>2510</v>
      </c>
      <c r="D1557" t="s">
        <v>8100</v>
      </c>
      <c r="E1557" t="s">
        <v>8101</v>
      </c>
      <c r="F1557" t="s">
        <v>8102</v>
      </c>
      <c r="G1557" s="4">
        <v>45899</v>
      </c>
      <c r="H1557" s="4">
        <v>45970</v>
      </c>
      <c r="I1557" s="4">
        <v>45979</v>
      </c>
      <c r="J1557">
        <f t="shared" si="120"/>
        <v>9</v>
      </c>
      <c r="K1557" t="str">
        <f t="array" ref="K1557">_xlfn.IFS(J1557=1,"Day Use",J1557&lt;=3,"Short Stay",J1557&lt;=7,"Extended Stay",J1557&gt;=8,"Long Stay")</f>
        <v>Long Stay</v>
      </c>
      <c r="L1557" t="s">
        <v>49</v>
      </c>
      <c r="M1557" s="10" t="str">
        <f t="shared" si="121"/>
        <v>Premium</v>
      </c>
      <c r="N1557" t="s">
        <v>57</v>
      </c>
      <c r="O1557" t="s">
        <v>42</v>
      </c>
      <c r="P1557">
        <f>IFERROR(VLOOKUP(TRIM(M1557),Room!D:H,5,FALSE),5000)</f>
        <v>9500</v>
      </c>
      <c r="Q1557">
        <f t="shared" si="122"/>
        <v>85500</v>
      </c>
      <c r="R1557" s="11" t="str">
        <f t="shared" si="123"/>
        <v>Conference</v>
      </c>
      <c r="S1557" s="11">
        <f t="shared" si="124"/>
        <v>4</v>
      </c>
    </row>
    <row r="1558" spans="1:19">
      <c r="A1558" t="s">
        <v>8103</v>
      </c>
      <c r="B1558" t="s">
        <v>8104</v>
      </c>
      <c r="C1558" t="s">
        <v>667</v>
      </c>
      <c r="D1558" t="s">
        <v>8105</v>
      </c>
      <c r="E1558" t="s">
        <v>8106</v>
      </c>
      <c r="F1558" t="s">
        <v>8107</v>
      </c>
      <c r="G1558" s="4">
        <v>45822</v>
      </c>
      <c r="H1558" s="4">
        <v>45870</v>
      </c>
      <c r="I1558" s="4">
        <v>45876</v>
      </c>
      <c r="J1558">
        <f t="shared" si="120"/>
        <v>6</v>
      </c>
      <c r="K1558" t="str">
        <f t="array" ref="K1558">_xlfn.IFS(J1558=1,"Day Use",J1558&lt;=3,"Short Stay",J1558&lt;=7,"Extended Stay",J1558&gt;=8,"Long Stay")</f>
        <v>Extended Stay</v>
      </c>
      <c r="L1558" t="s">
        <v>141</v>
      </c>
      <c r="M1558" s="10" t="str">
        <f t="shared" si="121"/>
        <v>Deluxe</v>
      </c>
      <c r="N1558" t="s">
        <v>26</v>
      </c>
      <c r="O1558" t="s">
        <v>42</v>
      </c>
      <c r="P1558">
        <f>IFERROR(VLOOKUP(TRIM(M1558),Room!D:H,5,FALSE),5000)</f>
        <v>5400</v>
      </c>
      <c r="Q1558">
        <f t="shared" si="122"/>
        <v>32400</v>
      </c>
      <c r="R1558" s="11" t="str">
        <f t="shared" si="123"/>
        <v>Conference</v>
      </c>
      <c r="S1558" s="11">
        <f t="shared" si="124"/>
        <v>3</v>
      </c>
    </row>
    <row r="1559" spans="1:19">
      <c r="A1559" t="s">
        <v>8108</v>
      </c>
      <c r="B1559" t="s">
        <v>8109</v>
      </c>
      <c r="C1559" t="s">
        <v>288</v>
      </c>
      <c r="D1559" t="s">
        <v>8110</v>
      </c>
      <c r="E1559" t="s">
        <v>8111</v>
      </c>
      <c r="F1559" t="s">
        <v>8112</v>
      </c>
      <c r="G1559" s="4">
        <v>45392</v>
      </c>
      <c r="H1559" s="4">
        <v>45419</v>
      </c>
      <c r="I1559" s="4">
        <v>45428</v>
      </c>
      <c r="J1559">
        <f t="shared" si="120"/>
        <v>9</v>
      </c>
      <c r="K1559" t="str">
        <f t="array" ref="K1559">_xlfn.IFS(J1559=1,"Day Use",J1559&lt;=3,"Short Stay",J1559&lt;=7,"Extended Stay",J1559&gt;=8,"Long Stay")</f>
        <v>Long Stay</v>
      </c>
      <c r="L1559" t="s">
        <v>196</v>
      </c>
      <c r="M1559" s="10" t="str">
        <f t="shared" si="121"/>
        <v>Premium</v>
      </c>
      <c r="N1559" t="s">
        <v>26</v>
      </c>
      <c r="O1559" t="s">
        <v>58</v>
      </c>
      <c r="P1559">
        <f>IFERROR(VLOOKUP(TRIM(M1559),Room!D:H,5,FALSE),5000)</f>
        <v>9500</v>
      </c>
      <c r="Q1559">
        <f t="shared" si="122"/>
        <v>85500</v>
      </c>
      <c r="R1559" s="11" t="str">
        <f t="shared" si="123"/>
        <v>Conference</v>
      </c>
      <c r="S1559" s="11">
        <f t="shared" si="124"/>
        <v>4</v>
      </c>
    </row>
    <row r="1560" spans="1:19">
      <c r="A1560" t="s">
        <v>8113</v>
      </c>
      <c r="B1560" t="s">
        <v>8114</v>
      </c>
      <c r="C1560" t="s">
        <v>4359</v>
      </c>
      <c r="D1560" t="s">
        <v>8115</v>
      </c>
      <c r="E1560" t="s">
        <v>8116</v>
      </c>
      <c r="F1560" t="s">
        <v>8117</v>
      </c>
      <c r="G1560" s="4">
        <v>45207</v>
      </c>
      <c r="H1560" s="4">
        <v>45516</v>
      </c>
      <c r="I1560" s="4">
        <v>45530</v>
      </c>
      <c r="J1560">
        <f t="shared" si="120"/>
        <v>14</v>
      </c>
      <c r="K1560" t="str">
        <f t="array" ref="K1560">_xlfn.IFS(J1560=1,"Day Use",J1560&lt;=3,"Short Stay",J1560&lt;=7,"Extended Stay",J1560&gt;=8,"Long Stay")</f>
        <v>Long Stay</v>
      </c>
      <c r="L1560" t="s">
        <v>34</v>
      </c>
      <c r="M1560" s="10" t="str">
        <f t="shared" si="121"/>
        <v>Suite</v>
      </c>
      <c r="N1560" t="s">
        <v>26</v>
      </c>
      <c r="O1560" t="s">
        <v>71</v>
      </c>
      <c r="P1560">
        <f>IFERROR(VLOOKUP(TRIM(M1560),Room!D:H,5,FALSE),5000)</f>
        <v>12500</v>
      </c>
      <c r="Q1560">
        <f t="shared" si="122"/>
        <v>175000</v>
      </c>
      <c r="R1560" s="11" t="str">
        <f t="shared" si="123"/>
        <v>Business</v>
      </c>
      <c r="S1560" s="11">
        <f t="shared" si="124"/>
        <v>5</v>
      </c>
    </row>
    <row r="1561" spans="1:19">
      <c r="A1561" t="s">
        <v>8118</v>
      </c>
      <c r="B1561" t="s">
        <v>8119</v>
      </c>
      <c r="C1561" t="s">
        <v>311</v>
      </c>
      <c r="D1561" t="s">
        <v>8120</v>
      </c>
      <c r="E1561" t="s">
        <v>8121</v>
      </c>
      <c r="F1561" t="s">
        <v>8122</v>
      </c>
      <c r="G1561" s="4">
        <v>45386</v>
      </c>
      <c r="H1561" s="4">
        <v>46011</v>
      </c>
      <c r="I1561" s="4">
        <v>46016</v>
      </c>
      <c r="J1561">
        <f t="shared" si="120"/>
        <v>5</v>
      </c>
      <c r="K1561" t="str">
        <f t="array" ref="K1561">_xlfn.IFS(J1561=1,"Day Use",J1561&lt;=3,"Short Stay",J1561&lt;=7,"Extended Stay",J1561&gt;=8,"Long Stay")</f>
        <v>Extended Stay</v>
      </c>
      <c r="L1561" t="s">
        <v>34</v>
      </c>
      <c r="M1561" s="10" t="str">
        <f t="shared" si="121"/>
        <v>Deluxe</v>
      </c>
      <c r="N1561" t="s">
        <v>26</v>
      </c>
      <c r="O1561" t="s">
        <v>71</v>
      </c>
      <c r="P1561">
        <f>IFERROR(VLOOKUP(TRIM(M1561),Room!D:H,5,FALSE),5000)</f>
        <v>5400</v>
      </c>
      <c r="Q1561">
        <f t="shared" si="122"/>
        <v>27000</v>
      </c>
      <c r="R1561" s="11" t="str">
        <f t="shared" si="123"/>
        <v>Conference</v>
      </c>
      <c r="S1561" s="11">
        <f t="shared" si="124"/>
        <v>3</v>
      </c>
    </row>
    <row r="1562" spans="1:19">
      <c r="A1562" t="s">
        <v>8123</v>
      </c>
      <c r="B1562" t="s">
        <v>8124</v>
      </c>
      <c r="C1562" t="s">
        <v>575</v>
      </c>
      <c r="D1562" t="s">
        <v>8125</v>
      </c>
      <c r="E1562" t="s">
        <v>8126</v>
      </c>
      <c r="F1562" t="s">
        <v>8127</v>
      </c>
      <c r="G1562" s="4">
        <v>45521</v>
      </c>
      <c r="H1562" s="4">
        <v>45658</v>
      </c>
      <c r="I1562" s="4">
        <v>45661</v>
      </c>
      <c r="J1562">
        <f t="shared" si="120"/>
        <v>3</v>
      </c>
      <c r="K1562" t="str">
        <f t="array" ref="K1562">_xlfn.IFS(J1562=1,"Day Use",J1562&lt;=3,"Short Stay",J1562&lt;=7,"Extended Stay",J1562&gt;=8,"Long Stay")</f>
        <v>Short Stay</v>
      </c>
      <c r="L1562" t="s">
        <v>25</v>
      </c>
      <c r="M1562" s="10" t="str">
        <f t="shared" si="121"/>
        <v>Standard</v>
      </c>
      <c r="N1562" t="s">
        <v>26</v>
      </c>
      <c r="O1562" t="s">
        <v>35</v>
      </c>
      <c r="P1562">
        <f>IFERROR(VLOOKUP(TRIM(M1562),Room!D:H,5,FALSE),5000)</f>
        <v>3200</v>
      </c>
      <c r="Q1562">
        <f t="shared" si="122"/>
        <v>9600</v>
      </c>
      <c r="R1562" s="11" t="str">
        <f t="shared" si="123"/>
        <v>Other</v>
      </c>
      <c r="S1562" s="11">
        <f t="shared" si="124"/>
        <v>2</v>
      </c>
    </row>
    <row r="1563" spans="1:19">
      <c r="A1563" t="s">
        <v>8128</v>
      </c>
      <c r="B1563" t="s">
        <v>8129</v>
      </c>
      <c r="C1563" t="s">
        <v>661</v>
      </c>
      <c r="D1563" t="s">
        <v>8130</v>
      </c>
      <c r="E1563" t="s">
        <v>8131</v>
      </c>
      <c r="F1563" t="s">
        <v>8132</v>
      </c>
      <c r="G1563" s="4">
        <v>45238</v>
      </c>
      <c r="H1563" s="4">
        <v>45621</v>
      </c>
      <c r="I1563" s="4">
        <v>45626</v>
      </c>
      <c r="J1563">
        <f t="shared" si="120"/>
        <v>5</v>
      </c>
      <c r="K1563" t="str">
        <f t="array" ref="K1563">_xlfn.IFS(J1563=1,"Day Use",J1563&lt;=3,"Short Stay",J1563&lt;=7,"Extended Stay",J1563&gt;=8,"Long Stay")</f>
        <v>Extended Stay</v>
      </c>
      <c r="L1563" t="s">
        <v>91</v>
      </c>
      <c r="M1563" s="10" t="str">
        <f t="shared" si="121"/>
        <v>Deluxe</v>
      </c>
      <c r="N1563" t="s">
        <v>57</v>
      </c>
      <c r="O1563" t="s">
        <v>71</v>
      </c>
      <c r="P1563">
        <f>IFERROR(VLOOKUP(TRIM(M1563),Room!D:H,5,FALSE),5000)</f>
        <v>5400</v>
      </c>
      <c r="Q1563">
        <f t="shared" si="122"/>
        <v>27000</v>
      </c>
      <c r="R1563" s="11" t="str">
        <f t="shared" si="123"/>
        <v>Conference</v>
      </c>
      <c r="S1563" s="11">
        <f t="shared" si="124"/>
        <v>3</v>
      </c>
    </row>
    <row r="1564" spans="1:19">
      <c r="A1564" t="s">
        <v>8133</v>
      </c>
      <c r="B1564" t="s">
        <v>8134</v>
      </c>
      <c r="C1564" t="s">
        <v>163</v>
      </c>
      <c r="D1564" t="s">
        <v>8135</v>
      </c>
      <c r="E1564" t="s">
        <v>8136</v>
      </c>
      <c r="F1564" t="s">
        <v>8137</v>
      </c>
      <c r="G1564" s="4">
        <v>45441</v>
      </c>
      <c r="H1564" s="4">
        <v>45758</v>
      </c>
      <c r="I1564" s="4">
        <v>45759</v>
      </c>
      <c r="J1564">
        <f t="shared" si="120"/>
        <v>1</v>
      </c>
      <c r="K1564" t="str">
        <f t="array" ref="K1564">_xlfn.IFS(J1564=1,"Day Use",J1564&lt;=3,"Short Stay",J1564&lt;=7,"Extended Stay",J1564&gt;=8,"Long Stay")</f>
        <v>Day Use</v>
      </c>
      <c r="L1564" t="s">
        <v>84</v>
      </c>
      <c r="M1564" s="10" t="str">
        <f t="shared" si="121"/>
        <v>Standard</v>
      </c>
      <c r="N1564" t="s">
        <v>26</v>
      </c>
      <c r="O1564" t="s">
        <v>35</v>
      </c>
      <c r="P1564">
        <f>IFERROR(VLOOKUP(TRIM(M1564),Room!D:H,5,FALSE),5000)</f>
        <v>3200</v>
      </c>
      <c r="Q1564">
        <f t="shared" si="122"/>
        <v>3200</v>
      </c>
      <c r="R1564" s="11" t="str">
        <f t="shared" si="123"/>
        <v>Other</v>
      </c>
      <c r="S1564" s="11">
        <f t="shared" si="124"/>
        <v>1</v>
      </c>
    </row>
    <row r="1565" spans="1:19">
      <c r="A1565" t="s">
        <v>8138</v>
      </c>
      <c r="B1565" t="s">
        <v>8139</v>
      </c>
      <c r="C1565" t="s">
        <v>223</v>
      </c>
      <c r="D1565" t="s">
        <v>8140</v>
      </c>
      <c r="E1565" t="s">
        <v>8141</v>
      </c>
      <c r="F1565" t="s">
        <v>8142</v>
      </c>
      <c r="G1565" s="4">
        <v>45583</v>
      </c>
      <c r="H1565" s="4">
        <v>45956</v>
      </c>
      <c r="I1565" s="4">
        <v>45970</v>
      </c>
      <c r="J1565">
        <f t="shared" si="120"/>
        <v>14</v>
      </c>
      <c r="K1565" t="str">
        <f t="array" ref="K1565">_xlfn.IFS(J1565=1,"Day Use",J1565&lt;=3,"Short Stay",J1565&lt;=7,"Extended Stay",J1565&gt;=8,"Long Stay")</f>
        <v>Long Stay</v>
      </c>
      <c r="L1565" t="s">
        <v>141</v>
      </c>
      <c r="M1565" s="10" t="str">
        <f t="shared" si="121"/>
        <v>Suite</v>
      </c>
      <c r="N1565" t="s">
        <v>57</v>
      </c>
      <c r="O1565" t="s">
        <v>27</v>
      </c>
      <c r="P1565">
        <f>IFERROR(VLOOKUP(TRIM(M1565),Room!D:H,5,FALSE),5000)</f>
        <v>12500</v>
      </c>
      <c r="Q1565">
        <f t="shared" si="122"/>
        <v>175000</v>
      </c>
      <c r="R1565" s="11" t="str">
        <f t="shared" si="123"/>
        <v>Business</v>
      </c>
      <c r="S1565" s="11">
        <f t="shared" si="124"/>
        <v>5</v>
      </c>
    </row>
    <row r="1566" spans="1:19">
      <c r="A1566" t="s">
        <v>8143</v>
      </c>
      <c r="B1566" t="s">
        <v>8144</v>
      </c>
      <c r="C1566" t="s">
        <v>363</v>
      </c>
      <c r="D1566" t="s">
        <v>8145</v>
      </c>
      <c r="E1566" t="s">
        <v>8146</v>
      </c>
      <c r="F1566" t="s">
        <v>8147</v>
      </c>
      <c r="G1566" s="4">
        <v>45302</v>
      </c>
      <c r="H1566" s="4">
        <v>45308</v>
      </c>
      <c r="I1566" s="4">
        <v>45315</v>
      </c>
      <c r="J1566">
        <f t="shared" si="120"/>
        <v>7</v>
      </c>
      <c r="K1566" t="str">
        <f t="array" ref="K1566">_xlfn.IFS(J1566=1,"Day Use",J1566&lt;=3,"Short Stay",J1566&lt;=7,"Extended Stay",J1566&gt;=8,"Long Stay")</f>
        <v>Extended Stay</v>
      </c>
      <c r="L1566" t="s">
        <v>84</v>
      </c>
      <c r="M1566" s="10" t="str">
        <f t="shared" si="121"/>
        <v>Premium</v>
      </c>
      <c r="N1566" t="s">
        <v>57</v>
      </c>
      <c r="O1566" t="s">
        <v>35</v>
      </c>
      <c r="P1566">
        <f>IFERROR(VLOOKUP(TRIM(M1566),Room!D:H,5,FALSE),5000)</f>
        <v>9500</v>
      </c>
      <c r="Q1566">
        <f t="shared" si="122"/>
        <v>66500</v>
      </c>
      <c r="R1566" s="11" t="str">
        <f t="shared" si="123"/>
        <v>Conference</v>
      </c>
      <c r="S1566" s="11">
        <f t="shared" si="124"/>
        <v>4</v>
      </c>
    </row>
    <row r="1567" spans="1:19">
      <c r="A1567" t="s">
        <v>8148</v>
      </c>
      <c r="B1567" t="s">
        <v>8149</v>
      </c>
      <c r="C1567" t="s">
        <v>2313</v>
      </c>
      <c r="D1567" t="s">
        <v>8150</v>
      </c>
      <c r="E1567" t="s">
        <v>8151</v>
      </c>
      <c r="F1567" t="s">
        <v>8152</v>
      </c>
      <c r="G1567" s="4">
        <v>45343</v>
      </c>
      <c r="H1567" s="4">
        <v>45360</v>
      </c>
      <c r="I1567" s="4">
        <v>45371</v>
      </c>
      <c r="J1567">
        <f t="shared" si="120"/>
        <v>11</v>
      </c>
      <c r="K1567" t="str">
        <f t="array" ref="K1567">_xlfn.IFS(J1567=1,"Day Use",J1567&lt;=3,"Short Stay",J1567&lt;=7,"Extended Stay",J1567&gt;=8,"Long Stay")</f>
        <v>Long Stay</v>
      </c>
      <c r="L1567" t="s">
        <v>84</v>
      </c>
      <c r="M1567" s="10" t="str">
        <f t="shared" si="121"/>
        <v>Suite</v>
      </c>
      <c r="N1567" t="s">
        <v>26</v>
      </c>
      <c r="O1567" t="s">
        <v>71</v>
      </c>
      <c r="P1567">
        <f>IFERROR(VLOOKUP(TRIM(M1567),Room!D:H,5,FALSE),5000)</f>
        <v>12500</v>
      </c>
      <c r="Q1567">
        <f t="shared" si="122"/>
        <v>137500</v>
      </c>
      <c r="R1567" s="11" t="str">
        <f t="shared" si="123"/>
        <v>Business</v>
      </c>
      <c r="S1567" s="11">
        <f t="shared" si="124"/>
        <v>5</v>
      </c>
    </row>
    <row r="1568" spans="1:19">
      <c r="A1568" t="s">
        <v>8153</v>
      </c>
      <c r="B1568" t="s">
        <v>8154</v>
      </c>
      <c r="C1568" t="s">
        <v>1330</v>
      </c>
      <c r="D1568" t="s">
        <v>8155</v>
      </c>
      <c r="E1568" t="s">
        <v>8156</v>
      </c>
      <c r="F1568" t="s">
        <v>8157</v>
      </c>
      <c r="G1568" s="4">
        <v>45200</v>
      </c>
      <c r="H1568" s="4">
        <v>45674</v>
      </c>
      <c r="I1568" s="4">
        <v>45688</v>
      </c>
      <c r="J1568">
        <f t="shared" si="120"/>
        <v>14</v>
      </c>
      <c r="K1568" t="str">
        <f t="array" ref="K1568">_xlfn.IFS(J1568=1,"Day Use",J1568&lt;=3,"Short Stay",J1568&lt;=7,"Extended Stay",J1568&gt;=8,"Long Stay")</f>
        <v>Long Stay</v>
      </c>
      <c r="L1568" t="s">
        <v>25</v>
      </c>
      <c r="M1568" s="10" t="str">
        <f t="shared" si="121"/>
        <v>Suite</v>
      </c>
      <c r="N1568" t="s">
        <v>26</v>
      </c>
      <c r="O1568" t="s">
        <v>27</v>
      </c>
      <c r="P1568">
        <f>IFERROR(VLOOKUP(TRIM(M1568),Room!D:H,5,FALSE),5000)</f>
        <v>12500</v>
      </c>
      <c r="Q1568">
        <f t="shared" si="122"/>
        <v>175000</v>
      </c>
      <c r="R1568" s="11" t="str">
        <f t="shared" si="123"/>
        <v>Business</v>
      </c>
      <c r="S1568" s="11">
        <f t="shared" si="124"/>
        <v>5</v>
      </c>
    </row>
    <row r="1569" spans="1:19">
      <c r="A1569" t="s">
        <v>8158</v>
      </c>
      <c r="B1569" t="s">
        <v>8159</v>
      </c>
      <c r="C1569" t="s">
        <v>449</v>
      </c>
      <c r="D1569" t="s">
        <v>8160</v>
      </c>
      <c r="E1569" t="s">
        <v>8161</v>
      </c>
      <c r="F1569" t="s">
        <v>8162</v>
      </c>
      <c r="G1569" s="4">
        <v>45329</v>
      </c>
      <c r="H1569" s="4">
        <v>45342</v>
      </c>
      <c r="I1569" s="4">
        <v>45347</v>
      </c>
      <c r="J1569">
        <f t="shared" si="120"/>
        <v>5</v>
      </c>
      <c r="K1569" t="str">
        <f t="array" ref="K1569">_xlfn.IFS(J1569=1,"Day Use",J1569&lt;=3,"Short Stay",J1569&lt;=7,"Extended Stay",J1569&gt;=8,"Long Stay")</f>
        <v>Extended Stay</v>
      </c>
      <c r="L1569" t="s">
        <v>49</v>
      </c>
      <c r="M1569" s="10" t="str">
        <f t="shared" si="121"/>
        <v>Deluxe</v>
      </c>
      <c r="N1569" t="s">
        <v>372</v>
      </c>
      <c r="O1569" t="s">
        <v>35</v>
      </c>
      <c r="P1569">
        <f>IFERROR(VLOOKUP(TRIM(M1569),Room!D:H,5,FALSE),5000)</f>
        <v>5400</v>
      </c>
      <c r="Q1569">
        <f t="shared" si="122"/>
        <v>27000</v>
      </c>
      <c r="R1569" s="11" t="str">
        <f t="shared" si="123"/>
        <v>Conference</v>
      </c>
      <c r="S1569" s="11">
        <f t="shared" si="124"/>
        <v>3</v>
      </c>
    </row>
    <row r="1570" spans="1:19">
      <c r="A1570" t="s">
        <v>8163</v>
      </c>
      <c r="B1570" t="s">
        <v>8164</v>
      </c>
      <c r="C1570" t="s">
        <v>2329</v>
      </c>
      <c r="D1570" t="s">
        <v>8165</v>
      </c>
      <c r="E1570" t="s">
        <v>8166</v>
      </c>
      <c r="F1570" t="s">
        <v>8167</v>
      </c>
      <c r="G1570" s="4">
        <v>45466</v>
      </c>
      <c r="H1570" s="4">
        <v>45936</v>
      </c>
      <c r="I1570" s="4">
        <v>45937</v>
      </c>
      <c r="J1570">
        <f t="shared" si="120"/>
        <v>1</v>
      </c>
      <c r="K1570" t="str">
        <f t="array" ref="K1570">_xlfn.IFS(J1570=1,"Day Use",J1570&lt;=3,"Short Stay",J1570&lt;=7,"Extended Stay",J1570&gt;=8,"Long Stay")</f>
        <v>Day Use</v>
      </c>
      <c r="L1570" t="s">
        <v>25</v>
      </c>
      <c r="M1570" s="10" t="str">
        <f t="shared" si="121"/>
        <v>Standard</v>
      </c>
      <c r="N1570" t="s">
        <v>26</v>
      </c>
      <c r="O1570" t="s">
        <v>58</v>
      </c>
      <c r="P1570">
        <f>IFERROR(VLOOKUP(TRIM(M1570),Room!D:H,5,FALSE),5000)</f>
        <v>3200</v>
      </c>
      <c r="Q1570">
        <f t="shared" si="122"/>
        <v>3200</v>
      </c>
      <c r="R1570" s="11" t="str">
        <f t="shared" si="123"/>
        <v>Other</v>
      </c>
      <c r="S1570" s="11">
        <f t="shared" si="124"/>
        <v>1</v>
      </c>
    </row>
    <row r="1571" spans="1:19">
      <c r="A1571" t="s">
        <v>8168</v>
      </c>
      <c r="B1571" t="s">
        <v>8169</v>
      </c>
      <c r="C1571" t="s">
        <v>229</v>
      </c>
      <c r="D1571" t="s">
        <v>8170</v>
      </c>
      <c r="E1571" t="s">
        <v>8171</v>
      </c>
      <c r="F1571" t="s">
        <v>8172</v>
      </c>
      <c r="G1571" s="4">
        <v>45313</v>
      </c>
      <c r="H1571" s="4">
        <v>45368</v>
      </c>
      <c r="I1571" s="4">
        <v>45381</v>
      </c>
      <c r="J1571">
        <f t="shared" si="120"/>
        <v>13</v>
      </c>
      <c r="K1571" t="str">
        <f t="array" ref="K1571">_xlfn.IFS(J1571=1,"Day Use",J1571&lt;=3,"Short Stay",J1571&lt;=7,"Extended Stay",J1571&gt;=8,"Long Stay")</f>
        <v>Long Stay</v>
      </c>
      <c r="L1571" t="s">
        <v>84</v>
      </c>
      <c r="M1571" s="10" t="str">
        <f t="shared" si="121"/>
        <v>Suite</v>
      </c>
      <c r="N1571" t="s">
        <v>26</v>
      </c>
      <c r="O1571" t="s">
        <v>35</v>
      </c>
      <c r="P1571">
        <f>IFERROR(VLOOKUP(TRIM(M1571),Room!D:H,5,FALSE),5000)</f>
        <v>12500</v>
      </c>
      <c r="Q1571">
        <f t="shared" si="122"/>
        <v>162500</v>
      </c>
      <c r="R1571" s="11" t="str">
        <f t="shared" si="123"/>
        <v>Business</v>
      </c>
      <c r="S1571" s="11">
        <f t="shared" si="124"/>
        <v>5</v>
      </c>
    </row>
    <row r="1572" spans="1:19">
      <c r="A1572" t="s">
        <v>8173</v>
      </c>
      <c r="B1572" t="s">
        <v>8174</v>
      </c>
      <c r="C1572" t="s">
        <v>2041</v>
      </c>
      <c r="D1572" t="s">
        <v>8175</v>
      </c>
      <c r="E1572" t="s">
        <v>8176</v>
      </c>
      <c r="F1572" t="s">
        <v>8177</v>
      </c>
      <c r="G1572" s="4">
        <v>45300</v>
      </c>
      <c r="H1572" s="4">
        <v>45321</v>
      </c>
      <c r="I1572" s="4">
        <v>45334</v>
      </c>
      <c r="J1572">
        <f t="shared" si="120"/>
        <v>13</v>
      </c>
      <c r="K1572" t="str">
        <f t="array" ref="K1572">_xlfn.IFS(J1572=1,"Day Use",J1572&lt;=3,"Short Stay",J1572&lt;=7,"Extended Stay",J1572&gt;=8,"Long Stay")</f>
        <v>Long Stay</v>
      </c>
      <c r="L1572" t="s">
        <v>91</v>
      </c>
      <c r="M1572" s="10" t="str">
        <f t="shared" si="121"/>
        <v>Suite</v>
      </c>
      <c r="N1572" t="s">
        <v>57</v>
      </c>
      <c r="O1572" t="s">
        <v>42</v>
      </c>
      <c r="P1572">
        <f>IFERROR(VLOOKUP(TRIM(M1572),Room!D:H,5,FALSE),5000)</f>
        <v>12500</v>
      </c>
      <c r="Q1572">
        <f t="shared" si="122"/>
        <v>162500</v>
      </c>
      <c r="R1572" s="11" t="str">
        <f t="shared" si="123"/>
        <v>Business</v>
      </c>
      <c r="S1572" s="11">
        <f t="shared" si="124"/>
        <v>5</v>
      </c>
    </row>
    <row r="1573" spans="1:19">
      <c r="A1573" t="s">
        <v>8178</v>
      </c>
      <c r="B1573" t="s">
        <v>8179</v>
      </c>
      <c r="C1573" t="s">
        <v>506</v>
      </c>
      <c r="D1573" t="s">
        <v>8180</v>
      </c>
      <c r="E1573" t="s">
        <v>8181</v>
      </c>
      <c r="F1573" t="s">
        <v>8182</v>
      </c>
      <c r="G1573" s="4">
        <v>45331</v>
      </c>
      <c r="H1573" s="4">
        <v>45353</v>
      </c>
      <c r="I1573" s="4">
        <v>45360</v>
      </c>
      <c r="J1573">
        <f t="shared" si="120"/>
        <v>7</v>
      </c>
      <c r="K1573" t="str">
        <f t="array" ref="K1573">_xlfn.IFS(J1573=1,"Day Use",J1573&lt;=3,"Short Stay",J1573&lt;=7,"Extended Stay",J1573&gt;=8,"Long Stay")</f>
        <v>Extended Stay</v>
      </c>
      <c r="L1573" t="s">
        <v>49</v>
      </c>
      <c r="M1573" s="10" t="str">
        <f t="shared" si="121"/>
        <v>Premium</v>
      </c>
      <c r="N1573" t="s">
        <v>26</v>
      </c>
      <c r="O1573" t="s">
        <v>58</v>
      </c>
      <c r="P1573">
        <f>IFERROR(VLOOKUP(TRIM(M1573),Room!D:H,5,FALSE),5000)</f>
        <v>9500</v>
      </c>
      <c r="Q1573">
        <f t="shared" si="122"/>
        <v>66500</v>
      </c>
      <c r="R1573" s="11" t="str">
        <f t="shared" si="123"/>
        <v>Conference</v>
      </c>
      <c r="S1573" s="11">
        <f t="shared" si="124"/>
        <v>4</v>
      </c>
    </row>
    <row r="1574" spans="1:19">
      <c r="A1574" t="s">
        <v>8183</v>
      </c>
      <c r="B1574" t="s">
        <v>8184</v>
      </c>
      <c r="C1574" t="s">
        <v>449</v>
      </c>
      <c r="D1574" t="s">
        <v>8185</v>
      </c>
      <c r="E1574" t="s">
        <v>8186</v>
      </c>
      <c r="F1574" t="s">
        <v>8187</v>
      </c>
      <c r="G1574" s="4">
        <v>45406</v>
      </c>
      <c r="H1574" s="4">
        <v>45820</v>
      </c>
      <c r="I1574" s="4">
        <v>45830</v>
      </c>
      <c r="J1574">
        <f t="shared" si="120"/>
        <v>10</v>
      </c>
      <c r="K1574" t="str">
        <f t="array" ref="K1574">_xlfn.IFS(J1574=1,"Day Use",J1574&lt;=3,"Short Stay",J1574&lt;=7,"Extended Stay",J1574&gt;=8,"Long Stay")</f>
        <v>Long Stay</v>
      </c>
      <c r="L1574" t="s">
        <v>196</v>
      </c>
      <c r="M1574" s="10" t="str">
        <f t="shared" si="121"/>
        <v>Premium</v>
      </c>
      <c r="N1574" t="s">
        <v>26</v>
      </c>
      <c r="O1574" t="s">
        <v>58</v>
      </c>
      <c r="P1574">
        <f>IFERROR(VLOOKUP(TRIM(M1574),Room!D:H,5,FALSE),5000)</f>
        <v>9500</v>
      </c>
      <c r="Q1574">
        <f t="shared" si="122"/>
        <v>95000</v>
      </c>
      <c r="R1574" s="11" t="str">
        <f t="shared" si="123"/>
        <v>Conference</v>
      </c>
      <c r="S1574" s="11">
        <f t="shared" si="124"/>
        <v>4</v>
      </c>
    </row>
    <row r="1575" spans="1:19">
      <c r="A1575" t="s">
        <v>8188</v>
      </c>
      <c r="B1575" t="s">
        <v>8189</v>
      </c>
      <c r="C1575" t="s">
        <v>61</v>
      </c>
      <c r="D1575" t="s">
        <v>8190</v>
      </c>
      <c r="E1575" t="s">
        <v>8191</v>
      </c>
      <c r="F1575" t="s">
        <v>8192</v>
      </c>
      <c r="G1575" s="4">
        <v>45280</v>
      </c>
      <c r="H1575" s="4">
        <v>45592</v>
      </c>
      <c r="I1575" s="4">
        <v>45601</v>
      </c>
      <c r="J1575">
        <f t="shared" si="120"/>
        <v>9</v>
      </c>
      <c r="K1575" t="str">
        <f t="array" ref="K1575">_xlfn.IFS(J1575=1,"Day Use",J1575&lt;=3,"Short Stay",J1575&lt;=7,"Extended Stay",J1575&gt;=8,"Long Stay")</f>
        <v>Long Stay</v>
      </c>
      <c r="L1575" t="s">
        <v>141</v>
      </c>
      <c r="M1575" s="10" t="str">
        <f t="shared" si="121"/>
        <v>Premium</v>
      </c>
      <c r="N1575" t="s">
        <v>26</v>
      </c>
      <c r="O1575" t="s">
        <v>58</v>
      </c>
      <c r="P1575">
        <f>IFERROR(VLOOKUP(TRIM(M1575),Room!D:H,5,FALSE),5000)</f>
        <v>9500</v>
      </c>
      <c r="Q1575">
        <f t="shared" si="122"/>
        <v>85500</v>
      </c>
      <c r="R1575" s="11" t="str">
        <f t="shared" si="123"/>
        <v>Conference</v>
      </c>
      <c r="S1575" s="11">
        <f t="shared" si="124"/>
        <v>4</v>
      </c>
    </row>
    <row r="1576" spans="1:19">
      <c r="A1576" t="s">
        <v>8193</v>
      </c>
      <c r="B1576" t="s">
        <v>8194</v>
      </c>
      <c r="C1576" t="s">
        <v>1594</v>
      </c>
      <c r="D1576" t="s">
        <v>8195</v>
      </c>
      <c r="E1576" t="s">
        <v>8196</v>
      </c>
      <c r="F1576" t="s">
        <v>8197</v>
      </c>
      <c r="G1576" s="4">
        <v>45865</v>
      </c>
      <c r="H1576" s="4">
        <v>45923</v>
      </c>
      <c r="I1576" s="4">
        <v>45930</v>
      </c>
      <c r="J1576">
        <f t="shared" si="120"/>
        <v>7</v>
      </c>
      <c r="K1576" t="str">
        <f t="array" ref="K1576">_xlfn.IFS(J1576=1,"Day Use",J1576&lt;=3,"Short Stay",J1576&lt;=7,"Extended Stay",J1576&gt;=8,"Long Stay")</f>
        <v>Extended Stay</v>
      </c>
      <c r="L1576" t="s">
        <v>34</v>
      </c>
      <c r="M1576" s="10" t="str">
        <f t="shared" si="121"/>
        <v>Premium</v>
      </c>
      <c r="N1576" t="s">
        <v>26</v>
      </c>
      <c r="O1576" t="s">
        <v>71</v>
      </c>
      <c r="P1576">
        <f>IFERROR(VLOOKUP(TRIM(M1576),Room!D:H,5,FALSE),5000)</f>
        <v>9500</v>
      </c>
      <c r="Q1576">
        <f t="shared" si="122"/>
        <v>66500</v>
      </c>
      <c r="R1576" s="11" t="str">
        <f t="shared" si="123"/>
        <v>Conference</v>
      </c>
      <c r="S1576" s="11">
        <f t="shared" si="124"/>
        <v>4</v>
      </c>
    </row>
    <row r="1577" spans="1:19">
      <c r="A1577" t="s">
        <v>8198</v>
      </c>
      <c r="B1577" t="s">
        <v>8199</v>
      </c>
      <c r="C1577" t="s">
        <v>432</v>
      </c>
      <c r="D1577" t="s">
        <v>8200</v>
      </c>
      <c r="E1577" t="s">
        <v>8201</v>
      </c>
      <c r="F1577" t="s">
        <v>8202</v>
      </c>
      <c r="G1577" s="4">
        <v>45703</v>
      </c>
      <c r="H1577" s="4">
        <v>45873</v>
      </c>
      <c r="I1577" s="4">
        <v>45884</v>
      </c>
      <c r="J1577">
        <f t="shared" si="120"/>
        <v>11</v>
      </c>
      <c r="K1577" t="str">
        <f t="array" ref="K1577">_xlfn.IFS(J1577=1,"Day Use",J1577&lt;=3,"Short Stay",J1577&lt;=7,"Extended Stay",J1577&gt;=8,"Long Stay")</f>
        <v>Long Stay</v>
      </c>
      <c r="L1577" t="s">
        <v>84</v>
      </c>
      <c r="M1577" s="10" t="str">
        <f t="shared" si="121"/>
        <v>Suite</v>
      </c>
      <c r="N1577" t="s">
        <v>26</v>
      </c>
      <c r="O1577" t="s">
        <v>58</v>
      </c>
      <c r="P1577">
        <f>IFERROR(VLOOKUP(TRIM(M1577),Room!D:H,5,FALSE),5000)</f>
        <v>12500</v>
      </c>
      <c r="Q1577">
        <f t="shared" si="122"/>
        <v>137500</v>
      </c>
      <c r="R1577" s="11" t="str">
        <f t="shared" si="123"/>
        <v>Business</v>
      </c>
      <c r="S1577" s="11">
        <f t="shared" si="124"/>
        <v>5</v>
      </c>
    </row>
    <row r="1578" spans="1:19">
      <c r="A1578" t="s">
        <v>8203</v>
      </c>
      <c r="B1578" t="s">
        <v>8204</v>
      </c>
      <c r="C1578" t="s">
        <v>2815</v>
      </c>
      <c r="D1578" t="s">
        <v>8205</v>
      </c>
      <c r="E1578" t="s">
        <v>8206</v>
      </c>
      <c r="F1578" t="s">
        <v>8207</v>
      </c>
      <c r="G1578" s="4">
        <v>45849</v>
      </c>
      <c r="H1578" s="4">
        <v>45858</v>
      </c>
      <c r="I1578" s="4">
        <v>45864</v>
      </c>
      <c r="J1578">
        <f t="shared" si="120"/>
        <v>6</v>
      </c>
      <c r="K1578" t="str">
        <f t="array" ref="K1578">_xlfn.IFS(J1578=1,"Day Use",J1578&lt;=3,"Short Stay",J1578&lt;=7,"Extended Stay",J1578&gt;=8,"Long Stay")</f>
        <v>Extended Stay</v>
      </c>
      <c r="L1578" t="s">
        <v>91</v>
      </c>
      <c r="M1578" s="10" t="str">
        <f t="shared" si="121"/>
        <v>Deluxe</v>
      </c>
      <c r="N1578" t="s">
        <v>26</v>
      </c>
      <c r="O1578" t="s">
        <v>35</v>
      </c>
      <c r="P1578">
        <f>IFERROR(VLOOKUP(TRIM(M1578),Room!D:H,5,FALSE),5000)</f>
        <v>5400</v>
      </c>
      <c r="Q1578">
        <f t="shared" si="122"/>
        <v>32400</v>
      </c>
      <c r="R1578" s="11" t="str">
        <f t="shared" si="123"/>
        <v>Conference</v>
      </c>
      <c r="S1578" s="11">
        <f t="shared" si="124"/>
        <v>3</v>
      </c>
    </row>
    <row r="1579" spans="1:19">
      <c r="A1579" t="s">
        <v>8208</v>
      </c>
      <c r="B1579" t="s">
        <v>8209</v>
      </c>
      <c r="C1579" t="s">
        <v>8210</v>
      </c>
      <c r="D1579" t="s">
        <v>8211</v>
      </c>
      <c r="E1579" t="s">
        <v>8212</v>
      </c>
      <c r="F1579" t="s">
        <v>8213</v>
      </c>
      <c r="G1579" s="4">
        <v>45537</v>
      </c>
      <c r="H1579" s="4">
        <v>45995</v>
      </c>
      <c r="I1579" s="4">
        <v>45996</v>
      </c>
      <c r="J1579">
        <f t="shared" si="120"/>
        <v>1</v>
      </c>
      <c r="K1579" t="str">
        <f t="array" ref="K1579">_xlfn.IFS(J1579=1,"Day Use",J1579&lt;=3,"Short Stay",J1579&lt;=7,"Extended Stay",J1579&gt;=8,"Long Stay")</f>
        <v>Day Use</v>
      </c>
      <c r="L1579" t="s">
        <v>25</v>
      </c>
      <c r="M1579" s="10" t="str">
        <f t="shared" si="121"/>
        <v>Standard</v>
      </c>
      <c r="N1579" t="s">
        <v>26</v>
      </c>
      <c r="O1579" t="s">
        <v>35</v>
      </c>
      <c r="P1579">
        <f>IFERROR(VLOOKUP(TRIM(M1579),Room!D:H,5,FALSE),5000)</f>
        <v>3200</v>
      </c>
      <c r="Q1579">
        <f t="shared" si="122"/>
        <v>3200</v>
      </c>
      <c r="R1579" s="11" t="str">
        <f t="shared" si="123"/>
        <v>Other</v>
      </c>
      <c r="S1579" s="11">
        <f t="shared" si="124"/>
        <v>1</v>
      </c>
    </row>
    <row r="1580" spans="1:19">
      <c r="A1580" t="s">
        <v>8214</v>
      </c>
      <c r="B1580" t="s">
        <v>8215</v>
      </c>
      <c r="C1580" t="s">
        <v>421</v>
      </c>
      <c r="D1580" t="s">
        <v>8216</v>
      </c>
      <c r="E1580" t="s">
        <v>8217</v>
      </c>
      <c r="F1580" t="s">
        <v>8218</v>
      </c>
      <c r="G1580" s="4">
        <v>45299</v>
      </c>
      <c r="H1580" s="4">
        <v>46003</v>
      </c>
      <c r="I1580" s="4">
        <v>46014</v>
      </c>
      <c r="J1580">
        <f t="shared" si="120"/>
        <v>11</v>
      </c>
      <c r="K1580" t="str">
        <f t="array" ref="K1580">_xlfn.IFS(J1580=1,"Day Use",J1580&lt;=3,"Short Stay",J1580&lt;=7,"Extended Stay",J1580&gt;=8,"Long Stay")</f>
        <v>Long Stay</v>
      </c>
      <c r="L1580" t="s">
        <v>196</v>
      </c>
      <c r="M1580" s="10" t="str">
        <f t="shared" si="121"/>
        <v>Suite</v>
      </c>
      <c r="N1580" t="s">
        <v>26</v>
      </c>
      <c r="O1580" t="s">
        <v>35</v>
      </c>
      <c r="P1580">
        <f>IFERROR(VLOOKUP(TRIM(M1580),Room!D:H,5,FALSE),5000)</f>
        <v>12500</v>
      </c>
      <c r="Q1580">
        <f t="shared" si="122"/>
        <v>137500</v>
      </c>
      <c r="R1580" s="11" t="str">
        <f t="shared" si="123"/>
        <v>Business</v>
      </c>
      <c r="S1580" s="11">
        <f t="shared" si="124"/>
        <v>5</v>
      </c>
    </row>
    <row r="1581" spans="1:19">
      <c r="A1581" t="s">
        <v>8219</v>
      </c>
      <c r="B1581" t="s">
        <v>8220</v>
      </c>
      <c r="C1581" t="s">
        <v>333</v>
      </c>
      <c r="D1581" t="s">
        <v>8221</v>
      </c>
      <c r="E1581" t="s">
        <v>8222</v>
      </c>
      <c r="F1581" t="s">
        <v>8223</v>
      </c>
      <c r="G1581" s="4">
        <v>45418</v>
      </c>
      <c r="H1581" s="4">
        <v>45429</v>
      </c>
      <c r="I1581" s="4">
        <v>45436</v>
      </c>
      <c r="J1581">
        <f t="shared" si="120"/>
        <v>7</v>
      </c>
      <c r="K1581" t="str">
        <f t="array" ref="K1581">_xlfn.IFS(J1581=1,"Day Use",J1581&lt;=3,"Short Stay",J1581&lt;=7,"Extended Stay",J1581&gt;=8,"Long Stay")</f>
        <v>Extended Stay</v>
      </c>
      <c r="L1581" t="s">
        <v>91</v>
      </c>
      <c r="M1581" s="10" t="str">
        <f t="shared" si="121"/>
        <v>Premium</v>
      </c>
      <c r="N1581" t="s">
        <v>26</v>
      </c>
      <c r="O1581" t="s">
        <v>35</v>
      </c>
      <c r="P1581">
        <f>IFERROR(VLOOKUP(TRIM(M1581),Room!D:H,5,FALSE),5000)</f>
        <v>9500</v>
      </c>
      <c r="Q1581">
        <f t="shared" si="122"/>
        <v>66500</v>
      </c>
      <c r="R1581" s="11" t="str">
        <f t="shared" si="123"/>
        <v>Conference</v>
      </c>
      <c r="S1581" s="11">
        <f t="shared" si="124"/>
        <v>4</v>
      </c>
    </row>
    <row r="1582" spans="1:19">
      <c r="A1582" t="s">
        <v>8224</v>
      </c>
      <c r="B1582" t="s">
        <v>8225</v>
      </c>
      <c r="C1582" t="s">
        <v>982</v>
      </c>
      <c r="D1582" t="s">
        <v>8226</v>
      </c>
      <c r="E1582" t="s">
        <v>8227</v>
      </c>
      <c r="F1582" t="s">
        <v>8228</v>
      </c>
      <c r="G1582" s="4">
        <v>45562</v>
      </c>
      <c r="H1582" s="4">
        <v>45829</v>
      </c>
      <c r="I1582" s="4">
        <v>45840</v>
      </c>
      <c r="J1582">
        <f t="shared" si="120"/>
        <v>11</v>
      </c>
      <c r="K1582" t="str">
        <f t="array" ref="K1582">_xlfn.IFS(J1582=1,"Day Use",J1582&lt;=3,"Short Stay",J1582&lt;=7,"Extended Stay",J1582&gt;=8,"Long Stay")</f>
        <v>Long Stay</v>
      </c>
      <c r="L1582" t="s">
        <v>25</v>
      </c>
      <c r="M1582" s="10" t="str">
        <f t="shared" si="121"/>
        <v>Suite</v>
      </c>
      <c r="N1582" t="s">
        <v>26</v>
      </c>
      <c r="O1582" t="s">
        <v>27</v>
      </c>
      <c r="P1582">
        <f>IFERROR(VLOOKUP(TRIM(M1582),Room!D:H,5,FALSE),5000)</f>
        <v>12500</v>
      </c>
      <c r="Q1582">
        <f t="shared" si="122"/>
        <v>137500</v>
      </c>
      <c r="R1582" s="11" t="str">
        <f t="shared" si="123"/>
        <v>Business</v>
      </c>
      <c r="S1582" s="11">
        <f t="shared" si="124"/>
        <v>5</v>
      </c>
    </row>
    <row r="1583" spans="1:19">
      <c r="A1583" t="s">
        <v>8229</v>
      </c>
      <c r="B1583" t="s">
        <v>8230</v>
      </c>
      <c r="C1583" t="s">
        <v>3494</v>
      </c>
      <c r="D1583" t="s">
        <v>8231</v>
      </c>
      <c r="E1583" t="s">
        <v>8232</v>
      </c>
      <c r="F1583" t="s">
        <v>8233</v>
      </c>
      <c r="G1583" s="4">
        <v>45682</v>
      </c>
      <c r="H1583" s="4">
        <v>45949</v>
      </c>
      <c r="I1583" s="4">
        <v>45956</v>
      </c>
      <c r="J1583">
        <f t="shared" si="120"/>
        <v>7</v>
      </c>
      <c r="K1583" t="str">
        <f t="array" ref="K1583">_xlfn.IFS(J1583=1,"Day Use",J1583&lt;=3,"Short Stay",J1583&lt;=7,"Extended Stay",J1583&gt;=8,"Long Stay")</f>
        <v>Extended Stay</v>
      </c>
      <c r="L1583" t="s">
        <v>49</v>
      </c>
      <c r="M1583" s="10" t="str">
        <f t="shared" si="121"/>
        <v>Premium</v>
      </c>
      <c r="N1583" t="s">
        <v>26</v>
      </c>
      <c r="O1583" t="s">
        <v>42</v>
      </c>
      <c r="P1583">
        <f>IFERROR(VLOOKUP(TRIM(M1583),Room!D:H,5,FALSE),5000)</f>
        <v>9500</v>
      </c>
      <c r="Q1583">
        <f t="shared" si="122"/>
        <v>66500</v>
      </c>
      <c r="R1583" s="11" t="str">
        <f t="shared" si="123"/>
        <v>Conference</v>
      </c>
      <c r="S1583" s="11">
        <f t="shared" si="124"/>
        <v>4</v>
      </c>
    </row>
    <row r="1584" spans="1:19">
      <c r="A1584" t="s">
        <v>8234</v>
      </c>
      <c r="B1584" t="s">
        <v>8235</v>
      </c>
      <c r="C1584" t="s">
        <v>345</v>
      </c>
      <c r="D1584" t="s">
        <v>8236</v>
      </c>
      <c r="E1584" t="s">
        <v>8237</v>
      </c>
      <c r="F1584" t="s">
        <v>8238</v>
      </c>
      <c r="G1584" s="4">
        <v>45485</v>
      </c>
      <c r="H1584" s="4">
        <v>45869</v>
      </c>
      <c r="I1584" s="4">
        <v>45873</v>
      </c>
      <c r="J1584">
        <f t="shared" si="120"/>
        <v>4</v>
      </c>
      <c r="K1584" t="str">
        <f t="array" ref="K1584">_xlfn.IFS(J1584=1,"Day Use",J1584&lt;=3,"Short Stay",J1584&lt;=7,"Extended Stay",J1584&gt;=8,"Long Stay")</f>
        <v>Extended Stay</v>
      </c>
      <c r="L1584" t="s">
        <v>34</v>
      </c>
      <c r="M1584" s="10" t="str">
        <f t="shared" si="121"/>
        <v>Deluxe</v>
      </c>
      <c r="N1584" t="s">
        <v>26</v>
      </c>
      <c r="O1584" t="s">
        <v>35</v>
      </c>
      <c r="P1584">
        <f>IFERROR(VLOOKUP(TRIM(M1584),Room!D:H,5,FALSE),5000)</f>
        <v>5400</v>
      </c>
      <c r="Q1584">
        <f t="shared" si="122"/>
        <v>21600</v>
      </c>
      <c r="R1584" s="11" t="str">
        <f t="shared" si="123"/>
        <v>Conference</v>
      </c>
      <c r="S1584" s="11">
        <f t="shared" si="124"/>
        <v>3</v>
      </c>
    </row>
    <row r="1585" spans="1:19">
      <c r="A1585" t="s">
        <v>8239</v>
      </c>
      <c r="B1585" t="s">
        <v>8240</v>
      </c>
      <c r="C1585" t="s">
        <v>100</v>
      </c>
      <c r="D1585" t="s">
        <v>8241</v>
      </c>
      <c r="E1585" t="s">
        <v>8242</v>
      </c>
      <c r="F1585" t="s">
        <v>8243</v>
      </c>
      <c r="G1585" s="4">
        <v>45241</v>
      </c>
      <c r="H1585" s="4">
        <v>45534</v>
      </c>
      <c r="I1585" s="4">
        <v>45542</v>
      </c>
      <c r="J1585">
        <f t="shared" si="120"/>
        <v>8</v>
      </c>
      <c r="K1585" t="str">
        <f t="array" ref="K1585">_xlfn.IFS(J1585=1,"Day Use",J1585&lt;=3,"Short Stay",J1585&lt;=7,"Extended Stay",J1585&gt;=8,"Long Stay")</f>
        <v>Long Stay</v>
      </c>
      <c r="L1585" t="s">
        <v>91</v>
      </c>
      <c r="M1585" s="10" t="str">
        <f t="shared" si="121"/>
        <v>Premium</v>
      </c>
      <c r="N1585" t="s">
        <v>26</v>
      </c>
      <c r="O1585" t="s">
        <v>58</v>
      </c>
      <c r="P1585">
        <f>IFERROR(VLOOKUP(TRIM(M1585),Room!D:H,5,FALSE),5000)</f>
        <v>9500</v>
      </c>
      <c r="Q1585">
        <f t="shared" si="122"/>
        <v>76000</v>
      </c>
      <c r="R1585" s="11" t="str">
        <f t="shared" si="123"/>
        <v>Conference</v>
      </c>
      <c r="S1585" s="11">
        <f t="shared" si="124"/>
        <v>4</v>
      </c>
    </row>
    <row r="1586" spans="1:19">
      <c r="A1586" t="s">
        <v>8244</v>
      </c>
      <c r="B1586" t="s">
        <v>8245</v>
      </c>
      <c r="C1586" t="s">
        <v>871</v>
      </c>
      <c r="D1586" t="s">
        <v>8246</v>
      </c>
      <c r="E1586" t="s">
        <v>8247</v>
      </c>
      <c r="F1586" t="s">
        <v>8248</v>
      </c>
      <c r="G1586" s="4">
        <v>45610</v>
      </c>
      <c r="H1586" s="4">
        <v>45613</v>
      </c>
      <c r="I1586" s="4">
        <v>45625</v>
      </c>
      <c r="J1586">
        <f t="shared" si="120"/>
        <v>12</v>
      </c>
      <c r="K1586" t="str">
        <f t="array" ref="K1586">_xlfn.IFS(J1586=1,"Day Use",J1586&lt;=3,"Short Stay",J1586&lt;=7,"Extended Stay",J1586&gt;=8,"Long Stay")</f>
        <v>Long Stay</v>
      </c>
      <c r="L1586" t="s">
        <v>34</v>
      </c>
      <c r="M1586" s="10" t="str">
        <f t="shared" si="121"/>
        <v>Suite</v>
      </c>
      <c r="N1586" t="s">
        <v>26</v>
      </c>
      <c r="O1586" t="s">
        <v>35</v>
      </c>
      <c r="P1586">
        <f>IFERROR(VLOOKUP(TRIM(M1586),Room!D:H,5,FALSE),5000)</f>
        <v>12500</v>
      </c>
      <c r="Q1586">
        <f t="shared" si="122"/>
        <v>150000</v>
      </c>
      <c r="R1586" s="11" t="str">
        <f t="shared" si="123"/>
        <v>Business</v>
      </c>
      <c r="S1586" s="11">
        <f t="shared" si="124"/>
        <v>5</v>
      </c>
    </row>
    <row r="1587" spans="1:19">
      <c r="A1587" t="s">
        <v>8249</v>
      </c>
      <c r="B1587" t="s">
        <v>8250</v>
      </c>
      <c r="C1587" t="s">
        <v>933</v>
      </c>
      <c r="D1587" t="s">
        <v>8251</v>
      </c>
      <c r="E1587" t="s">
        <v>8252</v>
      </c>
      <c r="F1587" t="s">
        <v>8253</v>
      </c>
      <c r="G1587" s="4">
        <v>45734</v>
      </c>
      <c r="H1587" s="4">
        <v>45841</v>
      </c>
      <c r="I1587" s="4">
        <v>45843</v>
      </c>
      <c r="J1587">
        <f t="shared" si="120"/>
        <v>2</v>
      </c>
      <c r="K1587" t="str">
        <f t="array" ref="K1587">_xlfn.IFS(J1587=1,"Day Use",J1587&lt;=3,"Short Stay",J1587&lt;=7,"Extended Stay",J1587&gt;=8,"Long Stay")</f>
        <v>Short Stay</v>
      </c>
      <c r="L1587" t="s">
        <v>141</v>
      </c>
      <c r="M1587" s="10" t="str">
        <f t="shared" si="121"/>
        <v>Standard</v>
      </c>
      <c r="N1587" t="s">
        <v>134</v>
      </c>
      <c r="O1587" t="s">
        <v>35</v>
      </c>
      <c r="P1587">
        <f>IFERROR(VLOOKUP(TRIM(M1587),Room!D:H,5,FALSE),5000)</f>
        <v>3200</v>
      </c>
      <c r="Q1587">
        <f t="shared" si="122"/>
        <v>6400</v>
      </c>
      <c r="R1587" s="11" t="str">
        <f t="shared" si="123"/>
        <v>Other</v>
      </c>
      <c r="S1587" s="11">
        <f t="shared" si="124"/>
        <v>2</v>
      </c>
    </row>
    <row r="1588" spans="1:19">
      <c r="A1588" t="s">
        <v>8254</v>
      </c>
      <c r="B1588" t="s">
        <v>8255</v>
      </c>
      <c r="C1588" t="s">
        <v>1090</v>
      </c>
      <c r="D1588" t="s">
        <v>8256</v>
      </c>
      <c r="E1588" t="s">
        <v>8257</v>
      </c>
      <c r="F1588" t="s">
        <v>8258</v>
      </c>
      <c r="G1588" s="4">
        <v>45848</v>
      </c>
      <c r="H1588" s="4">
        <v>45995</v>
      </c>
      <c r="I1588" s="4">
        <v>46006</v>
      </c>
      <c r="J1588">
        <f t="shared" si="120"/>
        <v>11</v>
      </c>
      <c r="K1588" t="str">
        <f t="array" ref="K1588">_xlfn.IFS(J1588=1,"Day Use",J1588&lt;=3,"Short Stay",J1588&lt;=7,"Extended Stay",J1588&gt;=8,"Long Stay")</f>
        <v>Long Stay</v>
      </c>
      <c r="L1588" t="s">
        <v>91</v>
      </c>
      <c r="M1588" s="10" t="str">
        <f t="shared" si="121"/>
        <v>Suite</v>
      </c>
      <c r="N1588" t="s">
        <v>26</v>
      </c>
      <c r="O1588" t="s">
        <v>42</v>
      </c>
      <c r="P1588">
        <f>IFERROR(VLOOKUP(TRIM(M1588),Room!D:H,5,FALSE),5000)</f>
        <v>12500</v>
      </c>
      <c r="Q1588">
        <f t="shared" si="122"/>
        <v>137500</v>
      </c>
      <c r="R1588" s="11" t="str">
        <f t="shared" si="123"/>
        <v>Business</v>
      </c>
      <c r="S1588" s="11">
        <f t="shared" si="124"/>
        <v>5</v>
      </c>
    </row>
    <row r="1589" spans="1:19">
      <c r="A1589" t="s">
        <v>8259</v>
      </c>
      <c r="B1589" t="s">
        <v>8260</v>
      </c>
      <c r="C1589" t="s">
        <v>253</v>
      </c>
      <c r="D1589" t="s">
        <v>8261</v>
      </c>
      <c r="E1589" t="s">
        <v>8262</v>
      </c>
      <c r="F1589" t="s">
        <v>8263</v>
      </c>
      <c r="G1589" s="4">
        <v>45230</v>
      </c>
      <c r="H1589" s="4">
        <v>45789</v>
      </c>
      <c r="I1589" s="4">
        <v>45802</v>
      </c>
      <c r="J1589">
        <f t="shared" si="120"/>
        <v>13</v>
      </c>
      <c r="K1589" t="str">
        <f t="array" ref="K1589">_xlfn.IFS(J1589=1,"Day Use",J1589&lt;=3,"Short Stay",J1589&lt;=7,"Extended Stay",J1589&gt;=8,"Long Stay")</f>
        <v>Long Stay</v>
      </c>
      <c r="L1589" t="s">
        <v>56</v>
      </c>
      <c r="M1589" s="10" t="str">
        <f t="shared" si="121"/>
        <v>Suite</v>
      </c>
      <c r="N1589" t="s">
        <v>26</v>
      </c>
      <c r="O1589" t="s">
        <v>42</v>
      </c>
      <c r="P1589">
        <f>IFERROR(VLOOKUP(TRIM(M1589),Room!D:H,5,FALSE),5000)</f>
        <v>12500</v>
      </c>
      <c r="Q1589">
        <f t="shared" si="122"/>
        <v>162500</v>
      </c>
      <c r="R1589" s="11" t="str">
        <f t="shared" si="123"/>
        <v>Business</v>
      </c>
      <c r="S1589" s="11">
        <f t="shared" si="124"/>
        <v>5</v>
      </c>
    </row>
    <row r="1590" spans="1:19">
      <c r="A1590" t="s">
        <v>8264</v>
      </c>
      <c r="B1590" t="s">
        <v>8265</v>
      </c>
      <c r="C1590" t="s">
        <v>8266</v>
      </c>
      <c r="D1590" t="s">
        <v>8267</v>
      </c>
      <c r="E1590" t="s">
        <v>8268</v>
      </c>
      <c r="F1590" t="s">
        <v>8269</v>
      </c>
      <c r="G1590" s="4">
        <v>45457</v>
      </c>
      <c r="H1590" s="4">
        <v>45476</v>
      </c>
      <c r="I1590" s="4">
        <v>45483</v>
      </c>
      <c r="J1590">
        <f t="shared" si="120"/>
        <v>7</v>
      </c>
      <c r="K1590" t="str">
        <f t="array" ref="K1590">_xlfn.IFS(J1590=1,"Day Use",J1590&lt;=3,"Short Stay",J1590&lt;=7,"Extended Stay",J1590&gt;=8,"Long Stay")</f>
        <v>Extended Stay</v>
      </c>
      <c r="L1590" t="s">
        <v>84</v>
      </c>
      <c r="M1590" s="10" t="str">
        <f t="shared" si="121"/>
        <v>Premium</v>
      </c>
      <c r="N1590" t="s">
        <v>26</v>
      </c>
      <c r="O1590" t="s">
        <v>42</v>
      </c>
      <c r="P1590">
        <f>IFERROR(VLOOKUP(TRIM(M1590),Room!D:H,5,FALSE),5000)</f>
        <v>9500</v>
      </c>
      <c r="Q1590">
        <f t="shared" si="122"/>
        <v>66500</v>
      </c>
      <c r="R1590" s="11" t="str">
        <f t="shared" si="123"/>
        <v>Conference</v>
      </c>
      <c r="S1590" s="11">
        <f t="shared" si="124"/>
        <v>4</v>
      </c>
    </row>
    <row r="1591" spans="1:19">
      <c r="A1591" t="s">
        <v>8270</v>
      </c>
      <c r="B1591" t="s">
        <v>8271</v>
      </c>
      <c r="C1591" t="s">
        <v>751</v>
      </c>
      <c r="D1591" t="s">
        <v>8272</v>
      </c>
      <c r="E1591" t="s">
        <v>8273</v>
      </c>
      <c r="F1591" t="s">
        <v>8274</v>
      </c>
      <c r="G1591" s="4">
        <v>45275</v>
      </c>
      <c r="H1591" s="4">
        <v>45295</v>
      </c>
      <c r="I1591" s="4">
        <v>45306</v>
      </c>
      <c r="J1591">
        <f t="shared" si="120"/>
        <v>11</v>
      </c>
      <c r="K1591" t="str">
        <f t="array" ref="K1591">_xlfn.IFS(J1591=1,"Day Use",J1591&lt;=3,"Short Stay",J1591&lt;=7,"Extended Stay",J1591&gt;=8,"Long Stay")</f>
        <v>Long Stay</v>
      </c>
      <c r="L1591" t="s">
        <v>84</v>
      </c>
      <c r="M1591" s="10" t="str">
        <f t="shared" si="121"/>
        <v>Suite</v>
      </c>
      <c r="N1591" t="s">
        <v>26</v>
      </c>
      <c r="O1591" t="s">
        <v>71</v>
      </c>
      <c r="P1591">
        <f>IFERROR(VLOOKUP(TRIM(M1591),Room!D:H,5,FALSE),5000)</f>
        <v>12500</v>
      </c>
      <c r="Q1591">
        <f t="shared" si="122"/>
        <v>137500</v>
      </c>
      <c r="R1591" s="11" t="str">
        <f t="shared" si="123"/>
        <v>Business</v>
      </c>
      <c r="S1591" s="11">
        <f t="shared" si="124"/>
        <v>5</v>
      </c>
    </row>
    <row r="1592" spans="1:19">
      <c r="A1592" t="s">
        <v>8275</v>
      </c>
      <c r="B1592" t="s">
        <v>8276</v>
      </c>
      <c r="C1592" t="s">
        <v>2815</v>
      </c>
      <c r="D1592" t="s">
        <v>8277</v>
      </c>
      <c r="E1592" t="s">
        <v>8278</v>
      </c>
      <c r="F1592" t="s">
        <v>8279</v>
      </c>
      <c r="G1592" s="4">
        <v>45232</v>
      </c>
      <c r="H1592" s="4">
        <v>45576</v>
      </c>
      <c r="I1592" s="4">
        <v>45581</v>
      </c>
      <c r="J1592">
        <f t="shared" si="120"/>
        <v>5</v>
      </c>
      <c r="K1592" t="str">
        <f t="array" ref="K1592">_xlfn.IFS(J1592=1,"Day Use",J1592&lt;=3,"Short Stay",J1592&lt;=7,"Extended Stay",J1592&gt;=8,"Long Stay")</f>
        <v>Extended Stay</v>
      </c>
      <c r="L1592" t="s">
        <v>25</v>
      </c>
      <c r="M1592" s="10" t="str">
        <f t="shared" si="121"/>
        <v>Deluxe</v>
      </c>
      <c r="N1592" t="s">
        <v>26</v>
      </c>
      <c r="O1592" t="s">
        <v>58</v>
      </c>
      <c r="P1592">
        <f>IFERROR(VLOOKUP(TRIM(M1592),Room!D:H,5,FALSE),5000)</f>
        <v>5400</v>
      </c>
      <c r="Q1592">
        <f t="shared" si="122"/>
        <v>27000</v>
      </c>
      <c r="R1592" s="11" t="str">
        <f t="shared" si="123"/>
        <v>Conference</v>
      </c>
      <c r="S1592" s="11">
        <f t="shared" si="124"/>
        <v>3</v>
      </c>
    </row>
    <row r="1593" spans="1:19">
      <c r="A1593" t="s">
        <v>8280</v>
      </c>
      <c r="B1593" t="s">
        <v>8281</v>
      </c>
      <c r="C1593" t="s">
        <v>961</v>
      </c>
      <c r="D1593" t="s">
        <v>8282</v>
      </c>
      <c r="E1593" t="s">
        <v>8283</v>
      </c>
      <c r="F1593" t="s">
        <v>8284</v>
      </c>
      <c r="G1593" s="4">
        <v>45587</v>
      </c>
      <c r="H1593" s="4">
        <v>45608</v>
      </c>
      <c r="I1593" s="4">
        <v>45621</v>
      </c>
      <c r="J1593">
        <f t="shared" si="120"/>
        <v>13</v>
      </c>
      <c r="K1593" t="str">
        <f t="array" ref="K1593">_xlfn.IFS(J1593=1,"Day Use",J1593&lt;=3,"Short Stay",J1593&lt;=7,"Extended Stay",J1593&gt;=8,"Long Stay")</f>
        <v>Long Stay</v>
      </c>
      <c r="L1593" t="s">
        <v>49</v>
      </c>
      <c r="M1593" s="10" t="str">
        <f t="shared" si="121"/>
        <v>Suite</v>
      </c>
      <c r="N1593" t="s">
        <v>26</v>
      </c>
      <c r="O1593" t="s">
        <v>42</v>
      </c>
      <c r="P1593">
        <f>IFERROR(VLOOKUP(TRIM(M1593),Room!D:H,5,FALSE),5000)</f>
        <v>12500</v>
      </c>
      <c r="Q1593">
        <f t="shared" si="122"/>
        <v>162500</v>
      </c>
      <c r="R1593" s="11" t="str">
        <f t="shared" si="123"/>
        <v>Business</v>
      </c>
      <c r="S1593" s="11">
        <f t="shared" si="124"/>
        <v>5</v>
      </c>
    </row>
    <row r="1594" spans="1:19">
      <c r="A1594" t="s">
        <v>8285</v>
      </c>
      <c r="B1594" t="s">
        <v>8286</v>
      </c>
      <c r="C1594" t="s">
        <v>2313</v>
      </c>
      <c r="D1594" t="s">
        <v>8287</v>
      </c>
      <c r="E1594" t="s">
        <v>8288</v>
      </c>
      <c r="F1594" t="s">
        <v>8289</v>
      </c>
      <c r="G1594" s="4">
        <v>45300</v>
      </c>
      <c r="H1594" s="4">
        <v>45308</v>
      </c>
      <c r="I1594" s="4">
        <v>45322</v>
      </c>
      <c r="J1594">
        <f t="shared" si="120"/>
        <v>14</v>
      </c>
      <c r="K1594" t="str">
        <f t="array" ref="K1594">_xlfn.IFS(J1594=1,"Day Use",J1594&lt;=3,"Short Stay",J1594&lt;=7,"Extended Stay",J1594&gt;=8,"Long Stay")</f>
        <v>Long Stay</v>
      </c>
      <c r="L1594" t="s">
        <v>91</v>
      </c>
      <c r="M1594" s="10" t="str">
        <f t="shared" si="121"/>
        <v>Suite</v>
      </c>
      <c r="N1594" t="s">
        <v>148</v>
      </c>
      <c r="O1594" t="s">
        <v>35</v>
      </c>
      <c r="P1594">
        <f>IFERROR(VLOOKUP(TRIM(M1594),Room!D:H,5,FALSE),5000)</f>
        <v>12500</v>
      </c>
      <c r="Q1594">
        <f t="shared" si="122"/>
        <v>175000</v>
      </c>
      <c r="R1594" s="11" t="str">
        <f t="shared" si="123"/>
        <v>Business</v>
      </c>
      <c r="S1594" s="11">
        <f t="shared" si="124"/>
        <v>5</v>
      </c>
    </row>
    <row r="1595" spans="1:19">
      <c r="A1595" t="s">
        <v>8290</v>
      </c>
      <c r="B1595" t="s">
        <v>8291</v>
      </c>
      <c r="C1595" t="s">
        <v>100</v>
      </c>
      <c r="D1595" t="s">
        <v>8292</v>
      </c>
      <c r="E1595" t="s">
        <v>8293</v>
      </c>
      <c r="F1595" t="s">
        <v>8294</v>
      </c>
      <c r="G1595" s="4">
        <v>45274</v>
      </c>
      <c r="H1595" s="4">
        <v>45298</v>
      </c>
      <c r="I1595" s="4">
        <v>45301</v>
      </c>
      <c r="J1595">
        <f t="shared" si="120"/>
        <v>3</v>
      </c>
      <c r="K1595" t="str">
        <f t="array" ref="K1595">_xlfn.IFS(J1595=1,"Day Use",J1595&lt;=3,"Short Stay",J1595&lt;=7,"Extended Stay",J1595&gt;=8,"Long Stay")</f>
        <v>Short Stay</v>
      </c>
      <c r="L1595" t="s">
        <v>141</v>
      </c>
      <c r="M1595" s="10" t="str">
        <f t="shared" si="121"/>
        <v>Standard</v>
      </c>
      <c r="N1595" t="s">
        <v>26</v>
      </c>
      <c r="O1595" t="s">
        <v>71</v>
      </c>
      <c r="P1595">
        <f>IFERROR(VLOOKUP(TRIM(M1595),Room!D:H,5,FALSE),5000)</f>
        <v>3200</v>
      </c>
      <c r="Q1595">
        <f t="shared" si="122"/>
        <v>9600</v>
      </c>
      <c r="R1595" s="11" t="str">
        <f t="shared" si="123"/>
        <v>Other</v>
      </c>
      <c r="S1595" s="11">
        <f t="shared" si="124"/>
        <v>2</v>
      </c>
    </row>
    <row r="1596" spans="1:19">
      <c r="A1596" t="s">
        <v>8295</v>
      </c>
      <c r="B1596" t="s">
        <v>8296</v>
      </c>
      <c r="C1596" t="s">
        <v>829</v>
      </c>
      <c r="D1596" t="s">
        <v>8297</v>
      </c>
      <c r="E1596" t="s">
        <v>8298</v>
      </c>
      <c r="F1596" t="s">
        <v>8299</v>
      </c>
      <c r="G1596" s="4">
        <v>45437</v>
      </c>
      <c r="H1596" s="4">
        <v>45441</v>
      </c>
      <c r="I1596" s="4">
        <v>45448</v>
      </c>
      <c r="J1596">
        <f t="shared" si="120"/>
        <v>7</v>
      </c>
      <c r="K1596" t="str">
        <f t="array" ref="K1596">_xlfn.IFS(J1596=1,"Day Use",J1596&lt;=3,"Short Stay",J1596&lt;=7,"Extended Stay",J1596&gt;=8,"Long Stay")</f>
        <v>Extended Stay</v>
      </c>
      <c r="L1596" t="s">
        <v>84</v>
      </c>
      <c r="M1596" s="10" t="str">
        <f t="shared" si="121"/>
        <v>Premium</v>
      </c>
      <c r="N1596" t="s">
        <v>57</v>
      </c>
      <c r="O1596" t="s">
        <v>71</v>
      </c>
      <c r="P1596">
        <f>IFERROR(VLOOKUP(TRIM(M1596),Room!D:H,5,FALSE),5000)</f>
        <v>9500</v>
      </c>
      <c r="Q1596">
        <f t="shared" si="122"/>
        <v>66500</v>
      </c>
      <c r="R1596" s="11" t="str">
        <f t="shared" si="123"/>
        <v>Conference</v>
      </c>
      <c r="S1596" s="11">
        <f t="shared" si="124"/>
        <v>4</v>
      </c>
    </row>
    <row r="1597" spans="1:19">
      <c r="A1597" t="s">
        <v>8300</v>
      </c>
      <c r="B1597" t="s">
        <v>8301</v>
      </c>
      <c r="C1597" t="s">
        <v>151</v>
      </c>
      <c r="D1597" t="s">
        <v>8302</v>
      </c>
      <c r="E1597" t="s">
        <v>8303</v>
      </c>
      <c r="F1597" t="s">
        <v>8304</v>
      </c>
      <c r="G1597" s="4">
        <v>45598</v>
      </c>
      <c r="H1597" s="4">
        <v>45622</v>
      </c>
      <c r="I1597" s="4">
        <v>45627</v>
      </c>
      <c r="J1597">
        <f t="shared" si="120"/>
        <v>5</v>
      </c>
      <c r="K1597" t="str">
        <f t="array" ref="K1597">_xlfn.IFS(J1597=1,"Day Use",J1597&lt;=3,"Short Stay",J1597&lt;=7,"Extended Stay",J1597&gt;=8,"Long Stay")</f>
        <v>Extended Stay</v>
      </c>
      <c r="L1597" t="s">
        <v>141</v>
      </c>
      <c r="M1597" s="10" t="str">
        <f t="shared" si="121"/>
        <v>Deluxe</v>
      </c>
      <c r="N1597" t="s">
        <v>26</v>
      </c>
      <c r="O1597" t="s">
        <v>42</v>
      </c>
      <c r="P1597">
        <f>IFERROR(VLOOKUP(TRIM(M1597),Room!D:H,5,FALSE),5000)</f>
        <v>5400</v>
      </c>
      <c r="Q1597">
        <f t="shared" si="122"/>
        <v>27000</v>
      </c>
      <c r="R1597" s="11" t="str">
        <f t="shared" si="123"/>
        <v>Conference</v>
      </c>
      <c r="S1597" s="11">
        <f t="shared" si="124"/>
        <v>3</v>
      </c>
    </row>
    <row r="1598" spans="1:19">
      <c r="A1598" t="s">
        <v>8305</v>
      </c>
      <c r="B1598" t="s">
        <v>8306</v>
      </c>
      <c r="C1598" t="s">
        <v>610</v>
      </c>
      <c r="D1598" t="s">
        <v>8307</v>
      </c>
      <c r="E1598" t="s">
        <v>8308</v>
      </c>
      <c r="F1598" t="s">
        <v>8309</v>
      </c>
      <c r="G1598" s="4">
        <v>45294</v>
      </c>
      <c r="H1598" s="4">
        <v>45786</v>
      </c>
      <c r="I1598" s="4">
        <v>45788</v>
      </c>
      <c r="J1598">
        <f t="shared" si="120"/>
        <v>2</v>
      </c>
      <c r="K1598" t="str">
        <f t="array" ref="K1598">_xlfn.IFS(J1598=1,"Day Use",J1598&lt;=3,"Short Stay",J1598&lt;=7,"Extended Stay",J1598&gt;=8,"Long Stay")</f>
        <v>Short Stay</v>
      </c>
      <c r="L1598" t="s">
        <v>84</v>
      </c>
      <c r="M1598" s="10" t="str">
        <f t="shared" si="121"/>
        <v>Standard</v>
      </c>
      <c r="N1598" t="s">
        <v>26</v>
      </c>
      <c r="O1598" t="s">
        <v>71</v>
      </c>
      <c r="P1598">
        <f>IFERROR(VLOOKUP(TRIM(M1598),Room!D:H,5,FALSE),5000)</f>
        <v>3200</v>
      </c>
      <c r="Q1598">
        <f t="shared" si="122"/>
        <v>6400</v>
      </c>
      <c r="R1598" s="11" t="str">
        <f t="shared" si="123"/>
        <v>Other</v>
      </c>
      <c r="S1598" s="11">
        <f t="shared" si="124"/>
        <v>2</v>
      </c>
    </row>
    <row r="1599" spans="1:19">
      <c r="A1599" t="s">
        <v>8310</v>
      </c>
      <c r="B1599" t="s">
        <v>8311</v>
      </c>
      <c r="C1599" t="s">
        <v>351</v>
      </c>
      <c r="D1599" t="s">
        <v>8312</v>
      </c>
      <c r="E1599" t="s">
        <v>8313</v>
      </c>
      <c r="F1599" t="s">
        <v>8314</v>
      </c>
      <c r="G1599" s="4">
        <v>45522</v>
      </c>
      <c r="H1599" s="4">
        <v>45557</v>
      </c>
      <c r="I1599" s="4">
        <v>45565</v>
      </c>
      <c r="J1599">
        <f t="shared" si="120"/>
        <v>8</v>
      </c>
      <c r="K1599" t="str">
        <f t="array" ref="K1599">_xlfn.IFS(J1599=1,"Day Use",J1599&lt;=3,"Short Stay",J1599&lt;=7,"Extended Stay",J1599&gt;=8,"Long Stay")</f>
        <v>Long Stay</v>
      </c>
      <c r="L1599" t="s">
        <v>141</v>
      </c>
      <c r="M1599" s="10" t="str">
        <f t="shared" si="121"/>
        <v>Premium</v>
      </c>
      <c r="N1599" t="s">
        <v>26</v>
      </c>
      <c r="O1599" t="s">
        <v>71</v>
      </c>
      <c r="P1599">
        <f>IFERROR(VLOOKUP(TRIM(M1599),Room!D:H,5,FALSE),5000)</f>
        <v>9500</v>
      </c>
      <c r="Q1599">
        <f t="shared" si="122"/>
        <v>76000</v>
      </c>
      <c r="R1599" s="11" t="str">
        <f t="shared" si="123"/>
        <v>Conference</v>
      </c>
      <c r="S1599" s="11">
        <f t="shared" si="124"/>
        <v>4</v>
      </c>
    </row>
    <row r="1600" spans="1:19">
      <c r="A1600" t="s">
        <v>8315</v>
      </c>
      <c r="B1600" t="s">
        <v>8316</v>
      </c>
      <c r="C1600" t="s">
        <v>1164</v>
      </c>
      <c r="D1600" t="s">
        <v>8317</v>
      </c>
      <c r="E1600" t="s">
        <v>8318</v>
      </c>
      <c r="F1600" t="s">
        <v>8319</v>
      </c>
      <c r="G1600" s="4">
        <v>45447</v>
      </c>
      <c r="H1600" s="4">
        <v>45685</v>
      </c>
      <c r="I1600" s="4">
        <v>45688</v>
      </c>
      <c r="J1600">
        <f t="shared" si="120"/>
        <v>3</v>
      </c>
      <c r="K1600" t="str">
        <f t="array" ref="K1600">_xlfn.IFS(J1600=1,"Day Use",J1600&lt;=3,"Short Stay",J1600&lt;=7,"Extended Stay",J1600&gt;=8,"Long Stay")</f>
        <v>Short Stay</v>
      </c>
      <c r="L1600" t="s">
        <v>34</v>
      </c>
      <c r="M1600" s="10" t="str">
        <f t="shared" si="121"/>
        <v>Standard</v>
      </c>
      <c r="N1600" t="s">
        <v>26</v>
      </c>
      <c r="O1600" t="s">
        <v>58</v>
      </c>
      <c r="P1600">
        <f>IFERROR(VLOOKUP(TRIM(M1600),Room!D:H,5,FALSE),5000)</f>
        <v>3200</v>
      </c>
      <c r="Q1600">
        <f t="shared" si="122"/>
        <v>9600</v>
      </c>
      <c r="R1600" s="11" t="str">
        <f t="shared" si="123"/>
        <v>Other</v>
      </c>
      <c r="S1600" s="11">
        <f t="shared" si="124"/>
        <v>2</v>
      </c>
    </row>
    <row r="1601" spans="1:19">
      <c r="A1601" t="s">
        <v>8320</v>
      </c>
      <c r="B1601" t="s">
        <v>8321</v>
      </c>
      <c r="C1601" t="s">
        <v>2689</v>
      </c>
      <c r="D1601" t="s">
        <v>8322</v>
      </c>
      <c r="E1601" t="s">
        <v>8323</v>
      </c>
      <c r="F1601" t="s">
        <v>8324</v>
      </c>
      <c r="G1601" s="4">
        <v>45432</v>
      </c>
      <c r="H1601" s="4">
        <v>45461</v>
      </c>
      <c r="I1601" s="4">
        <v>45466</v>
      </c>
      <c r="J1601">
        <f t="shared" si="120"/>
        <v>5</v>
      </c>
      <c r="K1601" t="str">
        <f t="array" ref="K1601">_xlfn.IFS(J1601=1,"Day Use",J1601&lt;=3,"Short Stay",J1601&lt;=7,"Extended Stay",J1601&gt;=8,"Long Stay")</f>
        <v>Extended Stay</v>
      </c>
      <c r="L1601" t="s">
        <v>56</v>
      </c>
      <c r="M1601" s="10" t="str">
        <f t="shared" si="121"/>
        <v>Deluxe</v>
      </c>
      <c r="N1601" t="s">
        <v>57</v>
      </c>
      <c r="O1601" t="s">
        <v>35</v>
      </c>
      <c r="P1601">
        <f>IFERROR(VLOOKUP(TRIM(M1601),Room!D:H,5,FALSE),5000)</f>
        <v>5400</v>
      </c>
      <c r="Q1601">
        <f t="shared" si="122"/>
        <v>27000</v>
      </c>
      <c r="R1601" s="11" t="str">
        <f t="shared" si="123"/>
        <v>Conference</v>
      </c>
      <c r="S1601" s="11">
        <f t="shared" si="124"/>
        <v>3</v>
      </c>
    </row>
    <row r="1602" spans="1:19">
      <c r="A1602" t="s">
        <v>8325</v>
      </c>
      <c r="B1602" t="s">
        <v>8326</v>
      </c>
      <c r="C1602" t="s">
        <v>2041</v>
      </c>
      <c r="D1602" t="s">
        <v>8327</v>
      </c>
      <c r="E1602" t="s">
        <v>8328</v>
      </c>
      <c r="F1602" t="s">
        <v>8329</v>
      </c>
      <c r="G1602" s="4">
        <v>45293</v>
      </c>
      <c r="H1602" s="4">
        <v>45833</v>
      </c>
      <c r="I1602" s="4">
        <v>45843</v>
      </c>
      <c r="J1602">
        <f t="shared" ref="J1602:J1665" si="125">I1602-H1602</f>
        <v>10</v>
      </c>
      <c r="K1602" t="str">
        <f t="array" ref="K1602">_xlfn.IFS(J1602=1,"Day Use",J1602&lt;=3,"Short Stay",J1602&lt;=7,"Extended Stay",J1602&gt;=8,"Long Stay")</f>
        <v>Long Stay</v>
      </c>
      <c r="L1602" t="s">
        <v>196</v>
      </c>
      <c r="M1602" s="10" t="str">
        <f t="shared" ref="M1602:M1665" si="126">IF($J1602&lt;=3,"Standard",IF($J1602&lt;=6,"Deluxe",IF($J1602&lt;=10,"Premium","Suite")))</f>
        <v>Premium</v>
      </c>
      <c r="N1602" t="s">
        <v>26</v>
      </c>
      <c r="O1602" t="s">
        <v>27</v>
      </c>
      <c r="P1602">
        <f>IFERROR(VLOOKUP(TRIM(M1602),Room!D:H,5,FALSE),5000)</f>
        <v>9500</v>
      </c>
      <c r="Q1602">
        <f t="shared" si="122"/>
        <v>95000</v>
      </c>
      <c r="R1602" s="11" t="str">
        <f t="shared" si="123"/>
        <v>Conference</v>
      </c>
      <c r="S1602" s="11">
        <f t="shared" si="124"/>
        <v>4</v>
      </c>
    </row>
    <row r="1603" spans="1:19">
      <c r="A1603" t="s">
        <v>8330</v>
      </c>
      <c r="B1603" t="s">
        <v>8331</v>
      </c>
      <c r="C1603" t="s">
        <v>2510</v>
      </c>
      <c r="D1603" t="s">
        <v>8332</v>
      </c>
      <c r="E1603" t="s">
        <v>8333</v>
      </c>
      <c r="F1603" t="s">
        <v>8334</v>
      </c>
      <c r="G1603" s="4">
        <v>45258</v>
      </c>
      <c r="H1603" s="4">
        <v>45524</v>
      </c>
      <c r="I1603" s="4">
        <v>45538</v>
      </c>
      <c r="J1603">
        <f t="shared" si="125"/>
        <v>14</v>
      </c>
      <c r="K1603" t="str">
        <f t="array" ref="K1603">_xlfn.IFS(J1603=1,"Day Use",J1603&lt;=3,"Short Stay",J1603&lt;=7,"Extended Stay",J1603&gt;=8,"Long Stay")</f>
        <v>Long Stay</v>
      </c>
      <c r="L1603" t="s">
        <v>91</v>
      </c>
      <c r="M1603" s="10" t="str">
        <f t="shared" si="126"/>
        <v>Suite</v>
      </c>
      <c r="N1603" t="s">
        <v>148</v>
      </c>
      <c r="O1603" t="s">
        <v>35</v>
      </c>
      <c r="P1603">
        <f>IFERROR(VLOOKUP(TRIM(M1603),Room!D:H,5,FALSE),5000)</f>
        <v>12500</v>
      </c>
      <c r="Q1603">
        <f t="shared" ref="Q1603:Q1666" si="127">P1603*J1603</f>
        <v>175000</v>
      </c>
      <c r="R1603" s="11" t="str">
        <f t="shared" ref="R1603:R1666" si="128">IF(ISNUMBER(SEARCH("Suite",D1603)),"Honeymoon",IF(P1603&gt;10000,"Business",IF(P1603&gt;5000,"Conference",IF(J1603&gt;=8,"Family Vacation","Other"))))</f>
        <v>Business</v>
      </c>
      <c r="S1603" s="11">
        <f t="shared" ref="S1603:S1666" si="129">IF(M1603="Suite",5,IF(M1603="Premium",IF(Q1603&gt;20000,4,3),IF(M1603="Deluxe",IF(Q1603&gt;=10000,3,2),IF(M1603="Standard",IF(Q1603&gt;=5000,2,1),1))))</f>
        <v>5</v>
      </c>
    </row>
    <row r="1604" spans="1:19">
      <c r="A1604" t="s">
        <v>8335</v>
      </c>
      <c r="B1604" t="s">
        <v>8336</v>
      </c>
      <c r="C1604" t="s">
        <v>1036</v>
      </c>
      <c r="D1604" t="s">
        <v>8337</v>
      </c>
      <c r="E1604" t="s">
        <v>8338</v>
      </c>
      <c r="F1604" t="s">
        <v>8339</v>
      </c>
      <c r="G1604" s="4">
        <v>45817</v>
      </c>
      <c r="H1604" s="4">
        <v>45984</v>
      </c>
      <c r="I1604" s="4">
        <v>45986</v>
      </c>
      <c r="J1604">
        <f t="shared" si="125"/>
        <v>2</v>
      </c>
      <c r="K1604" t="str">
        <f t="array" ref="K1604">_xlfn.IFS(J1604=1,"Day Use",J1604&lt;=3,"Short Stay",J1604&lt;=7,"Extended Stay",J1604&gt;=8,"Long Stay")</f>
        <v>Short Stay</v>
      </c>
      <c r="L1604" t="s">
        <v>25</v>
      </c>
      <c r="M1604" s="10" t="str">
        <f t="shared" si="126"/>
        <v>Standard</v>
      </c>
      <c r="N1604" t="s">
        <v>26</v>
      </c>
      <c r="O1604" t="s">
        <v>58</v>
      </c>
      <c r="P1604">
        <f>IFERROR(VLOOKUP(TRIM(M1604),Room!D:H,5,FALSE),5000)</f>
        <v>3200</v>
      </c>
      <c r="Q1604">
        <f t="shared" si="127"/>
        <v>6400</v>
      </c>
      <c r="R1604" s="11" t="str">
        <f t="shared" si="128"/>
        <v>Other</v>
      </c>
      <c r="S1604" s="11">
        <f t="shared" si="129"/>
        <v>2</v>
      </c>
    </row>
    <row r="1605" spans="1:19">
      <c r="A1605" t="s">
        <v>8340</v>
      </c>
      <c r="B1605" t="s">
        <v>8341</v>
      </c>
      <c r="C1605" t="s">
        <v>4359</v>
      </c>
      <c r="D1605" t="s">
        <v>8342</v>
      </c>
      <c r="E1605" t="s">
        <v>8343</v>
      </c>
      <c r="F1605" t="s">
        <v>8344</v>
      </c>
      <c r="G1605" s="4">
        <v>45306</v>
      </c>
      <c r="H1605" s="4">
        <v>45331</v>
      </c>
      <c r="I1605" s="4">
        <v>45335</v>
      </c>
      <c r="J1605">
        <f t="shared" si="125"/>
        <v>4</v>
      </c>
      <c r="K1605" t="str">
        <f t="array" ref="K1605">_xlfn.IFS(J1605=1,"Day Use",J1605&lt;=3,"Short Stay",J1605&lt;=7,"Extended Stay",J1605&gt;=8,"Long Stay")</f>
        <v>Extended Stay</v>
      </c>
      <c r="L1605" t="s">
        <v>25</v>
      </c>
      <c r="M1605" s="10" t="str">
        <f t="shared" si="126"/>
        <v>Deluxe</v>
      </c>
      <c r="N1605" t="s">
        <v>26</v>
      </c>
      <c r="O1605" t="s">
        <v>27</v>
      </c>
      <c r="P1605">
        <f>IFERROR(VLOOKUP(TRIM(M1605),Room!D:H,5,FALSE),5000)</f>
        <v>5400</v>
      </c>
      <c r="Q1605">
        <f t="shared" si="127"/>
        <v>21600</v>
      </c>
      <c r="R1605" s="11" t="str">
        <f t="shared" si="128"/>
        <v>Conference</v>
      </c>
      <c r="S1605" s="11">
        <f t="shared" si="129"/>
        <v>3</v>
      </c>
    </row>
    <row r="1606" spans="1:19">
      <c r="A1606" t="s">
        <v>8345</v>
      </c>
      <c r="B1606" t="s">
        <v>8346</v>
      </c>
      <c r="C1606" t="s">
        <v>484</v>
      </c>
      <c r="D1606" t="s">
        <v>8347</v>
      </c>
      <c r="E1606" t="s">
        <v>8348</v>
      </c>
      <c r="F1606" t="s">
        <v>8349</v>
      </c>
      <c r="G1606" s="4">
        <v>45305</v>
      </c>
      <c r="H1606" s="4">
        <v>45314</v>
      </c>
      <c r="I1606" s="4">
        <v>45323</v>
      </c>
      <c r="J1606">
        <f t="shared" si="125"/>
        <v>9</v>
      </c>
      <c r="K1606" t="str">
        <f t="array" ref="K1606">_xlfn.IFS(J1606=1,"Day Use",J1606&lt;=3,"Short Stay",J1606&lt;=7,"Extended Stay",J1606&gt;=8,"Long Stay")</f>
        <v>Long Stay</v>
      </c>
      <c r="L1606" t="s">
        <v>49</v>
      </c>
      <c r="M1606" s="10" t="str">
        <f t="shared" si="126"/>
        <v>Premium</v>
      </c>
      <c r="N1606" t="s">
        <v>26</v>
      </c>
      <c r="O1606" t="s">
        <v>27</v>
      </c>
      <c r="P1606">
        <f>IFERROR(VLOOKUP(TRIM(M1606),Room!D:H,5,FALSE),5000)</f>
        <v>9500</v>
      </c>
      <c r="Q1606">
        <f t="shared" si="127"/>
        <v>85500</v>
      </c>
      <c r="R1606" s="11" t="str">
        <f t="shared" si="128"/>
        <v>Conference</v>
      </c>
      <c r="S1606" s="11">
        <f t="shared" si="129"/>
        <v>4</v>
      </c>
    </row>
    <row r="1607" spans="1:19">
      <c r="A1607" t="s">
        <v>8350</v>
      </c>
      <c r="B1607" t="s">
        <v>8351</v>
      </c>
      <c r="C1607" t="s">
        <v>2313</v>
      </c>
      <c r="D1607" t="s">
        <v>8352</v>
      </c>
      <c r="E1607" t="s">
        <v>8353</v>
      </c>
      <c r="F1607" t="s">
        <v>8354</v>
      </c>
      <c r="G1607" s="4">
        <v>45807</v>
      </c>
      <c r="H1607" s="4">
        <v>45816</v>
      </c>
      <c r="I1607" s="4">
        <v>45830</v>
      </c>
      <c r="J1607">
        <f t="shared" si="125"/>
        <v>14</v>
      </c>
      <c r="K1607" t="str">
        <f t="array" ref="K1607">_xlfn.IFS(J1607=1,"Day Use",J1607&lt;=3,"Short Stay",J1607&lt;=7,"Extended Stay",J1607&gt;=8,"Long Stay")</f>
        <v>Long Stay</v>
      </c>
      <c r="L1607" t="s">
        <v>49</v>
      </c>
      <c r="M1607" s="10" t="str">
        <f t="shared" si="126"/>
        <v>Suite</v>
      </c>
      <c r="N1607" t="s">
        <v>26</v>
      </c>
      <c r="O1607" t="s">
        <v>58</v>
      </c>
      <c r="P1607">
        <f>IFERROR(VLOOKUP(TRIM(M1607),Room!D:H,5,FALSE),5000)</f>
        <v>12500</v>
      </c>
      <c r="Q1607">
        <f t="shared" si="127"/>
        <v>175000</v>
      </c>
      <c r="R1607" s="11" t="str">
        <f t="shared" si="128"/>
        <v>Business</v>
      </c>
      <c r="S1607" s="11">
        <f t="shared" si="129"/>
        <v>5</v>
      </c>
    </row>
    <row r="1608" spans="1:19">
      <c r="A1608" t="s">
        <v>8355</v>
      </c>
      <c r="B1608" t="s">
        <v>8356</v>
      </c>
      <c r="C1608" t="s">
        <v>2924</v>
      </c>
      <c r="D1608" t="s">
        <v>8357</v>
      </c>
      <c r="E1608" t="s">
        <v>8358</v>
      </c>
      <c r="F1608" t="s">
        <v>8359</v>
      </c>
      <c r="G1608" s="4">
        <v>45357</v>
      </c>
      <c r="H1608" s="4">
        <v>45385</v>
      </c>
      <c r="I1608" s="4">
        <v>45389</v>
      </c>
      <c r="J1608">
        <f t="shared" si="125"/>
        <v>4</v>
      </c>
      <c r="K1608" t="str">
        <f t="array" ref="K1608">_xlfn.IFS(J1608=1,"Day Use",J1608&lt;=3,"Short Stay",J1608&lt;=7,"Extended Stay",J1608&gt;=8,"Long Stay")</f>
        <v>Extended Stay</v>
      </c>
      <c r="L1608" t="s">
        <v>84</v>
      </c>
      <c r="M1608" s="10" t="str">
        <f t="shared" si="126"/>
        <v>Deluxe</v>
      </c>
      <c r="N1608" t="s">
        <v>26</v>
      </c>
      <c r="O1608" t="s">
        <v>71</v>
      </c>
      <c r="P1608">
        <f>IFERROR(VLOOKUP(TRIM(M1608),Room!D:H,5,FALSE),5000)</f>
        <v>5400</v>
      </c>
      <c r="Q1608">
        <f t="shared" si="127"/>
        <v>21600</v>
      </c>
      <c r="R1608" s="11" t="str">
        <f t="shared" si="128"/>
        <v>Conference</v>
      </c>
      <c r="S1608" s="11">
        <f t="shared" si="129"/>
        <v>3</v>
      </c>
    </row>
    <row r="1609" spans="1:19">
      <c r="A1609" t="s">
        <v>8360</v>
      </c>
      <c r="B1609" t="s">
        <v>8361</v>
      </c>
      <c r="C1609" t="s">
        <v>8210</v>
      </c>
      <c r="D1609" t="s">
        <v>8362</v>
      </c>
      <c r="E1609" t="s">
        <v>8363</v>
      </c>
      <c r="F1609" t="s">
        <v>8364</v>
      </c>
      <c r="G1609" s="4">
        <v>45400</v>
      </c>
      <c r="H1609" s="4">
        <v>45402</v>
      </c>
      <c r="I1609" s="4">
        <v>45404</v>
      </c>
      <c r="J1609">
        <f t="shared" si="125"/>
        <v>2</v>
      </c>
      <c r="K1609" t="str">
        <f t="array" ref="K1609">_xlfn.IFS(J1609=1,"Day Use",J1609&lt;=3,"Short Stay",J1609&lt;=7,"Extended Stay",J1609&gt;=8,"Long Stay")</f>
        <v>Short Stay</v>
      </c>
      <c r="L1609" t="s">
        <v>196</v>
      </c>
      <c r="M1609" s="10" t="str">
        <f t="shared" si="126"/>
        <v>Standard</v>
      </c>
      <c r="N1609" t="s">
        <v>26</v>
      </c>
      <c r="O1609" t="s">
        <v>42</v>
      </c>
      <c r="P1609">
        <f>IFERROR(VLOOKUP(TRIM(M1609),Room!D:H,5,FALSE),5000)</f>
        <v>3200</v>
      </c>
      <c r="Q1609">
        <f t="shared" si="127"/>
        <v>6400</v>
      </c>
      <c r="R1609" s="11" t="str">
        <f t="shared" si="128"/>
        <v>Other</v>
      </c>
      <c r="S1609" s="11">
        <f t="shared" si="129"/>
        <v>2</v>
      </c>
    </row>
    <row r="1610" spans="1:19">
      <c r="A1610" t="s">
        <v>8365</v>
      </c>
      <c r="B1610" t="s">
        <v>8366</v>
      </c>
      <c r="C1610" t="s">
        <v>518</v>
      </c>
      <c r="D1610" t="s">
        <v>8367</v>
      </c>
      <c r="E1610" t="s">
        <v>8368</v>
      </c>
      <c r="F1610" t="s">
        <v>8369</v>
      </c>
      <c r="G1610" s="4">
        <v>45445</v>
      </c>
      <c r="H1610" s="4">
        <v>45447</v>
      </c>
      <c r="I1610" s="4">
        <v>45461</v>
      </c>
      <c r="J1610">
        <f t="shared" si="125"/>
        <v>14</v>
      </c>
      <c r="K1610" t="str">
        <f t="array" ref="K1610">_xlfn.IFS(J1610=1,"Day Use",J1610&lt;=3,"Short Stay",J1610&lt;=7,"Extended Stay",J1610&gt;=8,"Long Stay")</f>
        <v>Long Stay</v>
      </c>
      <c r="L1610" t="s">
        <v>141</v>
      </c>
      <c r="M1610" s="10" t="str">
        <f t="shared" si="126"/>
        <v>Suite</v>
      </c>
      <c r="N1610" t="s">
        <v>26</v>
      </c>
      <c r="O1610" t="s">
        <v>71</v>
      </c>
      <c r="P1610">
        <f>IFERROR(VLOOKUP(TRIM(M1610),Room!D:H,5,FALSE),5000)</f>
        <v>12500</v>
      </c>
      <c r="Q1610">
        <f t="shared" si="127"/>
        <v>175000</v>
      </c>
      <c r="R1610" s="11" t="str">
        <f t="shared" si="128"/>
        <v>Business</v>
      </c>
      <c r="S1610" s="11">
        <f t="shared" si="129"/>
        <v>5</v>
      </c>
    </row>
    <row r="1611" spans="1:19">
      <c r="A1611" t="s">
        <v>8370</v>
      </c>
      <c r="B1611" t="s">
        <v>8371</v>
      </c>
      <c r="C1611" t="s">
        <v>587</v>
      </c>
      <c r="D1611" t="s">
        <v>8372</v>
      </c>
      <c r="E1611" t="s">
        <v>8373</v>
      </c>
      <c r="F1611" t="s">
        <v>8374</v>
      </c>
      <c r="G1611" s="4">
        <v>45392</v>
      </c>
      <c r="H1611" s="4">
        <v>45820</v>
      </c>
      <c r="I1611" s="4">
        <v>45833</v>
      </c>
      <c r="J1611">
        <f t="shared" si="125"/>
        <v>13</v>
      </c>
      <c r="K1611" t="str">
        <f t="array" ref="K1611">_xlfn.IFS(J1611=1,"Day Use",J1611&lt;=3,"Short Stay",J1611&lt;=7,"Extended Stay",J1611&gt;=8,"Long Stay")</f>
        <v>Long Stay</v>
      </c>
      <c r="L1611" t="s">
        <v>141</v>
      </c>
      <c r="M1611" s="10" t="str">
        <f t="shared" si="126"/>
        <v>Suite</v>
      </c>
      <c r="N1611" t="s">
        <v>26</v>
      </c>
      <c r="O1611" t="s">
        <v>42</v>
      </c>
      <c r="P1611">
        <f>IFERROR(VLOOKUP(TRIM(M1611),Room!D:H,5,FALSE),5000)</f>
        <v>12500</v>
      </c>
      <c r="Q1611">
        <f t="shared" si="127"/>
        <v>162500</v>
      </c>
      <c r="R1611" s="11" t="str">
        <f t="shared" si="128"/>
        <v>Business</v>
      </c>
      <c r="S1611" s="11">
        <f t="shared" si="129"/>
        <v>5</v>
      </c>
    </row>
    <row r="1612" spans="1:19">
      <c r="A1612" t="s">
        <v>8375</v>
      </c>
      <c r="B1612" t="s">
        <v>8376</v>
      </c>
      <c r="C1612" t="s">
        <v>2297</v>
      </c>
      <c r="D1612" t="s">
        <v>8377</v>
      </c>
      <c r="E1612" t="s">
        <v>8378</v>
      </c>
      <c r="F1612" t="s">
        <v>8379</v>
      </c>
      <c r="G1612" s="4">
        <v>45718</v>
      </c>
      <c r="H1612" s="4">
        <v>45943</v>
      </c>
      <c r="I1612" s="4">
        <v>45945</v>
      </c>
      <c r="J1612">
        <f t="shared" si="125"/>
        <v>2</v>
      </c>
      <c r="K1612" t="str">
        <f t="array" ref="K1612">_xlfn.IFS(J1612=1,"Day Use",J1612&lt;=3,"Short Stay",J1612&lt;=7,"Extended Stay",J1612&gt;=8,"Long Stay")</f>
        <v>Short Stay</v>
      </c>
      <c r="L1612" t="s">
        <v>141</v>
      </c>
      <c r="M1612" s="10" t="str">
        <f t="shared" si="126"/>
        <v>Standard</v>
      </c>
      <c r="N1612" t="s">
        <v>26</v>
      </c>
      <c r="O1612" t="s">
        <v>71</v>
      </c>
      <c r="P1612">
        <f>IFERROR(VLOOKUP(TRIM(M1612),Room!D:H,5,FALSE),5000)</f>
        <v>3200</v>
      </c>
      <c r="Q1612">
        <f t="shared" si="127"/>
        <v>6400</v>
      </c>
      <c r="R1612" s="11" t="str">
        <f t="shared" si="128"/>
        <v>Other</v>
      </c>
      <c r="S1612" s="11">
        <f t="shared" si="129"/>
        <v>2</v>
      </c>
    </row>
    <row r="1613" spans="1:19">
      <c r="A1613" t="s">
        <v>8380</v>
      </c>
      <c r="B1613" t="s">
        <v>8381</v>
      </c>
      <c r="C1613" t="s">
        <v>835</v>
      </c>
      <c r="D1613" t="s">
        <v>8382</v>
      </c>
      <c r="E1613" t="s">
        <v>8383</v>
      </c>
      <c r="F1613" t="s">
        <v>8384</v>
      </c>
      <c r="G1613" s="4">
        <v>45697</v>
      </c>
      <c r="H1613" s="4">
        <v>45966</v>
      </c>
      <c r="I1613" s="4">
        <v>45980</v>
      </c>
      <c r="J1613">
        <f t="shared" si="125"/>
        <v>14</v>
      </c>
      <c r="K1613" t="str">
        <f t="array" ref="K1613">_xlfn.IFS(J1613=1,"Day Use",J1613&lt;=3,"Short Stay",J1613&lt;=7,"Extended Stay",J1613&gt;=8,"Long Stay")</f>
        <v>Long Stay</v>
      </c>
      <c r="L1613" t="s">
        <v>84</v>
      </c>
      <c r="M1613" s="10" t="str">
        <f t="shared" si="126"/>
        <v>Suite</v>
      </c>
      <c r="N1613" t="s">
        <v>26</v>
      </c>
      <c r="O1613" t="s">
        <v>42</v>
      </c>
      <c r="P1613">
        <f>IFERROR(VLOOKUP(TRIM(M1613),Room!D:H,5,FALSE),5000)</f>
        <v>12500</v>
      </c>
      <c r="Q1613">
        <f t="shared" si="127"/>
        <v>175000</v>
      </c>
      <c r="R1613" s="11" t="str">
        <f t="shared" si="128"/>
        <v>Business</v>
      </c>
      <c r="S1613" s="11">
        <f t="shared" si="129"/>
        <v>5</v>
      </c>
    </row>
    <row r="1614" spans="1:19">
      <c r="A1614" t="s">
        <v>8385</v>
      </c>
      <c r="B1614" t="s">
        <v>8386</v>
      </c>
      <c r="C1614" t="s">
        <v>604</v>
      </c>
      <c r="D1614" t="s">
        <v>8387</v>
      </c>
      <c r="E1614" t="s">
        <v>8388</v>
      </c>
      <c r="F1614" t="s">
        <v>8389</v>
      </c>
      <c r="G1614" s="4">
        <v>45674</v>
      </c>
      <c r="H1614" s="4">
        <v>45682</v>
      </c>
      <c r="I1614" s="4">
        <v>45691</v>
      </c>
      <c r="J1614">
        <f t="shared" si="125"/>
        <v>9</v>
      </c>
      <c r="K1614" t="str">
        <f t="array" ref="K1614">_xlfn.IFS(J1614=1,"Day Use",J1614&lt;=3,"Short Stay",J1614&lt;=7,"Extended Stay",J1614&gt;=8,"Long Stay")</f>
        <v>Long Stay</v>
      </c>
      <c r="L1614" t="s">
        <v>49</v>
      </c>
      <c r="M1614" s="10" t="str">
        <f t="shared" si="126"/>
        <v>Premium</v>
      </c>
      <c r="N1614" t="s">
        <v>26</v>
      </c>
      <c r="O1614" t="s">
        <v>71</v>
      </c>
      <c r="P1614">
        <f>IFERROR(VLOOKUP(TRIM(M1614),Room!D:H,5,FALSE),5000)</f>
        <v>9500</v>
      </c>
      <c r="Q1614">
        <f t="shared" si="127"/>
        <v>85500</v>
      </c>
      <c r="R1614" s="11" t="str">
        <f t="shared" si="128"/>
        <v>Conference</v>
      </c>
      <c r="S1614" s="11">
        <f t="shared" si="129"/>
        <v>4</v>
      </c>
    </row>
    <row r="1615" spans="1:19">
      <c r="A1615" t="s">
        <v>8390</v>
      </c>
      <c r="B1615" t="s">
        <v>8391</v>
      </c>
      <c r="C1615" t="s">
        <v>2297</v>
      </c>
      <c r="D1615" t="s">
        <v>8392</v>
      </c>
      <c r="E1615" t="s">
        <v>8393</v>
      </c>
      <c r="F1615" t="s">
        <v>8394</v>
      </c>
      <c r="G1615" s="4">
        <v>45356</v>
      </c>
      <c r="H1615" s="4">
        <v>45947</v>
      </c>
      <c r="I1615" s="4">
        <v>45952</v>
      </c>
      <c r="J1615">
        <f t="shared" si="125"/>
        <v>5</v>
      </c>
      <c r="K1615" t="str">
        <f t="array" ref="K1615">_xlfn.IFS(J1615=1,"Day Use",J1615&lt;=3,"Short Stay",J1615&lt;=7,"Extended Stay",J1615&gt;=8,"Long Stay")</f>
        <v>Extended Stay</v>
      </c>
      <c r="L1615" t="s">
        <v>56</v>
      </c>
      <c r="M1615" s="10" t="str">
        <f t="shared" si="126"/>
        <v>Deluxe</v>
      </c>
      <c r="N1615" t="s">
        <v>26</v>
      </c>
      <c r="O1615" t="s">
        <v>71</v>
      </c>
      <c r="P1615">
        <f>IFERROR(VLOOKUP(TRIM(M1615),Room!D:H,5,FALSE),5000)</f>
        <v>5400</v>
      </c>
      <c r="Q1615">
        <f t="shared" si="127"/>
        <v>27000</v>
      </c>
      <c r="R1615" s="11" t="str">
        <f t="shared" si="128"/>
        <v>Conference</v>
      </c>
      <c r="S1615" s="11">
        <f t="shared" si="129"/>
        <v>3</v>
      </c>
    </row>
    <row r="1616" spans="1:19">
      <c r="A1616" t="s">
        <v>8395</v>
      </c>
      <c r="B1616" t="s">
        <v>8396</v>
      </c>
      <c r="C1616" t="s">
        <v>1810</v>
      </c>
      <c r="D1616" t="s">
        <v>8397</v>
      </c>
      <c r="E1616" t="s">
        <v>8398</v>
      </c>
      <c r="F1616" t="s">
        <v>8399</v>
      </c>
      <c r="G1616" s="4">
        <v>45801</v>
      </c>
      <c r="H1616" s="4">
        <v>45813</v>
      </c>
      <c r="I1616" s="4">
        <v>45820</v>
      </c>
      <c r="J1616">
        <f t="shared" si="125"/>
        <v>7</v>
      </c>
      <c r="K1616" t="str">
        <f t="array" ref="K1616">_xlfn.IFS(J1616=1,"Day Use",J1616&lt;=3,"Short Stay",J1616&lt;=7,"Extended Stay",J1616&gt;=8,"Long Stay")</f>
        <v>Extended Stay</v>
      </c>
      <c r="L1616" t="s">
        <v>141</v>
      </c>
      <c r="M1616" s="10" t="str">
        <f t="shared" si="126"/>
        <v>Premium</v>
      </c>
      <c r="N1616" t="s">
        <v>26</v>
      </c>
      <c r="O1616" t="s">
        <v>27</v>
      </c>
      <c r="P1616">
        <f>IFERROR(VLOOKUP(TRIM(M1616),Room!D:H,5,FALSE),5000)</f>
        <v>9500</v>
      </c>
      <c r="Q1616">
        <f t="shared" si="127"/>
        <v>66500</v>
      </c>
      <c r="R1616" s="11" t="str">
        <f t="shared" si="128"/>
        <v>Conference</v>
      </c>
      <c r="S1616" s="11">
        <f t="shared" si="129"/>
        <v>4</v>
      </c>
    </row>
    <row r="1617" spans="1:19">
      <c r="A1617" t="s">
        <v>8400</v>
      </c>
      <c r="B1617" t="s">
        <v>8401</v>
      </c>
      <c r="C1617" t="s">
        <v>351</v>
      </c>
      <c r="D1617" t="s">
        <v>8402</v>
      </c>
      <c r="E1617" t="s">
        <v>8403</v>
      </c>
      <c r="F1617" t="s">
        <v>8404</v>
      </c>
      <c r="G1617" s="4">
        <v>45376</v>
      </c>
      <c r="H1617" s="4">
        <v>45718</v>
      </c>
      <c r="I1617" s="4">
        <v>45722</v>
      </c>
      <c r="J1617">
        <f t="shared" si="125"/>
        <v>4</v>
      </c>
      <c r="K1617" t="str">
        <f t="array" ref="K1617">_xlfn.IFS(J1617=1,"Day Use",J1617&lt;=3,"Short Stay",J1617&lt;=7,"Extended Stay",J1617&gt;=8,"Long Stay")</f>
        <v>Extended Stay</v>
      </c>
      <c r="L1617" t="s">
        <v>196</v>
      </c>
      <c r="M1617" s="10" t="str">
        <f t="shared" si="126"/>
        <v>Deluxe</v>
      </c>
      <c r="N1617" t="s">
        <v>26</v>
      </c>
      <c r="O1617" t="s">
        <v>71</v>
      </c>
      <c r="P1617">
        <f>IFERROR(VLOOKUP(TRIM(M1617),Room!D:H,5,FALSE),5000)</f>
        <v>5400</v>
      </c>
      <c r="Q1617">
        <f t="shared" si="127"/>
        <v>21600</v>
      </c>
      <c r="R1617" s="11" t="str">
        <f t="shared" si="128"/>
        <v>Conference</v>
      </c>
      <c r="S1617" s="11">
        <f t="shared" si="129"/>
        <v>3</v>
      </c>
    </row>
    <row r="1618" spans="1:19">
      <c r="A1618" t="s">
        <v>8405</v>
      </c>
      <c r="B1618" t="s">
        <v>8406</v>
      </c>
      <c r="C1618" t="s">
        <v>751</v>
      </c>
      <c r="D1618" t="s">
        <v>8407</v>
      </c>
      <c r="E1618" t="s">
        <v>8408</v>
      </c>
      <c r="F1618" t="s">
        <v>8409</v>
      </c>
      <c r="G1618" s="4">
        <v>45714</v>
      </c>
      <c r="H1618" s="4">
        <v>45726</v>
      </c>
      <c r="I1618" s="4">
        <v>45732</v>
      </c>
      <c r="J1618">
        <f t="shared" si="125"/>
        <v>6</v>
      </c>
      <c r="K1618" t="str">
        <f t="array" ref="K1618">_xlfn.IFS(J1618=1,"Day Use",J1618&lt;=3,"Short Stay",J1618&lt;=7,"Extended Stay",J1618&gt;=8,"Long Stay")</f>
        <v>Extended Stay</v>
      </c>
      <c r="L1618" t="s">
        <v>49</v>
      </c>
      <c r="M1618" s="10" t="str">
        <f t="shared" si="126"/>
        <v>Deluxe</v>
      </c>
      <c r="N1618" t="s">
        <v>26</v>
      </c>
      <c r="O1618" t="s">
        <v>27</v>
      </c>
      <c r="P1618">
        <f>IFERROR(VLOOKUP(TRIM(M1618),Room!D:H,5,FALSE),5000)</f>
        <v>5400</v>
      </c>
      <c r="Q1618">
        <f t="shared" si="127"/>
        <v>32400</v>
      </c>
      <c r="R1618" s="11" t="str">
        <f t="shared" si="128"/>
        <v>Conference</v>
      </c>
      <c r="S1618" s="11">
        <f t="shared" si="129"/>
        <v>3</v>
      </c>
    </row>
    <row r="1619" spans="1:19">
      <c r="A1619" t="s">
        <v>8410</v>
      </c>
      <c r="B1619" t="s">
        <v>8411</v>
      </c>
      <c r="C1619" t="s">
        <v>933</v>
      </c>
      <c r="D1619" t="s">
        <v>8412</v>
      </c>
      <c r="E1619" t="s">
        <v>8413</v>
      </c>
      <c r="F1619" t="s">
        <v>8414</v>
      </c>
      <c r="G1619" s="4">
        <v>45547</v>
      </c>
      <c r="H1619" s="4">
        <v>45895</v>
      </c>
      <c r="I1619" s="4">
        <v>45902</v>
      </c>
      <c r="J1619">
        <f t="shared" si="125"/>
        <v>7</v>
      </c>
      <c r="K1619" t="str">
        <f t="array" ref="K1619">_xlfn.IFS(J1619=1,"Day Use",J1619&lt;=3,"Short Stay",J1619&lt;=7,"Extended Stay",J1619&gt;=8,"Long Stay")</f>
        <v>Extended Stay</v>
      </c>
      <c r="L1619" t="s">
        <v>56</v>
      </c>
      <c r="M1619" s="10" t="str">
        <f t="shared" si="126"/>
        <v>Premium</v>
      </c>
      <c r="N1619" t="s">
        <v>57</v>
      </c>
      <c r="O1619" t="s">
        <v>27</v>
      </c>
      <c r="P1619">
        <f>IFERROR(VLOOKUP(TRIM(M1619),Room!D:H,5,FALSE),5000)</f>
        <v>9500</v>
      </c>
      <c r="Q1619">
        <f t="shared" si="127"/>
        <v>66500</v>
      </c>
      <c r="R1619" s="11" t="str">
        <f t="shared" si="128"/>
        <v>Conference</v>
      </c>
      <c r="S1619" s="11">
        <f t="shared" si="129"/>
        <v>4</v>
      </c>
    </row>
    <row r="1620" spans="1:19">
      <c r="A1620" t="s">
        <v>8415</v>
      </c>
      <c r="B1620" t="s">
        <v>8416</v>
      </c>
      <c r="C1620" t="s">
        <v>655</v>
      </c>
      <c r="D1620" t="s">
        <v>8417</v>
      </c>
      <c r="E1620" t="s">
        <v>8418</v>
      </c>
      <c r="F1620" t="s">
        <v>8419</v>
      </c>
      <c r="G1620" s="4">
        <v>45552</v>
      </c>
      <c r="H1620" s="4">
        <v>45569</v>
      </c>
      <c r="I1620" s="4">
        <v>45578</v>
      </c>
      <c r="J1620">
        <f t="shared" si="125"/>
        <v>9</v>
      </c>
      <c r="K1620" t="str">
        <f t="array" ref="K1620">_xlfn.IFS(J1620=1,"Day Use",J1620&lt;=3,"Short Stay",J1620&lt;=7,"Extended Stay",J1620&gt;=8,"Long Stay")</f>
        <v>Long Stay</v>
      </c>
      <c r="L1620" t="s">
        <v>49</v>
      </c>
      <c r="M1620" s="10" t="str">
        <f t="shared" si="126"/>
        <v>Premium</v>
      </c>
      <c r="N1620" t="s">
        <v>26</v>
      </c>
      <c r="O1620" t="s">
        <v>42</v>
      </c>
      <c r="P1620">
        <f>IFERROR(VLOOKUP(TRIM(M1620),Room!D:H,5,FALSE),5000)</f>
        <v>9500</v>
      </c>
      <c r="Q1620">
        <f t="shared" si="127"/>
        <v>85500</v>
      </c>
      <c r="R1620" s="11" t="str">
        <f t="shared" si="128"/>
        <v>Conference</v>
      </c>
      <c r="S1620" s="11">
        <f t="shared" si="129"/>
        <v>4</v>
      </c>
    </row>
    <row r="1621" spans="1:19">
      <c r="A1621" t="s">
        <v>8420</v>
      </c>
      <c r="B1621" t="s">
        <v>8421</v>
      </c>
      <c r="C1621" t="s">
        <v>311</v>
      </c>
      <c r="D1621" t="s">
        <v>8422</v>
      </c>
      <c r="E1621" t="s">
        <v>8423</v>
      </c>
      <c r="F1621" t="s">
        <v>8424</v>
      </c>
      <c r="G1621" s="4">
        <v>45418</v>
      </c>
      <c r="H1621" s="4">
        <v>45736</v>
      </c>
      <c r="I1621" s="4">
        <v>45746</v>
      </c>
      <c r="J1621">
        <f t="shared" si="125"/>
        <v>10</v>
      </c>
      <c r="K1621" t="str">
        <f t="array" ref="K1621">_xlfn.IFS(J1621=1,"Day Use",J1621&lt;=3,"Short Stay",J1621&lt;=7,"Extended Stay",J1621&gt;=8,"Long Stay")</f>
        <v>Long Stay</v>
      </c>
      <c r="L1621" t="s">
        <v>56</v>
      </c>
      <c r="M1621" s="10" t="str">
        <f t="shared" si="126"/>
        <v>Premium</v>
      </c>
      <c r="N1621" t="s">
        <v>57</v>
      </c>
      <c r="O1621" t="s">
        <v>42</v>
      </c>
      <c r="P1621">
        <f>IFERROR(VLOOKUP(TRIM(M1621),Room!D:H,5,FALSE),5000)</f>
        <v>9500</v>
      </c>
      <c r="Q1621">
        <f t="shared" si="127"/>
        <v>95000</v>
      </c>
      <c r="R1621" s="11" t="str">
        <f t="shared" si="128"/>
        <v>Conference</v>
      </c>
      <c r="S1621" s="11">
        <f t="shared" si="129"/>
        <v>4</v>
      </c>
    </row>
    <row r="1622" spans="1:19">
      <c r="A1622" t="s">
        <v>8425</v>
      </c>
      <c r="B1622" t="s">
        <v>8426</v>
      </c>
      <c r="C1622" t="s">
        <v>1810</v>
      </c>
      <c r="D1622" t="s">
        <v>8427</v>
      </c>
      <c r="E1622" t="s">
        <v>8428</v>
      </c>
      <c r="F1622" t="s">
        <v>8429</v>
      </c>
      <c r="G1622" s="4">
        <v>45481</v>
      </c>
      <c r="H1622" s="4">
        <v>45725</v>
      </c>
      <c r="I1622" s="4">
        <v>45733</v>
      </c>
      <c r="J1622">
        <f t="shared" si="125"/>
        <v>8</v>
      </c>
      <c r="K1622" t="str">
        <f t="array" ref="K1622">_xlfn.IFS(J1622=1,"Day Use",J1622&lt;=3,"Short Stay",J1622&lt;=7,"Extended Stay",J1622&gt;=8,"Long Stay")</f>
        <v>Long Stay</v>
      </c>
      <c r="L1622" t="s">
        <v>49</v>
      </c>
      <c r="M1622" s="10" t="str">
        <f t="shared" si="126"/>
        <v>Premium</v>
      </c>
      <c r="N1622" t="s">
        <v>26</v>
      </c>
      <c r="O1622" t="s">
        <v>71</v>
      </c>
      <c r="P1622">
        <f>IFERROR(VLOOKUP(TRIM(M1622),Room!D:H,5,FALSE),5000)</f>
        <v>9500</v>
      </c>
      <c r="Q1622">
        <f t="shared" si="127"/>
        <v>76000</v>
      </c>
      <c r="R1622" s="11" t="str">
        <f t="shared" si="128"/>
        <v>Conference</v>
      </c>
      <c r="S1622" s="11">
        <f t="shared" si="129"/>
        <v>4</v>
      </c>
    </row>
    <row r="1623" spans="1:19">
      <c r="A1623" t="s">
        <v>8430</v>
      </c>
      <c r="B1623" t="s">
        <v>8431</v>
      </c>
      <c r="C1623" t="s">
        <v>1158</v>
      </c>
      <c r="D1623" t="s">
        <v>8432</v>
      </c>
      <c r="E1623" t="s">
        <v>8433</v>
      </c>
      <c r="F1623" t="s">
        <v>8434</v>
      </c>
      <c r="G1623" s="4">
        <v>45562</v>
      </c>
      <c r="H1623" s="4">
        <v>45589</v>
      </c>
      <c r="I1623" s="4">
        <v>45593</v>
      </c>
      <c r="J1623">
        <f t="shared" si="125"/>
        <v>4</v>
      </c>
      <c r="K1623" t="str">
        <f t="array" ref="K1623">_xlfn.IFS(J1623=1,"Day Use",J1623&lt;=3,"Short Stay",J1623&lt;=7,"Extended Stay",J1623&gt;=8,"Long Stay")</f>
        <v>Extended Stay</v>
      </c>
      <c r="L1623" t="s">
        <v>141</v>
      </c>
      <c r="M1623" s="10" t="str">
        <f t="shared" si="126"/>
        <v>Deluxe</v>
      </c>
      <c r="N1623" t="s">
        <v>148</v>
      </c>
      <c r="O1623" t="s">
        <v>42</v>
      </c>
      <c r="P1623">
        <f>IFERROR(VLOOKUP(TRIM(M1623),Room!D:H,5,FALSE),5000)</f>
        <v>5400</v>
      </c>
      <c r="Q1623">
        <f t="shared" si="127"/>
        <v>21600</v>
      </c>
      <c r="R1623" s="11" t="str">
        <f t="shared" si="128"/>
        <v>Conference</v>
      </c>
      <c r="S1623" s="11">
        <f t="shared" si="129"/>
        <v>3</v>
      </c>
    </row>
    <row r="1624" spans="1:19">
      <c r="A1624" t="s">
        <v>8435</v>
      </c>
      <c r="B1624" t="s">
        <v>8436</v>
      </c>
      <c r="C1624" t="s">
        <v>1367</v>
      </c>
      <c r="D1624" t="s">
        <v>8437</v>
      </c>
      <c r="E1624" t="s">
        <v>8438</v>
      </c>
      <c r="F1624" t="s">
        <v>8439</v>
      </c>
      <c r="G1624" s="4">
        <v>45393</v>
      </c>
      <c r="H1624" s="4">
        <v>45419</v>
      </c>
      <c r="I1624" s="4">
        <v>45430</v>
      </c>
      <c r="J1624">
        <f t="shared" si="125"/>
        <v>11</v>
      </c>
      <c r="K1624" t="str">
        <f t="array" ref="K1624">_xlfn.IFS(J1624=1,"Day Use",J1624&lt;=3,"Short Stay",J1624&lt;=7,"Extended Stay",J1624&gt;=8,"Long Stay")</f>
        <v>Long Stay</v>
      </c>
      <c r="L1624" t="s">
        <v>56</v>
      </c>
      <c r="M1624" s="10" t="str">
        <f t="shared" si="126"/>
        <v>Suite</v>
      </c>
      <c r="N1624" t="s">
        <v>26</v>
      </c>
      <c r="O1624" t="s">
        <v>27</v>
      </c>
      <c r="P1624">
        <f>IFERROR(VLOOKUP(TRIM(M1624),Room!D:H,5,FALSE),5000)</f>
        <v>12500</v>
      </c>
      <c r="Q1624">
        <f t="shared" si="127"/>
        <v>137500</v>
      </c>
      <c r="R1624" s="11" t="str">
        <f t="shared" si="128"/>
        <v>Business</v>
      </c>
      <c r="S1624" s="11">
        <f t="shared" si="129"/>
        <v>5</v>
      </c>
    </row>
    <row r="1625" spans="1:19">
      <c r="A1625" t="s">
        <v>8440</v>
      </c>
      <c r="B1625" t="s">
        <v>8441</v>
      </c>
      <c r="C1625" t="s">
        <v>927</v>
      </c>
      <c r="D1625" t="s">
        <v>8442</v>
      </c>
      <c r="E1625" t="s">
        <v>8443</v>
      </c>
      <c r="F1625" t="s">
        <v>8444</v>
      </c>
      <c r="G1625" s="4">
        <v>45621</v>
      </c>
      <c r="H1625" s="4">
        <v>45636</v>
      </c>
      <c r="I1625" s="4">
        <v>45644</v>
      </c>
      <c r="J1625">
        <f t="shared" si="125"/>
        <v>8</v>
      </c>
      <c r="K1625" t="str">
        <f t="array" ref="K1625">_xlfn.IFS(J1625=1,"Day Use",J1625&lt;=3,"Short Stay",J1625&lt;=7,"Extended Stay",J1625&gt;=8,"Long Stay")</f>
        <v>Long Stay</v>
      </c>
      <c r="L1625" t="s">
        <v>49</v>
      </c>
      <c r="M1625" s="10" t="str">
        <f t="shared" si="126"/>
        <v>Premium</v>
      </c>
      <c r="N1625" t="s">
        <v>26</v>
      </c>
      <c r="O1625" t="s">
        <v>27</v>
      </c>
      <c r="P1625">
        <f>IFERROR(VLOOKUP(TRIM(M1625),Room!D:H,5,FALSE),5000)</f>
        <v>9500</v>
      </c>
      <c r="Q1625">
        <f t="shared" si="127"/>
        <v>76000</v>
      </c>
      <c r="R1625" s="11" t="str">
        <f t="shared" si="128"/>
        <v>Conference</v>
      </c>
      <c r="S1625" s="11">
        <f t="shared" si="129"/>
        <v>4</v>
      </c>
    </row>
    <row r="1626" spans="1:19">
      <c r="A1626" t="s">
        <v>8445</v>
      </c>
      <c r="B1626" t="s">
        <v>8446</v>
      </c>
      <c r="C1626" t="s">
        <v>466</v>
      </c>
      <c r="D1626" t="s">
        <v>8447</v>
      </c>
      <c r="E1626" t="s">
        <v>8448</v>
      </c>
      <c r="F1626" t="s">
        <v>8449</v>
      </c>
      <c r="G1626" s="4">
        <v>45247</v>
      </c>
      <c r="H1626" s="4">
        <v>45373</v>
      </c>
      <c r="I1626" s="4">
        <v>45386</v>
      </c>
      <c r="J1626">
        <f t="shared" si="125"/>
        <v>13</v>
      </c>
      <c r="K1626" t="str">
        <f t="array" ref="K1626">_xlfn.IFS(J1626=1,"Day Use",J1626&lt;=3,"Short Stay",J1626&lt;=7,"Extended Stay",J1626&gt;=8,"Long Stay")</f>
        <v>Long Stay</v>
      </c>
      <c r="L1626" t="s">
        <v>141</v>
      </c>
      <c r="M1626" s="10" t="str">
        <f t="shared" si="126"/>
        <v>Suite</v>
      </c>
      <c r="N1626" t="s">
        <v>26</v>
      </c>
      <c r="O1626" t="s">
        <v>42</v>
      </c>
      <c r="P1626">
        <f>IFERROR(VLOOKUP(TRIM(M1626),Room!D:H,5,FALSE),5000)</f>
        <v>12500</v>
      </c>
      <c r="Q1626">
        <f t="shared" si="127"/>
        <v>162500</v>
      </c>
      <c r="R1626" s="11" t="str">
        <f t="shared" si="128"/>
        <v>Business</v>
      </c>
      <c r="S1626" s="11">
        <f t="shared" si="129"/>
        <v>5</v>
      </c>
    </row>
    <row r="1627" spans="1:19">
      <c r="A1627" t="s">
        <v>8450</v>
      </c>
      <c r="B1627" t="s">
        <v>8451</v>
      </c>
      <c r="C1627" t="s">
        <v>1140</v>
      </c>
      <c r="D1627" t="s">
        <v>8452</v>
      </c>
      <c r="E1627" t="s">
        <v>8453</v>
      </c>
      <c r="F1627" t="s">
        <v>8454</v>
      </c>
      <c r="G1627" s="4">
        <v>45373</v>
      </c>
      <c r="H1627" s="4">
        <v>45397</v>
      </c>
      <c r="I1627" s="4">
        <v>45401</v>
      </c>
      <c r="J1627">
        <f t="shared" si="125"/>
        <v>4</v>
      </c>
      <c r="K1627" t="str">
        <f t="array" ref="K1627">_xlfn.IFS(J1627=1,"Day Use",J1627&lt;=3,"Short Stay",J1627&lt;=7,"Extended Stay",J1627&gt;=8,"Long Stay")</f>
        <v>Extended Stay</v>
      </c>
      <c r="L1627" t="s">
        <v>141</v>
      </c>
      <c r="M1627" s="10" t="str">
        <f t="shared" si="126"/>
        <v>Deluxe</v>
      </c>
      <c r="N1627" t="s">
        <v>26</v>
      </c>
      <c r="O1627" t="s">
        <v>71</v>
      </c>
      <c r="P1627">
        <f>IFERROR(VLOOKUP(TRIM(M1627),Room!D:H,5,FALSE),5000)</f>
        <v>5400</v>
      </c>
      <c r="Q1627">
        <f t="shared" si="127"/>
        <v>21600</v>
      </c>
      <c r="R1627" s="11" t="str">
        <f t="shared" si="128"/>
        <v>Conference</v>
      </c>
      <c r="S1627" s="11">
        <f t="shared" si="129"/>
        <v>3</v>
      </c>
    </row>
    <row r="1628" spans="1:19">
      <c r="A1628" t="s">
        <v>8455</v>
      </c>
      <c r="B1628" t="s">
        <v>8456</v>
      </c>
      <c r="C1628" t="s">
        <v>2062</v>
      </c>
      <c r="D1628" t="s">
        <v>8457</v>
      </c>
      <c r="E1628" t="s">
        <v>8458</v>
      </c>
      <c r="F1628" t="s">
        <v>8459</v>
      </c>
      <c r="G1628" s="4">
        <v>45744</v>
      </c>
      <c r="H1628" s="4">
        <v>46001</v>
      </c>
      <c r="I1628" s="4">
        <v>46014</v>
      </c>
      <c r="J1628">
        <f t="shared" si="125"/>
        <v>13</v>
      </c>
      <c r="K1628" t="str">
        <f t="array" ref="K1628">_xlfn.IFS(J1628=1,"Day Use",J1628&lt;=3,"Short Stay",J1628&lt;=7,"Extended Stay",J1628&gt;=8,"Long Stay")</f>
        <v>Long Stay</v>
      </c>
      <c r="L1628" t="s">
        <v>84</v>
      </c>
      <c r="M1628" s="10" t="str">
        <f t="shared" si="126"/>
        <v>Suite</v>
      </c>
      <c r="N1628" t="s">
        <v>148</v>
      </c>
      <c r="O1628" t="s">
        <v>27</v>
      </c>
      <c r="P1628">
        <f>IFERROR(VLOOKUP(TRIM(M1628),Room!D:H,5,FALSE),5000)</f>
        <v>12500</v>
      </c>
      <c r="Q1628">
        <f t="shared" si="127"/>
        <v>162500</v>
      </c>
      <c r="R1628" s="11" t="str">
        <f t="shared" si="128"/>
        <v>Business</v>
      </c>
      <c r="S1628" s="11">
        <f t="shared" si="129"/>
        <v>5</v>
      </c>
    </row>
    <row r="1629" spans="1:19">
      <c r="A1629" t="s">
        <v>8460</v>
      </c>
      <c r="B1629" t="s">
        <v>8461</v>
      </c>
      <c r="C1629" t="s">
        <v>847</v>
      </c>
      <c r="D1629" t="s">
        <v>8462</v>
      </c>
      <c r="E1629" t="s">
        <v>8463</v>
      </c>
      <c r="F1629" t="s">
        <v>8464</v>
      </c>
      <c r="G1629" s="4">
        <v>45739</v>
      </c>
      <c r="H1629" s="4">
        <v>45758</v>
      </c>
      <c r="I1629" s="4">
        <v>45762</v>
      </c>
      <c r="J1629">
        <f t="shared" si="125"/>
        <v>4</v>
      </c>
      <c r="K1629" t="str">
        <f t="array" ref="K1629">_xlfn.IFS(J1629=1,"Day Use",J1629&lt;=3,"Short Stay",J1629&lt;=7,"Extended Stay",J1629&gt;=8,"Long Stay")</f>
        <v>Extended Stay</v>
      </c>
      <c r="L1629" t="s">
        <v>141</v>
      </c>
      <c r="M1629" s="10" t="str">
        <f t="shared" si="126"/>
        <v>Deluxe</v>
      </c>
      <c r="N1629" t="s">
        <v>26</v>
      </c>
      <c r="O1629" t="s">
        <v>58</v>
      </c>
      <c r="P1629">
        <f>IFERROR(VLOOKUP(TRIM(M1629),Room!D:H,5,FALSE),5000)</f>
        <v>5400</v>
      </c>
      <c r="Q1629">
        <f t="shared" si="127"/>
        <v>21600</v>
      </c>
      <c r="R1629" s="11" t="str">
        <f t="shared" si="128"/>
        <v>Conference</v>
      </c>
      <c r="S1629" s="11">
        <f t="shared" si="129"/>
        <v>3</v>
      </c>
    </row>
    <row r="1630" spans="1:19">
      <c r="A1630" t="s">
        <v>8465</v>
      </c>
      <c r="B1630" t="s">
        <v>8466</v>
      </c>
      <c r="C1630" t="s">
        <v>1114</v>
      </c>
      <c r="D1630" t="s">
        <v>8467</v>
      </c>
      <c r="E1630" t="s">
        <v>8468</v>
      </c>
      <c r="F1630" t="s">
        <v>8469</v>
      </c>
      <c r="G1630" s="4">
        <v>45424</v>
      </c>
      <c r="H1630" s="4">
        <v>45741</v>
      </c>
      <c r="I1630" s="4">
        <v>45745</v>
      </c>
      <c r="J1630">
        <f t="shared" si="125"/>
        <v>4</v>
      </c>
      <c r="K1630" t="str">
        <f t="array" ref="K1630">_xlfn.IFS(J1630=1,"Day Use",J1630&lt;=3,"Short Stay",J1630&lt;=7,"Extended Stay",J1630&gt;=8,"Long Stay")</f>
        <v>Extended Stay</v>
      </c>
      <c r="L1630" t="s">
        <v>91</v>
      </c>
      <c r="M1630" s="10" t="str">
        <f t="shared" si="126"/>
        <v>Deluxe</v>
      </c>
      <c r="N1630" t="s">
        <v>26</v>
      </c>
      <c r="O1630" t="s">
        <v>27</v>
      </c>
      <c r="P1630">
        <f>IFERROR(VLOOKUP(TRIM(M1630),Room!D:H,5,FALSE),5000)</f>
        <v>5400</v>
      </c>
      <c r="Q1630">
        <f t="shared" si="127"/>
        <v>21600</v>
      </c>
      <c r="R1630" s="11" t="str">
        <f t="shared" si="128"/>
        <v>Conference</v>
      </c>
      <c r="S1630" s="11">
        <f t="shared" si="129"/>
        <v>3</v>
      </c>
    </row>
    <row r="1631" spans="1:19">
      <c r="A1631" t="s">
        <v>8470</v>
      </c>
      <c r="B1631" t="s">
        <v>8471</v>
      </c>
      <c r="C1631" t="s">
        <v>1158</v>
      </c>
      <c r="D1631" t="s">
        <v>8472</v>
      </c>
      <c r="E1631" t="s">
        <v>8473</v>
      </c>
      <c r="F1631" t="s">
        <v>8474</v>
      </c>
      <c r="G1631" s="4">
        <v>45449</v>
      </c>
      <c r="H1631" s="4">
        <v>45668</v>
      </c>
      <c r="I1631" s="4">
        <v>45678</v>
      </c>
      <c r="J1631">
        <f t="shared" si="125"/>
        <v>10</v>
      </c>
      <c r="K1631" t="str">
        <f t="array" ref="K1631">_xlfn.IFS(J1631=1,"Day Use",J1631&lt;=3,"Short Stay",J1631&lt;=7,"Extended Stay",J1631&gt;=8,"Long Stay")</f>
        <v>Long Stay</v>
      </c>
      <c r="L1631" t="s">
        <v>56</v>
      </c>
      <c r="M1631" s="10" t="str">
        <f t="shared" si="126"/>
        <v>Premium</v>
      </c>
      <c r="N1631" t="s">
        <v>26</v>
      </c>
      <c r="O1631" t="s">
        <v>42</v>
      </c>
      <c r="P1631">
        <f>IFERROR(VLOOKUP(TRIM(M1631),Room!D:H,5,FALSE),5000)</f>
        <v>9500</v>
      </c>
      <c r="Q1631">
        <f t="shared" si="127"/>
        <v>95000</v>
      </c>
      <c r="R1631" s="11" t="str">
        <f t="shared" si="128"/>
        <v>Conference</v>
      </c>
      <c r="S1631" s="11">
        <f t="shared" si="129"/>
        <v>4</v>
      </c>
    </row>
    <row r="1632" spans="1:19">
      <c r="A1632" t="s">
        <v>8475</v>
      </c>
      <c r="B1632" t="s">
        <v>8476</v>
      </c>
      <c r="C1632" t="s">
        <v>1557</v>
      </c>
      <c r="D1632" t="s">
        <v>8477</v>
      </c>
      <c r="E1632" t="s">
        <v>8478</v>
      </c>
      <c r="F1632" t="s">
        <v>8479</v>
      </c>
      <c r="G1632" s="4">
        <v>45974</v>
      </c>
      <c r="H1632" s="4">
        <v>45993</v>
      </c>
      <c r="I1632" s="4">
        <v>46003</v>
      </c>
      <c r="J1632">
        <f t="shared" si="125"/>
        <v>10</v>
      </c>
      <c r="K1632" t="str">
        <f t="array" ref="K1632">_xlfn.IFS(J1632=1,"Day Use",J1632&lt;=3,"Short Stay",J1632&lt;=7,"Extended Stay",J1632&gt;=8,"Long Stay")</f>
        <v>Long Stay</v>
      </c>
      <c r="L1632" t="s">
        <v>91</v>
      </c>
      <c r="M1632" s="10" t="str">
        <f t="shared" si="126"/>
        <v>Premium</v>
      </c>
      <c r="N1632" t="s">
        <v>26</v>
      </c>
      <c r="O1632" t="s">
        <v>42</v>
      </c>
      <c r="P1632">
        <f>IFERROR(VLOOKUP(TRIM(M1632),Room!D:H,5,FALSE),5000)</f>
        <v>9500</v>
      </c>
      <c r="Q1632">
        <f t="shared" si="127"/>
        <v>95000</v>
      </c>
      <c r="R1632" s="11" t="str">
        <f t="shared" si="128"/>
        <v>Conference</v>
      </c>
      <c r="S1632" s="11">
        <f t="shared" si="129"/>
        <v>4</v>
      </c>
    </row>
    <row r="1633" spans="1:19">
      <c r="A1633" t="s">
        <v>8480</v>
      </c>
      <c r="B1633" t="s">
        <v>8481</v>
      </c>
      <c r="C1633" t="s">
        <v>2420</v>
      </c>
      <c r="D1633" t="s">
        <v>8482</v>
      </c>
      <c r="E1633" t="s">
        <v>8483</v>
      </c>
      <c r="F1633" t="s">
        <v>8484</v>
      </c>
      <c r="G1633" s="4">
        <v>45795</v>
      </c>
      <c r="H1633" s="4">
        <v>45871</v>
      </c>
      <c r="I1633" s="4">
        <v>45883</v>
      </c>
      <c r="J1633">
        <f t="shared" si="125"/>
        <v>12</v>
      </c>
      <c r="K1633" t="str">
        <f t="array" ref="K1633">_xlfn.IFS(J1633=1,"Day Use",J1633&lt;=3,"Short Stay",J1633&lt;=7,"Extended Stay",J1633&gt;=8,"Long Stay")</f>
        <v>Long Stay</v>
      </c>
      <c r="L1633" t="s">
        <v>25</v>
      </c>
      <c r="M1633" s="10" t="str">
        <f t="shared" si="126"/>
        <v>Suite</v>
      </c>
      <c r="N1633" t="s">
        <v>57</v>
      </c>
      <c r="O1633" t="s">
        <v>58</v>
      </c>
      <c r="P1633">
        <f>IFERROR(VLOOKUP(TRIM(M1633),Room!D:H,5,FALSE),5000)</f>
        <v>12500</v>
      </c>
      <c r="Q1633">
        <f t="shared" si="127"/>
        <v>150000</v>
      </c>
      <c r="R1633" s="11" t="str">
        <f t="shared" si="128"/>
        <v>Business</v>
      </c>
      <c r="S1633" s="11">
        <f t="shared" si="129"/>
        <v>5</v>
      </c>
    </row>
    <row r="1634" spans="1:19">
      <c r="A1634" t="s">
        <v>8485</v>
      </c>
      <c r="B1634" t="s">
        <v>8486</v>
      </c>
      <c r="C1634" t="s">
        <v>1763</v>
      </c>
      <c r="D1634" t="s">
        <v>8487</v>
      </c>
      <c r="E1634" t="s">
        <v>8488</v>
      </c>
      <c r="F1634" t="s">
        <v>8489</v>
      </c>
      <c r="G1634" s="4">
        <v>45953</v>
      </c>
      <c r="H1634" s="4">
        <v>45988</v>
      </c>
      <c r="I1634" s="4">
        <v>45997</v>
      </c>
      <c r="J1634">
        <f t="shared" si="125"/>
        <v>9</v>
      </c>
      <c r="K1634" t="str">
        <f t="array" ref="K1634">_xlfn.IFS(J1634=1,"Day Use",J1634&lt;=3,"Short Stay",J1634&lt;=7,"Extended Stay",J1634&gt;=8,"Long Stay")</f>
        <v>Long Stay</v>
      </c>
      <c r="L1634" t="s">
        <v>25</v>
      </c>
      <c r="M1634" s="10" t="str">
        <f t="shared" si="126"/>
        <v>Premium</v>
      </c>
      <c r="N1634" t="s">
        <v>26</v>
      </c>
      <c r="O1634" t="s">
        <v>71</v>
      </c>
      <c r="P1634">
        <f>IFERROR(VLOOKUP(TRIM(M1634),Room!D:H,5,FALSE),5000)</f>
        <v>9500</v>
      </c>
      <c r="Q1634">
        <f t="shared" si="127"/>
        <v>85500</v>
      </c>
      <c r="R1634" s="11" t="str">
        <f t="shared" si="128"/>
        <v>Conference</v>
      </c>
      <c r="S1634" s="11">
        <f t="shared" si="129"/>
        <v>4</v>
      </c>
    </row>
    <row r="1635" spans="1:19">
      <c r="A1635" t="s">
        <v>8490</v>
      </c>
      <c r="B1635" t="s">
        <v>8491</v>
      </c>
      <c r="C1635" t="s">
        <v>1367</v>
      </c>
      <c r="D1635" t="s">
        <v>8492</v>
      </c>
      <c r="E1635" t="s">
        <v>8493</v>
      </c>
      <c r="F1635" t="s">
        <v>8494</v>
      </c>
      <c r="G1635" s="4">
        <v>45281</v>
      </c>
      <c r="H1635" s="4">
        <v>45297</v>
      </c>
      <c r="I1635" s="4">
        <v>45309</v>
      </c>
      <c r="J1635">
        <f t="shared" si="125"/>
        <v>12</v>
      </c>
      <c r="K1635" t="str">
        <f t="array" ref="K1635">_xlfn.IFS(J1635=1,"Day Use",J1635&lt;=3,"Short Stay",J1635&lt;=7,"Extended Stay",J1635&gt;=8,"Long Stay")</f>
        <v>Long Stay</v>
      </c>
      <c r="L1635" t="s">
        <v>196</v>
      </c>
      <c r="M1635" s="10" t="str">
        <f t="shared" si="126"/>
        <v>Suite</v>
      </c>
      <c r="N1635" t="s">
        <v>26</v>
      </c>
      <c r="O1635" t="s">
        <v>58</v>
      </c>
      <c r="P1635">
        <f>IFERROR(VLOOKUP(TRIM(M1635),Room!D:H,5,FALSE),5000)</f>
        <v>12500</v>
      </c>
      <c r="Q1635">
        <f t="shared" si="127"/>
        <v>150000</v>
      </c>
      <c r="R1635" s="11" t="str">
        <f t="shared" si="128"/>
        <v>Business</v>
      </c>
      <c r="S1635" s="11">
        <f t="shared" si="129"/>
        <v>5</v>
      </c>
    </row>
    <row r="1636" spans="1:19">
      <c r="A1636" t="s">
        <v>8495</v>
      </c>
      <c r="B1636" t="s">
        <v>8496</v>
      </c>
      <c r="C1636" t="s">
        <v>1367</v>
      </c>
      <c r="D1636" t="s">
        <v>8497</v>
      </c>
      <c r="E1636" t="s">
        <v>8498</v>
      </c>
      <c r="F1636" t="s">
        <v>8499</v>
      </c>
      <c r="G1636" s="4">
        <v>45470</v>
      </c>
      <c r="H1636" s="4">
        <v>45474</v>
      </c>
      <c r="I1636" s="4">
        <v>45485</v>
      </c>
      <c r="J1636">
        <f t="shared" si="125"/>
        <v>11</v>
      </c>
      <c r="K1636" t="str">
        <f t="array" ref="K1636">_xlfn.IFS(J1636=1,"Day Use",J1636&lt;=3,"Short Stay",J1636&lt;=7,"Extended Stay",J1636&gt;=8,"Long Stay")</f>
        <v>Long Stay</v>
      </c>
      <c r="L1636" t="s">
        <v>34</v>
      </c>
      <c r="M1636" s="10" t="str">
        <f t="shared" si="126"/>
        <v>Suite</v>
      </c>
      <c r="N1636" t="s">
        <v>26</v>
      </c>
      <c r="O1636" t="s">
        <v>42</v>
      </c>
      <c r="P1636">
        <f>IFERROR(VLOOKUP(TRIM(M1636),Room!D:H,5,FALSE),5000)</f>
        <v>12500</v>
      </c>
      <c r="Q1636">
        <f t="shared" si="127"/>
        <v>137500</v>
      </c>
      <c r="R1636" s="11" t="str">
        <f t="shared" si="128"/>
        <v>Business</v>
      </c>
      <c r="S1636" s="11">
        <f t="shared" si="129"/>
        <v>5</v>
      </c>
    </row>
    <row r="1637" spans="1:19">
      <c r="A1637" t="s">
        <v>8500</v>
      </c>
      <c r="B1637" t="s">
        <v>8501</v>
      </c>
      <c r="C1637" t="s">
        <v>1649</v>
      </c>
      <c r="D1637" t="s">
        <v>8502</v>
      </c>
      <c r="E1637" t="s">
        <v>8503</v>
      </c>
      <c r="F1637" t="s">
        <v>8504</v>
      </c>
      <c r="G1637" s="4">
        <v>45623</v>
      </c>
      <c r="H1637" s="4">
        <v>45631</v>
      </c>
      <c r="I1637" s="4">
        <v>45639</v>
      </c>
      <c r="J1637">
        <f t="shared" si="125"/>
        <v>8</v>
      </c>
      <c r="K1637" t="str">
        <f t="array" ref="K1637">_xlfn.IFS(J1637=1,"Day Use",J1637&lt;=3,"Short Stay",J1637&lt;=7,"Extended Stay",J1637&gt;=8,"Long Stay")</f>
        <v>Long Stay</v>
      </c>
      <c r="L1637" t="s">
        <v>49</v>
      </c>
      <c r="M1637" s="10" t="str">
        <f t="shared" si="126"/>
        <v>Premium</v>
      </c>
      <c r="N1637" t="s">
        <v>26</v>
      </c>
      <c r="O1637" t="s">
        <v>71</v>
      </c>
      <c r="P1637">
        <f>IFERROR(VLOOKUP(TRIM(M1637),Room!D:H,5,FALSE),5000)</f>
        <v>9500</v>
      </c>
      <c r="Q1637">
        <f t="shared" si="127"/>
        <v>76000</v>
      </c>
      <c r="R1637" s="11" t="str">
        <f t="shared" si="128"/>
        <v>Conference</v>
      </c>
      <c r="S1637" s="11">
        <f t="shared" si="129"/>
        <v>4</v>
      </c>
    </row>
    <row r="1638" spans="1:19">
      <c r="A1638" t="s">
        <v>8505</v>
      </c>
      <c r="B1638" t="s">
        <v>8506</v>
      </c>
      <c r="C1638" t="s">
        <v>432</v>
      </c>
      <c r="D1638" t="s">
        <v>8507</v>
      </c>
      <c r="E1638" t="s">
        <v>8508</v>
      </c>
      <c r="F1638" t="s">
        <v>8509</v>
      </c>
      <c r="G1638" s="4">
        <v>45468</v>
      </c>
      <c r="H1638" s="4">
        <v>45489</v>
      </c>
      <c r="I1638" s="4">
        <v>45498</v>
      </c>
      <c r="J1638">
        <f t="shared" si="125"/>
        <v>9</v>
      </c>
      <c r="K1638" t="str">
        <f t="array" ref="K1638">_xlfn.IFS(J1638=1,"Day Use",J1638&lt;=3,"Short Stay",J1638&lt;=7,"Extended Stay",J1638&gt;=8,"Long Stay")</f>
        <v>Long Stay</v>
      </c>
      <c r="L1638" t="s">
        <v>56</v>
      </c>
      <c r="M1638" s="10" t="str">
        <f t="shared" si="126"/>
        <v>Premium</v>
      </c>
      <c r="N1638" t="s">
        <v>26</v>
      </c>
      <c r="O1638" t="s">
        <v>58</v>
      </c>
      <c r="P1638">
        <f>IFERROR(VLOOKUP(TRIM(M1638),Room!D:H,5,FALSE),5000)</f>
        <v>9500</v>
      </c>
      <c r="Q1638">
        <f t="shared" si="127"/>
        <v>85500</v>
      </c>
      <c r="R1638" s="11" t="str">
        <f t="shared" si="128"/>
        <v>Conference</v>
      </c>
      <c r="S1638" s="11">
        <f t="shared" si="129"/>
        <v>4</v>
      </c>
    </row>
    <row r="1639" spans="1:19">
      <c r="A1639" t="s">
        <v>8510</v>
      </c>
      <c r="B1639" t="s">
        <v>8511</v>
      </c>
      <c r="C1639" t="s">
        <v>3124</v>
      </c>
      <c r="D1639" t="s">
        <v>8512</v>
      </c>
      <c r="E1639" t="s">
        <v>8513</v>
      </c>
      <c r="F1639" t="s">
        <v>8514</v>
      </c>
      <c r="G1639" s="4">
        <v>45524</v>
      </c>
      <c r="H1639" s="4">
        <v>45795</v>
      </c>
      <c r="I1639" s="4">
        <v>45799</v>
      </c>
      <c r="J1639">
        <f t="shared" si="125"/>
        <v>4</v>
      </c>
      <c r="K1639" t="str">
        <f t="array" ref="K1639">_xlfn.IFS(J1639=1,"Day Use",J1639&lt;=3,"Short Stay",J1639&lt;=7,"Extended Stay",J1639&gt;=8,"Long Stay")</f>
        <v>Extended Stay</v>
      </c>
      <c r="L1639" t="s">
        <v>34</v>
      </c>
      <c r="M1639" s="10" t="str">
        <f t="shared" si="126"/>
        <v>Deluxe</v>
      </c>
      <c r="N1639" t="s">
        <v>26</v>
      </c>
      <c r="O1639" t="s">
        <v>35</v>
      </c>
      <c r="P1639">
        <f>IFERROR(VLOOKUP(TRIM(M1639),Room!D:H,5,FALSE),5000)</f>
        <v>5400</v>
      </c>
      <c r="Q1639">
        <f t="shared" si="127"/>
        <v>21600</v>
      </c>
      <c r="R1639" s="11" t="str">
        <f t="shared" si="128"/>
        <v>Conference</v>
      </c>
      <c r="S1639" s="11">
        <f t="shared" si="129"/>
        <v>3</v>
      </c>
    </row>
    <row r="1640" spans="1:19">
      <c r="A1640" t="s">
        <v>8515</v>
      </c>
      <c r="B1640" t="s">
        <v>8516</v>
      </c>
      <c r="C1640" t="s">
        <v>729</v>
      </c>
      <c r="D1640" t="s">
        <v>8517</v>
      </c>
      <c r="E1640" t="s">
        <v>8518</v>
      </c>
      <c r="F1640" t="s">
        <v>8519</v>
      </c>
      <c r="G1640" s="4">
        <v>45292</v>
      </c>
      <c r="H1640" s="4">
        <v>45297</v>
      </c>
      <c r="I1640" s="4">
        <v>45300</v>
      </c>
      <c r="J1640">
        <f t="shared" si="125"/>
        <v>3</v>
      </c>
      <c r="K1640" t="str">
        <f t="array" ref="K1640">_xlfn.IFS(J1640=1,"Day Use",J1640&lt;=3,"Short Stay",J1640&lt;=7,"Extended Stay",J1640&gt;=8,"Long Stay")</f>
        <v>Short Stay</v>
      </c>
      <c r="L1640" t="s">
        <v>25</v>
      </c>
      <c r="M1640" s="10" t="str">
        <f t="shared" si="126"/>
        <v>Standard</v>
      </c>
      <c r="N1640" t="s">
        <v>26</v>
      </c>
      <c r="O1640" t="s">
        <v>58</v>
      </c>
      <c r="P1640">
        <f>IFERROR(VLOOKUP(TRIM(M1640),Room!D:H,5,FALSE),5000)</f>
        <v>3200</v>
      </c>
      <c r="Q1640">
        <f t="shared" si="127"/>
        <v>9600</v>
      </c>
      <c r="R1640" s="11" t="str">
        <f t="shared" si="128"/>
        <v>Other</v>
      </c>
      <c r="S1640" s="11">
        <f t="shared" si="129"/>
        <v>2</v>
      </c>
    </row>
    <row r="1641" spans="1:19">
      <c r="A1641" t="s">
        <v>8520</v>
      </c>
      <c r="B1641" t="s">
        <v>8521</v>
      </c>
      <c r="C1641" t="s">
        <v>229</v>
      </c>
      <c r="D1641" t="s">
        <v>8522</v>
      </c>
      <c r="E1641" t="s">
        <v>8523</v>
      </c>
      <c r="F1641" t="s">
        <v>8524</v>
      </c>
      <c r="G1641" s="4">
        <v>45608</v>
      </c>
      <c r="H1641" s="4">
        <v>45608</v>
      </c>
      <c r="I1641" s="4">
        <v>45618</v>
      </c>
      <c r="J1641">
        <f t="shared" si="125"/>
        <v>10</v>
      </c>
      <c r="K1641" t="str">
        <f t="array" ref="K1641">_xlfn.IFS(J1641=1,"Day Use",J1641&lt;=3,"Short Stay",J1641&lt;=7,"Extended Stay",J1641&gt;=8,"Long Stay")</f>
        <v>Long Stay</v>
      </c>
      <c r="L1641" t="s">
        <v>84</v>
      </c>
      <c r="M1641" s="10" t="str">
        <f t="shared" si="126"/>
        <v>Premium</v>
      </c>
      <c r="N1641" t="s">
        <v>134</v>
      </c>
      <c r="O1641" t="s">
        <v>58</v>
      </c>
      <c r="P1641">
        <f>IFERROR(VLOOKUP(TRIM(M1641),Room!D:H,5,FALSE),5000)</f>
        <v>9500</v>
      </c>
      <c r="Q1641">
        <f t="shared" si="127"/>
        <v>95000</v>
      </c>
      <c r="R1641" s="11" t="str">
        <f t="shared" si="128"/>
        <v>Conference</v>
      </c>
      <c r="S1641" s="11">
        <f t="shared" si="129"/>
        <v>4</v>
      </c>
    </row>
    <row r="1642" spans="1:19">
      <c r="A1642" t="s">
        <v>8525</v>
      </c>
      <c r="B1642" t="s">
        <v>8526</v>
      </c>
      <c r="C1642" t="s">
        <v>2073</v>
      </c>
      <c r="D1642" t="s">
        <v>8527</v>
      </c>
      <c r="E1642" t="s">
        <v>8528</v>
      </c>
      <c r="F1642" t="s">
        <v>8529</v>
      </c>
      <c r="G1642" s="4">
        <v>45905</v>
      </c>
      <c r="H1642" s="4">
        <v>46016</v>
      </c>
      <c r="I1642" s="4">
        <v>46022</v>
      </c>
      <c r="J1642">
        <f t="shared" si="125"/>
        <v>6</v>
      </c>
      <c r="K1642" t="str">
        <f t="array" ref="K1642">_xlfn.IFS(J1642=1,"Day Use",J1642&lt;=3,"Short Stay",J1642&lt;=7,"Extended Stay",J1642&gt;=8,"Long Stay")</f>
        <v>Extended Stay</v>
      </c>
      <c r="L1642" t="s">
        <v>25</v>
      </c>
      <c r="M1642" s="10" t="str">
        <f t="shared" si="126"/>
        <v>Deluxe</v>
      </c>
      <c r="N1642" t="s">
        <v>372</v>
      </c>
      <c r="O1642" t="s">
        <v>71</v>
      </c>
      <c r="P1642">
        <f>IFERROR(VLOOKUP(TRIM(M1642),Room!D:H,5,FALSE),5000)</f>
        <v>5400</v>
      </c>
      <c r="Q1642">
        <f t="shared" si="127"/>
        <v>32400</v>
      </c>
      <c r="R1642" s="11" t="str">
        <f t="shared" si="128"/>
        <v>Conference</v>
      </c>
      <c r="S1642" s="11">
        <f t="shared" si="129"/>
        <v>3</v>
      </c>
    </row>
    <row r="1643" spans="1:19">
      <c r="A1643" t="s">
        <v>8530</v>
      </c>
      <c r="B1643" t="s">
        <v>8531</v>
      </c>
      <c r="C1643" t="s">
        <v>2742</v>
      </c>
      <c r="D1643" t="s">
        <v>8532</v>
      </c>
      <c r="E1643" t="s">
        <v>8533</v>
      </c>
      <c r="F1643" t="s">
        <v>8534</v>
      </c>
      <c r="G1643" s="4">
        <v>45392</v>
      </c>
      <c r="H1643" s="4">
        <v>45709</v>
      </c>
      <c r="I1643" s="4">
        <v>45714</v>
      </c>
      <c r="J1643">
        <f t="shared" si="125"/>
        <v>5</v>
      </c>
      <c r="K1643" t="str">
        <f t="array" ref="K1643">_xlfn.IFS(J1643=1,"Day Use",J1643&lt;=3,"Short Stay",J1643&lt;=7,"Extended Stay",J1643&gt;=8,"Long Stay")</f>
        <v>Extended Stay</v>
      </c>
      <c r="L1643" t="s">
        <v>56</v>
      </c>
      <c r="M1643" s="10" t="str">
        <f t="shared" si="126"/>
        <v>Deluxe</v>
      </c>
      <c r="N1643" t="s">
        <v>26</v>
      </c>
      <c r="O1643" t="s">
        <v>35</v>
      </c>
      <c r="P1643">
        <f>IFERROR(VLOOKUP(TRIM(M1643),Room!D:H,5,FALSE),5000)</f>
        <v>5400</v>
      </c>
      <c r="Q1643">
        <f t="shared" si="127"/>
        <v>27000</v>
      </c>
      <c r="R1643" s="11" t="str">
        <f t="shared" si="128"/>
        <v>Conference</v>
      </c>
      <c r="S1643" s="11">
        <f t="shared" si="129"/>
        <v>3</v>
      </c>
    </row>
    <row r="1644" spans="1:19">
      <c r="A1644" t="s">
        <v>8535</v>
      </c>
      <c r="B1644" t="s">
        <v>8536</v>
      </c>
      <c r="C1644" t="s">
        <v>466</v>
      </c>
      <c r="D1644" t="s">
        <v>8537</v>
      </c>
      <c r="E1644" t="s">
        <v>8538</v>
      </c>
      <c r="F1644" t="s">
        <v>8539</v>
      </c>
      <c r="G1644" s="4">
        <v>45263</v>
      </c>
      <c r="H1644" s="4">
        <v>45371</v>
      </c>
      <c r="I1644" s="4">
        <v>45372</v>
      </c>
      <c r="J1644">
        <f t="shared" si="125"/>
        <v>1</v>
      </c>
      <c r="K1644" t="str">
        <f t="array" ref="K1644">_xlfn.IFS(J1644=1,"Day Use",J1644&lt;=3,"Short Stay",J1644&lt;=7,"Extended Stay",J1644&gt;=8,"Long Stay")</f>
        <v>Day Use</v>
      </c>
      <c r="L1644" t="s">
        <v>25</v>
      </c>
      <c r="M1644" s="10" t="str">
        <f t="shared" si="126"/>
        <v>Standard</v>
      </c>
      <c r="N1644" t="s">
        <v>26</v>
      </c>
      <c r="O1644" t="s">
        <v>58</v>
      </c>
      <c r="P1644">
        <f>IFERROR(VLOOKUP(TRIM(M1644),Room!D:H,5,FALSE),5000)</f>
        <v>3200</v>
      </c>
      <c r="Q1644">
        <f t="shared" si="127"/>
        <v>3200</v>
      </c>
      <c r="R1644" s="11" t="str">
        <f t="shared" si="128"/>
        <v>Other</v>
      </c>
      <c r="S1644" s="11">
        <f t="shared" si="129"/>
        <v>1</v>
      </c>
    </row>
    <row r="1645" spans="1:19">
      <c r="A1645" t="s">
        <v>8540</v>
      </c>
      <c r="B1645" t="s">
        <v>8541</v>
      </c>
      <c r="C1645" t="s">
        <v>853</v>
      </c>
      <c r="D1645" t="s">
        <v>8542</v>
      </c>
      <c r="E1645" t="s">
        <v>8543</v>
      </c>
      <c r="F1645" t="s">
        <v>8544</v>
      </c>
      <c r="G1645" s="4">
        <v>45406</v>
      </c>
      <c r="H1645" s="4">
        <v>45415</v>
      </c>
      <c r="I1645" s="4">
        <v>45418</v>
      </c>
      <c r="J1645">
        <f t="shared" si="125"/>
        <v>3</v>
      </c>
      <c r="K1645" t="str">
        <f t="array" ref="K1645">_xlfn.IFS(J1645=1,"Day Use",J1645&lt;=3,"Short Stay",J1645&lt;=7,"Extended Stay",J1645&gt;=8,"Long Stay")</f>
        <v>Short Stay</v>
      </c>
      <c r="L1645" t="s">
        <v>91</v>
      </c>
      <c r="M1645" s="10" t="str">
        <f t="shared" si="126"/>
        <v>Standard</v>
      </c>
      <c r="N1645" t="s">
        <v>26</v>
      </c>
      <c r="O1645" t="s">
        <v>35</v>
      </c>
      <c r="P1645">
        <f>IFERROR(VLOOKUP(TRIM(M1645),Room!D:H,5,FALSE),5000)</f>
        <v>3200</v>
      </c>
      <c r="Q1645">
        <f t="shared" si="127"/>
        <v>9600</v>
      </c>
      <c r="R1645" s="11" t="str">
        <f t="shared" si="128"/>
        <v>Other</v>
      </c>
      <c r="S1645" s="11">
        <f t="shared" si="129"/>
        <v>2</v>
      </c>
    </row>
    <row r="1646" spans="1:19">
      <c r="A1646" t="s">
        <v>8545</v>
      </c>
      <c r="B1646" t="s">
        <v>8546</v>
      </c>
      <c r="C1646" t="s">
        <v>253</v>
      </c>
      <c r="D1646" t="s">
        <v>8547</v>
      </c>
      <c r="E1646" t="s">
        <v>8548</v>
      </c>
      <c r="F1646" t="s">
        <v>8549</v>
      </c>
      <c r="G1646" s="4">
        <v>45500</v>
      </c>
      <c r="H1646" s="4">
        <v>45521</v>
      </c>
      <c r="I1646" s="4">
        <v>45524</v>
      </c>
      <c r="J1646">
        <f t="shared" si="125"/>
        <v>3</v>
      </c>
      <c r="K1646" t="str">
        <f t="array" ref="K1646">_xlfn.IFS(J1646=1,"Day Use",J1646&lt;=3,"Short Stay",J1646&lt;=7,"Extended Stay",J1646&gt;=8,"Long Stay")</f>
        <v>Short Stay</v>
      </c>
      <c r="L1646" t="s">
        <v>141</v>
      </c>
      <c r="M1646" s="10" t="str">
        <f t="shared" si="126"/>
        <v>Standard</v>
      </c>
      <c r="N1646" t="s">
        <v>26</v>
      </c>
      <c r="O1646" t="s">
        <v>27</v>
      </c>
      <c r="P1646">
        <f>IFERROR(VLOOKUP(TRIM(M1646),Room!D:H,5,FALSE),5000)</f>
        <v>3200</v>
      </c>
      <c r="Q1646">
        <f t="shared" si="127"/>
        <v>9600</v>
      </c>
      <c r="R1646" s="11" t="str">
        <f t="shared" si="128"/>
        <v>Other</v>
      </c>
      <c r="S1646" s="11">
        <f t="shared" si="129"/>
        <v>2</v>
      </c>
    </row>
    <row r="1647" spans="1:19">
      <c r="A1647" t="s">
        <v>8550</v>
      </c>
      <c r="B1647" t="s">
        <v>8551</v>
      </c>
      <c r="C1647" t="s">
        <v>1008</v>
      </c>
      <c r="D1647" t="s">
        <v>8552</v>
      </c>
      <c r="E1647" t="s">
        <v>8553</v>
      </c>
      <c r="F1647" t="s">
        <v>8554</v>
      </c>
      <c r="G1647" s="4">
        <v>45393</v>
      </c>
      <c r="H1647" s="4">
        <v>45415</v>
      </c>
      <c r="I1647" s="4">
        <v>45426</v>
      </c>
      <c r="J1647">
        <f t="shared" si="125"/>
        <v>11</v>
      </c>
      <c r="K1647" t="str">
        <f t="array" ref="K1647">_xlfn.IFS(J1647=1,"Day Use",J1647&lt;=3,"Short Stay",J1647&lt;=7,"Extended Stay",J1647&gt;=8,"Long Stay")</f>
        <v>Long Stay</v>
      </c>
      <c r="L1647" t="s">
        <v>49</v>
      </c>
      <c r="M1647" s="10" t="str">
        <f t="shared" si="126"/>
        <v>Suite</v>
      </c>
      <c r="N1647" t="s">
        <v>26</v>
      </c>
      <c r="O1647" t="s">
        <v>71</v>
      </c>
      <c r="P1647">
        <f>IFERROR(VLOOKUP(TRIM(M1647),Room!D:H,5,FALSE),5000)</f>
        <v>12500</v>
      </c>
      <c r="Q1647">
        <f t="shared" si="127"/>
        <v>137500</v>
      </c>
      <c r="R1647" s="11" t="str">
        <f t="shared" si="128"/>
        <v>Business</v>
      </c>
      <c r="S1647" s="11">
        <f t="shared" si="129"/>
        <v>5</v>
      </c>
    </row>
    <row r="1648" spans="1:19">
      <c r="A1648" t="s">
        <v>8555</v>
      </c>
      <c r="B1648" t="s">
        <v>8556</v>
      </c>
      <c r="C1648" t="s">
        <v>2313</v>
      </c>
      <c r="D1648" t="s">
        <v>8557</v>
      </c>
      <c r="E1648" t="s">
        <v>8558</v>
      </c>
      <c r="F1648" t="s">
        <v>8559</v>
      </c>
      <c r="G1648" s="4">
        <v>45310</v>
      </c>
      <c r="H1648" s="4">
        <v>45648</v>
      </c>
      <c r="I1648" s="4">
        <v>45653</v>
      </c>
      <c r="J1648">
        <f t="shared" si="125"/>
        <v>5</v>
      </c>
      <c r="K1648" t="str">
        <f t="array" ref="K1648">_xlfn.IFS(J1648=1,"Day Use",J1648&lt;=3,"Short Stay",J1648&lt;=7,"Extended Stay",J1648&gt;=8,"Long Stay")</f>
        <v>Extended Stay</v>
      </c>
      <c r="L1648" t="s">
        <v>196</v>
      </c>
      <c r="M1648" s="10" t="str">
        <f t="shared" si="126"/>
        <v>Deluxe</v>
      </c>
      <c r="N1648" t="s">
        <v>372</v>
      </c>
      <c r="O1648" t="s">
        <v>35</v>
      </c>
      <c r="P1648">
        <f>IFERROR(VLOOKUP(TRIM(M1648),Room!D:H,5,FALSE),5000)</f>
        <v>5400</v>
      </c>
      <c r="Q1648">
        <f t="shared" si="127"/>
        <v>27000</v>
      </c>
      <c r="R1648" s="11" t="str">
        <f t="shared" si="128"/>
        <v>Conference</v>
      </c>
      <c r="S1648" s="11">
        <f t="shared" si="129"/>
        <v>3</v>
      </c>
    </row>
    <row r="1649" spans="1:19">
      <c r="A1649" t="s">
        <v>8560</v>
      </c>
      <c r="B1649" t="s">
        <v>8561</v>
      </c>
      <c r="C1649" t="s">
        <v>351</v>
      </c>
      <c r="D1649" t="s">
        <v>8562</v>
      </c>
      <c r="E1649" t="s">
        <v>8563</v>
      </c>
      <c r="F1649" t="s">
        <v>8564</v>
      </c>
      <c r="G1649" s="4">
        <v>45228</v>
      </c>
      <c r="H1649" s="4">
        <v>45708</v>
      </c>
      <c r="I1649" s="4">
        <v>45713</v>
      </c>
      <c r="J1649">
        <f t="shared" si="125"/>
        <v>5</v>
      </c>
      <c r="K1649" t="str">
        <f t="array" ref="K1649">_xlfn.IFS(J1649=1,"Day Use",J1649&lt;=3,"Short Stay",J1649&lt;=7,"Extended Stay",J1649&gt;=8,"Long Stay")</f>
        <v>Extended Stay</v>
      </c>
      <c r="L1649" t="s">
        <v>34</v>
      </c>
      <c r="M1649" s="10" t="str">
        <f t="shared" si="126"/>
        <v>Deluxe</v>
      </c>
      <c r="N1649" t="s">
        <v>57</v>
      </c>
      <c r="O1649" t="s">
        <v>35</v>
      </c>
      <c r="P1649">
        <f>IFERROR(VLOOKUP(TRIM(M1649),Room!D:H,5,FALSE),5000)</f>
        <v>5400</v>
      </c>
      <c r="Q1649">
        <f t="shared" si="127"/>
        <v>27000</v>
      </c>
      <c r="R1649" s="11" t="str">
        <f t="shared" si="128"/>
        <v>Conference</v>
      </c>
      <c r="S1649" s="11">
        <f t="shared" si="129"/>
        <v>3</v>
      </c>
    </row>
    <row r="1650" spans="1:19">
      <c r="A1650" t="s">
        <v>8565</v>
      </c>
      <c r="B1650" t="s">
        <v>8566</v>
      </c>
      <c r="C1650" t="s">
        <v>333</v>
      </c>
      <c r="D1650" t="s">
        <v>8567</v>
      </c>
      <c r="E1650" t="s">
        <v>8568</v>
      </c>
      <c r="F1650" t="s">
        <v>8569</v>
      </c>
      <c r="G1650" s="4">
        <v>45409</v>
      </c>
      <c r="H1650" s="4">
        <v>45916</v>
      </c>
      <c r="I1650" s="4">
        <v>45924</v>
      </c>
      <c r="J1650">
        <f t="shared" si="125"/>
        <v>8</v>
      </c>
      <c r="K1650" t="str">
        <f t="array" ref="K1650">_xlfn.IFS(J1650=1,"Day Use",J1650&lt;=3,"Short Stay",J1650&lt;=7,"Extended Stay",J1650&gt;=8,"Long Stay")</f>
        <v>Long Stay</v>
      </c>
      <c r="L1650" t="s">
        <v>25</v>
      </c>
      <c r="M1650" s="10" t="str">
        <f t="shared" si="126"/>
        <v>Premium</v>
      </c>
      <c r="N1650" t="s">
        <v>134</v>
      </c>
      <c r="O1650" t="s">
        <v>58</v>
      </c>
      <c r="P1650">
        <f>IFERROR(VLOOKUP(TRIM(M1650),Room!D:H,5,FALSE),5000)</f>
        <v>9500</v>
      </c>
      <c r="Q1650">
        <f t="shared" si="127"/>
        <v>76000</v>
      </c>
      <c r="R1650" s="11" t="str">
        <f t="shared" si="128"/>
        <v>Conference</v>
      </c>
      <c r="S1650" s="11">
        <f t="shared" si="129"/>
        <v>4</v>
      </c>
    </row>
    <row r="1651" spans="1:19">
      <c r="A1651" t="s">
        <v>8570</v>
      </c>
      <c r="B1651" t="s">
        <v>8571</v>
      </c>
      <c r="C1651" t="s">
        <v>421</v>
      </c>
      <c r="D1651" t="s">
        <v>8572</v>
      </c>
      <c r="E1651" t="s">
        <v>8573</v>
      </c>
      <c r="F1651" t="s">
        <v>8574</v>
      </c>
      <c r="G1651" s="4">
        <v>45273</v>
      </c>
      <c r="H1651" s="4">
        <v>45437</v>
      </c>
      <c r="I1651" s="4">
        <v>45445</v>
      </c>
      <c r="J1651">
        <f t="shared" si="125"/>
        <v>8</v>
      </c>
      <c r="K1651" t="str">
        <f t="array" ref="K1651">_xlfn.IFS(J1651=1,"Day Use",J1651&lt;=3,"Short Stay",J1651&lt;=7,"Extended Stay",J1651&gt;=8,"Long Stay")</f>
        <v>Long Stay</v>
      </c>
      <c r="L1651" t="s">
        <v>49</v>
      </c>
      <c r="M1651" s="10" t="str">
        <f t="shared" si="126"/>
        <v>Premium</v>
      </c>
      <c r="N1651" t="s">
        <v>148</v>
      </c>
      <c r="O1651" t="s">
        <v>35</v>
      </c>
      <c r="P1651">
        <f>IFERROR(VLOOKUP(TRIM(M1651),Room!D:H,5,FALSE),5000)</f>
        <v>9500</v>
      </c>
      <c r="Q1651">
        <f t="shared" si="127"/>
        <v>76000</v>
      </c>
      <c r="R1651" s="11" t="str">
        <f t="shared" si="128"/>
        <v>Conference</v>
      </c>
      <c r="S1651" s="11">
        <f t="shared" si="129"/>
        <v>4</v>
      </c>
    </row>
    <row r="1652" spans="1:19">
      <c r="A1652" t="s">
        <v>8575</v>
      </c>
      <c r="B1652" t="s">
        <v>8576</v>
      </c>
      <c r="C1652" t="s">
        <v>106</v>
      </c>
      <c r="D1652" t="s">
        <v>8577</v>
      </c>
      <c r="E1652" t="s">
        <v>8578</v>
      </c>
      <c r="F1652" t="s">
        <v>8579</v>
      </c>
      <c r="G1652" s="4">
        <v>45244</v>
      </c>
      <c r="H1652" s="4">
        <v>45761</v>
      </c>
      <c r="I1652" s="4">
        <v>45772</v>
      </c>
      <c r="J1652">
        <f t="shared" si="125"/>
        <v>11</v>
      </c>
      <c r="K1652" t="str">
        <f t="array" ref="K1652">_xlfn.IFS(J1652=1,"Day Use",J1652&lt;=3,"Short Stay",J1652&lt;=7,"Extended Stay",J1652&gt;=8,"Long Stay")</f>
        <v>Long Stay</v>
      </c>
      <c r="L1652" t="s">
        <v>196</v>
      </c>
      <c r="M1652" s="10" t="str">
        <f t="shared" si="126"/>
        <v>Suite</v>
      </c>
      <c r="N1652" t="s">
        <v>26</v>
      </c>
      <c r="O1652" t="s">
        <v>71</v>
      </c>
      <c r="P1652">
        <f>IFERROR(VLOOKUP(TRIM(M1652),Room!D:H,5,FALSE),5000)</f>
        <v>12500</v>
      </c>
      <c r="Q1652">
        <f t="shared" si="127"/>
        <v>137500</v>
      </c>
      <c r="R1652" s="11" t="str">
        <f t="shared" si="128"/>
        <v>Business</v>
      </c>
      <c r="S1652" s="11">
        <f t="shared" si="129"/>
        <v>5</v>
      </c>
    </row>
    <row r="1653" spans="1:19">
      <c r="A1653" t="s">
        <v>8580</v>
      </c>
      <c r="B1653" t="s">
        <v>8581</v>
      </c>
      <c r="C1653" t="s">
        <v>2636</v>
      </c>
      <c r="D1653" t="s">
        <v>8582</v>
      </c>
      <c r="E1653" t="s">
        <v>8583</v>
      </c>
      <c r="F1653" t="s">
        <v>8584</v>
      </c>
      <c r="G1653" s="4">
        <v>45339</v>
      </c>
      <c r="H1653" s="4">
        <v>46003</v>
      </c>
      <c r="I1653" s="4">
        <v>46006</v>
      </c>
      <c r="J1653">
        <f t="shared" si="125"/>
        <v>3</v>
      </c>
      <c r="K1653" t="str">
        <f t="array" ref="K1653">_xlfn.IFS(J1653=1,"Day Use",J1653&lt;=3,"Short Stay",J1653&lt;=7,"Extended Stay",J1653&gt;=8,"Long Stay")</f>
        <v>Short Stay</v>
      </c>
      <c r="L1653" t="s">
        <v>34</v>
      </c>
      <c r="M1653" s="10" t="str">
        <f t="shared" si="126"/>
        <v>Standard</v>
      </c>
      <c r="N1653" t="s">
        <v>26</v>
      </c>
      <c r="O1653" t="s">
        <v>42</v>
      </c>
      <c r="P1653">
        <f>IFERROR(VLOOKUP(TRIM(M1653),Room!D:H,5,FALSE),5000)</f>
        <v>3200</v>
      </c>
      <c r="Q1653">
        <f t="shared" si="127"/>
        <v>9600</v>
      </c>
      <c r="R1653" s="11" t="str">
        <f t="shared" si="128"/>
        <v>Other</v>
      </c>
      <c r="S1653" s="11">
        <f t="shared" si="129"/>
        <v>2</v>
      </c>
    </row>
    <row r="1654" spans="1:19">
      <c r="A1654" t="s">
        <v>8585</v>
      </c>
      <c r="B1654" t="s">
        <v>8586</v>
      </c>
      <c r="C1654" t="s">
        <v>137</v>
      </c>
      <c r="D1654" t="s">
        <v>8587</v>
      </c>
      <c r="E1654" t="s">
        <v>8588</v>
      </c>
      <c r="F1654" t="s">
        <v>8589</v>
      </c>
      <c r="G1654" s="4">
        <v>45420</v>
      </c>
      <c r="H1654" s="4">
        <v>45425</v>
      </c>
      <c r="I1654" s="4">
        <v>45431</v>
      </c>
      <c r="J1654">
        <f t="shared" si="125"/>
        <v>6</v>
      </c>
      <c r="K1654" t="str">
        <f t="array" ref="K1654">_xlfn.IFS(J1654=1,"Day Use",J1654&lt;=3,"Short Stay",J1654&lt;=7,"Extended Stay",J1654&gt;=8,"Long Stay")</f>
        <v>Extended Stay</v>
      </c>
      <c r="L1654" t="s">
        <v>49</v>
      </c>
      <c r="M1654" s="10" t="str">
        <f t="shared" si="126"/>
        <v>Deluxe</v>
      </c>
      <c r="N1654" t="s">
        <v>26</v>
      </c>
      <c r="O1654" t="s">
        <v>42</v>
      </c>
      <c r="P1654">
        <f>IFERROR(VLOOKUP(TRIM(M1654),Room!D:H,5,FALSE),5000)</f>
        <v>5400</v>
      </c>
      <c r="Q1654">
        <f t="shared" si="127"/>
        <v>32400</v>
      </c>
      <c r="R1654" s="11" t="str">
        <f t="shared" si="128"/>
        <v>Conference</v>
      </c>
      <c r="S1654" s="11">
        <f t="shared" si="129"/>
        <v>3</v>
      </c>
    </row>
    <row r="1655" spans="1:19">
      <c r="A1655" t="s">
        <v>8590</v>
      </c>
      <c r="B1655" t="s">
        <v>8591</v>
      </c>
      <c r="C1655" t="s">
        <v>2689</v>
      </c>
      <c r="D1655" t="s">
        <v>8592</v>
      </c>
      <c r="E1655" t="s">
        <v>8593</v>
      </c>
      <c r="F1655" t="s">
        <v>8594</v>
      </c>
      <c r="G1655" s="4">
        <v>45549</v>
      </c>
      <c r="H1655" s="4">
        <v>45971</v>
      </c>
      <c r="I1655" s="4">
        <v>45983</v>
      </c>
      <c r="J1655">
        <f t="shared" si="125"/>
        <v>12</v>
      </c>
      <c r="K1655" t="str">
        <f t="array" ref="K1655">_xlfn.IFS(J1655=1,"Day Use",J1655&lt;=3,"Short Stay",J1655&lt;=7,"Extended Stay",J1655&gt;=8,"Long Stay")</f>
        <v>Long Stay</v>
      </c>
      <c r="L1655" t="s">
        <v>84</v>
      </c>
      <c r="M1655" s="10" t="str">
        <f t="shared" si="126"/>
        <v>Suite</v>
      </c>
      <c r="N1655" t="s">
        <v>26</v>
      </c>
      <c r="O1655" t="s">
        <v>35</v>
      </c>
      <c r="P1655">
        <f>IFERROR(VLOOKUP(TRIM(M1655),Room!D:H,5,FALSE),5000)</f>
        <v>12500</v>
      </c>
      <c r="Q1655">
        <f t="shared" si="127"/>
        <v>150000</v>
      </c>
      <c r="R1655" s="11" t="str">
        <f t="shared" si="128"/>
        <v>Business</v>
      </c>
      <c r="S1655" s="11">
        <f t="shared" si="129"/>
        <v>5</v>
      </c>
    </row>
    <row r="1656" spans="1:19">
      <c r="A1656" t="s">
        <v>8595</v>
      </c>
      <c r="B1656" t="s">
        <v>8596</v>
      </c>
      <c r="C1656" t="s">
        <v>1710</v>
      </c>
      <c r="D1656" t="s">
        <v>8597</v>
      </c>
      <c r="E1656" t="s">
        <v>8598</v>
      </c>
      <c r="F1656" t="s">
        <v>8599</v>
      </c>
      <c r="G1656" s="4">
        <v>45396</v>
      </c>
      <c r="H1656" s="4">
        <v>45849</v>
      </c>
      <c r="I1656" s="4">
        <v>45854</v>
      </c>
      <c r="J1656">
        <f t="shared" si="125"/>
        <v>5</v>
      </c>
      <c r="K1656" t="str">
        <f t="array" ref="K1656">_xlfn.IFS(J1656=1,"Day Use",J1656&lt;=3,"Short Stay",J1656&lt;=7,"Extended Stay",J1656&gt;=8,"Long Stay")</f>
        <v>Extended Stay</v>
      </c>
      <c r="L1656" t="s">
        <v>196</v>
      </c>
      <c r="M1656" s="10" t="str">
        <f t="shared" si="126"/>
        <v>Deluxe</v>
      </c>
      <c r="N1656" t="s">
        <v>26</v>
      </c>
      <c r="O1656" t="s">
        <v>71</v>
      </c>
      <c r="P1656">
        <f>IFERROR(VLOOKUP(TRIM(M1656),Room!D:H,5,FALSE),5000)</f>
        <v>5400</v>
      </c>
      <c r="Q1656">
        <f t="shared" si="127"/>
        <v>27000</v>
      </c>
      <c r="R1656" s="11" t="str">
        <f t="shared" si="128"/>
        <v>Conference</v>
      </c>
      <c r="S1656" s="11">
        <f t="shared" si="129"/>
        <v>3</v>
      </c>
    </row>
    <row r="1657" spans="1:19">
      <c r="A1657" t="s">
        <v>8600</v>
      </c>
      <c r="B1657" t="s">
        <v>8601</v>
      </c>
      <c r="C1657" t="s">
        <v>823</v>
      </c>
      <c r="D1657" t="s">
        <v>8602</v>
      </c>
      <c r="E1657" t="s">
        <v>8603</v>
      </c>
      <c r="F1657" t="s">
        <v>8604</v>
      </c>
      <c r="G1657" s="4">
        <v>45316</v>
      </c>
      <c r="H1657" s="4">
        <v>45336</v>
      </c>
      <c r="I1657" s="4">
        <v>45342</v>
      </c>
      <c r="J1657">
        <f t="shared" si="125"/>
        <v>6</v>
      </c>
      <c r="K1657" t="str">
        <f t="array" ref="K1657">_xlfn.IFS(J1657=1,"Day Use",J1657&lt;=3,"Short Stay",J1657&lt;=7,"Extended Stay",J1657&gt;=8,"Long Stay")</f>
        <v>Extended Stay</v>
      </c>
      <c r="L1657" t="s">
        <v>84</v>
      </c>
      <c r="M1657" s="10" t="str">
        <f t="shared" si="126"/>
        <v>Deluxe</v>
      </c>
      <c r="N1657" t="s">
        <v>26</v>
      </c>
      <c r="O1657" t="s">
        <v>58</v>
      </c>
      <c r="P1657">
        <f>IFERROR(VLOOKUP(TRIM(M1657),Room!D:H,5,FALSE),5000)</f>
        <v>5400</v>
      </c>
      <c r="Q1657">
        <f t="shared" si="127"/>
        <v>32400</v>
      </c>
      <c r="R1657" s="11" t="str">
        <f t="shared" si="128"/>
        <v>Conference</v>
      </c>
      <c r="S1657" s="11">
        <f t="shared" si="129"/>
        <v>3</v>
      </c>
    </row>
    <row r="1658" spans="1:19">
      <c r="A1658" t="s">
        <v>8605</v>
      </c>
      <c r="B1658" t="s">
        <v>8606</v>
      </c>
      <c r="C1658" t="s">
        <v>1213</v>
      </c>
      <c r="D1658" t="s">
        <v>8607</v>
      </c>
      <c r="E1658" t="s">
        <v>8608</v>
      </c>
      <c r="F1658" t="s">
        <v>8609</v>
      </c>
      <c r="G1658" s="4">
        <v>45463</v>
      </c>
      <c r="H1658" s="4">
        <v>46007</v>
      </c>
      <c r="I1658" s="4">
        <v>46011</v>
      </c>
      <c r="J1658">
        <f t="shared" si="125"/>
        <v>4</v>
      </c>
      <c r="K1658" t="str">
        <f t="array" ref="K1658">_xlfn.IFS(J1658=1,"Day Use",J1658&lt;=3,"Short Stay",J1658&lt;=7,"Extended Stay",J1658&gt;=8,"Long Stay")</f>
        <v>Extended Stay</v>
      </c>
      <c r="L1658" t="s">
        <v>34</v>
      </c>
      <c r="M1658" s="10" t="str">
        <f t="shared" si="126"/>
        <v>Deluxe</v>
      </c>
      <c r="N1658" t="s">
        <v>26</v>
      </c>
      <c r="O1658" t="s">
        <v>27</v>
      </c>
      <c r="P1658">
        <f>IFERROR(VLOOKUP(TRIM(M1658),Room!D:H,5,FALSE),5000)</f>
        <v>5400</v>
      </c>
      <c r="Q1658">
        <f t="shared" si="127"/>
        <v>21600</v>
      </c>
      <c r="R1658" s="11" t="str">
        <f t="shared" si="128"/>
        <v>Conference</v>
      </c>
      <c r="S1658" s="11">
        <f t="shared" si="129"/>
        <v>3</v>
      </c>
    </row>
    <row r="1659" spans="1:19">
      <c r="A1659" t="s">
        <v>8610</v>
      </c>
      <c r="B1659" t="s">
        <v>8611</v>
      </c>
      <c r="C1659" t="s">
        <v>1431</v>
      </c>
      <c r="D1659" t="s">
        <v>8612</v>
      </c>
      <c r="E1659" t="s">
        <v>8613</v>
      </c>
      <c r="F1659" t="s">
        <v>8614</v>
      </c>
      <c r="G1659" s="4">
        <v>45476</v>
      </c>
      <c r="H1659" s="4">
        <v>45909</v>
      </c>
      <c r="I1659" s="4">
        <v>45911</v>
      </c>
      <c r="J1659">
        <f t="shared" si="125"/>
        <v>2</v>
      </c>
      <c r="K1659" t="str">
        <f t="array" ref="K1659">_xlfn.IFS(J1659=1,"Day Use",J1659&lt;=3,"Short Stay",J1659&lt;=7,"Extended Stay",J1659&gt;=8,"Long Stay")</f>
        <v>Short Stay</v>
      </c>
      <c r="L1659" t="s">
        <v>25</v>
      </c>
      <c r="M1659" s="10" t="str">
        <f t="shared" si="126"/>
        <v>Standard</v>
      </c>
      <c r="N1659" t="s">
        <v>26</v>
      </c>
      <c r="O1659" t="s">
        <v>42</v>
      </c>
      <c r="P1659">
        <f>IFERROR(VLOOKUP(TRIM(M1659),Room!D:H,5,FALSE),5000)</f>
        <v>3200</v>
      </c>
      <c r="Q1659">
        <f t="shared" si="127"/>
        <v>6400</v>
      </c>
      <c r="R1659" s="11" t="str">
        <f t="shared" si="128"/>
        <v>Other</v>
      </c>
      <c r="S1659" s="11">
        <f t="shared" si="129"/>
        <v>2</v>
      </c>
    </row>
    <row r="1660" spans="1:19">
      <c r="A1660" t="s">
        <v>8615</v>
      </c>
      <c r="B1660" t="s">
        <v>8616</v>
      </c>
      <c r="C1660" t="s">
        <v>6202</v>
      </c>
      <c r="D1660" t="s">
        <v>8617</v>
      </c>
      <c r="E1660" t="s">
        <v>8618</v>
      </c>
      <c r="F1660" t="s">
        <v>8619</v>
      </c>
      <c r="G1660" s="4">
        <v>45839</v>
      </c>
      <c r="H1660" s="4">
        <v>45942</v>
      </c>
      <c r="I1660" s="4">
        <v>45952</v>
      </c>
      <c r="J1660">
        <f t="shared" si="125"/>
        <v>10</v>
      </c>
      <c r="K1660" t="str">
        <f t="array" ref="K1660">_xlfn.IFS(J1660=1,"Day Use",J1660&lt;=3,"Short Stay",J1660&lt;=7,"Extended Stay",J1660&gt;=8,"Long Stay")</f>
        <v>Long Stay</v>
      </c>
      <c r="L1660" t="s">
        <v>34</v>
      </c>
      <c r="M1660" s="10" t="str">
        <f t="shared" si="126"/>
        <v>Premium</v>
      </c>
      <c r="N1660" t="s">
        <v>57</v>
      </c>
      <c r="O1660" t="s">
        <v>27</v>
      </c>
      <c r="P1660">
        <f>IFERROR(VLOOKUP(TRIM(M1660),Room!D:H,5,FALSE),5000)</f>
        <v>9500</v>
      </c>
      <c r="Q1660">
        <f t="shared" si="127"/>
        <v>95000</v>
      </c>
      <c r="R1660" s="11" t="str">
        <f t="shared" si="128"/>
        <v>Conference</v>
      </c>
      <c r="S1660" s="11">
        <f t="shared" si="129"/>
        <v>4</v>
      </c>
    </row>
    <row r="1661" spans="1:19">
      <c r="A1661" t="s">
        <v>8620</v>
      </c>
      <c r="B1661" t="s">
        <v>8621</v>
      </c>
      <c r="C1661" t="s">
        <v>4892</v>
      </c>
      <c r="D1661" t="s">
        <v>8622</v>
      </c>
      <c r="E1661" t="s">
        <v>8623</v>
      </c>
      <c r="F1661" t="s">
        <v>8624</v>
      </c>
      <c r="G1661" s="4">
        <v>45528</v>
      </c>
      <c r="H1661" s="4">
        <v>45954</v>
      </c>
      <c r="I1661" s="4">
        <v>45960</v>
      </c>
      <c r="J1661">
        <f t="shared" si="125"/>
        <v>6</v>
      </c>
      <c r="K1661" t="str">
        <f t="array" ref="K1661">_xlfn.IFS(J1661=1,"Day Use",J1661&lt;=3,"Short Stay",J1661&lt;=7,"Extended Stay",J1661&gt;=8,"Long Stay")</f>
        <v>Extended Stay</v>
      </c>
      <c r="L1661" t="s">
        <v>56</v>
      </c>
      <c r="M1661" s="10" t="str">
        <f t="shared" si="126"/>
        <v>Deluxe</v>
      </c>
      <c r="N1661" t="s">
        <v>134</v>
      </c>
      <c r="O1661" t="s">
        <v>42</v>
      </c>
      <c r="P1661">
        <f>IFERROR(VLOOKUP(TRIM(M1661),Room!D:H,5,FALSE),5000)</f>
        <v>5400</v>
      </c>
      <c r="Q1661">
        <f t="shared" si="127"/>
        <v>32400</v>
      </c>
      <c r="R1661" s="11" t="str">
        <f t="shared" si="128"/>
        <v>Conference</v>
      </c>
      <c r="S1661" s="11">
        <f t="shared" si="129"/>
        <v>3</v>
      </c>
    </row>
    <row r="1662" spans="1:19">
      <c r="A1662" t="s">
        <v>8625</v>
      </c>
      <c r="B1662" t="s">
        <v>8626</v>
      </c>
      <c r="C1662" t="s">
        <v>1207</v>
      </c>
      <c r="D1662" t="s">
        <v>8627</v>
      </c>
      <c r="E1662" t="s">
        <v>8628</v>
      </c>
      <c r="F1662" t="s">
        <v>8629</v>
      </c>
      <c r="G1662" s="4">
        <v>45213</v>
      </c>
      <c r="H1662" s="4">
        <v>45636</v>
      </c>
      <c r="I1662" s="4">
        <v>45648</v>
      </c>
      <c r="J1662">
        <f t="shared" si="125"/>
        <v>12</v>
      </c>
      <c r="K1662" t="str">
        <f t="array" ref="K1662">_xlfn.IFS(J1662=1,"Day Use",J1662&lt;=3,"Short Stay",J1662&lt;=7,"Extended Stay",J1662&gt;=8,"Long Stay")</f>
        <v>Long Stay</v>
      </c>
      <c r="L1662" t="s">
        <v>25</v>
      </c>
      <c r="M1662" s="10" t="str">
        <f t="shared" si="126"/>
        <v>Suite</v>
      </c>
      <c r="N1662" t="s">
        <v>26</v>
      </c>
      <c r="O1662" t="s">
        <v>71</v>
      </c>
      <c r="P1662">
        <f>IFERROR(VLOOKUP(TRIM(M1662),Room!D:H,5,FALSE),5000)</f>
        <v>12500</v>
      </c>
      <c r="Q1662">
        <f t="shared" si="127"/>
        <v>150000</v>
      </c>
      <c r="R1662" s="11" t="str">
        <f t="shared" si="128"/>
        <v>Business</v>
      </c>
      <c r="S1662" s="11">
        <f t="shared" si="129"/>
        <v>5</v>
      </c>
    </row>
    <row r="1663" spans="1:19">
      <c r="A1663" t="s">
        <v>8630</v>
      </c>
      <c r="B1663" t="s">
        <v>8631</v>
      </c>
      <c r="C1663" t="s">
        <v>282</v>
      </c>
      <c r="D1663" t="s">
        <v>8632</v>
      </c>
      <c r="E1663" t="s">
        <v>8633</v>
      </c>
      <c r="F1663" t="s">
        <v>8634</v>
      </c>
      <c r="G1663" s="4">
        <v>45577</v>
      </c>
      <c r="H1663" s="4">
        <v>45691</v>
      </c>
      <c r="I1663" s="4">
        <v>45695</v>
      </c>
      <c r="J1663">
        <f t="shared" si="125"/>
        <v>4</v>
      </c>
      <c r="K1663" t="str">
        <f t="array" ref="K1663">_xlfn.IFS(J1663=1,"Day Use",J1663&lt;=3,"Short Stay",J1663&lt;=7,"Extended Stay",J1663&gt;=8,"Long Stay")</f>
        <v>Extended Stay</v>
      </c>
      <c r="L1663" t="s">
        <v>84</v>
      </c>
      <c r="M1663" s="10" t="str">
        <f t="shared" si="126"/>
        <v>Deluxe</v>
      </c>
      <c r="N1663" t="s">
        <v>26</v>
      </c>
      <c r="O1663" t="s">
        <v>27</v>
      </c>
      <c r="P1663">
        <f>IFERROR(VLOOKUP(TRIM(M1663),Room!D:H,5,FALSE),5000)</f>
        <v>5400</v>
      </c>
      <c r="Q1663">
        <f t="shared" si="127"/>
        <v>21600</v>
      </c>
      <c r="R1663" s="11" t="str">
        <f t="shared" si="128"/>
        <v>Conference</v>
      </c>
      <c r="S1663" s="11">
        <f t="shared" si="129"/>
        <v>3</v>
      </c>
    </row>
    <row r="1664" spans="1:19">
      <c r="A1664" t="s">
        <v>8635</v>
      </c>
      <c r="B1664" t="s">
        <v>8636</v>
      </c>
      <c r="C1664" t="s">
        <v>2837</v>
      </c>
      <c r="D1664" t="s">
        <v>8637</v>
      </c>
      <c r="E1664" t="s">
        <v>8638</v>
      </c>
      <c r="F1664" t="s">
        <v>8639</v>
      </c>
      <c r="G1664" s="4">
        <v>45639</v>
      </c>
      <c r="H1664" s="4">
        <v>45665</v>
      </c>
      <c r="I1664" s="4">
        <v>45678</v>
      </c>
      <c r="J1664">
        <f t="shared" si="125"/>
        <v>13</v>
      </c>
      <c r="K1664" t="str">
        <f t="array" ref="K1664">_xlfn.IFS(J1664=1,"Day Use",J1664&lt;=3,"Short Stay",J1664&lt;=7,"Extended Stay",J1664&gt;=8,"Long Stay")</f>
        <v>Long Stay</v>
      </c>
      <c r="L1664" t="s">
        <v>34</v>
      </c>
      <c r="M1664" s="10" t="str">
        <f t="shared" si="126"/>
        <v>Suite</v>
      </c>
      <c r="N1664" t="s">
        <v>26</v>
      </c>
      <c r="O1664" t="s">
        <v>27</v>
      </c>
      <c r="P1664">
        <f>IFERROR(VLOOKUP(TRIM(M1664),Room!D:H,5,FALSE),5000)</f>
        <v>12500</v>
      </c>
      <c r="Q1664">
        <f t="shared" si="127"/>
        <v>162500</v>
      </c>
      <c r="R1664" s="11" t="str">
        <f t="shared" si="128"/>
        <v>Business</v>
      </c>
      <c r="S1664" s="11">
        <f t="shared" si="129"/>
        <v>5</v>
      </c>
    </row>
    <row r="1665" spans="1:19">
      <c r="A1665" t="s">
        <v>8640</v>
      </c>
      <c r="B1665" t="s">
        <v>8641</v>
      </c>
      <c r="C1665" t="s">
        <v>2451</v>
      </c>
      <c r="D1665" t="s">
        <v>8642</v>
      </c>
      <c r="E1665" t="s">
        <v>8643</v>
      </c>
      <c r="F1665" t="s">
        <v>8644</v>
      </c>
      <c r="G1665" s="4">
        <v>45659</v>
      </c>
      <c r="H1665" s="4">
        <v>45684</v>
      </c>
      <c r="I1665" s="4">
        <v>45687</v>
      </c>
      <c r="J1665">
        <f t="shared" si="125"/>
        <v>3</v>
      </c>
      <c r="K1665" t="str">
        <f t="array" ref="K1665">_xlfn.IFS(J1665=1,"Day Use",J1665&lt;=3,"Short Stay",J1665&lt;=7,"Extended Stay",J1665&gt;=8,"Long Stay")</f>
        <v>Short Stay</v>
      </c>
      <c r="L1665" t="s">
        <v>34</v>
      </c>
      <c r="M1665" s="10" t="str">
        <f t="shared" si="126"/>
        <v>Standard</v>
      </c>
      <c r="N1665" t="s">
        <v>57</v>
      </c>
      <c r="O1665" t="s">
        <v>35</v>
      </c>
      <c r="P1665">
        <f>IFERROR(VLOOKUP(TRIM(M1665),Room!D:H,5,FALSE),5000)</f>
        <v>3200</v>
      </c>
      <c r="Q1665">
        <f t="shared" si="127"/>
        <v>9600</v>
      </c>
      <c r="R1665" s="11" t="str">
        <f t="shared" si="128"/>
        <v>Other</v>
      </c>
      <c r="S1665" s="11">
        <f t="shared" si="129"/>
        <v>2</v>
      </c>
    </row>
    <row r="1666" spans="1:19">
      <c r="A1666" t="s">
        <v>8645</v>
      </c>
      <c r="B1666" t="s">
        <v>8646</v>
      </c>
      <c r="C1666" t="s">
        <v>2815</v>
      </c>
      <c r="D1666" t="s">
        <v>8647</v>
      </c>
      <c r="E1666" t="s">
        <v>8648</v>
      </c>
      <c r="F1666" t="s">
        <v>8649</v>
      </c>
      <c r="G1666" s="4">
        <v>45293</v>
      </c>
      <c r="H1666" s="4">
        <v>45305</v>
      </c>
      <c r="I1666" s="4">
        <v>45309</v>
      </c>
      <c r="J1666">
        <f t="shared" ref="J1666:J1729" si="130">I1666-H1666</f>
        <v>4</v>
      </c>
      <c r="K1666" t="str">
        <f t="array" ref="K1666">_xlfn.IFS(J1666=1,"Day Use",J1666&lt;=3,"Short Stay",J1666&lt;=7,"Extended Stay",J1666&gt;=8,"Long Stay")</f>
        <v>Extended Stay</v>
      </c>
      <c r="L1666" t="s">
        <v>196</v>
      </c>
      <c r="M1666" s="10" t="str">
        <f t="shared" ref="M1666:M1729" si="131">IF($J1666&lt;=3,"Standard",IF($J1666&lt;=6,"Deluxe",IF($J1666&lt;=10,"Premium","Suite")))</f>
        <v>Deluxe</v>
      </c>
      <c r="N1666" t="s">
        <v>26</v>
      </c>
      <c r="O1666" t="s">
        <v>35</v>
      </c>
      <c r="P1666">
        <f>IFERROR(VLOOKUP(TRIM(M1666),Room!D:H,5,FALSE),5000)</f>
        <v>5400</v>
      </c>
      <c r="Q1666">
        <f t="shared" si="127"/>
        <v>21600</v>
      </c>
      <c r="R1666" s="11" t="str">
        <f t="shared" si="128"/>
        <v>Conference</v>
      </c>
      <c r="S1666" s="11">
        <f t="shared" si="129"/>
        <v>3</v>
      </c>
    </row>
    <row r="1667" spans="1:19">
      <c r="A1667" t="s">
        <v>8650</v>
      </c>
      <c r="B1667" t="s">
        <v>8651</v>
      </c>
      <c r="C1667" t="s">
        <v>3061</v>
      </c>
      <c r="D1667" t="s">
        <v>8652</v>
      </c>
      <c r="E1667" t="s">
        <v>8653</v>
      </c>
      <c r="F1667" t="s">
        <v>8654</v>
      </c>
      <c r="G1667" s="4">
        <v>45798</v>
      </c>
      <c r="H1667" s="4">
        <v>45950</v>
      </c>
      <c r="I1667" s="4">
        <v>45957</v>
      </c>
      <c r="J1667">
        <f t="shared" si="130"/>
        <v>7</v>
      </c>
      <c r="K1667" t="str">
        <f t="array" ref="K1667">_xlfn.IFS(J1667=1,"Day Use",J1667&lt;=3,"Short Stay",J1667&lt;=7,"Extended Stay",J1667&gt;=8,"Long Stay")</f>
        <v>Extended Stay</v>
      </c>
      <c r="L1667" t="s">
        <v>25</v>
      </c>
      <c r="M1667" s="10" t="str">
        <f t="shared" si="131"/>
        <v>Premium</v>
      </c>
      <c r="N1667" t="s">
        <v>26</v>
      </c>
      <c r="O1667" t="s">
        <v>71</v>
      </c>
      <c r="P1667">
        <f>IFERROR(VLOOKUP(TRIM(M1667),Room!D:H,5,FALSE),5000)</f>
        <v>9500</v>
      </c>
      <c r="Q1667">
        <f t="shared" ref="Q1667:Q1730" si="132">P1667*J1667</f>
        <v>66500</v>
      </c>
      <c r="R1667" s="11" t="str">
        <f t="shared" ref="R1667:R1730" si="133">IF(ISNUMBER(SEARCH("Suite",D1667)),"Honeymoon",IF(P1667&gt;10000,"Business",IF(P1667&gt;5000,"Conference",IF(J1667&gt;=8,"Family Vacation","Other"))))</f>
        <v>Conference</v>
      </c>
      <c r="S1667" s="11">
        <f t="shared" ref="S1667:S1730" si="134">IF(M1667="Suite",5,IF(M1667="Premium",IF(Q1667&gt;20000,4,3),IF(M1667="Deluxe",IF(Q1667&gt;=10000,3,2),IF(M1667="Standard",IF(Q1667&gt;=5000,2,1),1))))</f>
        <v>4</v>
      </c>
    </row>
    <row r="1668" spans="1:19">
      <c r="A1668" t="s">
        <v>8655</v>
      </c>
      <c r="B1668" t="s">
        <v>8656</v>
      </c>
      <c r="C1668" t="s">
        <v>8657</v>
      </c>
      <c r="D1668" t="s">
        <v>8658</v>
      </c>
      <c r="E1668" t="s">
        <v>8659</v>
      </c>
      <c r="F1668" t="s">
        <v>8660</v>
      </c>
      <c r="G1668" s="4">
        <v>45658</v>
      </c>
      <c r="H1668" s="4">
        <v>45937</v>
      </c>
      <c r="I1668" s="4">
        <v>45942</v>
      </c>
      <c r="J1668">
        <f t="shared" si="130"/>
        <v>5</v>
      </c>
      <c r="K1668" t="str">
        <f t="array" ref="K1668">_xlfn.IFS(J1668=1,"Day Use",J1668&lt;=3,"Short Stay",J1668&lt;=7,"Extended Stay",J1668&gt;=8,"Long Stay")</f>
        <v>Extended Stay</v>
      </c>
      <c r="L1668" t="s">
        <v>141</v>
      </c>
      <c r="M1668" s="10" t="str">
        <f t="shared" si="131"/>
        <v>Deluxe</v>
      </c>
      <c r="N1668" t="s">
        <v>148</v>
      </c>
      <c r="O1668" t="s">
        <v>58</v>
      </c>
      <c r="P1668">
        <f>IFERROR(VLOOKUP(TRIM(M1668),Room!D:H,5,FALSE),5000)</f>
        <v>5400</v>
      </c>
      <c r="Q1668">
        <f t="shared" si="132"/>
        <v>27000</v>
      </c>
      <c r="R1668" s="11" t="str">
        <f t="shared" si="133"/>
        <v>Conference</v>
      </c>
      <c r="S1668" s="11">
        <f t="shared" si="134"/>
        <v>3</v>
      </c>
    </row>
    <row r="1669" spans="1:19">
      <c r="A1669" t="s">
        <v>8661</v>
      </c>
      <c r="B1669" t="s">
        <v>8662</v>
      </c>
      <c r="C1669" t="s">
        <v>4359</v>
      </c>
      <c r="D1669" t="s">
        <v>8663</v>
      </c>
      <c r="E1669" t="s">
        <v>8664</v>
      </c>
      <c r="F1669" t="s">
        <v>8665</v>
      </c>
      <c r="G1669" s="4">
        <v>45419</v>
      </c>
      <c r="H1669" s="4">
        <v>45581</v>
      </c>
      <c r="I1669" s="4">
        <v>45593</v>
      </c>
      <c r="J1669">
        <f t="shared" si="130"/>
        <v>12</v>
      </c>
      <c r="K1669" t="str">
        <f t="array" ref="K1669">_xlfn.IFS(J1669=1,"Day Use",J1669&lt;=3,"Short Stay",J1669&lt;=7,"Extended Stay",J1669&gt;=8,"Long Stay")</f>
        <v>Long Stay</v>
      </c>
      <c r="L1669" t="s">
        <v>34</v>
      </c>
      <c r="M1669" s="10" t="str">
        <f t="shared" si="131"/>
        <v>Suite</v>
      </c>
      <c r="N1669" t="s">
        <v>26</v>
      </c>
      <c r="O1669" t="s">
        <v>35</v>
      </c>
      <c r="P1669">
        <f>IFERROR(VLOOKUP(TRIM(M1669),Room!D:H,5,FALSE),5000)</f>
        <v>12500</v>
      </c>
      <c r="Q1669">
        <f t="shared" si="132"/>
        <v>150000</v>
      </c>
      <c r="R1669" s="11" t="str">
        <f t="shared" si="133"/>
        <v>Business</v>
      </c>
      <c r="S1669" s="11">
        <f t="shared" si="134"/>
        <v>5</v>
      </c>
    </row>
    <row r="1670" spans="1:19">
      <c r="A1670" t="s">
        <v>8666</v>
      </c>
      <c r="B1670" t="s">
        <v>8667</v>
      </c>
      <c r="C1670" t="s">
        <v>1810</v>
      </c>
      <c r="D1670" t="s">
        <v>8668</v>
      </c>
      <c r="E1670" t="s">
        <v>8669</v>
      </c>
      <c r="F1670" t="s">
        <v>8670</v>
      </c>
      <c r="G1670" s="4">
        <v>45691</v>
      </c>
      <c r="H1670" s="4">
        <v>45694</v>
      </c>
      <c r="I1670" s="4">
        <v>45703</v>
      </c>
      <c r="J1670">
        <f t="shared" si="130"/>
        <v>9</v>
      </c>
      <c r="K1670" t="str">
        <f t="array" ref="K1670">_xlfn.IFS(J1670=1,"Day Use",J1670&lt;=3,"Short Stay",J1670&lt;=7,"Extended Stay",J1670&gt;=8,"Long Stay")</f>
        <v>Long Stay</v>
      </c>
      <c r="L1670" t="s">
        <v>49</v>
      </c>
      <c r="M1670" s="10" t="str">
        <f t="shared" si="131"/>
        <v>Premium</v>
      </c>
      <c r="N1670" t="s">
        <v>26</v>
      </c>
      <c r="O1670" t="s">
        <v>42</v>
      </c>
      <c r="P1670">
        <f>IFERROR(VLOOKUP(TRIM(M1670),Room!D:H,5,FALSE),5000)</f>
        <v>9500</v>
      </c>
      <c r="Q1670">
        <f t="shared" si="132"/>
        <v>85500</v>
      </c>
      <c r="R1670" s="11" t="str">
        <f t="shared" si="133"/>
        <v>Conference</v>
      </c>
      <c r="S1670" s="11">
        <f t="shared" si="134"/>
        <v>4</v>
      </c>
    </row>
    <row r="1671" spans="1:19">
      <c r="A1671" t="s">
        <v>8671</v>
      </c>
      <c r="B1671" t="s">
        <v>8672</v>
      </c>
      <c r="C1671" t="s">
        <v>982</v>
      </c>
      <c r="D1671" t="s">
        <v>8673</v>
      </c>
      <c r="E1671" t="s">
        <v>8674</v>
      </c>
      <c r="F1671" t="s">
        <v>8675</v>
      </c>
      <c r="G1671" s="4">
        <v>45478</v>
      </c>
      <c r="H1671" s="4">
        <v>45499</v>
      </c>
      <c r="I1671" s="4">
        <v>45502</v>
      </c>
      <c r="J1671">
        <f t="shared" si="130"/>
        <v>3</v>
      </c>
      <c r="K1671" t="str">
        <f t="array" ref="K1671">_xlfn.IFS(J1671=1,"Day Use",J1671&lt;=3,"Short Stay",J1671&lt;=7,"Extended Stay",J1671&gt;=8,"Long Stay")</f>
        <v>Short Stay</v>
      </c>
      <c r="L1671" t="s">
        <v>49</v>
      </c>
      <c r="M1671" s="10" t="str">
        <f t="shared" si="131"/>
        <v>Standard</v>
      </c>
      <c r="N1671" t="s">
        <v>26</v>
      </c>
      <c r="O1671" t="s">
        <v>58</v>
      </c>
      <c r="P1671">
        <f>IFERROR(VLOOKUP(TRIM(M1671),Room!D:H,5,FALSE),5000)</f>
        <v>3200</v>
      </c>
      <c r="Q1671">
        <f t="shared" si="132"/>
        <v>9600</v>
      </c>
      <c r="R1671" s="11" t="str">
        <f t="shared" si="133"/>
        <v>Other</v>
      </c>
      <c r="S1671" s="11">
        <f t="shared" si="134"/>
        <v>2</v>
      </c>
    </row>
    <row r="1672" spans="1:19">
      <c r="A1672" t="s">
        <v>8676</v>
      </c>
      <c r="B1672" t="s">
        <v>8677</v>
      </c>
      <c r="C1672" t="s">
        <v>1074</v>
      </c>
      <c r="D1672" t="s">
        <v>8678</v>
      </c>
      <c r="E1672" t="s">
        <v>8679</v>
      </c>
      <c r="F1672" t="s">
        <v>8680</v>
      </c>
      <c r="G1672" s="4">
        <v>45510</v>
      </c>
      <c r="H1672" s="4">
        <v>45529</v>
      </c>
      <c r="I1672" s="4">
        <v>45530</v>
      </c>
      <c r="J1672">
        <f t="shared" si="130"/>
        <v>1</v>
      </c>
      <c r="K1672" t="str">
        <f t="array" ref="K1672">_xlfn.IFS(J1672=1,"Day Use",J1672&lt;=3,"Short Stay",J1672&lt;=7,"Extended Stay",J1672&gt;=8,"Long Stay")</f>
        <v>Day Use</v>
      </c>
      <c r="L1672" t="s">
        <v>84</v>
      </c>
      <c r="M1672" s="10" t="str">
        <f t="shared" si="131"/>
        <v>Standard</v>
      </c>
      <c r="N1672" t="s">
        <v>57</v>
      </c>
      <c r="O1672" t="s">
        <v>42</v>
      </c>
      <c r="P1672">
        <f>IFERROR(VLOOKUP(TRIM(M1672),Room!D:H,5,FALSE),5000)</f>
        <v>3200</v>
      </c>
      <c r="Q1672">
        <f t="shared" si="132"/>
        <v>3200</v>
      </c>
      <c r="R1672" s="11" t="str">
        <f t="shared" si="133"/>
        <v>Other</v>
      </c>
      <c r="S1672" s="11">
        <f t="shared" si="134"/>
        <v>1</v>
      </c>
    </row>
    <row r="1673" spans="1:19">
      <c r="A1673" t="s">
        <v>8681</v>
      </c>
      <c r="B1673" t="s">
        <v>8682</v>
      </c>
      <c r="C1673" t="s">
        <v>61</v>
      </c>
      <c r="D1673" t="s">
        <v>8683</v>
      </c>
      <c r="E1673" t="s">
        <v>8684</v>
      </c>
      <c r="F1673" t="s">
        <v>8685</v>
      </c>
      <c r="G1673" s="4">
        <v>45642</v>
      </c>
      <c r="H1673" s="4">
        <v>45713</v>
      </c>
      <c r="I1673" s="4">
        <v>45719</v>
      </c>
      <c r="J1673">
        <f t="shared" si="130"/>
        <v>6</v>
      </c>
      <c r="K1673" t="str">
        <f t="array" ref="K1673">_xlfn.IFS(J1673=1,"Day Use",J1673&lt;=3,"Short Stay",J1673&lt;=7,"Extended Stay",J1673&gt;=8,"Long Stay")</f>
        <v>Extended Stay</v>
      </c>
      <c r="L1673" t="s">
        <v>91</v>
      </c>
      <c r="M1673" s="10" t="str">
        <f t="shared" si="131"/>
        <v>Deluxe</v>
      </c>
      <c r="N1673" t="s">
        <v>26</v>
      </c>
      <c r="O1673" t="s">
        <v>58</v>
      </c>
      <c r="P1673">
        <f>IFERROR(VLOOKUP(TRIM(M1673),Room!D:H,5,FALSE),5000)</f>
        <v>5400</v>
      </c>
      <c r="Q1673">
        <f t="shared" si="132"/>
        <v>32400</v>
      </c>
      <c r="R1673" s="11" t="str">
        <f t="shared" si="133"/>
        <v>Conference</v>
      </c>
      <c r="S1673" s="11">
        <f t="shared" si="134"/>
        <v>3</v>
      </c>
    </row>
    <row r="1674" spans="1:19">
      <c r="A1674" t="s">
        <v>8686</v>
      </c>
      <c r="B1674" t="s">
        <v>8687</v>
      </c>
      <c r="C1674" t="s">
        <v>500</v>
      </c>
      <c r="D1674" t="s">
        <v>8688</v>
      </c>
      <c r="E1674" t="s">
        <v>8689</v>
      </c>
      <c r="F1674" t="s">
        <v>8690</v>
      </c>
      <c r="G1674" s="4">
        <v>45547</v>
      </c>
      <c r="H1674" s="4">
        <v>45751</v>
      </c>
      <c r="I1674" s="4">
        <v>45754</v>
      </c>
      <c r="J1674">
        <f t="shared" si="130"/>
        <v>3</v>
      </c>
      <c r="K1674" t="str">
        <f t="array" ref="K1674">_xlfn.IFS(J1674=1,"Day Use",J1674&lt;=3,"Short Stay",J1674&lt;=7,"Extended Stay",J1674&gt;=8,"Long Stay")</f>
        <v>Short Stay</v>
      </c>
      <c r="L1674" t="s">
        <v>49</v>
      </c>
      <c r="M1674" s="10" t="str">
        <f t="shared" si="131"/>
        <v>Standard</v>
      </c>
      <c r="N1674" t="s">
        <v>26</v>
      </c>
      <c r="O1674" t="s">
        <v>42</v>
      </c>
      <c r="P1674">
        <f>IFERROR(VLOOKUP(TRIM(M1674),Room!D:H,5,FALSE),5000)</f>
        <v>3200</v>
      </c>
      <c r="Q1674">
        <f t="shared" si="132"/>
        <v>9600</v>
      </c>
      <c r="R1674" s="11" t="str">
        <f t="shared" si="133"/>
        <v>Other</v>
      </c>
      <c r="S1674" s="11">
        <f t="shared" si="134"/>
        <v>2</v>
      </c>
    </row>
    <row r="1675" spans="1:19">
      <c r="A1675" t="s">
        <v>8691</v>
      </c>
      <c r="B1675" t="s">
        <v>8692</v>
      </c>
      <c r="C1675" t="s">
        <v>667</v>
      </c>
      <c r="D1675" t="s">
        <v>8693</v>
      </c>
      <c r="E1675" t="s">
        <v>8694</v>
      </c>
      <c r="F1675" t="s">
        <v>8695</v>
      </c>
      <c r="G1675" s="4">
        <v>45765</v>
      </c>
      <c r="H1675" s="4">
        <v>45781</v>
      </c>
      <c r="I1675" s="4">
        <v>45794</v>
      </c>
      <c r="J1675">
        <f t="shared" si="130"/>
        <v>13</v>
      </c>
      <c r="K1675" t="str">
        <f t="array" ref="K1675">_xlfn.IFS(J1675=1,"Day Use",J1675&lt;=3,"Short Stay",J1675&lt;=7,"Extended Stay",J1675&gt;=8,"Long Stay")</f>
        <v>Long Stay</v>
      </c>
      <c r="L1675" t="s">
        <v>141</v>
      </c>
      <c r="M1675" s="10" t="str">
        <f t="shared" si="131"/>
        <v>Suite</v>
      </c>
      <c r="N1675" t="s">
        <v>26</v>
      </c>
      <c r="O1675" t="s">
        <v>35</v>
      </c>
      <c r="P1675">
        <f>IFERROR(VLOOKUP(TRIM(M1675),Room!D:H,5,FALSE),5000)</f>
        <v>12500</v>
      </c>
      <c r="Q1675">
        <f t="shared" si="132"/>
        <v>162500</v>
      </c>
      <c r="R1675" s="11" t="str">
        <f t="shared" si="133"/>
        <v>Business</v>
      </c>
      <c r="S1675" s="11">
        <f t="shared" si="134"/>
        <v>5</v>
      </c>
    </row>
    <row r="1676" spans="1:19">
      <c r="A1676" t="s">
        <v>8696</v>
      </c>
      <c r="B1676" t="s">
        <v>8697</v>
      </c>
      <c r="C1676" t="s">
        <v>1367</v>
      </c>
      <c r="D1676" t="s">
        <v>8698</v>
      </c>
      <c r="E1676" t="s">
        <v>8699</v>
      </c>
      <c r="F1676" t="s">
        <v>8700</v>
      </c>
      <c r="G1676" s="4">
        <v>45454</v>
      </c>
      <c r="H1676" s="4">
        <v>45954</v>
      </c>
      <c r="I1676" s="4">
        <v>45968</v>
      </c>
      <c r="J1676">
        <f t="shared" si="130"/>
        <v>14</v>
      </c>
      <c r="K1676" t="str">
        <f t="array" ref="K1676">_xlfn.IFS(J1676=1,"Day Use",J1676&lt;=3,"Short Stay",J1676&lt;=7,"Extended Stay",J1676&gt;=8,"Long Stay")</f>
        <v>Long Stay</v>
      </c>
      <c r="L1676" t="s">
        <v>56</v>
      </c>
      <c r="M1676" s="10" t="str">
        <f t="shared" si="131"/>
        <v>Suite</v>
      </c>
      <c r="N1676" t="s">
        <v>148</v>
      </c>
      <c r="O1676" t="s">
        <v>71</v>
      </c>
      <c r="P1676">
        <f>IFERROR(VLOOKUP(TRIM(M1676),Room!D:H,5,FALSE),5000)</f>
        <v>12500</v>
      </c>
      <c r="Q1676">
        <f t="shared" si="132"/>
        <v>175000</v>
      </c>
      <c r="R1676" s="11" t="str">
        <f t="shared" si="133"/>
        <v>Business</v>
      </c>
      <c r="S1676" s="11">
        <f t="shared" si="134"/>
        <v>5</v>
      </c>
    </row>
    <row r="1677" spans="1:19">
      <c r="A1677" t="s">
        <v>8701</v>
      </c>
      <c r="B1677" t="s">
        <v>8702</v>
      </c>
      <c r="C1677" t="s">
        <v>4669</v>
      </c>
      <c r="D1677" t="s">
        <v>8703</v>
      </c>
      <c r="E1677" t="s">
        <v>8704</v>
      </c>
      <c r="F1677" t="s">
        <v>8705</v>
      </c>
      <c r="G1677" s="4">
        <v>45875</v>
      </c>
      <c r="H1677" s="4">
        <v>45877</v>
      </c>
      <c r="I1677" s="4">
        <v>45879</v>
      </c>
      <c r="J1677">
        <f t="shared" si="130"/>
        <v>2</v>
      </c>
      <c r="K1677" t="str">
        <f t="array" ref="K1677">_xlfn.IFS(J1677=1,"Day Use",J1677&lt;=3,"Short Stay",J1677&lt;=7,"Extended Stay",J1677&gt;=8,"Long Stay")</f>
        <v>Short Stay</v>
      </c>
      <c r="L1677" t="s">
        <v>56</v>
      </c>
      <c r="M1677" s="10" t="str">
        <f t="shared" si="131"/>
        <v>Standard</v>
      </c>
      <c r="N1677" t="s">
        <v>26</v>
      </c>
      <c r="O1677" t="s">
        <v>71</v>
      </c>
      <c r="P1677">
        <f>IFERROR(VLOOKUP(TRIM(M1677),Room!D:H,5,FALSE),5000)</f>
        <v>3200</v>
      </c>
      <c r="Q1677">
        <f t="shared" si="132"/>
        <v>6400</v>
      </c>
      <c r="R1677" s="11" t="str">
        <f t="shared" si="133"/>
        <v>Other</v>
      </c>
      <c r="S1677" s="11">
        <f t="shared" si="134"/>
        <v>2</v>
      </c>
    </row>
    <row r="1678" spans="1:19">
      <c r="A1678" t="s">
        <v>8706</v>
      </c>
      <c r="B1678" t="s">
        <v>8707</v>
      </c>
      <c r="C1678" t="s">
        <v>3124</v>
      </c>
      <c r="D1678" t="s">
        <v>8708</v>
      </c>
      <c r="E1678" t="s">
        <v>8709</v>
      </c>
      <c r="F1678" t="s">
        <v>8710</v>
      </c>
      <c r="G1678" s="4">
        <v>45300</v>
      </c>
      <c r="H1678" s="4">
        <v>45690</v>
      </c>
      <c r="I1678" s="4">
        <v>45692</v>
      </c>
      <c r="J1678">
        <f t="shared" si="130"/>
        <v>2</v>
      </c>
      <c r="K1678" t="str">
        <f t="array" ref="K1678">_xlfn.IFS(J1678=1,"Day Use",J1678&lt;=3,"Short Stay",J1678&lt;=7,"Extended Stay",J1678&gt;=8,"Long Stay")</f>
        <v>Short Stay</v>
      </c>
      <c r="L1678" t="s">
        <v>84</v>
      </c>
      <c r="M1678" s="10" t="str">
        <f t="shared" si="131"/>
        <v>Standard</v>
      </c>
      <c r="N1678" t="s">
        <v>26</v>
      </c>
      <c r="O1678" t="s">
        <v>35</v>
      </c>
      <c r="P1678">
        <f>IFERROR(VLOOKUP(TRIM(M1678),Room!D:H,5,FALSE),5000)</f>
        <v>3200</v>
      </c>
      <c r="Q1678">
        <f t="shared" si="132"/>
        <v>6400</v>
      </c>
      <c r="R1678" s="11" t="str">
        <f t="shared" si="133"/>
        <v>Other</v>
      </c>
      <c r="S1678" s="11">
        <f t="shared" si="134"/>
        <v>2</v>
      </c>
    </row>
    <row r="1679" spans="1:19">
      <c r="A1679" t="s">
        <v>8711</v>
      </c>
      <c r="B1679" t="s">
        <v>8712</v>
      </c>
      <c r="C1679" t="s">
        <v>124</v>
      </c>
      <c r="D1679" t="s">
        <v>8713</v>
      </c>
      <c r="E1679" t="s">
        <v>8714</v>
      </c>
      <c r="F1679" t="s">
        <v>8715</v>
      </c>
      <c r="G1679" s="4">
        <v>45213</v>
      </c>
      <c r="H1679" s="4">
        <v>45589</v>
      </c>
      <c r="I1679" s="4">
        <v>45602</v>
      </c>
      <c r="J1679">
        <f t="shared" si="130"/>
        <v>13</v>
      </c>
      <c r="K1679" t="str">
        <f t="array" ref="K1679">_xlfn.IFS(J1679=1,"Day Use",J1679&lt;=3,"Short Stay",J1679&lt;=7,"Extended Stay",J1679&gt;=8,"Long Stay")</f>
        <v>Long Stay</v>
      </c>
      <c r="L1679" t="s">
        <v>56</v>
      </c>
      <c r="M1679" s="10" t="str">
        <f t="shared" si="131"/>
        <v>Suite</v>
      </c>
      <c r="N1679" t="s">
        <v>26</v>
      </c>
      <c r="O1679" t="s">
        <v>42</v>
      </c>
      <c r="P1679">
        <f>IFERROR(VLOOKUP(TRIM(M1679),Room!D:H,5,FALSE),5000)</f>
        <v>12500</v>
      </c>
      <c r="Q1679">
        <f t="shared" si="132"/>
        <v>162500</v>
      </c>
      <c r="R1679" s="11" t="str">
        <f t="shared" si="133"/>
        <v>Business</v>
      </c>
      <c r="S1679" s="11">
        <f t="shared" si="134"/>
        <v>5</v>
      </c>
    </row>
    <row r="1680" spans="1:19">
      <c r="A1680" t="s">
        <v>8716</v>
      </c>
      <c r="B1680" t="s">
        <v>8717</v>
      </c>
      <c r="C1680" t="s">
        <v>415</v>
      </c>
      <c r="D1680" t="s">
        <v>8718</v>
      </c>
      <c r="E1680" t="s">
        <v>8719</v>
      </c>
      <c r="F1680" t="s">
        <v>8720</v>
      </c>
      <c r="G1680" s="4">
        <v>45254</v>
      </c>
      <c r="H1680" s="4">
        <v>45465</v>
      </c>
      <c r="I1680" s="4">
        <v>45470</v>
      </c>
      <c r="J1680">
        <f t="shared" si="130"/>
        <v>5</v>
      </c>
      <c r="K1680" t="str">
        <f t="array" ref="K1680">_xlfn.IFS(J1680=1,"Day Use",J1680&lt;=3,"Short Stay",J1680&lt;=7,"Extended Stay",J1680&gt;=8,"Long Stay")</f>
        <v>Extended Stay</v>
      </c>
      <c r="L1680" t="s">
        <v>196</v>
      </c>
      <c r="M1680" s="10" t="str">
        <f t="shared" si="131"/>
        <v>Deluxe</v>
      </c>
      <c r="N1680" t="s">
        <v>26</v>
      </c>
      <c r="O1680" t="s">
        <v>71</v>
      </c>
      <c r="P1680">
        <f>IFERROR(VLOOKUP(TRIM(M1680),Room!D:H,5,FALSE),5000)</f>
        <v>5400</v>
      </c>
      <c r="Q1680">
        <f t="shared" si="132"/>
        <v>27000</v>
      </c>
      <c r="R1680" s="11" t="str">
        <f t="shared" si="133"/>
        <v>Conference</v>
      </c>
      <c r="S1680" s="11">
        <f t="shared" si="134"/>
        <v>3</v>
      </c>
    </row>
    <row r="1681" spans="1:19">
      <c r="A1681" t="s">
        <v>8721</v>
      </c>
      <c r="B1681" t="s">
        <v>8722</v>
      </c>
      <c r="C1681" t="s">
        <v>1158</v>
      </c>
      <c r="D1681" t="s">
        <v>8723</v>
      </c>
      <c r="E1681" t="s">
        <v>8724</v>
      </c>
      <c r="F1681" t="s">
        <v>8725</v>
      </c>
      <c r="G1681" s="4">
        <v>45818</v>
      </c>
      <c r="H1681" s="4">
        <v>45846</v>
      </c>
      <c r="I1681" s="4">
        <v>45858</v>
      </c>
      <c r="J1681">
        <f t="shared" si="130"/>
        <v>12</v>
      </c>
      <c r="K1681" t="str">
        <f t="array" ref="K1681">_xlfn.IFS(J1681=1,"Day Use",J1681&lt;=3,"Short Stay",J1681&lt;=7,"Extended Stay",J1681&gt;=8,"Long Stay")</f>
        <v>Long Stay</v>
      </c>
      <c r="L1681" t="s">
        <v>56</v>
      </c>
      <c r="M1681" s="10" t="str">
        <f t="shared" si="131"/>
        <v>Suite</v>
      </c>
      <c r="N1681" t="s">
        <v>57</v>
      </c>
      <c r="O1681" t="s">
        <v>58</v>
      </c>
      <c r="P1681">
        <f>IFERROR(VLOOKUP(TRIM(M1681),Room!D:H,5,FALSE),5000)</f>
        <v>12500</v>
      </c>
      <c r="Q1681">
        <f t="shared" si="132"/>
        <v>150000</v>
      </c>
      <c r="R1681" s="11" t="str">
        <f t="shared" si="133"/>
        <v>Business</v>
      </c>
      <c r="S1681" s="11">
        <f t="shared" si="134"/>
        <v>5</v>
      </c>
    </row>
    <row r="1682" spans="1:19">
      <c r="A1682" t="s">
        <v>8726</v>
      </c>
      <c r="B1682" t="s">
        <v>8727</v>
      </c>
      <c r="C1682" t="s">
        <v>124</v>
      </c>
      <c r="D1682" t="s">
        <v>8728</v>
      </c>
      <c r="E1682" t="s">
        <v>8729</v>
      </c>
      <c r="F1682" t="s">
        <v>8730</v>
      </c>
      <c r="G1682" s="4">
        <v>45817</v>
      </c>
      <c r="H1682" s="4">
        <v>45822</v>
      </c>
      <c r="I1682" s="4">
        <v>45836</v>
      </c>
      <c r="J1682">
        <f t="shared" si="130"/>
        <v>14</v>
      </c>
      <c r="K1682" t="str">
        <f t="array" ref="K1682">_xlfn.IFS(J1682=1,"Day Use",J1682&lt;=3,"Short Stay",J1682&lt;=7,"Extended Stay",J1682&gt;=8,"Long Stay")</f>
        <v>Long Stay</v>
      </c>
      <c r="L1682" t="s">
        <v>49</v>
      </c>
      <c r="M1682" s="10" t="str">
        <f t="shared" si="131"/>
        <v>Suite</v>
      </c>
      <c r="N1682" t="s">
        <v>148</v>
      </c>
      <c r="O1682" t="s">
        <v>58</v>
      </c>
      <c r="P1682">
        <f>IFERROR(VLOOKUP(TRIM(M1682),Room!D:H,5,FALSE),5000)</f>
        <v>12500</v>
      </c>
      <c r="Q1682">
        <f t="shared" si="132"/>
        <v>175000</v>
      </c>
      <c r="R1682" s="11" t="str">
        <f t="shared" si="133"/>
        <v>Business</v>
      </c>
      <c r="S1682" s="11">
        <f t="shared" si="134"/>
        <v>5</v>
      </c>
    </row>
    <row r="1683" spans="1:19">
      <c r="A1683" t="s">
        <v>8731</v>
      </c>
      <c r="B1683" t="s">
        <v>8732</v>
      </c>
      <c r="C1683" t="s">
        <v>6268</v>
      </c>
      <c r="D1683" t="s">
        <v>8733</v>
      </c>
      <c r="E1683" t="s">
        <v>8734</v>
      </c>
      <c r="F1683" t="s">
        <v>8735</v>
      </c>
      <c r="G1683" s="4">
        <v>45291</v>
      </c>
      <c r="H1683" s="4">
        <v>45763</v>
      </c>
      <c r="I1683" s="4">
        <v>45767</v>
      </c>
      <c r="J1683">
        <f t="shared" si="130"/>
        <v>4</v>
      </c>
      <c r="K1683" t="str">
        <f t="array" ref="K1683">_xlfn.IFS(J1683=1,"Day Use",J1683&lt;=3,"Short Stay",J1683&lt;=7,"Extended Stay",J1683&gt;=8,"Long Stay")</f>
        <v>Extended Stay</v>
      </c>
      <c r="L1683" t="s">
        <v>196</v>
      </c>
      <c r="M1683" s="10" t="str">
        <f t="shared" si="131"/>
        <v>Deluxe</v>
      </c>
      <c r="N1683" t="s">
        <v>134</v>
      </c>
      <c r="O1683" t="s">
        <v>27</v>
      </c>
      <c r="P1683">
        <f>IFERROR(VLOOKUP(TRIM(M1683),Room!D:H,5,FALSE),5000)</f>
        <v>5400</v>
      </c>
      <c r="Q1683">
        <f t="shared" si="132"/>
        <v>21600</v>
      </c>
      <c r="R1683" s="11" t="str">
        <f t="shared" si="133"/>
        <v>Conference</v>
      </c>
      <c r="S1683" s="11">
        <f t="shared" si="134"/>
        <v>3</v>
      </c>
    </row>
    <row r="1684" spans="1:19">
      <c r="A1684" t="s">
        <v>8736</v>
      </c>
      <c r="B1684" t="s">
        <v>8737</v>
      </c>
      <c r="C1684" t="s">
        <v>786</v>
      </c>
      <c r="D1684" t="s">
        <v>8738</v>
      </c>
      <c r="E1684" t="s">
        <v>8739</v>
      </c>
      <c r="F1684" t="s">
        <v>8740</v>
      </c>
      <c r="G1684" s="4">
        <v>45537</v>
      </c>
      <c r="H1684" s="4">
        <v>45984</v>
      </c>
      <c r="I1684" s="4">
        <v>45985</v>
      </c>
      <c r="J1684">
        <f t="shared" si="130"/>
        <v>1</v>
      </c>
      <c r="K1684" t="str">
        <f t="array" ref="K1684">_xlfn.IFS(J1684=1,"Day Use",J1684&lt;=3,"Short Stay",J1684&lt;=7,"Extended Stay",J1684&gt;=8,"Long Stay")</f>
        <v>Day Use</v>
      </c>
      <c r="L1684" t="s">
        <v>196</v>
      </c>
      <c r="M1684" s="10" t="str">
        <f t="shared" si="131"/>
        <v>Standard</v>
      </c>
      <c r="N1684" t="s">
        <v>26</v>
      </c>
      <c r="O1684" t="s">
        <v>42</v>
      </c>
      <c r="P1684">
        <f>IFERROR(VLOOKUP(TRIM(M1684),Room!D:H,5,FALSE),5000)</f>
        <v>3200</v>
      </c>
      <c r="Q1684">
        <f t="shared" si="132"/>
        <v>3200</v>
      </c>
      <c r="R1684" s="11" t="str">
        <f t="shared" si="133"/>
        <v>Other</v>
      </c>
      <c r="S1684" s="11">
        <f t="shared" si="134"/>
        <v>1</v>
      </c>
    </row>
    <row r="1685" spans="1:19">
      <c r="A1685" t="s">
        <v>8741</v>
      </c>
      <c r="B1685" t="s">
        <v>8742</v>
      </c>
      <c r="C1685" t="s">
        <v>3586</v>
      </c>
      <c r="D1685" t="s">
        <v>8743</v>
      </c>
      <c r="E1685" t="s">
        <v>8744</v>
      </c>
      <c r="F1685" t="s">
        <v>8745</v>
      </c>
      <c r="G1685" s="4">
        <v>45290</v>
      </c>
      <c r="H1685" s="4">
        <v>45469</v>
      </c>
      <c r="I1685" s="4">
        <v>45470</v>
      </c>
      <c r="J1685">
        <f t="shared" si="130"/>
        <v>1</v>
      </c>
      <c r="K1685" t="str">
        <f t="array" ref="K1685">_xlfn.IFS(J1685=1,"Day Use",J1685&lt;=3,"Short Stay",J1685&lt;=7,"Extended Stay",J1685&gt;=8,"Long Stay")</f>
        <v>Day Use</v>
      </c>
      <c r="L1685" t="s">
        <v>34</v>
      </c>
      <c r="M1685" s="10" t="str">
        <f t="shared" si="131"/>
        <v>Standard</v>
      </c>
      <c r="N1685" t="s">
        <v>26</v>
      </c>
      <c r="O1685" t="s">
        <v>35</v>
      </c>
      <c r="P1685">
        <f>IFERROR(VLOOKUP(TRIM(M1685),Room!D:H,5,FALSE),5000)</f>
        <v>3200</v>
      </c>
      <c r="Q1685">
        <f t="shared" si="132"/>
        <v>3200</v>
      </c>
      <c r="R1685" s="11" t="str">
        <f t="shared" si="133"/>
        <v>Other</v>
      </c>
      <c r="S1685" s="11">
        <f t="shared" si="134"/>
        <v>1</v>
      </c>
    </row>
    <row r="1686" spans="1:19">
      <c r="A1686" t="s">
        <v>8746</v>
      </c>
      <c r="B1686" t="s">
        <v>8747</v>
      </c>
      <c r="C1686" t="s">
        <v>3586</v>
      </c>
      <c r="D1686" t="s">
        <v>8748</v>
      </c>
      <c r="E1686" t="s">
        <v>8749</v>
      </c>
      <c r="F1686" t="s">
        <v>8750</v>
      </c>
      <c r="G1686" s="4">
        <v>45234</v>
      </c>
      <c r="H1686" s="4">
        <v>45437</v>
      </c>
      <c r="I1686" s="4">
        <v>45442</v>
      </c>
      <c r="J1686">
        <f t="shared" si="130"/>
        <v>5</v>
      </c>
      <c r="K1686" t="str">
        <f t="array" ref="K1686">_xlfn.IFS(J1686=1,"Day Use",J1686&lt;=3,"Short Stay",J1686&lt;=7,"Extended Stay",J1686&gt;=8,"Long Stay")</f>
        <v>Extended Stay</v>
      </c>
      <c r="L1686" t="s">
        <v>34</v>
      </c>
      <c r="M1686" s="10" t="str">
        <f t="shared" si="131"/>
        <v>Deluxe</v>
      </c>
      <c r="N1686" t="s">
        <v>26</v>
      </c>
      <c r="O1686" t="s">
        <v>58</v>
      </c>
      <c r="P1686">
        <f>IFERROR(VLOOKUP(TRIM(M1686),Room!D:H,5,FALSE),5000)</f>
        <v>5400</v>
      </c>
      <c r="Q1686">
        <f t="shared" si="132"/>
        <v>27000</v>
      </c>
      <c r="R1686" s="11" t="str">
        <f t="shared" si="133"/>
        <v>Conference</v>
      </c>
      <c r="S1686" s="11">
        <f t="shared" si="134"/>
        <v>3</v>
      </c>
    </row>
    <row r="1687" spans="1:19">
      <c r="A1687" t="s">
        <v>8751</v>
      </c>
      <c r="B1687" t="s">
        <v>8752</v>
      </c>
      <c r="C1687" t="s">
        <v>2154</v>
      </c>
      <c r="D1687" t="s">
        <v>8753</v>
      </c>
      <c r="E1687" t="s">
        <v>8754</v>
      </c>
      <c r="F1687" t="s">
        <v>8755</v>
      </c>
      <c r="G1687" s="4">
        <v>45316</v>
      </c>
      <c r="H1687" s="4">
        <v>45333</v>
      </c>
      <c r="I1687" s="4">
        <v>45343</v>
      </c>
      <c r="J1687">
        <f t="shared" si="130"/>
        <v>10</v>
      </c>
      <c r="K1687" t="str">
        <f t="array" ref="K1687">_xlfn.IFS(J1687=1,"Day Use",J1687&lt;=3,"Short Stay",J1687&lt;=7,"Extended Stay",J1687&gt;=8,"Long Stay")</f>
        <v>Long Stay</v>
      </c>
      <c r="L1687" t="s">
        <v>84</v>
      </c>
      <c r="M1687" s="10" t="str">
        <f t="shared" si="131"/>
        <v>Premium</v>
      </c>
      <c r="N1687" t="s">
        <v>26</v>
      </c>
      <c r="O1687" t="s">
        <v>27</v>
      </c>
      <c r="P1687">
        <f>IFERROR(VLOOKUP(TRIM(M1687),Room!D:H,5,FALSE),5000)</f>
        <v>9500</v>
      </c>
      <c r="Q1687">
        <f t="shared" si="132"/>
        <v>95000</v>
      </c>
      <c r="R1687" s="11" t="str">
        <f t="shared" si="133"/>
        <v>Conference</v>
      </c>
      <c r="S1687" s="11">
        <f t="shared" si="134"/>
        <v>4</v>
      </c>
    </row>
    <row r="1688" spans="1:19">
      <c r="A1688" t="s">
        <v>8756</v>
      </c>
      <c r="B1688" t="s">
        <v>8757</v>
      </c>
      <c r="C1688" t="s">
        <v>1036</v>
      </c>
      <c r="D1688" t="s">
        <v>8758</v>
      </c>
      <c r="E1688" t="s">
        <v>8759</v>
      </c>
      <c r="F1688" t="s">
        <v>8760</v>
      </c>
      <c r="G1688" s="4">
        <v>45571</v>
      </c>
      <c r="H1688" s="4">
        <v>45957</v>
      </c>
      <c r="I1688" s="4">
        <v>45968</v>
      </c>
      <c r="J1688">
        <f t="shared" si="130"/>
        <v>11</v>
      </c>
      <c r="K1688" t="str">
        <f t="array" ref="K1688">_xlfn.IFS(J1688=1,"Day Use",J1688&lt;=3,"Short Stay",J1688&lt;=7,"Extended Stay",J1688&gt;=8,"Long Stay")</f>
        <v>Long Stay</v>
      </c>
      <c r="L1688" t="s">
        <v>84</v>
      </c>
      <c r="M1688" s="10" t="str">
        <f t="shared" si="131"/>
        <v>Suite</v>
      </c>
      <c r="N1688" t="s">
        <v>26</v>
      </c>
      <c r="O1688" t="s">
        <v>35</v>
      </c>
      <c r="P1688">
        <f>IFERROR(VLOOKUP(TRIM(M1688),Room!D:H,5,FALSE),5000)</f>
        <v>12500</v>
      </c>
      <c r="Q1688">
        <f t="shared" si="132"/>
        <v>137500</v>
      </c>
      <c r="R1688" s="11" t="str">
        <f t="shared" si="133"/>
        <v>Business</v>
      </c>
      <c r="S1688" s="11">
        <f t="shared" si="134"/>
        <v>5</v>
      </c>
    </row>
    <row r="1689" spans="1:19">
      <c r="A1689" t="s">
        <v>8761</v>
      </c>
      <c r="B1689" t="s">
        <v>8762</v>
      </c>
      <c r="C1689" t="s">
        <v>512</v>
      </c>
      <c r="D1689" t="s">
        <v>8763</v>
      </c>
      <c r="E1689" t="s">
        <v>8764</v>
      </c>
      <c r="F1689" t="s">
        <v>8765</v>
      </c>
      <c r="G1689" s="4">
        <v>45363</v>
      </c>
      <c r="H1689" s="4">
        <v>45729</v>
      </c>
      <c r="I1689" s="4">
        <v>45738</v>
      </c>
      <c r="J1689">
        <f t="shared" si="130"/>
        <v>9</v>
      </c>
      <c r="K1689" t="str">
        <f t="array" ref="K1689">_xlfn.IFS(J1689=1,"Day Use",J1689&lt;=3,"Short Stay",J1689&lt;=7,"Extended Stay",J1689&gt;=8,"Long Stay")</f>
        <v>Long Stay</v>
      </c>
      <c r="L1689" t="s">
        <v>49</v>
      </c>
      <c r="M1689" s="10" t="str">
        <f t="shared" si="131"/>
        <v>Premium</v>
      </c>
      <c r="N1689" t="s">
        <v>26</v>
      </c>
      <c r="O1689" t="s">
        <v>71</v>
      </c>
      <c r="P1689">
        <f>IFERROR(VLOOKUP(TRIM(M1689),Room!D:H,5,FALSE),5000)</f>
        <v>9500</v>
      </c>
      <c r="Q1689">
        <f t="shared" si="132"/>
        <v>85500</v>
      </c>
      <c r="R1689" s="11" t="str">
        <f t="shared" si="133"/>
        <v>Conference</v>
      </c>
      <c r="S1689" s="11">
        <f t="shared" si="134"/>
        <v>4</v>
      </c>
    </row>
    <row r="1690" spans="1:19">
      <c r="A1690" t="s">
        <v>8766</v>
      </c>
      <c r="B1690" t="s">
        <v>8767</v>
      </c>
      <c r="C1690" t="s">
        <v>2778</v>
      </c>
      <c r="D1690" t="s">
        <v>8768</v>
      </c>
      <c r="E1690" t="s">
        <v>8769</v>
      </c>
      <c r="F1690" t="s">
        <v>8770</v>
      </c>
      <c r="G1690" s="4">
        <v>45906</v>
      </c>
      <c r="H1690" s="4">
        <v>45916</v>
      </c>
      <c r="I1690" s="4">
        <v>45928</v>
      </c>
      <c r="J1690">
        <f t="shared" si="130"/>
        <v>12</v>
      </c>
      <c r="K1690" t="str">
        <f t="array" ref="K1690">_xlfn.IFS(J1690=1,"Day Use",J1690&lt;=3,"Short Stay",J1690&lt;=7,"Extended Stay",J1690&gt;=8,"Long Stay")</f>
        <v>Long Stay</v>
      </c>
      <c r="L1690" t="s">
        <v>56</v>
      </c>
      <c r="M1690" s="10" t="str">
        <f t="shared" si="131"/>
        <v>Suite</v>
      </c>
      <c r="N1690" t="s">
        <v>26</v>
      </c>
      <c r="O1690" t="s">
        <v>71</v>
      </c>
      <c r="P1690">
        <f>IFERROR(VLOOKUP(TRIM(M1690),Room!D:H,5,FALSE),5000)</f>
        <v>12500</v>
      </c>
      <c r="Q1690">
        <f t="shared" si="132"/>
        <v>150000</v>
      </c>
      <c r="R1690" s="11" t="str">
        <f t="shared" si="133"/>
        <v>Business</v>
      </c>
      <c r="S1690" s="11">
        <f t="shared" si="134"/>
        <v>5</v>
      </c>
    </row>
    <row r="1691" spans="1:19">
      <c r="A1691" t="s">
        <v>8771</v>
      </c>
      <c r="B1691" t="s">
        <v>8772</v>
      </c>
      <c r="C1691" t="s">
        <v>3216</v>
      </c>
      <c r="D1691" t="s">
        <v>8773</v>
      </c>
      <c r="E1691" t="s">
        <v>8774</v>
      </c>
      <c r="F1691" t="s">
        <v>8775</v>
      </c>
      <c r="G1691" s="4">
        <v>45266</v>
      </c>
      <c r="H1691" s="4">
        <v>45611</v>
      </c>
      <c r="I1691" s="4">
        <v>45624</v>
      </c>
      <c r="J1691">
        <f t="shared" si="130"/>
        <v>13</v>
      </c>
      <c r="K1691" t="str">
        <f t="array" ref="K1691">_xlfn.IFS(J1691=1,"Day Use",J1691&lt;=3,"Short Stay",J1691&lt;=7,"Extended Stay",J1691&gt;=8,"Long Stay")</f>
        <v>Long Stay</v>
      </c>
      <c r="L1691" t="s">
        <v>196</v>
      </c>
      <c r="M1691" s="10" t="str">
        <f t="shared" si="131"/>
        <v>Suite</v>
      </c>
      <c r="N1691" t="s">
        <v>26</v>
      </c>
      <c r="O1691" t="s">
        <v>42</v>
      </c>
      <c r="P1691">
        <f>IFERROR(VLOOKUP(TRIM(M1691),Room!D:H,5,FALSE),5000)</f>
        <v>12500</v>
      </c>
      <c r="Q1691">
        <f t="shared" si="132"/>
        <v>162500</v>
      </c>
      <c r="R1691" s="11" t="str">
        <f t="shared" si="133"/>
        <v>Business</v>
      </c>
      <c r="S1691" s="11">
        <f t="shared" si="134"/>
        <v>5</v>
      </c>
    </row>
    <row r="1692" spans="1:19">
      <c r="A1692" t="s">
        <v>8776</v>
      </c>
      <c r="B1692" t="s">
        <v>8777</v>
      </c>
      <c r="C1692" t="s">
        <v>6465</v>
      </c>
      <c r="D1692" t="s">
        <v>8778</v>
      </c>
      <c r="E1692" t="s">
        <v>8779</v>
      </c>
      <c r="F1692" t="s">
        <v>8780</v>
      </c>
      <c r="G1692" s="4">
        <v>45404</v>
      </c>
      <c r="H1692" s="4">
        <v>45423</v>
      </c>
      <c r="I1692" s="4">
        <v>45427</v>
      </c>
      <c r="J1692">
        <f t="shared" si="130"/>
        <v>4</v>
      </c>
      <c r="K1692" t="str">
        <f t="array" ref="K1692">_xlfn.IFS(J1692=1,"Day Use",J1692&lt;=3,"Short Stay",J1692&lt;=7,"Extended Stay",J1692&gt;=8,"Long Stay")</f>
        <v>Extended Stay</v>
      </c>
      <c r="L1692" t="s">
        <v>56</v>
      </c>
      <c r="M1692" s="10" t="str">
        <f t="shared" si="131"/>
        <v>Deluxe</v>
      </c>
      <c r="N1692" t="s">
        <v>148</v>
      </c>
      <c r="O1692" t="s">
        <v>35</v>
      </c>
      <c r="P1692">
        <f>IFERROR(VLOOKUP(TRIM(M1692),Room!D:H,5,FALSE),5000)</f>
        <v>5400</v>
      </c>
      <c r="Q1692">
        <f t="shared" si="132"/>
        <v>21600</v>
      </c>
      <c r="R1692" s="11" t="str">
        <f t="shared" si="133"/>
        <v>Conference</v>
      </c>
      <c r="S1692" s="11">
        <f t="shared" si="134"/>
        <v>3</v>
      </c>
    </row>
    <row r="1693" spans="1:19">
      <c r="A1693" t="s">
        <v>8781</v>
      </c>
      <c r="B1693" t="s">
        <v>8782</v>
      </c>
      <c r="C1693" t="s">
        <v>1431</v>
      </c>
      <c r="D1693" t="s">
        <v>8783</v>
      </c>
      <c r="E1693" t="s">
        <v>8784</v>
      </c>
      <c r="F1693" t="s">
        <v>8785</v>
      </c>
      <c r="G1693" s="4">
        <v>45737</v>
      </c>
      <c r="H1693" s="4">
        <v>45822</v>
      </c>
      <c r="I1693" s="4">
        <v>45836</v>
      </c>
      <c r="J1693">
        <f t="shared" si="130"/>
        <v>14</v>
      </c>
      <c r="K1693" t="str">
        <f t="array" ref="K1693">_xlfn.IFS(J1693=1,"Day Use",J1693&lt;=3,"Short Stay",J1693&lt;=7,"Extended Stay",J1693&gt;=8,"Long Stay")</f>
        <v>Long Stay</v>
      </c>
      <c r="L1693" t="s">
        <v>25</v>
      </c>
      <c r="M1693" s="10" t="str">
        <f t="shared" si="131"/>
        <v>Suite</v>
      </c>
      <c r="N1693" t="s">
        <v>26</v>
      </c>
      <c r="O1693" t="s">
        <v>27</v>
      </c>
      <c r="P1693">
        <f>IFERROR(VLOOKUP(TRIM(M1693),Room!D:H,5,FALSE),5000)</f>
        <v>12500</v>
      </c>
      <c r="Q1693">
        <f t="shared" si="132"/>
        <v>175000</v>
      </c>
      <c r="R1693" s="11" t="str">
        <f t="shared" si="133"/>
        <v>Business</v>
      </c>
      <c r="S1693" s="11">
        <f t="shared" si="134"/>
        <v>5</v>
      </c>
    </row>
    <row r="1694" spans="1:19">
      <c r="A1694" t="s">
        <v>8786</v>
      </c>
      <c r="B1694" t="s">
        <v>8787</v>
      </c>
      <c r="C1694" t="s">
        <v>4328</v>
      </c>
      <c r="D1694" t="s">
        <v>8788</v>
      </c>
      <c r="E1694" t="s">
        <v>8789</v>
      </c>
      <c r="F1694" t="s">
        <v>8790</v>
      </c>
      <c r="G1694" s="4">
        <v>45376</v>
      </c>
      <c r="H1694" s="4">
        <v>45391</v>
      </c>
      <c r="I1694" s="4">
        <v>45392</v>
      </c>
      <c r="J1694">
        <f t="shared" si="130"/>
        <v>1</v>
      </c>
      <c r="K1694" t="str">
        <f t="array" ref="K1694">_xlfn.IFS(J1694=1,"Day Use",J1694&lt;=3,"Short Stay",J1694&lt;=7,"Extended Stay",J1694&gt;=8,"Long Stay")</f>
        <v>Day Use</v>
      </c>
      <c r="L1694" t="s">
        <v>49</v>
      </c>
      <c r="M1694" s="10" t="str">
        <f t="shared" si="131"/>
        <v>Standard</v>
      </c>
      <c r="N1694" t="s">
        <v>57</v>
      </c>
      <c r="O1694" t="s">
        <v>27</v>
      </c>
      <c r="P1694">
        <f>IFERROR(VLOOKUP(TRIM(M1694),Room!D:H,5,FALSE),5000)</f>
        <v>3200</v>
      </c>
      <c r="Q1694">
        <f t="shared" si="132"/>
        <v>3200</v>
      </c>
      <c r="R1694" s="11" t="str">
        <f t="shared" si="133"/>
        <v>Other</v>
      </c>
      <c r="S1694" s="11">
        <f t="shared" si="134"/>
        <v>1</v>
      </c>
    </row>
    <row r="1695" spans="1:19">
      <c r="A1695" t="s">
        <v>8791</v>
      </c>
      <c r="B1695" t="s">
        <v>8792</v>
      </c>
      <c r="C1695" t="s">
        <v>2101</v>
      </c>
      <c r="D1695" t="s">
        <v>8793</v>
      </c>
      <c r="E1695" t="s">
        <v>8794</v>
      </c>
      <c r="F1695" t="s">
        <v>8795</v>
      </c>
      <c r="G1695" s="4">
        <v>45701</v>
      </c>
      <c r="H1695" s="4">
        <v>45727</v>
      </c>
      <c r="I1695" s="4">
        <v>45728</v>
      </c>
      <c r="J1695">
        <f t="shared" si="130"/>
        <v>1</v>
      </c>
      <c r="K1695" t="str">
        <f t="array" ref="K1695">_xlfn.IFS(J1695=1,"Day Use",J1695&lt;=3,"Short Stay",J1695&lt;=7,"Extended Stay",J1695&gt;=8,"Long Stay")</f>
        <v>Day Use</v>
      </c>
      <c r="L1695" t="s">
        <v>56</v>
      </c>
      <c r="M1695" s="10" t="str">
        <f t="shared" si="131"/>
        <v>Standard</v>
      </c>
      <c r="N1695" t="s">
        <v>26</v>
      </c>
      <c r="O1695" t="s">
        <v>58</v>
      </c>
      <c r="P1695">
        <f>IFERROR(VLOOKUP(TRIM(M1695),Room!D:H,5,FALSE),5000)</f>
        <v>3200</v>
      </c>
      <c r="Q1695">
        <f t="shared" si="132"/>
        <v>3200</v>
      </c>
      <c r="R1695" s="11" t="str">
        <f t="shared" si="133"/>
        <v>Other</v>
      </c>
      <c r="S1695" s="11">
        <f t="shared" si="134"/>
        <v>1</v>
      </c>
    </row>
    <row r="1696" spans="1:19">
      <c r="A1696" t="s">
        <v>8796</v>
      </c>
      <c r="B1696" t="s">
        <v>8797</v>
      </c>
      <c r="C1696" t="s">
        <v>4740</v>
      </c>
      <c r="D1696" t="s">
        <v>8798</v>
      </c>
      <c r="E1696" t="s">
        <v>8799</v>
      </c>
      <c r="F1696" t="s">
        <v>8800</v>
      </c>
      <c r="G1696" s="4">
        <v>45209</v>
      </c>
      <c r="H1696" s="4">
        <v>45321</v>
      </c>
      <c r="I1696" s="4">
        <v>45335</v>
      </c>
      <c r="J1696">
        <f t="shared" si="130"/>
        <v>14</v>
      </c>
      <c r="K1696" t="str">
        <f t="array" ref="K1696">_xlfn.IFS(J1696=1,"Day Use",J1696&lt;=3,"Short Stay",J1696&lt;=7,"Extended Stay",J1696&gt;=8,"Long Stay")</f>
        <v>Long Stay</v>
      </c>
      <c r="L1696" t="s">
        <v>49</v>
      </c>
      <c r="M1696" s="10" t="str">
        <f t="shared" si="131"/>
        <v>Suite</v>
      </c>
      <c r="N1696" t="s">
        <v>26</v>
      </c>
      <c r="O1696" t="s">
        <v>58</v>
      </c>
      <c r="P1696">
        <f>IFERROR(VLOOKUP(TRIM(M1696),Room!D:H,5,FALSE),5000)</f>
        <v>12500</v>
      </c>
      <c r="Q1696">
        <f t="shared" si="132"/>
        <v>175000</v>
      </c>
      <c r="R1696" s="11" t="str">
        <f t="shared" si="133"/>
        <v>Business</v>
      </c>
      <c r="S1696" s="11">
        <f t="shared" si="134"/>
        <v>5</v>
      </c>
    </row>
    <row r="1697" spans="1:19">
      <c r="A1697" t="s">
        <v>8801</v>
      </c>
      <c r="B1697" t="s">
        <v>8802</v>
      </c>
      <c r="C1697" t="s">
        <v>2720</v>
      </c>
      <c r="D1697" t="s">
        <v>8803</v>
      </c>
      <c r="E1697" t="s">
        <v>8804</v>
      </c>
      <c r="F1697" t="s">
        <v>8805</v>
      </c>
      <c r="G1697" s="4">
        <v>45401</v>
      </c>
      <c r="H1697" s="4">
        <v>45990</v>
      </c>
      <c r="I1697" s="4">
        <v>46003</v>
      </c>
      <c r="J1697">
        <f t="shared" si="130"/>
        <v>13</v>
      </c>
      <c r="K1697" t="str">
        <f t="array" ref="K1697">_xlfn.IFS(J1697=1,"Day Use",J1697&lt;=3,"Short Stay",J1697&lt;=7,"Extended Stay",J1697&gt;=8,"Long Stay")</f>
        <v>Long Stay</v>
      </c>
      <c r="L1697" t="s">
        <v>196</v>
      </c>
      <c r="M1697" s="10" t="str">
        <f t="shared" si="131"/>
        <v>Suite</v>
      </c>
      <c r="N1697" t="s">
        <v>26</v>
      </c>
      <c r="O1697" t="s">
        <v>27</v>
      </c>
      <c r="P1697">
        <f>IFERROR(VLOOKUP(TRIM(M1697),Room!D:H,5,FALSE),5000)</f>
        <v>12500</v>
      </c>
      <c r="Q1697">
        <f t="shared" si="132"/>
        <v>162500</v>
      </c>
      <c r="R1697" s="11" t="str">
        <f t="shared" si="133"/>
        <v>Business</v>
      </c>
      <c r="S1697" s="11">
        <f t="shared" si="134"/>
        <v>5</v>
      </c>
    </row>
    <row r="1698" spans="1:19">
      <c r="A1698" t="s">
        <v>8806</v>
      </c>
      <c r="B1698" t="s">
        <v>8807</v>
      </c>
      <c r="C1698" t="s">
        <v>8808</v>
      </c>
      <c r="D1698" t="s">
        <v>8809</v>
      </c>
      <c r="E1698" t="s">
        <v>8810</v>
      </c>
      <c r="F1698" t="s">
        <v>8811</v>
      </c>
      <c r="G1698" s="4">
        <v>45463</v>
      </c>
      <c r="H1698" s="4">
        <v>45746</v>
      </c>
      <c r="I1698" s="4">
        <v>45757</v>
      </c>
      <c r="J1698">
        <f t="shared" si="130"/>
        <v>11</v>
      </c>
      <c r="K1698" t="str">
        <f t="array" ref="K1698">_xlfn.IFS(J1698=1,"Day Use",J1698&lt;=3,"Short Stay",J1698&lt;=7,"Extended Stay",J1698&gt;=8,"Long Stay")</f>
        <v>Long Stay</v>
      </c>
      <c r="L1698" t="s">
        <v>56</v>
      </c>
      <c r="M1698" s="10" t="str">
        <f t="shared" si="131"/>
        <v>Suite</v>
      </c>
      <c r="N1698" t="s">
        <v>26</v>
      </c>
      <c r="O1698" t="s">
        <v>27</v>
      </c>
      <c r="P1698">
        <f>IFERROR(VLOOKUP(TRIM(M1698),Room!D:H,5,FALSE),5000)</f>
        <v>12500</v>
      </c>
      <c r="Q1698">
        <f t="shared" si="132"/>
        <v>137500</v>
      </c>
      <c r="R1698" s="11" t="str">
        <f t="shared" si="133"/>
        <v>Business</v>
      </c>
      <c r="S1698" s="11">
        <f t="shared" si="134"/>
        <v>5</v>
      </c>
    </row>
    <row r="1699" spans="1:19">
      <c r="A1699" t="s">
        <v>8812</v>
      </c>
      <c r="B1699" t="s">
        <v>8813</v>
      </c>
      <c r="C1699" t="s">
        <v>1682</v>
      </c>
      <c r="D1699" t="s">
        <v>8814</v>
      </c>
      <c r="E1699" t="s">
        <v>8815</v>
      </c>
      <c r="F1699" t="s">
        <v>8816</v>
      </c>
      <c r="G1699" s="4">
        <v>45465</v>
      </c>
      <c r="H1699" s="4">
        <v>45626</v>
      </c>
      <c r="I1699" s="4">
        <v>45636</v>
      </c>
      <c r="J1699">
        <f t="shared" si="130"/>
        <v>10</v>
      </c>
      <c r="K1699" t="str">
        <f t="array" ref="K1699">_xlfn.IFS(J1699=1,"Day Use",J1699&lt;=3,"Short Stay",J1699&lt;=7,"Extended Stay",J1699&gt;=8,"Long Stay")</f>
        <v>Long Stay</v>
      </c>
      <c r="L1699" t="s">
        <v>25</v>
      </c>
      <c r="M1699" s="10" t="str">
        <f t="shared" si="131"/>
        <v>Premium</v>
      </c>
      <c r="N1699" t="s">
        <v>26</v>
      </c>
      <c r="O1699" t="s">
        <v>35</v>
      </c>
      <c r="P1699">
        <f>IFERROR(VLOOKUP(TRIM(M1699),Room!D:H,5,FALSE),5000)</f>
        <v>9500</v>
      </c>
      <c r="Q1699">
        <f t="shared" si="132"/>
        <v>95000</v>
      </c>
      <c r="R1699" s="11" t="str">
        <f t="shared" si="133"/>
        <v>Conference</v>
      </c>
      <c r="S1699" s="11">
        <f t="shared" si="134"/>
        <v>4</v>
      </c>
    </row>
    <row r="1700" spans="1:19">
      <c r="A1700" t="s">
        <v>8817</v>
      </c>
      <c r="B1700" t="s">
        <v>8818</v>
      </c>
      <c r="C1700" t="s">
        <v>3525</v>
      </c>
      <c r="D1700" t="s">
        <v>8819</v>
      </c>
      <c r="E1700" t="s">
        <v>8820</v>
      </c>
      <c r="F1700" t="s">
        <v>8821</v>
      </c>
      <c r="G1700" s="4">
        <v>45551</v>
      </c>
      <c r="H1700" s="4">
        <v>45578</v>
      </c>
      <c r="I1700" s="4">
        <v>45580</v>
      </c>
      <c r="J1700">
        <f t="shared" si="130"/>
        <v>2</v>
      </c>
      <c r="K1700" t="str">
        <f t="array" ref="K1700">_xlfn.IFS(J1700=1,"Day Use",J1700&lt;=3,"Short Stay",J1700&lt;=7,"Extended Stay",J1700&gt;=8,"Long Stay")</f>
        <v>Short Stay</v>
      </c>
      <c r="L1700" t="s">
        <v>84</v>
      </c>
      <c r="M1700" s="10" t="str">
        <f t="shared" si="131"/>
        <v>Standard</v>
      </c>
      <c r="N1700" t="s">
        <v>148</v>
      </c>
      <c r="O1700" t="s">
        <v>35</v>
      </c>
      <c r="P1700">
        <f>IFERROR(VLOOKUP(TRIM(M1700),Room!D:H,5,FALSE),5000)</f>
        <v>3200</v>
      </c>
      <c r="Q1700">
        <f t="shared" si="132"/>
        <v>6400</v>
      </c>
      <c r="R1700" s="11" t="str">
        <f t="shared" si="133"/>
        <v>Other</v>
      </c>
      <c r="S1700" s="11">
        <f t="shared" si="134"/>
        <v>2</v>
      </c>
    </row>
    <row r="1701" spans="1:19">
      <c r="A1701" t="s">
        <v>8822</v>
      </c>
      <c r="B1701" t="s">
        <v>8823</v>
      </c>
      <c r="C1701" t="s">
        <v>2451</v>
      </c>
      <c r="D1701" t="s">
        <v>8824</v>
      </c>
      <c r="E1701" t="s">
        <v>8825</v>
      </c>
      <c r="F1701" t="s">
        <v>8826</v>
      </c>
      <c r="G1701" s="4">
        <v>45398</v>
      </c>
      <c r="H1701" s="4">
        <v>45424</v>
      </c>
      <c r="I1701" s="4">
        <v>45431</v>
      </c>
      <c r="J1701">
        <f t="shared" si="130"/>
        <v>7</v>
      </c>
      <c r="K1701" t="str">
        <f t="array" ref="K1701">_xlfn.IFS(J1701=1,"Day Use",J1701&lt;=3,"Short Stay",J1701&lt;=7,"Extended Stay",J1701&gt;=8,"Long Stay")</f>
        <v>Extended Stay</v>
      </c>
      <c r="L1701" t="s">
        <v>25</v>
      </c>
      <c r="M1701" s="10" t="str">
        <f t="shared" si="131"/>
        <v>Premium</v>
      </c>
      <c r="N1701" t="s">
        <v>26</v>
      </c>
      <c r="O1701" t="s">
        <v>35</v>
      </c>
      <c r="P1701">
        <f>IFERROR(VLOOKUP(TRIM(M1701),Room!D:H,5,FALSE),5000)</f>
        <v>9500</v>
      </c>
      <c r="Q1701">
        <f t="shared" si="132"/>
        <v>66500</v>
      </c>
      <c r="R1701" s="11" t="str">
        <f t="shared" si="133"/>
        <v>Conference</v>
      </c>
      <c r="S1701" s="11">
        <f t="shared" si="134"/>
        <v>4</v>
      </c>
    </row>
    <row r="1702" spans="1:19">
      <c r="A1702" t="s">
        <v>8827</v>
      </c>
      <c r="B1702" t="s">
        <v>8828</v>
      </c>
      <c r="C1702" t="s">
        <v>1983</v>
      </c>
      <c r="D1702" t="s">
        <v>8829</v>
      </c>
      <c r="E1702" t="s">
        <v>8830</v>
      </c>
      <c r="F1702" t="s">
        <v>8831</v>
      </c>
      <c r="G1702" s="4">
        <v>45692</v>
      </c>
      <c r="H1702" s="4">
        <v>45856</v>
      </c>
      <c r="I1702" s="4">
        <v>45863</v>
      </c>
      <c r="J1702">
        <f t="shared" si="130"/>
        <v>7</v>
      </c>
      <c r="K1702" t="str">
        <f t="array" ref="K1702">_xlfn.IFS(J1702=1,"Day Use",J1702&lt;=3,"Short Stay",J1702&lt;=7,"Extended Stay",J1702&gt;=8,"Long Stay")</f>
        <v>Extended Stay</v>
      </c>
      <c r="L1702" t="s">
        <v>84</v>
      </c>
      <c r="M1702" s="10" t="str">
        <f t="shared" si="131"/>
        <v>Premium</v>
      </c>
      <c r="N1702" t="s">
        <v>26</v>
      </c>
      <c r="O1702" t="s">
        <v>35</v>
      </c>
      <c r="P1702">
        <f>IFERROR(VLOOKUP(TRIM(M1702),Room!D:H,5,FALSE),5000)</f>
        <v>9500</v>
      </c>
      <c r="Q1702">
        <f t="shared" si="132"/>
        <v>66500</v>
      </c>
      <c r="R1702" s="11" t="str">
        <f t="shared" si="133"/>
        <v>Conference</v>
      </c>
      <c r="S1702" s="11">
        <f t="shared" si="134"/>
        <v>4</v>
      </c>
    </row>
    <row r="1703" spans="1:19">
      <c r="A1703" t="s">
        <v>8832</v>
      </c>
      <c r="B1703" t="s">
        <v>8833</v>
      </c>
      <c r="C1703" t="s">
        <v>1146</v>
      </c>
      <c r="D1703" t="s">
        <v>8834</v>
      </c>
      <c r="E1703" t="s">
        <v>8835</v>
      </c>
      <c r="F1703" t="s">
        <v>8836</v>
      </c>
      <c r="G1703" s="4">
        <v>45694</v>
      </c>
      <c r="H1703" s="4">
        <v>45917</v>
      </c>
      <c r="I1703" s="4">
        <v>45927</v>
      </c>
      <c r="J1703">
        <f t="shared" si="130"/>
        <v>10</v>
      </c>
      <c r="K1703" t="str">
        <f t="array" ref="K1703">_xlfn.IFS(J1703=1,"Day Use",J1703&lt;=3,"Short Stay",J1703&lt;=7,"Extended Stay",J1703&gt;=8,"Long Stay")</f>
        <v>Long Stay</v>
      </c>
      <c r="L1703" t="s">
        <v>49</v>
      </c>
      <c r="M1703" s="10" t="str">
        <f t="shared" si="131"/>
        <v>Premium</v>
      </c>
      <c r="N1703" t="s">
        <v>26</v>
      </c>
      <c r="O1703" t="s">
        <v>27</v>
      </c>
      <c r="P1703">
        <f>IFERROR(VLOOKUP(TRIM(M1703),Room!D:H,5,FALSE),5000)</f>
        <v>9500</v>
      </c>
      <c r="Q1703">
        <f t="shared" si="132"/>
        <v>95000</v>
      </c>
      <c r="R1703" s="11" t="str">
        <f t="shared" si="133"/>
        <v>Conference</v>
      </c>
      <c r="S1703" s="11">
        <f t="shared" si="134"/>
        <v>4</v>
      </c>
    </row>
    <row r="1704" spans="1:19">
      <c r="A1704" t="s">
        <v>8837</v>
      </c>
      <c r="B1704" t="s">
        <v>8838</v>
      </c>
      <c r="C1704" t="s">
        <v>339</v>
      </c>
      <c r="D1704" t="s">
        <v>8839</v>
      </c>
      <c r="E1704" t="s">
        <v>8840</v>
      </c>
      <c r="F1704" t="s">
        <v>8841</v>
      </c>
      <c r="G1704" s="4">
        <v>45745</v>
      </c>
      <c r="H1704" s="4">
        <v>45894</v>
      </c>
      <c r="I1704" s="4">
        <v>45905</v>
      </c>
      <c r="J1704">
        <f t="shared" si="130"/>
        <v>11</v>
      </c>
      <c r="K1704" t="str">
        <f t="array" ref="K1704">_xlfn.IFS(J1704=1,"Day Use",J1704&lt;=3,"Short Stay",J1704&lt;=7,"Extended Stay",J1704&gt;=8,"Long Stay")</f>
        <v>Long Stay</v>
      </c>
      <c r="L1704" t="s">
        <v>56</v>
      </c>
      <c r="M1704" s="10" t="str">
        <f t="shared" si="131"/>
        <v>Suite</v>
      </c>
      <c r="N1704" t="s">
        <v>26</v>
      </c>
      <c r="O1704" t="s">
        <v>35</v>
      </c>
      <c r="P1704">
        <f>IFERROR(VLOOKUP(TRIM(M1704),Room!D:H,5,FALSE),5000)</f>
        <v>12500</v>
      </c>
      <c r="Q1704">
        <f t="shared" si="132"/>
        <v>137500</v>
      </c>
      <c r="R1704" s="11" t="str">
        <f t="shared" si="133"/>
        <v>Business</v>
      </c>
      <c r="S1704" s="11">
        <f t="shared" si="134"/>
        <v>5</v>
      </c>
    </row>
    <row r="1705" spans="1:19">
      <c r="A1705" t="s">
        <v>8842</v>
      </c>
      <c r="B1705" t="s">
        <v>8843</v>
      </c>
      <c r="C1705" t="s">
        <v>38</v>
      </c>
      <c r="D1705" t="s">
        <v>8844</v>
      </c>
      <c r="E1705" t="s">
        <v>8845</v>
      </c>
      <c r="F1705" t="s">
        <v>8846</v>
      </c>
      <c r="G1705" s="4">
        <v>45475</v>
      </c>
      <c r="H1705" s="4">
        <v>45479</v>
      </c>
      <c r="I1705" s="4">
        <v>45484</v>
      </c>
      <c r="J1705">
        <f t="shared" si="130"/>
        <v>5</v>
      </c>
      <c r="K1705" t="str">
        <f t="array" ref="K1705">_xlfn.IFS(J1705=1,"Day Use",J1705&lt;=3,"Short Stay",J1705&lt;=7,"Extended Stay",J1705&gt;=8,"Long Stay")</f>
        <v>Extended Stay</v>
      </c>
      <c r="L1705" t="s">
        <v>196</v>
      </c>
      <c r="M1705" s="10" t="str">
        <f t="shared" si="131"/>
        <v>Deluxe</v>
      </c>
      <c r="N1705" t="s">
        <v>57</v>
      </c>
      <c r="O1705" t="s">
        <v>35</v>
      </c>
      <c r="P1705">
        <f>IFERROR(VLOOKUP(TRIM(M1705),Room!D:H,5,FALSE),5000)</f>
        <v>5400</v>
      </c>
      <c r="Q1705">
        <f t="shared" si="132"/>
        <v>27000</v>
      </c>
      <c r="R1705" s="11" t="str">
        <f t="shared" si="133"/>
        <v>Conference</v>
      </c>
      <c r="S1705" s="11">
        <f t="shared" si="134"/>
        <v>3</v>
      </c>
    </row>
    <row r="1706" spans="1:19">
      <c r="A1706" t="s">
        <v>8847</v>
      </c>
      <c r="B1706" t="s">
        <v>8848</v>
      </c>
      <c r="C1706" t="s">
        <v>1074</v>
      </c>
      <c r="D1706" t="s">
        <v>8849</v>
      </c>
      <c r="E1706" t="s">
        <v>8850</v>
      </c>
      <c r="F1706" t="s">
        <v>8851</v>
      </c>
      <c r="G1706" s="4">
        <v>45272</v>
      </c>
      <c r="H1706" s="4">
        <v>45413</v>
      </c>
      <c r="I1706" s="4">
        <v>45418</v>
      </c>
      <c r="J1706">
        <f t="shared" si="130"/>
        <v>5</v>
      </c>
      <c r="K1706" t="str">
        <f t="array" ref="K1706">_xlfn.IFS(J1706=1,"Day Use",J1706&lt;=3,"Short Stay",J1706&lt;=7,"Extended Stay",J1706&gt;=8,"Long Stay")</f>
        <v>Extended Stay</v>
      </c>
      <c r="L1706" t="s">
        <v>91</v>
      </c>
      <c r="M1706" s="10" t="str">
        <f t="shared" si="131"/>
        <v>Deluxe</v>
      </c>
      <c r="N1706" t="s">
        <v>26</v>
      </c>
      <c r="O1706" t="s">
        <v>58</v>
      </c>
      <c r="P1706">
        <f>IFERROR(VLOOKUP(TRIM(M1706),Room!D:H,5,FALSE),5000)</f>
        <v>5400</v>
      </c>
      <c r="Q1706">
        <f t="shared" si="132"/>
        <v>27000</v>
      </c>
      <c r="R1706" s="11" t="str">
        <f t="shared" si="133"/>
        <v>Conference</v>
      </c>
      <c r="S1706" s="11">
        <f t="shared" si="134"/>
        <v>3</v>
      </c>
    </row>
    <row r="1707" spans="1:19">
      <c r="A1707" t="s">
        <v>8852</v>
      </c>
      <c r="B1707" t="s">
        <v>8853</v>
      </c>
      <c r="C1707" t="s">
        <v>52</v>
      </c>
      <c r="D1707" t="s">
        <v>8854</v>
      </c>
      <c r="E1707" t="s">
        <v>8855</v>
      </c>
      <c r="F1707" t="s">
        <v>8856</v>
      </c>
      <c r="G1707" s="4">
        <v>45403</v>
      </c>
      <c r="H1707" s="4">
        <v>45405</v>
      </c>
      <c r="I1707" s="4">
        <v>45414</v>
      </c>
      <c r="J1707">
        <f t="shared" si="130"/>
        <v>9</v>
      </c>
      <c r="K1707" t="str">
        <f t="array" ref="K1707">_xlfn.IFS(J1707=1,"Day Use",J1707&lt;=3,"Short Stay",J1707&lt;=7,"Extended Stay",J1707&gt;=8,"Long Stay")</f>
        <v>Long Stay</v>
      </c>
      <c r="L1707" t="s">
        <v>141</v>
      </c>
      <c r="M1707" s="10" t="str">
        <f t="shared" si="131"/>
        <v>Premium</v>
      </c>
      <c r="N1707" t="s">
        <v>26</v>
      </c>
      <c r="O1707" t="s">
        <v>27</v>
      </c>
      <c r="P1707">
        <f>IFERROR(VLOOKUP(TRIM(M1707),Room!D:H,5,FALSE),5000)</f>
        <v>9500</v>
      </c>
      <c r="Q1707">
        <f t="shared" si="132"/>
        <v>85500</v>
      </c>
      <c r="R1707" s="11" t="str">
        <f t="shared" si="133"/>
        <v>Conference</v>
      </c>
      <c r="S1707" s="11">
        <f t="shared" si="134"/>
        <v>4</v>
      </c>
    </row>
    <row r="1708" spans="1:19">
      <c r="A1708" t="s">
        <v>8857</v>
      </c>
      <c r="B1708" t="s">
        <v>8858</v>
      </c>
      <c r="C1708" t="s">
        <v>853</v>
      </c>
      <c r="D1708" t="s">
        <v>8859</v>
      </c>
      <c r="E1708" t="s">
        <v>8860</v>
      </c>
      <c r="F1708" t="s">
        <v>8861</v>
      </c>
      <c r="G1708" s="4">
        <v>45430</v>
      </c>
      <c r="H1708" s="4">
        <v>45632</v>
      </c>
      <c r="I1708" s="4">
        <v>45643</v>
      </c>
      <c r="J1708">
        <f t="shared" si="130"/>
        <v>11</v>
      </c>
      <c r="K1708" t="str">
        <f t="array" ref="K1708">_xlfn.IFS(J1708=1,"Day Use",J1708&lt;=3,"Short Stay",J1708&lt;=7,"Extended Stay",J1708&gt;=8,"Long Stay")</f>
        <v>Long Stay</v>
      </c>
      <c r="L1708" t="s">
        <v>91</v>
      </c>
      <c r="M1708" s="10" t="str">
        <f t="shared" si="131"/>
        <v>Suite</v>
      </c>
      <c r="N1708" t="s">
        <v>26</v>
      </c>
      <c r="O1708" t="s">
        <v>27</v>
      </c>
      <c r="P1708">
        <f>IFERROR(VLOOKUP(TRIM(M1708),Room!D:H,5,FALSE),5000)</f>
        <v>12500</v>
      </c>
      <c r="Q1708">
        <f t="shared" si="132"/>
        <v>137500</v>
      </c>
      <c r="R1708" s="11" t="str">
        <f t="shared" si="133"/>
        <v>Business</v>
      </c>
      <c r="S1708" s="11">
        <f t="shared" si="134"/>
        <v>5</v>
      </c>
    </row>
    <row r="1709" spans="1:19">
      <c r="A1709" t="s">
        <v>8862</v>
      </c>
      <c r="B1709" t="s">
        <v>8863</v>
      </c>
      <c r="C1709" t="s">
        <v>311</v>
      </c>
      <c r="D1709" t="s">
        <v>8864</v>
      </c>
      <c r="E1709" t="s">
        <v>8865</v>
      </c>
      <c r="F1709" t="s">
        <v>8866</v>
      </c>
      <c r="G1709" s="4">
        <v>45571</v>
      </c>
      <c r="H1709" s="4">
        <v>45935</v>
      </c>
      <c r="I1709" s="4">
        <v>45940</v>
      </c>
      <c r="J1709">
        <f t="shared" si="130"/>
        <v>5</v>
      </c>
      <c r="K1709" t="str">
        <f t="array" ref="K1709">_xlfn.IFS(J1709=1,"Day Use",J1709&lt;=3,"Short Stay",J1709&lt;=7,"Extended Stay",J1709&gt;=8,"Long Stay")</f>
        <v>Extended Stay</v>
      </c>
      <c r="L1709" t="s">
        <v>25</v>
      </c>
      <c r="M1709" s="10" t="str">
        <f t="shared" si="131"/>
        <v>Deluxe</v>
      </c>
      <c r="N1709" t="s">
        <v>26</v>
      </c>
      <c r="O1709" t="s">
        <v>27</v>
      </c>
      <c r="P1709">
        <f>IFERROR(VLOOKUP(TRIM(M1709),Room!D:H,5,FALSE),5000)</f>
        <v>5400</v>
      </c>
      <c r="Q1709">
        <f t="shared" si="132"/>
        <v>27000</v>
      </c>
      <c r="R1709" s="11" t="str">
        <f t="shared" si="133"/>
        <v>Conference</v>
      </c>
      <c r="S1709" s="11">
        <f t="shared" si="134"/>
        <v>3</v>
      </c>
    </row>
    <row r="1710" spans="1:19">
      <c r="A1710" t="s">
        <v>8867</v>
      </c>
      <c r="B1710" t="s">
        <v>8868</v>
      </c>
      <c r="C1710" t="s">
        <v>1610</v>
      </c>
      <c r="D1710" t="s">
        <v>8869</v>
      </c>
      <c r="E1710" t="s">
        <v>8870</v>
      </c>
      <c r="F1710" t="s">
        <v>8871</v>
      </c>
      <c r="G1710" s="4">
        <v>45404</v>
      </c>
      <c r="H1710" s="4">
        <v>45425</v>
      </c>
      <c r="I1710" s="4">
        <v>45430</v>
      </c>
      <c r="J1710">
        <f t="shared" si="130"/>
        <v>5</v>
      </c>
      <c r="K1710" t="str">
        <f t="array" ref="K1710">_xlfn.IFS(J1710=1,"Day Use",J1710&lt;=3,"Short Stay",J1710&lt;=7,"Extended Stay",J1710&gt;=8,"Long Stay")</f>
        <v>Extended Stay</v>
      </c>
      <c r="L1710" t="s">
        <v>141</v>
      </c>
      <c r="M1710" s="10" t="str">
        <f t="shared" si="131"/>
        <v>Deluxe</v>
      </c>
      <c r="N1710" t="s">
        <v>148</v>
      </c>
      <c r="O1710" t="s">
        <v>58</v>
      </c>
      <c r="P1710">
        <f>IFERROR(VLOOKUP(TRIM(M1710),Room!D:H,5,FALSE),5000)</f>
        <v>5400</v>
      </c>
      <c r="Q1710">
        <f t="shared" si="132"/>
        <v>27000</v>
      </c>
      <c r="R1710" s="11" t="str">
        <f t="shared" si="133"/>
        <v>Conference</v>
      </c>
      <c r="S1710" s="11">
        <f t="shared" si="134"/>
        <v>3</v>
      </c>
    </row>
    <row r="1711" spans="1:19">
      <c r="A1711" t="s">
        <v>8872</v>
      </c>
      <c r="B1711" t="s">
        <v>8873</v>
      </c>
      <c r="C1711" t="s">
        <v>3525</v>
      </c>
      <c r="D1711" t="s">
        <v>8874</v>
      </c>
      <c r="E1711" t="s">
        <v>8875</v>
      </c>
      <c r="F1711" t="s">
        <v>8876</v>
      </c>
      <c r="G1711" s="4">
        <v>45261</v>
      </c>
      <c r="H1711" s="4">
        <v>45441</v>
      </c>
      <c r="I1711" s="4">
        <v>45442</v>
      </c>
      <c r="J1711">
        <f t="shared" si="130"/>
        <v>1</v>
      </c>
      <c r="K1711" t="str">
        <f t="array" ref="K1711">_xlfn.IFS(J1711=1,"Day Use",J1711&lt;=3,"Short Stay",J1711&lt;=7,"Extended Stay",J1711&gt;=8,"Long Stay")</f>
        <v>Day Use</v>
      </c>
      <c r="L1711" t="s">
        <v>49</v>
      </c>
      <c r="M1711" s="10" t="str">
        <f t="shared" si="131"/>
        <v>Standard</v>
      </c>
      <c r="N1711" t="s">
        <v>148</v>
      </c>
      <c r="O1711" t="s">
        <v>71</v>
      </c>
      <c r="P1711">
        <f>IFERROR(VLOOKUP(TRIM(M1711),Room!D:H,5,FALSE),5000)</f>
        <v>3200</v>
      </c>
      <c r="Q1711">
        <f t="shared" si="132"/>
        <v>3200</v>
      </c>
      <c r="R1711" s="11" t="str">
        <f t="shared" si="133"/>
        <v>Other</v>
      </c>
      <c r="S1711" s="11">
        <f t="shared" si="134"/>
        <v>1</v>
      </c>
    </row>
    <row r="1712" spans="1:19">
      <c r="A1712" t="s">
        <v>8877</v>
      </c>
      <c r="B1712" t="s">
        <v>8878</v>
      </c>
      <c r="C1712" t="s">
        <v>4436</v>
      </c>
      <c r="D1712" t="s">
        <v>8879</v>
      </c>
      <c r="E1712" t="s">
        <v>8880</v>
      </c>
      <c r="F1712" t="s">
        <v>8881</v>
      </c>
      <c r="G1712" s="4">
        <v>45441</v>
      </c>
      <c r="H1712" s="4">
        <v>45459</v>
      </c>
      <c r="I1712" s="4">
        <v>45466</v>
      </c>
      <c r="J1712">
        <f t="shared" si="130"/>
        <v>7</v>
      </c>
      <c r="K1712" t="str">
        <f t="array" ref="K1712">_xlfn.IFS(J1712=1,"Day Use",J1712&lt;=3,"Short Stay",J1712&lt;=7,"Extended Stay",J1712&gt;=8,"Long Stay")</f>
        <v>Extended Stay</v>
      </c>
      <c r="L1712" t="s">
        <v>141</v>
      </c>
      <c r="M1712" s="10" t="str">
        <f t="shared" si="131"/>
        <v>Premium</v>
      </c>
      <c r="N1712" t="s">
        <v>26</v>
      </c>
      <c r="O1712" t="s">
        <v>58</v>
      </c>
      <c r="P1712">
        <f>IFERROR(VLOOKUP(TRIM(M1712),Room!D:H,5,FALSE),5000)</f>
        <v>9500</v>
      </c>
      <c r="Q1712">
        <f t="shared" si="132"/>
        <v>66500</v>
      </c>
      <c r="R1712" s="11" t="str">
        <f t="shared" si="133"/>
        <v>Conference</v>
      </c>
      <c r="S1712" s="11">
        <f t="shared" si="134"/>
        <v>4</v>
      </c>
    </row>
    <row r="1713" spans="1:19">
      <c r="A1713" t="s">
        <v>8882</v>
      </c>
      <c r="B1713" t="s">
        <v>8883</v>
      </c>
      <c r="C1713" t="s">
        <v>1482</v>
      </c>
      <c r="D1713" t="s">
        <v>8884</v>
      </c>
      <c r="E1713" t="s">
        <v>8885</v>
      </c>
      <c r="F1713" t="s">
        <v>8886</v>
      </c>
      <c r="G1713" s="4">
        <v>45267</v>
      </c>
      <c r="H1713" s="4">
        <v>45935</v>
      </c>
      <c r="I1713" s="4">
        <v>45946</v>
      </c>
      <c r="J1713">
        <f t="shared" si="130"/>
        <v>11</v>
      </c>
      <c r="K1713" t="str">
        <f t="array" ref="K1713">_xlfn.IFS(J1713=1,"Day Use",J1713&lt;=3,"Short Stay",J1713&lt;=7,"Extended Stay",J1713&gt;=8,"Long Stay")</f>
        <v>Long Stay</v>
      </c>
      <c r="L1713" t="s">
        <v>25</v>
      </c>
      <c r="M1713" s="10" t="str">
        <f t="shared" si="131"/>
        <v>Suite</v>
      </c>
      <c r="N1713" t="s">
        <v>26</v>
      </c>
      <c r="O1713" t="s">
        <v>27</v>
      </c>
      <c r="P1713">
        <f>IFERROR(VLOOKUP(TRIM(M1713),Room!D:H,5,FALSE),5000)</f>
        <v>12500</v>
      </c>
      <c r="Q1713">
        <f t="shared" si="132"/>
        <v>137500</v>
      </c>
      <c r="R1713" s="11" t="str">
        <f t="shared" si="133"/>
        <v>Business</v>
      </c>
      <c r="S1713" s="11">
        <f t="shared" si="134"/>
        <v>5</v>
      </c>
    </row>
    <row r="1714" spans="1:19">
      <c r="A1714" t="s">
        <v>8887</v>
      </c>
      <c r="B1714" t="s">
        <v>8888</v>
      </c>
      <c r="C1714" t="s">
        <v>1213</v>
      </c>
      <c r="D1714" t="s">
        <v>8889</v>
      </c>
      <c r="E1714" t="s">
        <v>8890</v>
      </c>
      <c r="F1714" t="s">
        <v>8891</v>
      </c>
      <c r="G1714" s="4">
        <v>45575</v>
      </c>
      <c r="H1714" s="4">
        <v>45716</v>
      </c>
      <c r="I1714" s="4">
        <v>45727</v>
      </c>
      <c r="J1714">
        <f t="shared" si="130"/>
        <v>11</v>
      </c>
      <c r="K1714" t="str">
        <f t="array" ref="K1714">_xlfn.IFS(J1714=1,"Day Use",J1714&lt;=3,"Short Stay",J1714&lt;=7,"Extended Stay",J1714&gt;=8,"Long Stay")</f>
        <v>Long Stay</v>
      </c>
      <c r="L1714" t="s">
        <v>84</v>
      </c>
      <c r="M1714" s="10" t="str">
        <f t="shared" si="131"/>
        <v>Suite</v>
      </c>
      <c r="N1714" t="s">
        <v>26</v>
      </c>
      <c r="O1714" t="s">
        <v>35</v>
      </c>
      <c r="P1714">
        <f>IFERROR(VLOOKUP(TRIM(M1714),Room!D:H,5,FALSE),5000)</f>
        <v>12500</v>
      </c>
      <c r="Q1714">
        <f t="shared" si="132"/>
        <v>137500</v>
      </c>
      <c r="R1714" s="11" t="str">
        <f t="shared" si="133"/>
        <v>Business</v>
      </c>
      <c r="S1714" s="11">
        <f t="shared" si="134"/>
        <v>5</v>
      </c>
    </row>
    <row r="1715" spans="1:19">
      <c r="A1715" t="s">
        <v>8892</v>
      </c>
      <c r="B1715" t="s">
        <v>8893</v>
      </c>
      <c r="C1715" t="s">
        <v>6465</v>
      </c>
      <c r="D1715" t="s">
        <v>8894</v>
      </c>
      <c r="E1715" t="s">
        <v>8895</v>
      </c>
      <c r="F1715" t="s">
        <v>8896</v>
      </c>
      <c r="G1715" s="4">
        <v>45502</v>
      </c>
      <c r="H1715" s="4">
        <v>45531</v>
      </c>
      <c r="I1715" s="4">
        <v>45540</v>
      </c>
      <c r="J1715">
        <f t="shared" si="130"/>
        <v>9</v>
      </c>
      <c r="K1715" t="str">
        <f t="array" ref="K1715">_xlfn.IFS(J1715=1,"Day Use",J1715&lt;=3,"Short Stay",J1715&lt;=7,"Extended Stay",J1715&gt;=8,"Long Stay")</f>
        <v>Long Stay</v>
      </c>
      <c r="L1715" t="s">
        <v>25</v>
      </c>
      <c r="M1715" s="10" t="str">
        <f t="shared" si="131"/>
        <v>Premium</v>
      </c>
      <c r="N1715" t="s">
        <v>148</v>
      </c>
      <c r="O1715" t="s">
        <v>27</v>
      </c>
      <c r="P1715">
        <f>IFERROR(VLOOKUP(TRIM(M1715),Room!D:H,5,FALSE),5000)</f>
        <v>9500</v>
      </c>
      <c r="Q1715">
        <f t="shared" si="132"/>
        <v>85500</v>
      </c>
      <c r="R1715" s="11" t="str">
        <f t="shared" si="133"/>
        <v>Conference</v>
      </c>
      <c r="S1715" s="11">
        <f t="shared" si="134"/>
        <v>4</v>
      </c>
    </row>
    <row r="1716" spans="1:19">
      <c r="A1716" t="s">
        <v>8897</v>
      </c>
      <c r="B1716" t="s">
        <v>8898</v>
      </c>
      <c r="C1716" t="s">
        <v>1213</v>
      </c>
      <c r="D1716" t="s">
        <v>8899</v>
      </c>
      <c r="E1716" t="s">
        <v>8900</v>
      </c>
      <c r="F1716" t="s">
        <v>8901</v>
      </c>
      <c r="G1716" s="4">
        <v>45913</v>
      </c>
      <c r="H1716" s="4">
        <v>45949</v>
      </c>
      <c r="I1716" s="4">
        <v>45956</v>
      </c>
      <c r="J1716">
        <f t="shared" si="130"/>
        <v>7</v>
      </c>
      <c r="K1716" t="str">
        <f t="array" ref="K1716">_xlfn.IFS(J1716=1,"Day Use",J1716&lt;=3,"Short Stay",J1716&lt;=7,"Extended Stay",J1716&gt;=8,"Long Stay")</f>
        <v>Extended Stay</v>
      </c>
      <c r="L1716" t="s">
        <v>141</v>
      </c>
      <c r="M1716" s="10" t="str">
        <f t="shared" si="131"/>
        <v>Premium</v>
      </c>
      <c r="N1716" t="s">
        <v>148</v>
      </c>
      <c r="O1716" t="s">
        <v>71</v>
      </c>
      <c r="P1716">
        <f>IFERROR(VLOOKUP(TRIM(M1716),Room!D:H,5,FALSE),5000)</f>
        <v>9500</v>
      </c>
      <c r="Q1716">
        <f t="shared" si="132"/>
        <v>66500</v>
      </c>
      <c r="R1716" s="11" t="str">
        <f t="shared" si="133"/>
        <v>Conference</v>
      </c>
      <c r="S1716" s="11">
        <f t="shared" si="134"/>
        <v>4</v>
      </c>
    </row>
    <row r="1717" spans="1:19">
      <c r="A1717" t="s">
        <v>8902</v>
      </c>
      <c r="B1717" t="s">
        <v>8903</v>
      </c>
      <c r="C1717" t="s">
        <v>1036</v>
      </c>
      <c r="D1717" t="s">
        <v>8904</v>
      </c>
      <c r="E1717" t="s">
        <v>8905</v>
      </c>
      <c r="F1717" t="s">
        <v>8906</v>
      </c>
      <c r="G1717" s="4">
        <v>45427</v>
      </c>
      <c r="H1717" s="4">
        <v>45434</v>
      </c>
      <c r="I1717" s="4">
        <v>45444</v>
      </c>
      <c r="J1717">
        <f t="shared" si="130"/>
        <v>10</v>
      </c>
      <c r="K1717" t="str">
        <f t="array" ref="K1717">_xlfn.IFS(J1717=1,"Day Use",J1717&lt;=3,"Short Stay",J1717&lt;=7,"Extended Stay",J1717&gt;=8,"Long Stay")</f>
        <v>Long Stay</v>
      </c>
      <c r="L1717" t="s">
        <v>196</v>
      </c>
      <c r="M1717" s="10" t="str">
        <f t="shared" si="131"/>
        <v>Premium</v>
      </c>
      <c r="N1717" t="s">
        <v>26</v>
      </c>
      <c r="O1717" t="s">
        <v>42</v>
      </c>
      <c r="P1717">
        <f>IFERROR(VLOOKUP(TRIM(M1717),Room!D:H,5,FALSE),5000)</f>
        <v>9500</v>
      </c>
      <c r="Q1717">
        <f t="shared" si="132"/>
        <v>95000</v>
      </c>
      <c r="R1717" s="11" t="str">
        <f t="shared" si="133"/>
        <v>Conference</v>
      </c>
      <c r="S1717" s="11">
        <f t="shared" si="134"/>
        <v>4</v>
      </c>
    </row>
    <row r="1718" spans="1:19">
      <c r="A1718" t="s">
        <v>8907</v>
      </c>
      <c r="B1718" t="s">
        <v>8908</v>
      </c>
      <c r="C1718" t="s">
        <v>1826</v>
      </c>
      <c r="D1718" t="s">
        <v>8909</v>
      </c>
      <c r="E1718" t="s">
        <v>8910</v>
      </c>
      <c r="F1718" t="s">
        <v>8911</v>
      </c>
      <c r="G1718" s="4">
        <v>45219</v>
      </c>
      <c r="H1718" s="4">
        <v>45556</v>
      </c>
      <c r="I1718" s="4">
        <v>45564</v>
      </c>
      <c r="J1718">
        <f t="shared" si="130"/>
        <v>8</v>
      </c>
      <c r="K1718" t="str">
        <f t="array" ref="K1718">_xlfn.IFS(J1718=1,"Day Use",J1718&lt;=3,"Short Stay",J1718&lt;=7,"Extended Stay",J1718&gt;=8,"Long Stay")</f>
        <v>Long Stay</v>
      </c>
      <c r="L1718" t="s">
        <v>141</v>
      </c>
      <c r="M1718" s="10" t="str">
        <f t="shared" si="131"/>
        <v>Premium</v>
      </c>
      <c r="N1718" t="s">
        <v>148</v>
      </c>
      <c r="O1718" t="s">
        <v>27</v>
      </c>
      <c r="P1718">
        <f>IFERROR(VLOOKUP(TRIM(M1718),Room!D:H,5,FALSE),5000)</f>
        <v>9500</v>
      </c>
      <c r="Q1718">
        <f t="shared" si="132"/>
        <v>76000</v>
      </c>
      <c r="R1718" s="11" t="str">
        <f t="shared" si="133"/>
        <v>Conference</v>
      </c>
      <c r="S1718" s="11">
        <f t="shared" si="134"/>
        <v>4</v>
      </c>
    </row>
    <row r="1719" spans="1:19">
      <c r="A1719" t="s">
        <v>8912</v>
      </c>
      <c r="B1719" t="s">
        <v>8913</v>
      </c>
      <c r="C1719" t="s">
        <v>8914</v>
      </c>
      <c r="D1719" t="s">
        <v>8915</v>
      </c>
      <c r="E1719" t="s">
        <v>8916</v>
      </c>
      <c r="F1719" t="s">
        <v>8917</v>
      </c>
      <c r="G1719" s="4">
        <v>45264</v>
      </c>
      <c r="H1719" s="4">
        <v>45601</v>
      </c>
      <c r="I1719" s="4">
        <v>45608</v>
      </c>
      <c r="J1719">
        <f t="shared" si="130"/>
        <v>7</v>
      </c>
      <c r="K1719" t="str">
        <f t="array" ref="K1719">_xlfn.IFS(J1719=1,"Day Use",J1719&lt;=3,"Short Stay",J1719&lt;=7,"Extended Stay",J1719&gt;=8,"Long Stay")</f>
        <v>Extended Stay</v>
      </c>
      <c r="L1719" t="s">
        <v>196</v>
      </c>
      <c r="M1719" s="10" t="str">
        <f t="shared" si="131"/>
        <v>Premium</v>
      </c>
      <c r="N1719" t="s">
        <v>26</v>
      </c>
      <c r="O1719" t="s">
        <v>42</v>
      </c>
      <c r="P1719">
        <f>IFERROR(VLOOKUP(TRIM(M1719),Room!D:H,5,FALSE),5000)</f>
        <v>9500</v>
      </c>
      <c r="Q1719">
        <f t="shared" si="132"/>
        <v>66500</v>
      </c>
      <c r="R1719" s="11" t="str">
        <f t="shared" si="133"/>
        <v>Conference</v>
      </c>
      <c r="S1719" s="11">
        <f t="shared" si="134"/>
        <v>4</v>
      </c>
    </row>
    <row r="1720" spans="1:19">
      <c r="A1720" t="s">
        <v>8918</v>
      </c>
      <c r="B1720" t="s">
        <v>8919</v>
      </c>
      <c r="C1720" t="s">
        <v>144</v>
      </c>
      <c r="D1720" t="s">
        <v>8920</v>
      </c>
      <c r="E1720" t="s">
        <v>8921</v>
      </c>
      <c r="F1720" t="s">
        <v>8922</v>
      </c>
      <c r="G1720" s="4">
        <v>45481</v>
      </c>
      <c r="H1720" s="4">
        <v>45775</v>
      </c>
      <c r="I1720" s="4">
        <v>45776</v>
      </c>
      <c r="J1720">
        <f t="shared" si="130"/>
        <v>1</v>
      </c>
      <c r="K1720" t="str">
        <f t="array" ref="K1720">_xlfn.IFS(J1720=1,"Day Use",J1720&lt;=3,"Short Stay",J1720&lt;=7,"Extended Stay",J1720&gt;=8,"Long Stay")</f>
        <v>Day Use</v>
      </c>
      <c r="L1720" t="s">
        <v>141</v>
      </c>
      <c r="M1720" s="10" t="str">
        <f t="shared" si="131"/>
        <v>Standard</v>
      </c>
      <c r="N1720" t="s">
        <v>26</v>
      </c>
      <c r="O1720" t="s">
        <v>27</v>
      </c>
      <c r="P1720">
        <f>IFERROR(VLOOKUP(TRIM(M1720),Room!D:H,5,FALSE),5000)</f>
        <v>3200</v>
      </c>
      <c r="Q1720">
        <f t="shared" si="132"/>
        <v>3200</v>
      </c>
      <c r="R1720" s="11" t="str">
        <f t="shared" si="133"/>
        <v>Other</v>
      </c>
      <c r="S1720" s="11">
        <f t="shared" si="134"/>
        <v>1</v>
      </c>
    </row>
    <row r="1721" spans="1:19">
      <c r="A1721" t="s">
        <v>8923</v>
      </c>
      <c r="B1721" t="s">
        <v>8924</v>
      </c>
      <c r="C1721" t="s">
        <v>2079</v>
      </c>
      <c r="D1721" t="s">
        <v>8925</v>
      </c>
      <c r="E1721" t="s">
        <v>8926</v>
      </c>
      <c r="F1721" t="s">
        <v>8927</v>
      </c>
      <c r="G1721" s="4">
        <v>45337</v>
      </c>
      <c r="H1721" s="4">
        <v>45345</v>
      </c>
      <c r="I1721" s="4">
        <v>45347</v>
      </c>
      <c r="J1721">
        <f t="shared" si="130"/>
        <v>2</v>
      </c>
      <c r="K1721" t="str">
        <f t="array" ref="K1721">_xlfn.IFS(J1721=1,"Day Use",J1721&lt;=3,"Short Stay",J1721&lt;=7,"Extended Stay",J1721&gt;=8,"Long Stay")</f>
        <v>Short Stay</v>
      </c>
      <c r="L1721" t="s">
        <v>196</v>
      </c>
      <c r="M1721" s="10" t="str">
        <f t="shared" si="131"/>
        <v>Standard</v>
      </c>
      <c r="N1721" t="s">
        <v>26</v>
      </c>
      <c r="O1721" t="s">
        <v>71</v>
      </c>
      <c r="P1721">
        <f>IFERROR(VLOOKUP(TRIM(M1721),Room!D:H,5,FALSE),5000)</f>
        <v>3200</v>
      </c>
      <c r="Q1721">
        <f t="shared" si="132"/>
        <v>6400</v>
      </c>
      <c r="R1721" s="11" t="str">
        <f t="shared" si="133"/>
        <v>Other</v>
      </c>
      <c r="S1721" s="11">
        <f t="shared" si="134"/>
        <v>2</v>
      </c>
    </row>
    <row r="1722" spans="1:19">
      <c r="A1722" t="s">
        <v>8928</v>
      </c>
      <c r="B1722" t="s">
        <v>8929</v>
      </c>
      <c r="C1722" t="s">
        <v>708</v>
      </c>
      <c r="D1722" t="s">
        <v>8930</v>
      </c>
      <c r="E1722" t="s">
        <v>8931</v>
      </c>
      <c r="F1722" t="s">
        <v>8932</v>
      </c>
      <c r="G1722" s="4">
        <v>45406</v>
      </c>
      <c r="H1722" s="4">
        <v>45414</v>
      </c>
      <c r="I1722" s="4">
        <v>45424</v>
      </c>
      <c r="J1722">
        <f t="shared" si="130"/>
        <v>10</v>
      </c>
      <c r="K1722" t="str">
        <f t="array" ref="K1722">_xlfn.IFS(J1722=1,"Day Use",J1722&lt;=3,"Short Stay",J1722&lt;=7,"Extended Stay",J1722&gt;=8,"Long Stay")</f>
        <v>Long Stay</v>
      </c>
      <c r="L1722" t="s">
        <v>84</v>
      </c>
      <c r="M1722" s="10" t="str">
        <f t="shared" si="131"/>
        <v>Premium</v>
      </c>
      <c r="N1722" t="s">
        <v>26</v>
      </c>
      <c r="O1722" t="s">
        <v>71</v>
      </c>
      <c r="P1722">
        <f>IFERROR(VLOOKUP(TRIM(M1722),Room!D:H,5,FALSE),5000)</f>
        <v>9500</v>
      </c>
      <c r="Q1722">
        <f t="shared" si="132"/>
        <v>95000</v>
      </c>
      <c r="R1722" s="11" t="str">
        <f t="shared" si="133"/>
        <v>Conference</v>
      </c>
      <c r="S1722" s="11">
        <f t="shared" si="134"/>
        <v>4</v>
      </c>
    </row>
    <row r="1723" spans="1:19">
      <c r="A1723" t="s">
        <v>8933</v>
      </c>
      <c r="B1723" t="s">
        <v>8934</v>
      </c>
      <c r="C1723" t="s">
        <v>1551</v>
      </c>
      <c r="D1723" t="s">
        <v>8935</v>
      </c>
      <c r="E1723" t="s">
        <v>8936</v>
      </c>
      <c r="F1723" t="s">
        <v>8937</v>
      </c>
      <c r="G1723" s="4">
        <v>45735</v>
      </c>
      <c r="H1723" s="4">
        <v>46008</v>
      </c>
      <c r="I1723" s="4">
        <v>46017</v>
      </c>
      <c r="J1723">
        <f t="shared" si="130"/>
        <v>9</v>
      </c>
      <c r="K1723" t="str">
        <f t="array" ref="K1723">_xlfn.IFS(J1723=1,"Day Use",J1723&lt;=3,"Short Stay",J1723&lt;=7,"Extended Stay",J1723&gt;=8,"Long Stay")</f>
        <v>Long Stay</v>
      </c>
      <c r="L1723" t="s">
        <v>25</v>
      </c>
      <c r="M1723" s="10" t="str">
        <f t="shared" si="131"/>
        <v>Premium</v>
      </c>
      <c r="N1723" t="s">
        <v>26</v>
      </c>
      <c r="O1723" t="s">
        <v>35</v>
      </c>
      <c r="P1723">
        <f>IFERROR(VLOOKUP(TRIM(M1723),Room!D:H,5,FALSE),5000)</f>
        <v>9500</v>
      </c>
      <c r="Q1723">
        <f t="shared" si="132"/>
        <v>85500</v>
      </c>
      <c r="R1723" s="11" t="str">
        <f t="shared" si="133"/>
        <v>Conference</v>
      </c>
      <c r="S1723" s="11">
        <f t="shared" si="134"/>
        <v>4</v>
      </c>
    </row>
    <row r="1724" spans="1:19">
      <c r="A1724" t="s">
        <v>8938</v>
      </c>
      <c r="B1724" t="s">
        <v>8939</v>
      </c>
      <c r="C1724" t="s">
        <v>564</v>
      </c>
      <c r="D1724" t="s">
        <v>8940</v>
      </c>
      <c r="E1724" t="s">
        <v>8941</v>
      </c>
      <c r="F1724" t="s">
        <v>8942</v>
      </c>
      <c r="G1724" s="4">
        <v>45361</v>
      </c>
      <c r="H1724" s="4">
        <v>45950</v>
      </c>
      <c r="I1724" s="4">
        <v>45963</v>
      </c>
      <c r="J1724">
        <f t="shared" si="130"/>
        <v>13</v>
      </c>
      <c r="K1724" t="str">
        <f t="array" ref="K1724">_xlfn.IFS(J1724=1,"Day Use",J1724&lt;=3,"Short Stay",J1724&lt;=7,"Extended Stay",J1724&gt;=8,"Long Stay")</f>
        <v>Long Stay</v>
      </c>
      <c r="L1724" t="s">
        <v>196</v>
      </c>
      <c r="M1724" s="10" t="str">
        <f t="shared" si="131"/>
        <v>Suite</v>
      </c>
      <c r="N1724" t="s">
        <v>26</v>
      </c>
      <c r="O1724" t="s">
        <v>42</v>
      </c>
      <c r="P1724">
        <f>IFERROR(VLOOKUP(TRIM(M1724),Room!D:H,5,FALSE),5000)</f>
        <v>12500</v>
      </c>
      <c r="Q1724">
        <f t="shared" si="132"/>
        <v>162500</v>
      </c>
      <c r="R1724" s="11" t="str">
        <f t="shared" si="133"/>
        <v>Business</v>
      </c>
      <c r="S1724" s="11">
        <f t="shared" si="134"/>
        <v>5</v>
      </c>
    </row>
    <row r="1725" spans="1:19">
      <c r="A1725" t="s">
        <v>8943</v>
      </c>
      <c r="B1725" t="s">
        <v>8944</v>
      </c>
      <c r="C1725" t="s">
        <v>2202</v>
      </c>
      <c r="D1725" t="s">
        <v>8945</v>
      </c>
      <c r="E1725" t="s">
        <v>8946</v>
      </c>
      <c r="F1725" t="s">
        <v>8947</v>
      </c>
      <c r="G1725" s="4">
        <v>45543</v>
      </c>
      <c r="H1725" s="4">
        <v>45997</v>
      </c>
      <c r="I1725" s="4">
        <v>46002</v>
      </c>
      <c r="J1725">
        <f t="shared" si="130"/>
        <v>5</v>
      </c>
      <c r="K1725" t="str">
        <f t="array" ref="K1725">_xlfn.IFS(J1725=1,"Day Use",J1725&lt;=3,"Short Stay",J1725&lt;=7,"Extended Stay",J1725&gt;=8,"Long Stay")</f>
        <v>Extended Stay</v>
      </c>
      <c r="L1725" t="s">
        <v>91</v>
      </c>
      <c r="M1725" s="10" t="str">
        <f t="shared" si="131"/>
        <v>Deluxe</v>
      </c>
      <c r="N1725" t="s">
        <v>26</v>
      </c>
      <c r="O1725" t="s">
        <v>35</v>
      </c>
      <c r="P1725">
        <f>IFERROR(VLOOKUP(TRIM(M1725),Room!D:H,5,FALSE),5000)</f>
        <v>5400</v>
      </c>
      <c r="Q1725">
        <f t="shared" si="132"/>
        <v>27000</v>
      </c>
      <c r="R1725" s="11" t="str">
        <f t="shared" si="133"/>
        <v>Conference</v>
      </c>
      <c r="S1725" s="11">
        <f t="shared" si="134"/>
        <v>3</v>
      </c>
    </row>
    <row r="1726" spans="1:19">
      <c r="A1726" t="s">
        <v>8948</v>
      </c>
      <c r="B1726" t="s">
        <v>8949</v>
      </c>
      <c r="C1726" t="s">
        <v>639</v>
      </c>
      <c r="D1726" t="s">
        <v>8950</v>
      </c>
      <c r="E1726" t="s">
        <v>8951</v>
      </c>
      <c r="F1726" t="s">
        <v>8952</v>
      </c>
      <c r="G1726" s="4">
        <v>45320</v>
      </c>
      <c r="H1726" s="4">
        <v>45576</v>
      </c>
      <c r="I1726" s="4">
        <v>45587</v>
      </c>
      <c r="J1726">
        <f t="shared" si="130"/>
        <v>11</v>
      </c>
      <c r="K1726" t="str">
        <f t="array" ref="K1726">_xlfn.IFS(J1726=1,"Day Use",J1726&lt;=3,"Short Stay",J1726&lt;=7,"Extended Stay",J1726&gt;=8,"Long Stay")</f>
        <v>Long Stay</v>
      </c>
      <c r="L1726" t="s">
        <v>141</v>
      </c>
      <c r="M1726" s="10" t="str">
        <f t="shared" si="131"/>
        <v>Suite</v>
      </c>
      <c r="N1726" t="s">
        <v>26</v>
      </c>
      <c r="O1726" t="s">
        <v>42</v>
      </c>
      <c r="P1726">
        <f>IFERROR(VLOOKUP(TRIM(M1726),Room!D:H,5,FALSE),5000)</f>
        <v>12500</v>
      </c>
      <c r="Q1726">
        <f t="shared" si="132"/>
        <v>137500</v>
      </c>
      <c r="R1726" s="11" t="str">
        <f t="shared" si="133"/>
        <v>Business</v>
      </c>
      <c r="S1726" s="11">
        <f t="shared" si="134"/>
        <v>5</v>
      </c>
    </row>
    <row r="1727" spans="1:19">
      <c r="A1727" t="s">
        <v>8953</v>
      </c>
      <c r="B1727" t="s">
        <v>8954</v>
      </c>
      <c r="C1727" t="s">
        <v>4436</v>
      </c>
      <c r="D1727" t="s">
        <v>8955</v>
      </c>
      <c r="E1727" t="s">
        <v>8956</v>
      </c>
      <c r="F1727" t="s">
        <v>8957</v>
      </c>
      <c r="G1727" s="4">
        <v>45588</v>
      </c>
      <c r="H1727" s="4">
        <v>45612</v>
      </c>
      <c r="I1727" s="4">
        <v>45617</v>
      </c>
      <c r="J1727">
        <f t="shared" si="130"/>
        <v>5</v>
      </c>
      <c r="K1727" t="str">
        <f t="array" ref="K1727">_xlfn.IFS(J1727=1,"Day Use",J1727&lt;=3,"Short Stay",J1727&lt;=7,"Extended Stay",J1727&gt;=8,"Long Stay")</f>
        <v>Extended Stay</v>
      </c>
      <c r="L1727" t="s">
        <v>34</v>
      </c>
      <c r="M1727" s="10" t="str">
        <f t="shared" si="131"/>
        <v>Deluxe</v>
      </c>
      <c r="N1727" t="s">
        <v>26</v>
      </c>
      <c r="O1727" t="s">
        <v>27</v>
      </c>
      <c r="P1727">
        <f>IFERROR(VLOOKUP(TRIM(M1727),Room!D:H,5,FALSE),5000)</f>
        <v>5400</v>
      </c>
      <c r="Q1727">
        <f t="shared" si="132"/>
        <v>27000</v>
      </c>
      <c r="R1727" s="11" t="str">
        <f t="shared" si="133"/>
        <v>Conference</v>
      </c>
      <c r="S1727" s="11">
        <f t="shared" si="134"/>
        <v>3</v>
      </c>
    </row>
    <row r="1728" spans="1:19">
      <c r="A1728" t="s">
        <v>8958</v>
      </c>
      <c r="B1728" t="s">
        <v>8959</v>
      </c>
      <c r="C1728" t="s">
        <v>865</v>
      </c>
      <c r="D1728" t="s">
        <v>8960</v>
      </c>
      <c r="E1728" t="s">
        <v>8961</v>
      </c>
      <c r="F1728" t="s">
        <v>8962</v>
      </c>
      <c r="G1728" s="4">
        <v>45519</v>
      </c>
      <c r="H1728" s="4">
        <v>45572</v>
      </c>
      <c r="I1728" s="4">
        <v>45582</v>
      </c>
      <c r="J1728">
        <f t="shared" si="130"/>
        <v>10</v>
      </c>
      <c r="K1728" t="str">
        <f t="array" ref="K1728">_xlfn.IFS(J1728=1,"Day Use",J1728&lt;=3,"Short Stay",J1728&lt;=7,"Extended Stay",J1728&gt;=8,"Long Stay")</f>
        <v>Long Stay</v>
      </c>
      <c r="L1728" t="s">
        <v>91</v>
      </c>
      <c r="M1728" s="10" t="str">
        <f t="shared" si="131"/>
        <v>Premium</v>
      </c>
      <c r="N1728" t="s">
        <v>26</v>
      </c>
      <c r="O1728" t="s">
        <v>71</v>
      </c>
      <c r="P1728">
        <f>IFERROR(VLOOKUP(TRIM(M1728),Room!D:H,5,FALSE),5000)</f>
        <v>9500</v>
      </c>
      <c r="Q1728">
        <f t="shared" si="132"/>
        <v>95000</v>
      </c>
      <c r="R1728" s="11" t="str">
        <f t="shared" si="133"/>
        <v>Conference</v>
      </c>
      <c r="S1728" s="11">
        <f t="shared" si="134"/>
        <v>4</v>
      </c>
    </row>
    <row r="1729" spans="1:19">
      <c r="A1729" t="s">
        <v>8963</v>
      </c>
      <c r="B1729" t="s">
        <v>8964</v>
      </c>
      <c r="C1729" t="s">
        <v>2112</v>
      </c>
      <c r="D1729" t="s">
        <v>8965</v>
      </c>
      <c r="E1729" t="s">
        <v>8966</v>
      </c>
      <c r="F1729" t="s">
        <v>8967</v>
      </c>
      <c r="G1729" s="4">
        <v>45428</v>
      </c>
      <c r="H1729" s="4">
        <v>45439</v>
      </c>
      <c r="I1729" s="4">
        <v>45451</v>
      </c>
      <c r="J1729">
        <f t="shared" si="130"/>
        <v>12</v>
      </c>
      <c r="K1729" t="str">
        <f t="array" ref="K1729">_xlfn.IFS(J1729=1,"Day Use",J1729&lt;=3,"Short Stay",J1729&lt;=7,"Extended Stay",J1729&gt;=8,"Long Stay")</f>
        <v>Long Stay</v>
      </c>
      <c r="L1729" t="s">
        <v>34</v>
      </c>
      <c r="M1729" s="10" t="str">
        <f t="shared" si="131"/>
        <v>Suite</v>
      </c>
      <c r="N1729" t="s">
        <v>57</v>
      </c>
      <c r="O1729" t="s">
        <v>35</v>
      </c>
      <c r="P1729">
        <f>IFERROR(VLOOKUP(TRIM(M1729),Room!D:H,5,FALSE),5000)</f>
        <v>12500</v>
      </c>
      <c r="Q1729">
        <f t="shared" si="132"/>
        <v>150000</v>
      </c>
      <c r="R1729" s="11" t="str">
        <f t="shared" si="133"/>
        <v>Business</v>
      </c>
      <c r="S1729" s="11">
        <f t="shared" si="134"/>
        <v>5</v>
      </c>
    </row>
    <row r="1730" spans="1:19">
      <c r="A1730" t="s">
        <v>8968</v>
      </c>
      <c r="B1730" t="s">
        <v>8969</v>
      </c>
      <c r="C1730" t="s">
        <v>223</v>
      </c>
      <c r="D1730" t="s">
        <v>8970</v>
      </c>
      <c r="E1730" t="s">
        <v>8971</v>
      </c>
      <c r="F1730" t="s">
        <v>8972</v>
      </c>
      <c r="G1730" s="4">
        <v>45645</v>
      </c>
      <c r="H1730" s="4">
        <v>45971</v>
      </c>
      <c r="I1730" s="4">
        <v>45976</v>
      </c>
      <c r="J1730">
        <f t="shared" ref="J1730:J1793" si="135">I1730-H1730</f>
        <v>5</v>
      </c>
      <c r="K1730" t="str">
        <f t="array" ref="K1730">_xlfn.IFS(J1730=1,"Day Use",J1730&lt;=3,"Short Stay",J1730&lt;=7,"Extended Stay",J1730&gt;=8,"Long Stay")</f>
        <v>Extended Stay</v>
      </c>
      <c r="L1730" t="s">
        <v>56</v>
      </c>
      <c r="M1730" s="10" t="str">
        <f t="shared" ref="M1730:M1793" si="136">IF($J1730&lt;=3,"Standard",IF($J1730&lt;=6,"Deluxe",IF($J1730&lt;=10,"Premium","Suite")))</f>
        <v>Deluxe</v>
      </c>
      <c r="N1730" t="s">
        <v>26</v>
      </c>
      <c r="O1730" t="s">
        <v>27</v>
      </c>
      <c r="P1730">
        <f>IFERROR(VLOOKUP(TRIM(M1730),Room!D:H,5,FALSE),5000)</f>
        <v>5400</v>
      </c>
      <c r="Q1730">
        <f t="shared" si="132"/>
        <v>27000</v>
      </c>
      <c r="R1730" s="11" t="str">
        <f t="shared" si="133"/>
        <v>Conference</v>
      </c>
      <c r="S1730" s="11">
        <f t="shared" si="134"/>
        <v>3</v>
      </c>
    </row>
    <row r="1731" spans="1:19">
      <c r="A1731" t="s">
        <v>8973</v>
      </c>
      <c r="B1731" t="s">
        <v>8974</v>
      </c>
      <c r="C1731" t="s">
        <v>253</v>
      </c>
      <c r="D1731" t="s">
        <v>8975</v>
      </c>
      <c r="E1731" t="s">
        <v>8976</v>
      </c>
      <c r="F1731" t="s">
        <v>8977</v>
      </c>
      <c r="G1731" s="4">
        <v>45270</v>
      </c>
      <c r="H1731" s="4">
        <v>45298</v>
      </c>
      <c r="I1731" s="4">
        <v>45304</v>
      </c>
      <c r="J1731">
        <f t="shared" si="135"/>
        <v>6</v>
      </c>
      <c r="K1731" t="str">
        <f t="array" ref="K1731">_xlfn.IFS(J1731=1,"Day Use",J1731&lt;=3,"Short Stay",J1731&lt;=7,"Extended Stay",J1731&gt;=8,"Long Stay")</f>
        <v>Extended Stay</v>
      </c>
      <c r="L1731" t="s">
        <v>196</v>
      </c>
      <c r="M1731" s="10" t="str">
        <f t="shared" si="136"/>
        <v>Deluxe</v>
      </c>
      <c r="N1731" t="s">
        <v>26</v>
      </c>
      <c r="O1731" t="s">
        <v>27</v>
      </c>
      <c r="P1731">
        <f>IFERROR(VLOOKUP(TRIM(M1731),Room!D:H,5,FALSE),5000)</f>
        <v>5400</v>
      </c>
      <c r="Q1731">
        <f t="shared" ref="Q1731:Q1794" si="137">P1731*J1731</f>
        <v>32400</v>
      </c>
      <c r="R1731" s="11" t="str">
        <f t="shared" ref="R1731:R1794" si="138">IF(ISNUMBER(SEARCH("Suite",D1731)),"Honeymoon",IF(P1731&gt;10000,"Business",IF(P1731&gt;5000,"Conference",IF(J1731&gt;=8,"Family Vacation","Other"))))</f>
        <v>Conference</v>
      </c>
      <c r="S1731" s="11">
        <f t="shared" ref="S1731:S1794" si="139">IF(M1731="Suite",5,IF(M1731="Premium",IF(Q1731&gt;20000,4,3),IF(M1731="Deluxe",IF(Q1731&gt;=10000,3,2),IF(M1731="Standard",IF(Q1731&gt;=5000,2,1),1))))</f>
        <v>3</v>
      </c>
    </row>
    <row r="1732" spans="1:19">
      <c r="A1732" t="s">
        <v>8978</v>
      </c>
      <c r="B1732" t="s">
        <v>8979</v>
      </c>
      <c r="C1732" t="s">
        <v>835</v>
      </c>
      <c r="D1732" t="s">
        <v>8980</v>
      </c>
      <c r="E1732" t="s">
        <v>8981</v>
      </c>
      <c r="F1732" t="s">
        <v>8982</v>
      </c>
      <c r="G1732" s="4">
        <v>45292</v>
      </c>
      <c r="H1732" s="4">
        <v>45305</v>
      </c>
      <c r="I1732" s="4">
        <v>45318</v>
      </c>
      <c r="J1732">
        <f t="shared" si="135"/>
        <v>13</v>
      </c>
      <c r="K1732" t="str">
        <f t="array" ref="K1732">_xlfn.IFS(J1732=1,"Day Use",J1732&lt;=3,"Short Stay",J1732&lt;=7,"Extended Stay",J1732&gt;=8,"Long Stay")</f>
        <v>Long Stay</v>
      </c>
      <c r="L1732" t="s">
        <v>56</v>
      </c>
      <c r="M1732" s="10" t="str">
        <f t="shared" si="136"/>
        <v>Suite</v>
      </c>
      <c r="N1732" t="s">
        <v>57</v>
      </c>
      <c r="O1732" t="s">
        <v>58</v>
      </c>
      <c r="P1732">
        <f>IFERROR(VLOOKUP(TRIM(M1732),Room!D:H,5,FALSE),5000)</f>
        <v>12500</v>
      </c>
      <c r="Q1732">
        <f t="shared" si="137"/>
        <v>162500</v>
      </c>
      <c r="R1732" s="11" t="str">
        <f t="shared" si="138"/>
        <v>Business</v>
      </c>
      <c r="S1732" s="11">
        <f t="shared" si="139"/>
        <v>5</v>
      </c>
    </row>
    <row r="1733" spans="1:19">
      <c r="A1733" t="s">
        <v>8983</v>
      </c>
      <c r="B1733" t="s">
        <v>8984</v>
      </c>
      <c r="C1733" t="s">
        <v>524</v>
      </c>
      <c r="D1733" t="s">
        <v>8985</v>
      </c>
      <c r="E1733" t="s">
        <v>8986</v>
      </c>
      <c r="F1733" t="s">
        <v>8987</v>
      </c>
      <c r="G1733" s="4">
        <v>45834</v>
      </c>
      <c r="H1733" s="4">
        <v>45935</v>
      </c>
      <c r="I1733" s="4">
        <v>45941</v>
      </c>
      <c r="J1733">
        <f t="shared" si="135"/>
        <v>6</v>
      </c>
      <c r="K1733" t="str">
        <f t="array" ref="K1733">_xlfn.IFS(J1733=1,"Day Use",J1733&lt;=3,"Short Stay",J1733&lt;=7,"Extended Stay",J1733&gt;=8,"Long Stay")</f>
        <v>Extended Stay</v>
      </c>
      <c r="L1733" t="s">
        <v>196</v>
      </c>
      <c r="M1733" s="10" t="str">
        <f t="shared" si="136"/>
        <v>Deluxe</v>
      </c>
      <c r="N1733" t="s">
        <v>26</v>
      </c>
      <c r="O1733" t="s">
        <v>42</v>
      </c>
      <c r="P1733">
        <f>IFERROR(VLOOKUP(TRIM(M1733),Room!D:H,5,FALSE),5000)</f>
        <v>5400</v>
      </c>
      <c r="Q1733">
        <f t="shared" si="137"/>
        <v>32400</v>
      </c>
      <c r="R1733" s="11" t="str">
        <f t="shared" si="138"/>
        <v>Conference</v>
      </c>
      <c r="S1733" s="11">
        <f t="shared" si="139"/>
        <v>3</v>
      </c>
    </row>
    <row r="1734" spans="1:19">
      <c r="A1734" t="s">
        <v>8988</v>
      </c>
      <c r="B1734" t="s">
        <v>8989</v>
      </c>
      <c r="C1734" t="s">
        <v>217</v>
      </c>
      <c r="D1734" t="s">
        <v>8990</v>
      </c>
      <c r="E1734" t="s">
        <v>8991</v>
      </c>
      <c r="F1734" t="s">
        <v>8992</v>
      </c>
      <c r="G1734" s="4">
        <v>45401</v>
      </c>
      <c r="H1734" s="4">
        <v>45412</v>
      </c>
      <c r="I1734" s="4">
        <v>45424</v>
      </c>
      <c r="J1734">
        <f t="shared" si="135"/>
        <v>12</v>
      </c>
      <c r="K1734" t="str">
        <f t="array" ref="K1734">_xlfn.IFS(J1734=1,"Day Use",J1734&lt;=3,"Short Stay",J1734&lt;=7,"Extended Stay",J1734&gt;=8,"Long Stay")</f>
        <v>Long Stay</v>
      </c>
      <c r="L1734" t="s">
        <v>49</v>
      </c>
      <c r="M1734" s="10" t="str">
        <f t="shared" si="136"/>
        <v>Suite</v>
      </c>
      <c r="N1734" t="s">
        <v>57</v>
      </c>
      <c r="O1734" t="s">
        <v>42</v>
      </c>
      <c r="P1734">
        <f>IFERROR(VLOOKUP(TRIM(M1734),Room!D:H,5,FALSE),5000)</f>
        <v>12500</v>
      </c>
      <c r="Q1734">
        <f t="shared" si="137"/>
        <v>150000</v>
      </c>
      <c r="R1734" s="11" t="str">
        <f t="shared" si="138"/>
        <v>Business</v>
      </c>
      <c r="S1734" s="11">
        <f t="shared" si="139"/>
        <v>5</v>
      </c>
    </row>
    <row r="1735" spans="1:19">
      <c r="A1735" t="s">
        <v>8993</v>
      </c>
      <c r="B1735" t="s">
        <v>8994</v>
      </c>
      <c r="C1735" t="s">
        <v>460</v>
      </c>
      <c r="D1735" t="s">
        <v>8995</v>
      </c>
      <c r="E1735" t="s">
        <v>8996</v>
      </c>
      <c r="F1735" t="s">
        <v>8997</v>
      </c>
      <c r="G1735" s="4">
        <v>45201</v>
      </c>
      <c r="H1735" s="4">
        <v>45333</v>
      </c>
      <c r="I1735" s="4">
        <v>45343</v>
      </c>
      <c r="J1735">
        <f t="shared" si="135"/>
        <v>10</v>
      </c>
      <c r="K1735" t="str">
        <f t="array" ref="K1735">_xlfn.IFS(J1735=1,"Day Use",J1735&lt;=3,"Short Stay",J1735&lt;=7,"Extended Stay",J1735&gt;=8,"Long Stay")</f>
        <v>Long Stay</v>
      </c>
      <c r="L1735" t="s">
        <v>91</v>
      </c>
      <c r="M1735" s="10" t="str">
        <f t="shared" si="136"/>
        <v>Premium</v>
      </c>
      <c r="N1735" t="s">
        <v>57</v>
      </c>
      <c r="O1735" t="s">
        <v>71</v>
      </c>
      <c r="P1735">
        <f>IFERROR(VLOOKUP(TRIM(M1735),Room!D:H,5,FALSE),5000)</f>
        <v>9500</v>
      </c>
      <c r="Q1735">
        <f t="shared" si="137"/>
        <v>95000</v>
      </c>
      <c r="R1735" s="11" t="str">
        <f t="shared" si="138"/>
        <v>Conference</v>
      </c>
      <c r="S1735" s="11">
        <f t="shared" si="139"/>
        <v>4</v>
      </c>
    </row>
    <row r="1736" spans="1:19">
      <c r="A1736" t="s">
        <v>8998</v>
      </c>
      <c r="B1736" t="s">
        <v>8999</v>
      </c>
      <c r="C1736" t="s">
        <v>1972</v>
      </c>
      <c r="D1736" t="s">
        <v>9000</v>
      </c>
      <c r="E1736" t="s">
        <v>9001</v>
      </c>
      <c r="F1736" t="s">
        <v>9002</v>
      </c>
      <c r="G1736" s="4">
        <v>45801</v>
      </c>
      <c r="H1736" s="4">
        <v>45982</v>
      </c>
      <c r="I1736" s="4">
        <v>45991</v>
      </c>
      <c r="J1736">
        <f t="shared" si="135"/>
        <v>9</v>
      </c>
      <c r="K1736" t="str">
        <f t="array" ref="K1736">_xlfn.IFS(J1736=1,"Day Use",J1736&lt;=3,"Short Stay",J1736&lt;=7,"Extended Stay",J1736&gt;=8,"Long Stay")</f>
        <v>Long Stay</v>
      </c>
      <c r="L1736" t="s">
        <v>91</v>
      </c>
      <c r="M1736" s="10" t="str">
        <f t="shared" si="136"/>
        <v>Premium</v>
      </c>
      <c r="N1736" t="s">
        <v>26</v>
      </c>
      <c r="O1736" t="s">
        <v>35</v>
      </c>
      <c r="P1736">
        <f>IFERROR(VLOOKUP(TRIM(M1736),Room!D:H,5,FALSE),5000)</f>
        <v>9500</v>
      </c>
      <c r="Q1736">
        <f t="shared" si="137"/>
        <v>85500</v>
      </c>
      <c r="R1736" s="11" t="str">
        <f t="shared" si="138"/>
        <v>Conference</v>
      </c>
      <c r="S1736" s="11">
        <f t="shared" si="139"/>
        <v>4</v>
      </c>
    </row>
    <row r="1737" spans="1:19">
      <c r="A1737" t="s">
        <v>9003</v>
      </c>
      <c r="B1737" t="s">
        <v>9004</v>
      </c>
      <c r="C1737" t="s">
        <v>2041</v>
      </c>
      <c r="D1737" t="s">
        <v>9005</v>
      </c>
      <c r="E1737" t="s">
        <v>9006</v>
      </c>
      <c r="F1737" t="s">
        <v>9007</v>
      </c>
      <c r="G1737" s="4">
        <v>45371</v>
      </c>
      <c r="H1737" s="4">
        <v>45394</v>
      </c>
      <c r="I1737" s="4">
        <v>45407</v>
      </c>
      <c r="J1737">
        <f t="shared" si="135"/>
        <v>13</v>
      </c>
      <c r="K1737" t="str">
        <f t="array" ref="K1737">_xlfn.IFS(J1737=1,"Day Use",J1737&lt;=3,"Short Stay",J1737&lt;=7,"Extended Stay",J1737&gt;=8,"Long Stay")</f>
        <v>Long Stay</v>
      </c>
      <c r="L1737" t="s">
        <v>196</v>
      </c>
      <c r="M1737" s="10" t="str">
        <f t="shared" si="136"/>
        <v>Suite</v>
      </c>
      <c r="N1737" t="s">
        <v>26</v>
      </c>
      <c r="O1737" t="s">
        <v>58</v>
      </c>
      <c r="P1737">
        <f>IFERROR(VLOOKUP(TRIM(M1737),Room!D:H,5,FALSE),5000)</f>
        <v>12500</v>
      </c>
      <c r="Q1737">
        <f t="shared" si="137"/>
        <v>162500</v>
      </c>
      <c r="R1737" s="11" t="str">
        <f t="shared" si="138"/>
        <v>Business</v>
      </c>
      <c r="S1737" s="11">
        <f t="shared" si="139"/>
        <v>5</v>
      </c>
    </row>
    <row r="1738" spans="1:19">
      <c r="A1738" t="s">
        <v>9008</v>
      </c>
      <c r="B1738" t="s">
        <v>9009</v>
      </c>
      <c r="C1738" t="s">
        <v>2297</v>
      </c>
      <c r="D1738" t="s">
        <v>9010</v>
      </c>
      <c r="E1738" t="s">
        <v>9011</v>
      </c>
      <c r="F1738" t="s">
        <v>9012</v>
      </c>
      <c r="G1738" s="4">
        <v>45360</v>
      </c>
      <c r="H1738" s="4">
        <v>45378</v>
      </c>
      <c r="I1738" s="4">
        <v>45389</v>
      </c>
      <c r="J1738">
        <f t="shared" si="135"/>
        <v>11</v>
      </c>
      <c r="K1738" t="str">
        <f t="array" ref="K1738">_xlfn.IFS(J1738=1,"Day Use",J1738&lt;=3,"Short Stay",J1738&lt;=7,"Extended Stay",J1738&gt;=8,"Long Stay")</f>
        <v>Long Stay</v>
      </c>
      <c r="L1738" t="s">
        <v>49</v>
      </c>
      <c r="M1738" s="10" t="str">
        <f t="shared" si="136"/>
        <v>Suite</v>
      </c>
      <c r="N1738" t="s">
        <v>148</v>
      </c>
      <c r="O1738" t="s">
        <v>71</v>
      </c>
      <c r="P1738">
        <f>IFERROR(VLOOKUP(TRIM(M1738),Room!D:H,5,FALSE),5000)</f>
        <v>12500</v>
      </c>
      <c r="Q1738">
        <f t="shared" si="137"/>
        <v>137500</v>
      </c>
      <c r="R1738" s="11" t="str">
        <f t="shared" si="138"/>
        <v>Business</v>
      </c>
      <c r="S1738" s="11">
        <f t="shared" si="139"/>
        <v>5</v>
      </c>
    </row>
    <row r="1739" spans="1:19">
      <c r="A1739" t="s">
        <v>9013</v>
      </c>
      <c r="B1739" t="s">
        <v>9014</v>
      </c>
      <c r="C1739" t="s">
        <v>1036</v>
      </c>
      <c r="D1739" t="s">
        <v>9015</v>
      </c>
      <c r="E1739" t="s">
        <v>9016</v>
      </c>
      <c r="F1739" t="s">
        <v>9017</v>
      </c>
      <c r="G1739" s="4">
        <v>45423</v>
      </c>
      <c r="H1739" s="4">
        <v>45449</v>
      </c>
      <c r="I1739" s="4">
        <v>45462</v>
      </c>
      <c r="J1739">
        <f t="shared" si="135"/>
        <v>13</v>
      </c>
      <c r="K1739" t="str">
        <f t="array" ref="K1739">_xlfn.IFS(J1739=1,"Day Use",J1739&lt;=3,"Short Stay",J1739&lt;=7,"Extended Stay",J1739&gt;=8,"Long Stay")</f>
        <v>Long Stay</v>
      </c>
      <c r="L1739" t="s">
        <v>56</v>
      </c>
      <c r="M1739" s="10" t="str">
        <f t="shared" si="136"/>
        <v>Suite</v>
      </c>
      <c r="N1739" t="s">
        <v>26</v>
      </c>
      <c r="O1739" t="s">
        <v>58</v>
      </c>
      <c r="P1739">
        <f>IFERROR(VLOOKUP(TRIM(M1739),Room!D:H,5,FALSE),5000)</f>
        <v>12500</v>
      </c>
      <c r="Q1739">
        <f t="shared" si="137"/>
        <v>162500</v>
      </c>
      <c r="R1739" s="11" t="str">
        <f t="shared" si="138"/>
        <v>Business</v>
      </c>
      <c r="S1739" s="11">
        <f t="shared" si="139"/>
        <v>5</v>
      </c>
    </row>
    <row r="1740" spans="1:19">
      <c r="A1740" t="s">
        <v>9018</v>
      </c>
      <c r="B1740" t="s">
        <v>9019</v>
      </c>
      <c r="C1740" t="s">
        <v>241</v>
      </c>
      <c r="D1740" t="s">
        <v>9020</v>
      </c>
      <c r="E1740" t="s">
        <v>9021</v>
      </c>
      <c r="F1740" t="s">
        <v>9022</v>
      </c>
      <c r="G1740" s="4">
        <v>45553</v>
      </c>
      <c r="H1740" s="4">
        <v>45771</v>
      </c>
      <c r="I1740" s="4">
        <v>45780</v>
      </c>
      <c r="J1740">
        <f t="shared" si="135"/>
        <v>9</v>
      </c>
      <c r="K1740" t="str">
        <f t="array" ref="K1740">_xlfn.IFS(J1740=1,"Day Use",J1740&lt;=3,"Short Stay",J1740&lt;=7,"Extended Stay",J1740&gt;=8,"Long Stay")</f>
        <v>Long Stay</v>
      </c>
      <c r="L1740" t="s">
        <v>196</v>
      </c>
      <c r="M1740" s="10" t="str">
        <f t="shared" si="136"/>
        <v>Premium</v>
      </c>
      <c r="N1740" t="s">
        <v>26</v>
      </c>
      <c r="O1740" t="s">
        <v>35</v>
      </c>
      <c r="P1740">
        <f>IFERROR(VLOOKUP(TRIM(M1740),Room!D:H,5,FALSE),5000)</f>
        <v>9500</v>
      </c>
      <c r="Q1740">
        <f t="shared" si="137"/>
        <v>85500</v>
      </c>
      <c r="R1740" s="11" t="str">
        <f t="shared" si="138"/>
        <v>Conference</v>
      </c>
      <c r="S1740" s="11">
        <f t="shared" si="139"/>
        <v>4</v>
      </c>
    </row>
    <row r="1741" spans="1:19">
      <c r="A1741" t="s">
        <v>9023</v>
      </c>
      <c r="B1741" t="s">
        <v>9024</v>
      </c>
      <c r="C1741" t="s">
        <v>2073</v>
      </c>
      <c r="D1741" t="s">
        <v>9025</v>
      </c>
      <c r="E1741" t="s">
        <v>9026</v>
      </c>
      <c r="F1741" t="s">
        <v>9027</v>
      </c>
      <c r="G1741" s="4">
        <v>45309</v>
      </c>
      <c r="H1741" s="4">
        <v>45481</v>
      </c>
      <c r="I1741" s="4">
        <v>45485</v>
      </c>
      <c r="J1741">
        <f t="shared" si="135"/>
        <v>4</v>
      </c>
      <c r="K1741" t="str">
        <f t="array" ref="K1741">_xlfn.IFS(J1741=1,"Day Use",J1741&lt;=3,"Short Stay",J1741&lt;=7,"Extended Stay",J1741&gt;=8,"Long Stay")</f>
        <v>Extended Stay</v>
      </c>
      <c r="L1741" t="s">
        <v>56</v>
      </c>
      <c r="M1741" s="10" t="str">
        <f t="shared" si="136"/>
        <v>Deluxe</v>
      </c>
      <c r="N1741" t="s">
        <v>26</v>
      </c>
      <c r="O1741" t="s">
        <v>71</v>
      </c>
      <c r="P1741">
        <f>IFERROR(VLOOKUP(TRIM(M1741),Room!D:H,5,FALSE),5000)</f>
        <v>5400</v>
      </c>
      <c r="Q1741">
        <f t="shared" si="137"/>
        <v>21600</v>
      </c>
      <c r="R1741" s="11" t="str">
        <f t="shared" si="138"/>
        <v>Conference</v>
      </c>
      <c r="S1741" s="11">
        <f t="shared" si="139"/>
        <v>3</v>
      </c>
    </row>
    <row r="1742" spans="1:19">
      <c r="A1742" t="s">
        <v>9028</v>
      </c>
      <c r="B1742" t="s">
        <v>9029</v>
      </c>
      <c r="C1742" t="s">
        <v>1594</v>
      </c>
      <c r="D1742" t="s">
        <v>9030</v>
      </c>
      <c r="E1742" t="s">
        <v>9031</v>
      </c>
      <c r="F1742" t="s">
        <v>9032</v>
      </c>
      <c r="G1742" s="4">
        <v>45625</v>
      </c>
      <c r="H1742" s="4">
        <v>45650</v>
      </c>
      <c r="I1742" s="4">
        <v>45653</v>
      </c>
      <c r="J1742">
        <f t="shared" si="135"/>
        <v>3</v>
      </c>
      <c r="K1742" t="str">
        <f t="array" ref="K1742">_xlfn.IFS(J1742=1,"Day Use",J1742&lt;=3,"Short Stay",J1742&lt;=7,"Extended Stay",J1742&gt;=8,"Long Stay")</f>
        <v>Short Stay</v>
      </c>
      <c r="L1742" t="s">
        <v>141</v>
      </c>
      <c r="M1742" s="10" t="str">
        <f t="shared" si="136"/>
        <v>Standard</v>
      </c>
      <c r="N1742" t="s">
        <v>26</v>
      </c>
      <c r="O1742" t="s">
        <v>27</v>
      </c>
      <c r="P1742">
        <f>IFERROR(VLOOKUP(TRIM(M1742),Room!D:H,5,FALSE),5000)</f>
        <v>3200</v>
      </c>
      <c r="Q1742">
        <f t="shared" si="137"/>
        <v>9600</v>
      </c>
      <c r="R1742" s="11" t="str">
        <f t="shared" si="138"/>
        <v>Other</v>
      </c>
      <c r="S1742" s="11">
        <f t="shared" si="139"/>
        <v>2</v>
      </c>
    </row>
    <row r="1743" spans="1:19">
      <c r="A1743" t="s">
        <v>9033</v>
      </c>
      <c r="B1743" t="s">
        <v>9034</v>
      </c>
      <c r="C1743" t="s">
        <v>4328</v>
      </c>
      <c r="D1743" t="s">
        <v>9035</v>
      </c>
      <c r="E1743" t="s">
        <v>9036</v>
      </c>
      <c r="F1743" t="s">
        <v>9037</v>
      </c>
      <c r="G1743" s="4">
        <v>45401</v>
      </c>
      <c r="H1743" s="4">
        <v>45411</v>
      </c>
      <c r="I1743" s="4">
        <v>45420</v>
      </c>
      <c r="J1743">
        <f t="shared" si="135"/>
        <v>9</v>
      </c>
      <c r="K1743" t="str">
        <f t="array" ref="K1743">_xlfn.IFS(J1743=1,"Day Use",J1743&lt;=3,"Short Stay",J1743&lt;=7,"Extended Stay",J1743&gt;=8,"Long Stay")</f>
        <v>Long Stay</v>
      </c>
      <c r="L1743" t="s">
        <v>56</v>
      </c>
      <c r="M1743" s="10" t="str">
        <f t="shared" si="136"/>
        <v>Premium</v>
      </c>
      <c r="N1743" t="s">
        <v>372</v>
      </c>
      <c r="O1743" t="s">
        <v>35</v>
      </c>
      <c r="P1743">
        <f>IFERROR(VLOOKUP(TRIM(M1743),Room!D:H,5,FALSE),5000)</f>
        <v>9500</v>
      </c>
      <c r="Q1743">
        <f t="shared" si="137"/>
        <v>85500</v>
      </c>
      <c r="R1743" s="11" t="str">
        <f t="shared" si="138"/>
        <v>Conference</v>
      </c>
      <c r="S1743" s="11">
        <f t="shared" si="139"/>
        <v>4</v>
      </c>
    </row>
    <row r="1744" spans="1:19">
      <c r="A1744" t="s">
        <v>9038</v>
      </c>
      <c r="B1744" t="s">
        <v>9039</v>
      </c>
      <c r="C1744" t="s">
        <v>449</v>
      </c>
      <c r="D1744" t="s">
        <v>9040</v>
      </c>
      <c r="E1744" t="s">
        <v>9041</v>
      </c>
      <c r="F1744" t="s">
        <v>9042</v>
      </c>
      <c r="G1744" s="4">
        <v>45327</v>
      </c>
      <c r="H1744" s="4">
        <v>45353</v>
      </c>
      <c r="I1744" s="4">
        <v>45355</v>
      </c>
      <c r="J1744">
        <f t="shared" si="135"/>
        <v>2</v>
      </c>
      <c r="K1744" t="str">
        <f t="array" ref="K1744">_xlfn.IFS(J1744=1,"Day Use",J1744&lt;=3,"Short Stay",J1744&lt;=7,"Extended Stay",J1744&gt;=8,"Long Stay")</f>
        <v>Short Stay</v>
      </c>
      <c r="L1744" t="s">
        <v>141</v>
      </c>
      <c r="M1744" s="10" t="str">
        <f t="shared" si="136"/>
        <v>Standard</v>
      </c>
      <c r="N1744" t="s">
        <v>57</v>
      </c>
      <c r="O1744" t="s">
        <v>27</v>
      </c>
      <c r="P1744">
        <f>IFERROR(VLOOKUP(TRIM(M1744),Room!D:H,5,FALSE),5000)</f>
        <v>3200</v>
      </c>
      <c r="Q1744">
        <f t="shared" si="137"/>
        <v>6400</v>
      </c>
      <c r="R1744" s="11" t="str">
        <f t="shared" si="138"/>
        <v>Other</v>
      </c>
      <c r="S1744" s="11">
        <f t="shared" si="139"/>
        <v>2</v>
      </c>
    </row>
    <row r="1745" spans="1:19">
      <c r="A1745" t="s">
        <v>9043</v>
      </c>
      <c r="B1745" t="s">
        <v>9044</v>
      </c>
      <c r="C1745" t="s">
        <v>8266</v>
      </c>
      <c r="D1745" t="s">
        <v>9045</v>
      </c>
      <c r="E1745" t="s">
        <v>9046</v>
      </c>
      <c r="F1745" t="s">
        <v>9047</v>
      </c>
      <c r="G1745" s="4">
        <v>45379</v>
      </c>
      <c r="H1745" s="4">
        <v>45388</v>
      </c>
      <c r="I1745" s="4">
        <v>45398</v>
      </c>
      <c r="J1745">
        <f t="shared" si="135"/>
        <v>10</v>
      </c>
      <c r="K1745" t="str">
        <f t="array" ref="K1745">_xlfn.IFS(J1745=1,"Day Use",J1745&lt;=3,"Short Stay",J1745&lt;=7,"Extended Stay",J1745&gt;=8,"Long Stay")</f>
        <v>Long Stay</v>
      </c>
      <c r="L1745" t="s">
        <v>196</v>
      </c>
      <c r="M1745" s="10" t="str">
        <f t="shared" si="136"/>
        <v>Premium</v>
      </c>
      <c r="N1745" t="s">
        <v>57</v>
      </c>
      <c r="O1745" t="s">
        <v>71</v>
      </c>
      <c r="P1745">
        <f>IFERROR(VLOOKUP(TRIM(M1745),Room!D:H,5,FALSE),5000)</f>
        <v>9500</v>
      </c>
      <c r="Q1745">
        <f t="shared" si="137"/>
        <v>95000</v>
      </c>
      <c r="R1745" s="11" t="str">
        <f t="shared" si="138"/>
        <v>Conference</v>
      </c>
      <c r="S1745" s="11">
        <f t="shared" si="139"/>
        <v>4</v>
      </c>
    </row>
    <row r="1746" spans="1:19">
      <c r="A1746" t="s">
        <v>9048</v>
      </c>
      <c r="B1746" t="s">
        <v>9049</v>
      </c>
      <c r="C1746" t="s">
        <v>241</v>
      </c>
      <c r="D1746" t="s">
        <v>9050</v>
      </c>
      <c r="E1746" t="s">
        <v>9051</v>
      </c>
      <c r="F1746" t="s">
        <v>9052</v>
      </c>
      <c r="G1746" s="4">
        <v>45709</v>
      </c>
      <c r="H1746" s="4">
        <v>45711</v>
      </c>
      <c r="I1746" s="4">
        <v>45712</v>
      </c>
      <c r="J1746">
        <f t="shared" si="135"/>
        <v>1</v>
      </c>
      <c r="K1746" t="str">
        <f t="array" ref="K1746">_xlfn.IFS(J1746=1,"Day Use",J1746&lt;=3,"Short Stay",J1746&lt;=7,"Extended Stay",J1746&gt;=8,"Long Stay")</f>
        <v>Day Use</v>
      </c>
      <c r="L1746" t="s">
        <v>34</v>
      </c>
      <c r="M1746" s="10" t="str">
        <f t="shared" si="136"/>
        <v>Standard</v>
      </c>
      <c r="N1746" t="s">
        <v>26</v>
      </c>
      <c r="O1746" t="s">
        <v>71</v>
      </c>
      <c r="P1746">
        <f>IFERROR(VLOOKUP(TRIM(M1746),Room!D:H,5,FALSE),5000)</f>
        <v>3200</v>
      </c>
      <c r="Q1746">
        <f t="shared" si="137"/>
        <v>3200</v>
      </c>
      <c r="R1746" s="11" t="str">
        <f t="shared" si="138"/>
        <v>Other</v>
      </c>
      <c r="S1746" s="11">
        <f t="shared" si="139"/>
        <v>1</v>
      </c>
    </row>
    <row r="1747" spans="1:19">
      <c r="A1747" t="s">
        <v>9053</v>
      </c>
      <c r="B1747" t="s">
        <v>9054</v>
      </c>
      <c r="C1747" t="s">
        <v>899</v>
      </c>
      <c r="D1747" t="s">
        <v>9055</v>
      </c>
      <c r="E1747" t="s">
        <v>9056</v>
      </c>
      <c r="F1747" t="s">
        <v>9057</v>
      </c>
      <c r="G1747" s="4">
        <v>45684</v>
      </c>
      <c r="H1747" s="4">
        <v>45920</v>
      </c>
      <c r="I1747" s="4">
        <v>45930</v>
      </c>
      <c r="J1747">
        <f t="shared" si="135"/>
        <v>10</v>
      </c>
      <c r="K1747" t="str">
        <f t="array" ref="K1747">_xlfn.IFS(J1747=1,"Day Use",J1747&lt;=3,"Short Stay",J1747&lt;=7,"Extended Stay",J1747&gt;=8,"Long Stay")</f>
        <v>Long Stay</v>
      </c>
      <c r="L1747" t="s">
        <v>56</v>
      </c>
      <c r="M1747" s="10" t="str">
        <f t="shared" si="136"/>
        <v>Premium</v>
      </c>
      <c r="N1747" t="s">
        <v>26</v>
      </c>
      <c r="O1747" t="s">
        <v>58</v>
      </c>
      <c r="P1747">
        <f>IFERROR(VLOOKUP(TRIM(M1747),Room!D:H,5,FALSE),5000)</f>
        <v>9500</v>
      </c>
      <c r="Q1747">
        <f t="shared" si="137"/>
        <v>95000</v>
      </c>
      <c r="R1747" s="11" t="str">
        <f t="shared" si="138"/>
        <v>Conference</v>
      </c>
      <c r="S1747" s="11">
        <f t="shared" si="139"/>
        <v>4</v>
      </c>
    </row>
    <row r="1748" spans="1:19">
      <c r="A1748" t="s">
        <v>9058</v>
      </c>
      <c r="B1748" t="s">
        <v>9059</v>
      </c>
      <c r="C1748" t="s">
        <v>558</v>
      </c>
      <c r="D1748" t="s">
        <v>9060</v>
      </c>
      <c r="E1748" t="s">
        <v>9061</v>
      </c>
      <c r="F1748" t="s">
        <v>9062</v>
      </c>
      <c r="G1748" s="4">
        <v>45397</v>
      </c>
      <c r="H1748" s="4">
        <v>45656</v>
      </c>
      <c r="I1748" s="4">
        <v>45668</v>
      </c>
      <c r="J1748">
        <f t="shared" si="135"/>
        <v>12</v>
      </c>
      <c r="K1748" t="str">
        <f t="array" ref="K1748">_xlfn.IFS(J1748=1,"Day Use",J1748&lt;=3,"Short Stay",J1748&lt;=7,"Extended Stay",J1748&gt;=8,"Long Stay")</f>
        <v>Long Stay</v>
      </c>
      <c r="L1748" t="s">
        <v>84</v>
      </c>
      <c r="M1748" s="10" t="str">
        <f t="shared" si="136"/>
        <v>Suite</v>
      </c>
      <c r="N1748" t="s">
        <v>57</v>
      </c>
      <c r="O1748" t="s">
        <v>27</v>
      </c>
      <c r="P1748">
        <f>IFERROR(VLOOKUP(TRIM(M1748),Room!D:H,5,FALSE),5000)</f>
        <v>12500</v>
      </c>
      <c r="Q1748">
        <f t="shared" si="137"/>
        <v>150000</v>
      </c>
      <c r="R1748" s="11" t="str">
        <f t="shared" si="138"/>
        <v>Business</v>
      </c>
      <c r="S1748" s="11">
        <f t="shared" si="139"/>
        <v>5</v>
      </c>
    </row>
    <row r="1749" spans="1:19">
      <c r="A1749" t="s">
        <v>9063</v>
      </c>
      <c r="B1749" t="s">
        <v>9064</v>
      </c>
      <c r="C1749" t="s">
        <v>1030</v>
      </c>
      <c r="D1749" t="s">
        <v>9065</v>
      </c>
      <c r="E1749" t="s">
        <v>9066</v>
      </c>
      <c r="F1749" t="s">
        <v>9067</v>
      </c>
      <c r="G1749" s="4">
        <v>45661</v>
      </c>
      <c r="H1749" s="4">
        <v>45778</v>
      </c>
      <c r="I1749" s="4">
        <v>45780</v>
      </c>
      <c r="J1749">
        <f t="shared" si="135"/>
        <v>2</v>
      </c>
      <c r="K1749" t="str">
        <f t="array" ref="K1749">_xlfn.IFS(J1749=1,"Day Use",J1749&lt;=3,"Short Stay",J1749&lt;=7,"Extended Stay",J1749&gt;=8,"Long Stay")</f>
        <v>Short Stay</v>
      </c>
      <c r="L1749" t="s">
        <v>91</v>
      </c>
      <c r="M1749" s="10" t="str">
        <f t="shared" si="136"/>
        <v>Standard</v>
      </c>
      <c r="N1749" t="s">
        <v>26</v>
      </c>
      <c r="O1749" t="s">
        <v>42</v>
      </c>
      <c r="P1749">
        <f>IFERROR(VLOOKUP(TRIM(M1749),Room!D:H,5,FALSE),5000)</f>
        <v>3200</v>
      </c>
      <c r="Q1749">
        <f t="shared" si="137"/>
        <v>6400</v>
      </c>
      <c r="R1749" s="11" t="str">
        <f t="shared" si="138"/>
        <v>Other</v>
      </c>
      <c r="S1749" s="11">
        <f t="shared" si="139"/>
        <v>2</v>
      </c>
    </row>
    <row r="1750" spans="1:19">
      <c r="A1750" t="s">
        <v>9068</v>
      </c>
      <c r="B1750" t="s">
        <v>9069</v>
      </c>
      <c r="C1750" t="s">
        <v>7839</v>
      </c>
      <c r="D1750" t="s">
        <v>9070</v>
      </c>
      <c r="E1750" t="s">
        <v>9071</v>
      </c>
      <c r="F1750" t="s">
        <v>9072</v>
      </c>
      <c r="G1750" s="4">
        <v>45444</v>
      </c>
      <c r="H1750" s="4">
        <v>45468</v>
      </c>
      <c r="I1750" s="4">
        <v>45481</v>
      </c>
      <c r="J1750">
        <f t="shared" si="135"/>
        <v>13</v>
      </c>
      <c r="K1750" t="str">
        <f t="array" ref="K1750">_xlfn.IFS(J1750=1,"Day Use",J1750&lt;=3,"Short Stay",J1750&lt;=7,"Extended Stay",J1750&gt;=8,"Long Stay")</f>
        <v>Long Stay</v>
      </c>
      <c r="L1750" t="s">
        <v>56</v>
      </c>
      <c r="M1750" s="10" t="str">
        <f t="shared" si="136"/>
        <v>Suite</v>
      </c>
      <c r="N1750" t="s">
        <v>26</v>
      </c>
      <c r="O1750" t="s">
        <v>27</v>
      </c>
      <c r="P1750">
        <f>IFERROR(VLOOKUP(TRIM(M1750),Room!D:H,5,FALSE),5000)</f>
        <v>12500</v>
      </c>
      <c r="Q1750">
        <f t="shared" si="137"/>
        <v>162500</v>
      </c>
      <c r="R1750" s="11" t="str">
        <f t="shared" si="138"/>
        <v>Business</v>
      </c>
      <c r="S1750" s="11">
        <f t="shared" si="139"/>
        <v>5</v>
      </c>
    </row>
    <row r="1751" spans="1:19">
      <c r="A1751" t="s">
        <v>9073</v>
      </c>
      <c r="B1751" t="s">
        <v>9074</v>
      </c>
      <c r="C1751" t="s">
        <v>415</v>
      </c>
      <c r="D1751" t="s">
        <v>9075</v>
      </c>
      <c r="E1751" t="s">
        <v>9076</v>
      </c>
      <c r="F1751" t="s">
        <v>9077</v>
      </c>
      <c r="G1751" s="4">
        <v>45854</v>
      </c>
      <c r="H1751" s="4">
        <v>45866</v>
      </c>
      <c r="I1751" s="4">
        <v>45868</v>
      </c>
      <c r="J1751">
        <f t="shared" si="135"/>
        <v>2</v>
      </c>
      <c r="K1751" t="str">
        <f t="array" ref="K1751">_xlfn.IFS(J1751=1,"Day Use",J1751&lt;=3,"Short Stay",J1751&lt;=7,"Extended Stay",J1751&gt;=8,"Long Stay")</f>
        <v>Short Stay</v>
      </c>
      <c r="L1751" t="s">
        <v>84</v>
      </c>
      <c r="M1751" s="10" t="str">
        <f t="shared" si="136"/>
        <v>Standard</v>
      </c>
      <c r="N1751" t="s">
        <v>26</v>
      </c>
      <c r="O1751" t="s">
        <v>27</v>
      </c>
      <c r="P1751">
        <f>IFERROR(VLOOKUP(TRIM(M1751),Room!D:H,5,FALSE),5000)</f>
        <v>3200</v>
      </c>
      <c r="Q1751">
        <f t="shared" si="137"/>
        <v>6400</v>
      </c>
      <c r="R1751" s="11" t="str">
        <f t="shared" si="138"/>
        <v>Other</v>
      </c>
      <c r="S1751" s="11">
        <f t="shared" si="139"/>
        <v>2</v>
      </c>
    </row>
    <row r="1752" spans="1:19">
      <c r="A1752" t="s">
        <v>9078</v>
      </c>
      <c r="B1752" t="s">
        <v>9079</v>
      </c>
      <c r="C1752" t="s">
        <v>621</v>
      </c>
      <c r="D1752" t="s">
        <v>9080</v>
      </c>
      <c r="E1752" t="s">
        <v>9081</v>
      </c>
      <c r="F1752" t="s">
        <v>9082</v>
      </c>
      <c r="G1752" s="4">
        <v>45888</v>
      </c>
      <c r="H1752" s="4">
        <v>45896</v>
      </c>
      <c r="I1752" s="4">
        <v>45901</v>
      </c>
      <c r="J1752">
        <f t="shared" si="135"/>
        <v>5</v>
      </c>
      <c r="K1752" t="str">
        <f t="array" ref="K1752">_xlfn.IFS(J1752=1,"Day Use",J1752&lt;=3,"Short Stay",J1752&lt;=7,"Extended Stay",J1752&gt;=8,"Long Stay")</f>
        <v>Extended Stay</v>
      </c>
      <c r="L1752" t="s">
        <v>84</v>
      </c>
      <c r="M1752" s="10" t="str">
        <f t="shared" si="136"/>
        <v>Deluxe</v>
      </c>
      <c r="N1752" t="s">
        <v>26</v>
      </c>
      <c r="O1752" t="s">
        <v>42</v>
      </c>
      <c r="P1752">
        <f>IFERROR(VLOOKUP(TRIM(M1752),Room!D:H,5,FALSE),5000)</f>
        <v>5400</v>
      </c>
      <c r="Q1752">
        <f t="shared" si="137"/>
        <v>27000</v>
      </c>
      <c r="R1752" s="11" t="str">
        <f t="shared" si="138"/>
        <v>Conference</v>
      </c>
      <c r="S1752" s="11">
        <f t="shared" si="139"/>
        <v>3</v>
      </c>
    </row>
    <row r="1753" spans="1:19">
      <c r="A1753" t="s">
        <v>9083</v>
      </c>
      <c r="B1753" t="s">
        <v>9084</v>
      </c>
      <c r="C1753" t="s">
        <v>38</v>
      </c>
      <c r="D1753" t="s">
        <v>9085</v>
      </c>
      <c r="E1753" t="s">
        <v>9086</v>
      </c>
      <c r="F1753" t="s">
        <v>9087</v>
      </c>
      <c r="G1753" s="4">
        <v>45393</v>
      </c>
      <c r="H1753" s="4">
        <v>45578</v>
      </c>
      <c r="I1753" s="4">
        <v>45590</v>
      </c>
      <c r="J1753">
        <f t="shared" si="135"/>
        <v>12</v>
      </c>
      <c r="K1753" t="str">
        <f t="array" ref="K1753">_xlfn.IFS(J1753=1,"Day Use",J1753&lt;=3,"Short Stay",J1753&lt;=7,"Extended Stay",J1753&gt;=8,"Long Stay")</f>
        <v>Long Stay</v>
      </c>
      <c r="L1753" t="s">
        <v>49</v>
      </c>
      <c r="M1753" s="10" t="str">
        <f t="shared" si="136"/>
        <v>Suite</v>
      </c>
      <c r="N1753" t="s">
        <v>26</v>
      </c>
      <c r="O1753" t="s">
        <v>58</v>
      </c>
      <c r="P1753">
        <f>IFERROR(VLOOKUP(TRIM(M1753),Room!D:H,5,FALSE),5000)</f>
        <v>12500</v>
      </c>
      <c r="Q1753">
        <f t="shared" si="137"/>
        <v>150000</v>
      </c>
      <c r="R1753" s="11" t="str">
        <f t="shared" si="138"/>
        <v>Business</v>
      </c>
      <c r="S1753" s="11">
        <f t="shared" si="139"/>
        <v>5</v>
      </c>
    </row>
    <row r="1754" spans="1:19">
      <c r="A1754" t="s">
        <v>9088</v>
      </c>
      <c r="B1754" t="s">
        <v>9089</v>
      </c>
      <c r="C1754" t="s">
        <v>466</v>
      </c>
      <c r="D1754" t="s">
        <v>9090</v>
      </c>
      <c r="E1754" t="s">
        <v>9091</v>
      </c>
      <c r="F1754" t="s">
        <v>9092</v>
      </c>
      <c r="G1754" s="4">
        <v>45710</v>
      </c>
      <c r="H1754" s="4">
        <v>45713</v>
      </c>
      <c r="I1754" s="4">
        <v>45726</v>
      </c>
      <c r="J1754">
        <f t="shared" si="135"/>
        <v>13</v>
      </c>
      <c r="K1754" t="str">
        <f t="array" ref="K1754">_xlfn.IFS(J1754=1,"Day Use",J1754&lt;=3,"Short Stay",J1754&lt;=7,"Extended Stay",J1754&gt;=8,"Long Stay")</f>
        <v>Long Stay</v>
      </c>
      <c r="L1754" t="s">
        <v>84</v>
      </c>
      <c r="M1754" s="10" t="str">
        <f t="shared" si="136"/>
        <v>Suite</v>
      </c>
      <c r="N1754" t="s">
        <v>26</v>
      </c>
      <c r="O1754" t="s">
        <v>35</v>
      </c>
      <c r="P1754">
        <f>IFERROR(VLOOKUP(TRIM(M1754),Room!D:H,5,FALSE),5000)</f>
        <v>12500</v>
      </c>
      <c r="Q1754">
        <f t="shared" si="137"/>
        <v>162500</v>
      </c>
      <c r="R1754" s="11" t="str">
        <f t="shared" si="138"/>
        <v>Business</v>
      </c>
      <c r="S1754" s="11">
        <f t="shared" si="139"/>
        <v>5</v>
      </c>
    </row>
    <row r="1755" spans="1:19">
      <c r="A1755" t="s">
        <v>9093</v>
      </c>
      <c r="B1755" t="s">
        <v>9094</v>
      </c>
      <c r="C1755" t="s">
        <v>130</v>
      </c>
      <c r="D1755" t="s">
        <v>9095</v>
      </c>
      <c r="E1755" t="s">
        <v>9096</v>
      </c>
      <c r="F1755" t="s">
        <v>9097</v>
      </c>
      <c r="G1755" s="4">
        <v>45743</v>
      </c>
      <c r="H1755" s="4">
        <v>45764</v>
      </c>
      <c r="I1755" s="4">
        <v>45776</v>
      </c>
      <c r="J1755">
        <f t="shared" si="135"/>
        <v>12</v>
      </c>
      <c r="K1755" t="str">
        <f t="array" ref="K1755">_xlfn.IFS(J1755=1,"Day Use",J1755&lt;=3,"Short Stay",J1755&lt;=7,"Extended Stay",J1755&gt;=8,"Long Stay")</f>
        <v>Long Stay</v>
      </c>
      <c r="L1755" t="s">
        <v>25</v>
      </c>
      <c r="M1755" s="10" t="str">
        <f t="shared" si="136"/>
        <v>Suite</v>
      </c>
      <c r="N1755" t="s">
        <v>57</v>
      </c>
      <c r="O1755" t="s">
        <v>35</v>
      </c>
      <c r="P1755">
        <f>IFERROR(VLOOKUP(TRIM(M1755),Room!D:H,5,FALSE),5000)</f>
        <v>12500</v>
      </c>
      <c r="Q1755">
        <f t="shared" si="137"/>
        <v>150000</v>
      </c>
      <c r="R1755" s="11" t="str">
        <f t="shared" si="138"/>
        <v>Business</v>
      </c>
      <c r="S1755" s="11">
        <f t="shared" si="139"/>
        <v>5</v>
      </c>
    </row>
    <row r="1756" spans="1:19">
      <c r="A1756" t="s">
        <v>9098</v>
      </c>
      <c r="B1756" t="s">
        <v>9099</v>
      </c>
      <c r="C1756" t="s">
        <v>780</v>
      </c>
      <c r="D1756" t="s">
        <v>9100</v>
      </c>
      <c r="E1756" t="s">
        <v>9101</v>
      </c>
      <c r="F1756" t="s">
        <v>9102</v>
      </c>
      <c r="G1756" s="4">
        <v>45463</v>
      </c>
      <c r="H1756" s="4">
        <v>45483</v>
      </c>
      <c r="I1756" s="4">
        <v>45489</v>
      </c>
      <c r="J1756">
        <f t="shared" si="135"/>
        <v>6</v>
      </c>
      <c r="K1756" t="str">
        <f t="array" ref="K1756">_xlfn.IFS(J1756=1,"Day Use",J1756&lt;=3,"Short Stay",J1756&lt;=7,"Extended Stay",J1756&gt;=8,"Long Stay")</f>
        <v>Extended Stay</v>
      </c>
      <c r="L1756" t="s">
        <v>56</v>
      </c>
      <c r="M1756" s="10" t="str">
        <f t="shared" si="136"/>
        <v>Deluxe</v>
      </c>
      <c r="N1756" t="s">
        <v>134</v>
      </c>
      <c r="O1756" t="s">
        <v>42</v>
      </c>
      <c r="P1756">
        <f>IFERROR(VLOOKUP(TRIM(M1756),Room!D:H,5,FALSE),5000)</f>
        <v>5400</v>
      </c>
      <c r="Q1756">
        <f t="shared" si="137"/>
        <v>32400</v>
      </c>
      <c r="R1756" s="11" t="str">
        <f t="shared" si="138"/>
        <v>Conference</v>
      </c>
      <c r="S1756" s="11">
        <f t="shared" si="139"/>
        <v>3</v>
      </c>
    </row>
    <row r="1757" spans="1:19">
      <c r="A1757" t="s">
        <v>9103</v>
      </c>
      <c r="B1757" t="s">
        <v>9104</v>
      </c>
      <c r="C1757" t="s">
        <v>847</v>
      </c>
      <c r="D1757" t="s">
        <v>9105</v>
      </c>
      <c r="E1757" t="s">
        <v>9106</v>
      </c>
      <c r="F1757" t="s">
        <v>9107</v>
      </c>
      <c r="G1757" s="4">
        <v>45647</v>
      </c>
      <c r="H1757" s="4">
        <v>45670</v>
      </c>
      <c r="I1757" s="4">
        <v>45673</v>
      </c>
      <c r="J1757">
        <f t="shared" si="135"/>
        <v>3</v>
      </c>
      <c r="K1757" t="str">
        <f t="array" ref="K1757">_xlfn.IFS(J1757=1,"Day Use",J1757&lt;=3,"Short Stay",J1757&lt;=7,"Extended Stay",J1757&gt;=8,"Long Stay")</f>
        <v>Short Stay</v>
      </c>
      <c r="L1757" t="s">
        <v>91</v>
      </c>
      <c r="M1757" s="10" t="str">
        <f t="shared" si="136"/>
        <v>Standard</v>
      </c>
      <c r="N1757" t="s">
        <v>26</v>
      </c>
      <c r="O1757" t="s">
        <v>35</v>
      </c>
      <c r="P1757">
        <f>IFERROR(VLOOKUP(TRIM(M1757),Room!D:H,5,FALSE),5000)</f>
        <v>3200</v>
      </c>
      <c r="Q1757">
        <f t="shared" si="137"/>
        <v>9600</v>
      </c>
      <c r="R1757" s="11" t="str">
        <f t="shared" si="138"/>
        <v>Other</v>
      </c>
      <c r="S1757" s="11">
        <f t="shared" si="139"/>
        <v>2</v>
      </c>
    </row>
    <row r="1758" spans="1:19">
      <c r="A1758" t="s">
        <v>9108</v>
      </c>
      <c r="B1758" t="s">
        <v>9109</v>
      </c>
      <c r="C1758" t="s">
        <v>2451</v>
      </c>
      <c r="D1758" t="s">
        <v>9110</v>
      </c>
      <c r="E1758" t="s">
        <v>9111</v>
      </c>
      <c r="F1758" t="s">
        <v>9112</v>
      </c>
      <c r="G1758" s="4">
        <v>45306</v>
      </c>
      <c r="H1758" s="4">
        <v>45799</v>
      </c>
      <c r="I1758" s="4">
        <v>45807</v>
      </c>
      <c r="J1758">
        <f t="shared" si="135"/>
        <v>8</v>
      </c>
      <c r="K1758" t="str">
        <f t="array" ref="K1758">_xlfn.IFS(J1758=1,"Day Use",J1758&lt;=3,"Short Stay",J1758&lt;=7,"Extended Stay",J1758&gt;=8,"Long Stay")</f>
        <v>Long Stay</v>
      </c>
      <c r="L1758" t="s">
        <v>25</v>
      </c>
      <c r="M1758" s="10" t="str">
        <f t="shared" si="136"/>
        <v>Premium</v>
      </c>
      <c r="N1758" t="s">
        <v>57</v>
      </c>
      <c r="O1758" t="s">
        <v>42</v>
      </c>
      <c r="P1758">
        <f>IFERROR(VLOOKUP(TRIM(M1758),Room!D:H,5,FALSE),5000)</f>
        <v>9500</v>
      </c>
      <c r="Q1758">
        <f t="shared" si="137"/>
        <v>76000</v>
      </c>
      <c r="R1758" s="11" t="str">
        <f t="shared" si="138"/>
        <v>Conference</v>
      </c>
      <c r="S1758" s="11">
        <f t="shared" si="139"/>
        <v>4</v>
      </c>
    </row>
    <row r="1759" spans="1:19">
      <c r="A1759" t="s">
        <v>9113</v>
      </c>
      <c r="B1759" t="s">
        <v>9114</v>
      </c>
      <c r="C1759" t="s">
        <v>443</v>
      </c>
      <c r="D1759" t="s">
        <v>9115</v>
      </c>
      <c r="E1759" t="s">
        <v>9116</v>
      </c>
      <c r="F1759" t="s">
        <v>9117</v>
      </c>
      <c r="G1759" s="4">
        <v>45392</v>
      </c>
      <c r="H1759" s="4">
        <v>45419</v>
      </c>
      <c r="I1759" s="4">
        <v>45433</v>
      </c>
      <c r="J1759">
        <f t="shared" si="135"/>
        <v>14</v>
      </c>
      <c r="K1759" t="str">
        <f t="array" ref="K1759">_xlfn.IFS(J1759=1,"Day Use",J1759&lt;=3,"Short Stay",J1759&lt;=7,"Extended Stay",J1759&gt;=8,"Long Stay")</f>
        <v>Long Stay</v>
      </c>
      <c r="L1759" t="s">
        <v>84</v>
      </c>
      <c r="M1759" s="10" t="str">
        <f t="shared" si="136"/>
        <v>Suite</v>
      </c>
      <c r="N1759" t="s">
        <v>26</v>
      </c>
      <c r="O1759" t="s">
        <v>27</v>
      </c>
      <c r="P1759">
        <f>IFERROR(VLOOKUP(TRIM(M1759),Room!D:H,5,FALSE),5000)</f>
        <v>12500</v>
      </c>
      <c r="Q1759">
        <f t="shared" si="137"/>
        <v>175000</v>
      </c>
      <c r="R1759" s="11" t="str">
        <f t="shared" si="138"/>
        <v>Business</v>
      </c>
      <c r="S1759" s="11">
        <f t="shared" si="139"/>
        <v>5</v>
      </c>
    </row>
    <row r="1760" spans="1:19">
      <c r="A1760" t="s">
        <v>9118</v>
      </c>
      <c r="B1760" t="s">
        <v>9119</v>
      </c>
      <c r="C1760" t="s">
        <v>61</v>
      </c>
      <c r="D1760" t="s">
        <v>9120</v>
      </c>
      <c r="E1760" t="s">
        <v>9121</v>
      </c>
      <c r="F1760" t="s">
        <v>9122</v>
      </c>
      <c r="G1760" s="4">
        <v>45388</v>
      </c>
      <c r="H1760" s="4">
        <v>45415</v>
      </c>
      <c r="I1760" s="4">
        <v>45421</v>
      </c>
      <c r="J1760">
        <f t="shared" si="135"/>
        <v>6</v>
      </c>
      <c r="K1760" t="str">
        <f t="array" ref="K1760">_xlfn.IFS(J1760=1,"Day Use",J1760&lt;=3,"Short Stay",J1760&lt;=7,"Extended Stay",J1760&gt;=8,"Long Stay")</f>
        <v>Extended Stay</v>
      </c>
      <c r="L1760" t="s">
        <v>84</v>
      </c>
      <c r="M1760" s="10" t="str">
        <f t="shared" si="136"/>
        <v>Deluxe</v>
      </c>
      <c r="N1760" t="s">
        <v>26</v>
      </c>
      <c r="O1760" t="s">
        <v>35</v>
      </c>
      <c r="P1760">
        <f>IFERROR(VLOOKUP(TRIM(M1760),Room!D:H,5,FALSE),5000)</f>
        <v>5400</v>
      </c>
      <c r="Q1760">
        <f t="shared" si="137"/>
        <v>32400</v>
      </c>
      <c r="R1760" s="11" t="str">
        <f t="shared" si="138"/>
        <v>Conference</v>
      </c>
      <c r="S1760" s="11">
        <f t="shared" si="139"/>
        <v>3</v>
      </c>
    </row>
    <row r="1761" spans="1:19">
      <c r="A1761" t="s">
        <v>9123</v>
      </c>
      <c r="B1761" t="s">
        <v>9124</v>
      </c>
      <c r="C1761" t="s">
        <v>774</v>
      </c>
      <c r="D1761" t="s">
        <v>9125</v>
      </c>
      <c r="E1761" t="s">
        <v>9126</v>
      </c>
      <c r="F1761" t="s">
        <v>9127</v>
      </c>
      <c r="G1761" s="4">
        <v>45256</v>
      </c>
      <c r="H1761" s="4">
        <v>45375</v>
      </c>
      <c r="I1761" s="4">
        <v>45378</v>
      </c>
      <c r="J1761">
        <f t="shared" si="135"/>
        <v>3</v>
      </c>
      <c r="K1761" t="str">
        <f t="array" ref="K1761">_xlfn.IFS(J1761=1,"Day Use",J1761&lt;=3,"Short Stay",J1761&lt;=7,"Extended Stay",J1761&gt;=8,"Long Stay")</f>
        <v>Short Stay</v>
      </c>
      <c r="L1761" t="s">
        <v>56</v>
      </c>
      <c r="M1761" s="10" t="str">
        <f t="shared" si="136"/>
        <v>Standard</v>
      </c>
      <c r="N1761" t="s">
        <v>148</v>
      </c>
      <c r="O1761" t="s">
        <v>35</v>
      </c>
      <c r="P1761">
        <f>IFERROR(VLOOKUP(TRIM(M1761),Room!D:H,5,FALSE),5000)</f>
        <v>3200</v>
      </c>
      <c r="Q1761">
        <f t="shared" si="137"/>
        <v>9600</v>
      </c>
      <c r="R1761" s="11" t="str">
        <f t="shared" si="138"/>
        <v>Other</v>
      </c>
      <c r="S1761" s="11">
        <f t="shared" si="139"/>
        <v>2</v>
      </c>
    </row>
    <row r="1762" spans="1:19">
      <c r="A1762" t="s">
        <v>9128</v>
      </c>
      <c r="B1762" t="s">
        <v>9129</v>
      </c>
      <c r="C1762" t="s">
        <v>910</v>
      </c>
      <c r="D1762" t="s">
        <v>9130</v>
      </c>
      <c r="E1762" t="s">
        <v>9131</v>
      </c>
      <c r="F1762" t="s">
        <v>9132</v>
      </c>
      <c r="G1762" s="4">
        <v>45573</v>
      </c>
      <c r="H1762" s="4">
        <v>46021</v>
      </c>
      <c r="I1762" s="4">
        <v>46022</v>
      </c>
      <c r="J1762">
        <f t="shared" si="135"/>
        <v>1</v>
      </c>
      <c r="K1762" t="str">
        <f t="array" ref="K1762">_xlfn.IFS(J1762=1,"Day Use",J1762&lt;=3,"Short Stay",J1762&lt;=7,"Extended Stay",J1762&gt;=8,"Long Stay")</f>
        <v>Day Use</v>
      </c>
      <c r="L1762" t="s">
        <v>91</v>
      </c>
      <c r="M1762" s="10" t="str">
        <f t="shared" si="136"/>
        <v>Standard</v>
      </c>
      <c r="N1762" t="s">
        <v>26</v>
      </c>
      <c r="O1762" t="s">
        <v>71</v>
      </c>
      <c r="P1762">
        <f>IFERROR(VLOOKUP(TRIM(M1762),Room!D:H,5,FALSE),5000)</f>
        <v>3200</v>
      </c>
      <c r="Q1762">
        <f t="shared" si="137"/>
        <v>3200</v>
      </c>
      <c r="R1762" s="11" t="str">
        <f t="shared" si="138"/>
        <v>Other</v>
      </c>
      <c r="S1762" s="11">
        <f t="shared" si="139"/>
        <v>1</v>
      </c>
    </row>
    <row r="1763" spans="1:19">
      <c r="A1763" t="s">
        <v>9133</v>
      </c>
      <c r="B1763" t="s">
        <v>9134</v>
      </c>
      <c r="C1763" t="s">
        <v>4740</v>
      </c>
      <c r="D1763" t="s">
        <v>9135</v>
      </c>
      <c r="E1763" t="s">
        <v>9136</v>
      </c>
      <c r="F1763" t="s">
        <v>9137</v>
      </c>
      <c r="G1763" s="4">
        <v>45727</v>
      </c>
      <c r="H1763" s="4">
        <v>45751</v>
      </c>
      <c r="I1763" s="4">
        <v>45764</v>
      </c>
      <c r="J1763">
        <f t="shared" si="135"/>
        <v>13</v>
      </c>
      <c r="K1763" t="str">
        <f t="array" ref="K1763">_xlfn.IFS(J1763=1,"Day Use",J1763&lt;=3,"Short Stay",J1763&lt;=7,"Extended Stay",J1763&gt;=8,"Long Stay")</f>
        <v>Long Stay</v>
      </c>
      <c r="L1763" t="s">
        <v>49</v>
      </c>
      <c r="M1763" s="10" t="str">
        <f t="shared" si="136"/>
        <v>Suite</v>
      </c>
      <c r="N1763" t="s">
        <v>26</v>
      </c>
      <c r="O1763" t="s">
        <v>58</v>
      </c>
      <c r="P1763">
        <f>IFERROR(VLOOKUP(TRIM(M1763),Room!D:H,5,FALSE),5000)</f>
        <v>12500</v>
      </c>
      <c r="Q1763">
        <f t="shared" si="137"/>
        <v>162500</v>
      </c>
      <c r="R1763" s="11" t="str">
        <f t="shared" si="138"/>
        <v>Business</v>
      </c>
      <c r="S1763" s="11">
        <f t="shared" si="139"/>
        <v>5</v>
      </c>
    </row>
    <row r="1764" spans="1:19">
      <c r="A1764" t="s">
        <v>9138</v>
      </c>
      <c r="B1764" t="s">
        <v>9139</v>
      </c>
      <c r="C1764" t="s">
        <v>124</v>
      </c>
      <c r="D1764" t="s">
        <v>9140</v>
      </c>
      <c r="E1764" t="s">
        <v>9141</v>
      </c>
      <c r="F1764" t="s">
        <v>9142</v>
      </c>
      <c r="G1764" s="4">
        <v>45537</v>
      </c>
      <c r="H1764" s="4">
        <v>45761</v>
      </c>
      <c r="I1764" s="4">
        <v>45763</v>
      </c>
      <c r="J1764">
        <f t="shared" si="135"/>
        <v>2</v>
      </c>
      <c r="K1764" t="str">
        <f t="array" ref="K1764">_xlfn.IFS(J1764=1,"Day Use",J1764&lt;=3,"Short Stay",J1764&lt;=7,"Extended Stay",J1764&gt;=8,"Long Stay")</f>
        <v>Short Stay</v>
      </c>
      <c r="L1764" t="s">
        <v>56</v>
      </c>
      <c r="M1764" s="10" t="str">
        <f t="shared" si="136"/>
        <v>Standard</v>
      </c>
      <c r="N1764" t="s">
        <v>26</v>
      </c>
      <c r="O1764" t="s">
        <v>42</v>
      </c>
      <c r="P1764">
        <f>IFERROR(VLOOKUP(TRIM(M1764),Room!D:H,5,FALSE),5000)</f>
        <v>3200</v>
      </c>
      <c r="Q1764">
        <f t="shared" si="137"/>
        <v>6400</v>
      </c>
      <c r="R1764" s="11" t="str">
        <f t="shared" si="138"/>
        <v>Other</v>
      </c>
      <c r="S1764" s="11">
        <f t="shared" si="139"/>
        <v>2</v>
      </c>
    </row>
    <row r="1765" spans="1:19">
      <c r="A1765" t="s">
        <v>9143</v>
      </c>
      <c r="B1765" t="s">
        <v>9144</v>
      </c>
      <c r="C1765" t="s">
        <v>729</v>
      </c>
      <c r="D1765" t="s">
        <v>9145</v>
      </c>
      <c r="E1765" t="s">
        <v>9146</v>
      </c>
      <c r="F1765" t="s">
        <v>9147</v>
      </c>
      <c r="G1765" s="4">
        <v>45676</v>
      </c>
      <c r="H1765" s="4">
        <v>45678</v>
      </c>
      <c r="I1765" s="4">
        <v>45679</v>
      </c>
      <c r="J1765">
        <f t="shared" si="135"/>
        <v>1</v>
      </c>
      <c r="K1765" t="str">
        <f t="array" ref="K1765">_xlfn.IFS(J1765=1,"Day Use",J1765&lt;=3,"Short Stay",J1765&lt;=7,"Extended Stay",J1765&gt;=8,"Long Stay")</f>
        <v>Day Use</v>
      </c>
      <c r="L1765" t="s">
        <v>84</v>
      </c>
      <c r="M1765" s="10" t="str">
        <f t="shared" si="136"/>
        <v>Standard</v>
      </c>
      <c r="N1765" t="s">
        <v>26</v>
      </c>
      <c r="O1765" t="s">
        <v>58</v>
      </c>
      <c r="P1765">
        <f>IFERROR(VLOOKUP(TRIM(M1765),Room!D:H,5,FALSE),5000)</f>
        <v>3200</v>
      </c>
      <c r="Q1765">
        <f t="shared" si="137"/>
        <v>3200</v>
      </c>
      <c r="R1765" s="11" t="str">
        <f t="shared" si="138"/>
        <v>Other</v>
      </c>
      <c r="S1765" s="11">
        <f t="shared" si="139"/>
        <v>1</v>
      </c>
    </row>
    <row r="1766" spans="1:19">
      <c r="A1766" t="s">
        <v>9148</v>
      </c>
      <c r="B1766" t="s">
        <v>9149</v>
      </c>
      <c r="C1766" t="s">
        <v>697</v>
      </c>
      <c r="D1766" t="s">
        <v>9150</v>
      </c>
      <c r="E1766" t="s">
        <v>9151</v>
      </c>
      <c r="F1766" t="s">
        <v>9152</v>
      </c>
      <c r="G1766" s="4">
        <v>45429</v>
      </c>
      <c r="H1766" s="4">
        <v>45455</v>
      </c>
      <c r="I1766" s="4">
        <v>45469</v>
      </c>
      <c r="J1766">
        <f t="shared" si="135"/>
        <v>14</v>
      </c>
      <c r="K1766" t="str">
        <f t="array" ref="K1766">_xlfn.IFS(J1766=1,"Day Use",J1766&lt;=3,"Short Stay",J1766&lt;=7,"Extended Stay",J1766&gt;=8,"Long Stay")</f>
        <v>Long Stay</v>
      </c>
      <c r="L1766" t="s">
        <v>84</v>
      </c>
      <c r="M1766" s="10" t="str">
        <f t="shared" si="136"/>
        <v>Suite</v>
      </c>
      <c r="N1766" t="s">
        <v>57</v>
      </c>
      <c r="O1766" t="s">
        <v>58</v>
      </c>
      <c r="P1766">
        <f>IFERROR(VLOOKUP(TRIM(M1766),Room!D:H,5,FALSE),5000)</f>
        <v>12500</v>
      </c>
      <c r="Q1766">
        <f t="shared" si="137"/>
        <v>175000</v>
      </c>
      <c r="R1766" s="11" t="str">
        <f t="shared" si="138"/>
        <v>Business</v>
      </c>
      <c r="S1766" s="11">
        <f t="shared" si="139"/>
        <v>5</v>
      </c>
    </row>
    <row r="1767" spans="1:19">
      <c r="A1767" t="s">
        <v>9153</v>
      </c>
      <c r="B1767" t="s">
        <v>9154</v>
      </c>
      <c r="C1767" t="s">
        <v>363</v>
      </c>
      <c r="D1767" t="s">
        <v>9155</v>
      </c>
      <c r="E1767" t="s">
        <v>9156</v>
      </c>
      <c r="F1767" t="s">
        <v>9157</v>
      </c>
      <c r="G1767" s="4">
        <v>45377</v>
      </c>
      <c r="H1767" s="4">
        <v>45378</v>
      </c>
      <c r="I1767" s="4">
        <v>45387</v>
      </c>
      <c r="J1767">
        <f t="shared" si="135"/>
        <v>9</v>
      </c>
      <c r="K1767" t="str">
        <f t="array" ref="K1767">_xlfn.IFS(J1767=1,"Day Use",J1767&lt;=3,"Short Stay",J1767&lt;=7,"Extended Stay",J1767&gt;=8,"Long Stay")</f>
        <v>Long Stay</v>
      </c>
      <c r="L1767" t="s">
        <v>91</v>
      </c>
      <c r="M1767" s="10" t="str">
        <f t="shared" si="136"/>
        <v>Premium</v>
      </c>
      <c r="N1767" t="s">
        <v>26</v>
      </c>
      <c r="O1767" t="s">
        <v>42</v>
      </c>
      <c r="P1767">
        <f>IFERROR(VLOOKUP(TRIM(M1767),Room!D:H,5,FALSE),5000)</f>
        <v>9500</v>
      </c>
      <c r="Q1767">
        <f t="shared" si="137"/>
        <v>85500</v>
      </c>
      <c r="R1767" s="11" t="str">
        <f t="shared" si="138"/>
        <v>Conference</v>
      </c>
      <c r="S1767" s="11">
        <f t="shared" si="139"/>
        <v>4</v>
      </c>
    </row>
    <row r="1768" spans="1:19">
      <c r="A1768" t="s">
        <v>9158</v>
      </c>
      <c r="B1768" t="s">
        <v>9159</v>
      </c>
      <c r="C1768" t="s">
        <v>1539</v>
      </c>
      <c r="D1768" t="s">
        <v>9160</v>
      </c>
      <c r="E1768" t="s">
        <v>9161</v>
      </c>
      <c r="F1768" t="s">
        <v>9162</v>
      </c>
      <c r="G1768" s="4">
        <v>45406</v>
      </c>
      <c r="H1768" s="4">
        <v>45457</v>
      </c>
      <c r="I1768" s="4">
        <v>45458</v>
      </c>
      <c r="J1768">
        <f t="shared" si="135"/>
        <v>1</v>
      </c>
      <c r="K1768" t="str">
        <f t="array" ref="K1768">_xlfn.IFS(J1768=1,"Day Use",J1768&lt;=3,"Short Stay",J1768&lt;=7,"Extended Stay",J1768&gt;=8,"Long Stay")</f>
        <v>Day Use</v>
      </c>
      <c r="L1768" t="s">
        <v>56</v>
      </c>
      <c r="M1768" s="10" t="str">
        <f t="shared" si="136"/>
        <v>Standard</v>
      </c>
      <c r="N1768" t="s">
        <v>134</v>
      </c>
      <c r="O1768" t="s">
        <v>42</v>
      </c>
      <c r="P1768">
        <f>IFERROR(VLOOKUP(TRIM(M1768),Room!D:H,5,FALSE),5000)</f>
        <v>3200</v>
      </c>
      <c r="Q1768">
        <f t="shared" si="137"/>
        <v>3200</v>
      </c>
      <c r="R1768" s="11" t="str">
        <f t="shared" si="138"/>
        <v>Other</v>
      </c>
      <c r="S1768" s="11">
        <f t="shared" si="139"/>
        <v>1</v>
      </c>
    </row>
    <row r="1769" spans="1:19">
      <c r="A1769" t="s">
        <v>9163</v>
      </c>
      <c r="B1769" t="s">
        <v>9164</v>
      </c>
      <c r="C1769" t="s">
        <v>404</v>
      </c>
      <c r="D1769" t="s">
        <v>9165</v>
      </c>
      <c r="E1769" t="s">
        <v>9166</v>
      </c>
      <c r="F1769" t="s">
        <v>9167</v>
      </c>
      <c r="G1769" s="4">
        <v>45427</v>
      </c>
      <c r="H1769" s="4">
        <v>45431</v>
      </c>
      <c r="I1769" s="4">
        <v>45436</v>
      </c>
      <c r="J1769">
        <f t="shared" si="135"/>
        <v>5</v>
      </c>
      <c r="K1769" t="str">
        <f t="array" ref="K1769">_xlfn.IFS(J1769=1,"Day Use",J1769&lt;=3,"Short Stay",J1769&lt;=7,"Extended Stay",J1769&gt;=8,"Long Stay")</f>
        <v>Extended Stay</v>
      </c>
      <c r="L1769" t="s">
        <v>91</v>
      </c>
      <c r="M1769" s="10" t="str">
        <f t="shared" si="136"/>
        <v>Deluxe</v>
      </c>
      <c r="N1769" t="s">
        <v>26</v>
      </c>
      <c r="O1769" t="s">
        <v>58</v>
      </c>
      <c r="P1769">
        <f>IFERROR(VLOOKUP(TRIM(M1769),Room!D:H,5,FALSE),5000)</f>
        <v>5400</v>
      </c>
      <c r="Q1769">
        <f t="shared" si="137"/>
        <v>27000</v>
      </c>
      <c r="R1769" s="11" t="str">
        <f t="shared" si="138"/>
        <v>Conference</v>
      </c>
      <c r="S1769" s="11">
        <f t="shared" si="139"/>
        <v>3</v>
      </c>
    </row>
    <row r="1770" spans="1:19">
      <c r="A1770" t="s">
        <v>9168</v>
      </c>
      <c r="B1770" t="s">
        <v>9169</v>
      </c>
      <c r="C1770" t="s">
        <v>205</v>
      </c>
      <c r="D1770" t="s">
        <v>9170</v>
      </c>
      <c r="E1770" t="s">
        <v>9171</v>
      </c>
      <c r="F1770" t="s">
        <v>9172</v>
      </c>
      <c r="G1770" s="4">
        <v>45334</v>
      </c>
      <c r="H1770" s="4">
        <v>45559</v>
      </c>
      <c r="I1770" s="4">
        <v>45565</v>
      </c>
      <c r="J1770">
        <f t="shared" si="135"/>
        <v>6</v>
      </c>
      <c r="K1770" t="str">
        <f t="array" ref="K1770">_xlfn.IFS(J1770=1,"Day Use",J1770&lt;=3,"Short Stay",J1770&lt;=7,"Extended Stay",J1770&gt;=8,"Long Stay")</f>
        <v>Extended Stay</v>
      </c>
      <c r="L1770" t="s">
        <v>196</v>
      </c>
      <c r="M1770" s="10" t="str">
        <f t="shared" si="136"/>
        <v>Deluxe</v>
      </c>
      <c r="N1770" t="s">
        <v>57</v>
      </c>
      <c r="O1770" t="s">
        <v>42</v>
      </c>
      <c r="P1770">
        <f>IFERROR(VLOOKUP(TRIM(M1770),Room!D:H,5,FALSE),5000)</f>
        <v>5400</v>
      </c>
      <c r="Q1770">
        <f t="shared" si="137"/>
        <v>32400</v>
      </c>
      <c r="R1770" s="11" t="str">
        <f t="shared" si="138"/>
        <v>Conference</v>
      </c>
      <c r="S1770" s="11">
        <f t="shared" si="139"/>
        <v>3</v>
      </c>
    </row>
    <row r="1771" spans="1:19">
      <c r="A1771" t="s">
        <v>9173</v>
      </c>
      <c r="B1771" t="s">
        <v>9174</v>
      </c>
      <c r="C1771" t="s">
        <v>1030</v>
      </c>
      <c r="D1771" t="s">
        <v>9175</v>
      </c>
      <c r="E1771" t="s">
        <v>9176</v>
      </c>
      <c r="F1771" t="s">
        <v>9177</v>
      </c>
      <c r="G1771" s="4">
        <v>45633</v>
      </c>
      <c r="H1771" s="4">
        <v>45738</v>
      </c>
      <c r="I1771" s="4">
        <v>45744</v>
      </c>
      <c r="J1771">
        <f t="shared" si="135"/>
        <v>6</v>
      </c>
      <c r="K1771" t="str">
        <f t="array" ref="K1771">_xlfn.IFS(J1771=1,"Day Use",J1771&lt;=3,"Short Stay",J1771&lt;=7,"Extended Stay",J1771&gt;=8,"Long Stay")</f>
        <v>Extended Stay</v>
      </c>
      <c r="L1771" t="s">
        <v>84</v>
      </c>
      <c r="M1771" s="10" t="str">
        <f t="shared" si="136"/>
        <v>Deluxe</v>
      </c>
      <c r="N1771" t="s">
        <v>26</v>
      </c>
      <c r="O1771" t="s">
        <v>58</v>
      </c>
      <c r="P1771">
        <f>IFERROR(VLOOKUP(TRIM(M1771),Room!D:H,5,FALSE),5000)</f>
        <v>5400</v>
      </c>
      <c r="Q1771">
        <f t="shared" si="137"/>
        <v>32400</v>
      </c>
      <c r="R1771" s="11" t="str">
        <f t="shared" si="138"/>
        <v>Conference</v>
      </c>
      <c r="S1771" s="11">
        <f t="shared" si="139"/>
        <v>3</v>
      </c>
    </row>
    <row r="1772" spans="1:19">
      <c r="A1772" t="s">
        <v>9178</v>
      </c>
      <c r="B1772" t="s">
        <v>9179</v>
      </c>
      <c r="C1772" t="s">
        <v>2689</v>
      </c>
      <c r="D1772" t="s">
        <v>9180</v>
      </c>
      <c r="E1772" t="s">
        <v>9181</v>
      </c>
      <c r="F1772" t="s">
        <v>9182</v>
      </c>
      <c r="G1772" s="4">
        <v>45571</v>
      </c>
      <c r="H1772" s="4">
        <v>45716</v>
      </c>
      <c r="I1772" s="4">
        <v>45724</v>
      </c>
      <c r="J1772">
        <f t="shared" si="135"/>
        <v>8</v>
      </c>
      <c r="K1772" t="str">
        <f t="array" ref="K1772">_xlfn.IFS(J1772=1,"Day Use",J1772&lt;=3,"Short Stay",J1772&lt;=7,"Extended Stay",J1772&gt;=8,"Long Stay")</f>
        <v>Long Stay</v>
      </c>
      <c r="L1772" t="s">
        <v>141</v>
      </c>
      <c r="M1772" s="10" t="str">
        <f t="shared" si="136"/>
        <v>Premium</v>
      </c>
      <c r="N1772" t="s">
        <v>372</v>
      </c>
      <c r="O1772" t="s">
        <v>27</v>
      </c>
      <c r="P1772">
        <f>IFERROR(VLOOKUP(TRIM(M1772),Room!D:H,5,FALSE),5000)</f>
        <v>9500</v>
      </c>
      <c r="Q1772">
        <f t="shared" si="137"/>
        <v>76000</v>
      </c>
      <c r="R1772" s="11" t="str">
        <f t="shared" si="138"/>
        <v>Conference</v>
      </c>
      <c r="S1772" s="11">
        <f t="shared" si="139"/>
        <v>4</v>
      </c>
    </row>
    <row r="1773" spans="1:19">
      <c r="A1773" t="s">
        <v>9183</v>
      </c>
      <c r="B1773" t="s">
        <v>9184</v>
      </c>
      <c r="C1773" t="s">
        <v>106</v>
      </c>
      <c r="D1773" t="s">
        <v>9185</v>
      </c>
      <c r="E1773" t="s">
        <v>9186</v>
      </c>
      <c r="F1773" t="s">
        <v>9187</v>
      </c>
      <c r="G1773" s="4">
        <v>45428</v>
      </c>
      <c r="H1773" s="4">
        <v>45431</v>
      </c>
      <c r="I1773" s="4">
        <v>45442</v>
      </c>
      <c r="J1773">
        <f t="shared" si="135"/>
        <v>11</v>
      </c>
      <c r="K1773" t="str">
        <f t="array" ref="K1773">_xlfn.IFS(J1773=1,"Day Use",J1773&lt;=3,"Short Stay",J1773&lt;=7,"Extended Stay",J1773&gt;=8,"Long Stay")</f>
        <v>Long Stay</v>
      </c>
      <c r="L1773" t="s">
        <v>196</v>
      </c>
      <c r="M1773" s="10" t="str">
        <f t="shared" si="136"/>
        <v>Suite</v>
      </c>
      <c r="N1773" t="s">
        <v>26</v>
      </c>
      <c r="O1773" t="s">
        <v>58</v>
      </c>
      <c r="P1773">
        <f>IFERROR(VLOOKUP(TRIM(M1773),Room!D:H,5,FALSE),5000)</f>
        <v>12500</v>
      </c>
      <c r="Q1773">
        <f t="shared" si="137"/>
        <v>137500</v>
      </c>
      <c r="R1773" s="11" t="str">
        <f t="shared" si="138"/>
        <v>Business</v>
      </c>
      <c r="S1773" s="11">
        <f t="shared" si="139"/>
        <v>5</v>
      </c>
    </row>
    <row r="1774" spans="1:19">
      <c r="A1774" t="s">
        <v>9188</v>
      </c>
      <c r="B1774" t="s">
        <v>9189</v>
      </c>
      <c r="C1774" t="s">
        <v>1114</v>
      </c>
      <c r="D1774" t="s">
        <v>9190</v>
      </c>
      <c r="E1774" t="s">
        <v>9191</v>
      </c>
      <c r="F1774" t="s">
        <v>9192</v>
      </c>
      <c r="G1774" s="4">
        <v>45662</v>
      </c>
      <c r="H1774" s="4">
        <v>45735</v>
      </c>
      <c r="I1774" s="4">
        <v>45743</v>
      </c>
      <c r="J1774">
        <f t="shared" si="135"/>
        <v>8</v>
      </c>
      <c r="K1774" t="str">
        <f t="array" ref="K1774">_xlfn.IFS(J1774=1,"Day Use",J1774&lt;=3,"Short Stay",J1774&lt;=7,"Extended Stay",J1774&gt;=8,"Long Stay")</f>
        <v>Long Stay</v>
      </c>
      <c r="L1774" t="s">
        <v>25</v>
      </c>
      <c r="M1774" s="10" t="str">
        <f t="shared" si="136"/>
        <v>Premium</v>
      </c>
      <c r="N1774" t="s">
        <v>148</v>
      </c>
      <c r="O1774" t="s">
        <v>35</v>
      </c>
      <c r="P1774">
        <f>IFERROR(VLOOKUP(TRIM(M1774),Room!D:H,5,FALSE),5000)</f>
        <v>9500</v>
      </c>
      <c r="Q1774">
        <f t="shared" si="137"/>
        <v>76000</v>
      </c>
      <c r="R1774" s="11" t="str">
        <f t="shared" si="138"/>
        <v>Conference</v>
      </c>
      <c r="S1774" s="11">
        <f t="shared" si="139"/>
        <v>4</v>
      </c>
    </row>
    <row r="1775" spans="1:19">
      <c r="A1775" t="s">
        <v>9193</v>
      </c>
      <c r="B1775" t="s">
        <v>9194</v>
      </c>
      <c r="C1775" t="s">
        <v>2313</v>
      </c>
      <c r="D1775" t="s">
        <v>9195</v>
      </c>
      <c r="E1775" t="s">
        <v>9196</v>
      </c>
      <c r="F1775" t="s">
        <v>9197</v>
      </c>
      <c r="G1775" s="4">
        <v>45560</v>
      </c>
      <c r="H1775" s="4">
        <v>45586</v>
      </c>
      <c r="I1775" s="4">
        <v>45596</v>
      </c>
      <c r="J1775">
        <f t="shared" si="135"/>
        <v>10</v>
      </c>
      <c r="K1775" t="str">
        <f t="array" ref="K1775">_xlfn.IFS(J1775=1,"Day Use",J1775&lt;=3,"Short Stay",J1775&lt;=7,"Extended Stay",J1775&gt;=8,"Long Stay")</f>
        <v>Long Stay</v>
      </c>
      <c r="L1775" t="s">
        <v>49</v>
      </c>
      <c r="M1775" s="10" t="str">
        <f t="shared" si="136"/>
        <v>Premium</v>
      </c>
      <c r="N1775" t="s">
        <v>26</v>
      </c>
      <c r="O1775" t="s">
        <v>42</v>
      </c>
      <c r="P1775">
        <f>IFERROR(VLOOKUP(TRIM(M1775),Room!D:H,5,FALSE),5000)</f>
        <v>9500</v>
      </c>
      <c r="Q1775">
        <f t="shared" si="137"/>
        <v>95000</v>
      </c>
      <c r="R1775" s="11" t="str">
        <f t="shared" si="138"/>
        <v>Conference</v>
      </c>
      <c r="S1775" s="11">
        <f t="shared" si="139"/>
        <v>4</v>
      </c>
    </row>
    <row r="1776" spans="1:19">
      <c r="A1776" t="s">
        <v>9198</v>
      </c>
      <c r="B1776" t="s">
        <v>9199</v>
      </c>
      <c r="C1776" t="s">
        <v>871</v>
      </c>
      <c r="D1776" t="s">
        <v>9200</v>
      </c>
      <c r="E1776" t="s">
        <v>9201</v>
      </c>
      <c r="F1776" t="s">
        <v>9202</v>
      </c>
      <c r="G1776" s="4">
        <v>45551</v>
      </c>
      <c r="H1776" s="4">
        <v>45569</v>
      </c>
      <c r="I1776" s="4">
        <v>45582</v>
      </c>
      <c r="J1776">
        <f t="shared" si="135"/>
        <v>13</v>
      </c>
      <c r="K1776" t="str">
        <f t="array" ref="K1776">_xlfn.IFS(J1776=1,"Day Use",J1776&lt;=3,"Short Stay",J1776&lt;=7,"Extended Stay",J1776&gt;=8,"Long Stay")</f>
        <v>Long Stay</v>
      </c>
      <c r="L1776" t="s">
        <v>84</v>
      </c>
      <c r="M1776" s="10" t="str">
        <f t="shared" si="136"/>
        <v>Suite</v>
      </c>
      <c r="N1776" t="s">
        <v>26</v>
      </c>
      <c r="O1776" t="s">
        <v>42</v>
      </c>
      <c r="P1776">
        <f>IFERROR(VLOOKUP(TRIM(M1776),Room!D:H,5,FALSE),5000)</f>
        <v>12500</v>
      </c>
      <c r="Q1776">
        <f t="shared" si="137"/>
        <v>162500</v>
      </c>
      <c r="R1776" s="11" t="str">
        <f t="shared" si="138"/>
        <v>Business</v>
      </c>
      <c r="S1776" s="11">
        <f t="shared" si="139"/>
        <v>5</v>
      </c>
    </row>
    <row r="1777" spans="1:19">
      <c r="A1777" t="s">
        <v>9203</v>
      </c>
      <c r="B1777" t="s">
        <v>9204</v>
      </c>
      <c r="C1777" t="s">
        <v>100</v>
      </c>
      <c r="D1777" t="s">
        <v>9205</v>
      </c>
      <c r="E1777" t="s">
        <v>9206</v>
      </c>
      <c r="F1777" t="s">
        <v>9207</v>
      </c>
      <c r="G1777" s="4">
        <v>45577</v>
      </c>
      <c r="H1777" s="4">
        <v>45585</v>
      </c>
      <c r="I1777" s="4">
        <v>45590</v>
      </c>
      <c r="J1777">
        <f t="shared" si="135"/>
        <v>5</v>
      </c>
      <c r="K1777" t="str">
        <f t="array" ref="K1777">_xlfn.IFS(J1777=1,"Day Use",J1777&lt;=3,"Short Stay",J1777&lt;=7,"Extended Stay",J1777&gt;=8,"Long Stay")</f>
        <v>Extended Stay</v>
      </c>
      <c r="L1777" t="s">
        <v>25</v>
      </c>
      <c r="M1777" s="10" t="str">
        <f t="shared" si="136"/>
        <v>Deluxe</v>
      </c>
      <c r="N1777" t="s">
        <v>26</v>
      </c>
      <c r="O1777" t="s">
        <v>58</v>
      </c>
      <c r="P1777">
        <f>IFERROR(VLOOKUP(TRIM(M1777),Room!D:H,5,FALSE),5000)</f>
        <v>5400</v>
      </c>
      <c r="Q1777">
        <f t="shared" si="137"/>
        <v>27000</v>
      </c>
      <c r="R1777" s="11" t="str">
        <f t="shared" si="138"/>
        <v>Conference</v>
      </c>
      <c r="S1777" s="11">
        <f t="shared" si="139"/>
        <v>3</v>
      </c>
    </row>
    <row r="1778" spans="1:19">
      <c r="A1778" t="s">
        <v>9208</v>
      </c>
      <c r="B1778" t="s">
        <v>9209</v>
      </c>
      <c r="C1778" t="s">
        <v>939</v>
      </c>
      <c r="D1778" t="s">
        <v>9210</v>
      </c>
      <c r="E1778" t="s">
        <v>9211</v>
      </c>
      <c r="F1778" t="s">
        <v>9212</v>
      </c>
      <c r="G1778" s="4">
        <v>45477</v>
      </c>
      <c r="H1778" s="4">
        <v>45772</v>
      </c>
      <c r="I1778" s="4">
        <v>45774</v>
      </c>
      <c r="J1778">
        <f t="shared" si="135"/>
        <v>2</v>
      </c>
      <c r="K1778" t="str">
        <f t="array" ref="K1778">_xlfn.IFS(J1778=1,"Day Use",J1778&lt;=3,"Short Stay",J1778&lt;=7,"Extended Stay",J1778&gt;=8,"Long Stay")</f>
        <v>Short Stay</v>
      </c>
      <c r="L1778" t="s">
        <v>25</v>
      </c>
      <c r="M1778" s="10" t="str">
        <f t="shared" si="136"/>
        <v>Standard</v>
      </c>
      <c r="N1778" t="s">
        <v>26</v>
      </c>
      <c r="O1778" t="s">
        <v>35</v>
      </c>
      <c r="P1778">
        <f>IFERROR(VLOOKUP(TRIM(M1778),Room!D:H,5,FALSE),5000)</f>
        <v>3200</v>
      </c>
      <c r="Q1778">
        <f t="shared" si="137"/>
        <v>6400</v>
      </c>
      <c r="R1778" s="11" t="str">
        <f t="shared" si="138"/>
        <v>Other</v>
      </c>
      <c r="S1778" s="11">
        <f t="shared" si="139"/>
        <v>2</v>
      </c>
    </row>
    <row r="1779" spans="1:19">
      <c r="A1779" t="s">
        <v>9213</v>
      </c>
      <c r="B1779" t="s">
        <v>9214</v>
      </c>
      <c r="C1779" t="s">
        <v>899</v>
      </c>
      <c r="D1779" t="s">
        <v>9215</v>
      </c>
      <c r="E1779" t="s">
        <v>9216</v>
      </c>
      <c r="F1779" t="s">
        <v>9217</v>
      </c>
      <c r="G1779" s="4">
        <v>45601</v>
      </c>
      <c r="H1779" s="4">
        <v>46002</v>
      </c>
      <c r="I1779" s="4">
        <v>46010</v>
      </c>
      <c r="J1779">
        <f t="shared" si="135"/>
        <v>8</v>
      </c>
      <c r="K1779" t="str">
        <f t="array" ref="K1779">_xlfn.IFS(J1779=1,"Day Use",J1779&lt;=3,"Short Stay",J1779&lt;=7,"Extended Stay",J1779&gt;=8,"Long Stay")</f>
        <v>Long Stay</v>
      </c>
      <c r="L1779" t="s">
        <v>34</v>
      </c>
      <c r="M1779" s="10" t="str">
        <f t="shared" si="136"/>
        <v>Premium</v>
      </c>
      <c r="N1779" t="s">
        <v>26</v>
      </c>
      <c r="O1779" t="s">
        <v>71</v>
      </c>
      <c r="P1779">
        <f>IFERROR(VLOOKUP(TRIM(M1779),Room!D:H,5,FALSE),5000)</f>
        <v>9500</v>
      </c>
      <c r="Q1779">
        <f t="shared" si="137"/>
        <v>76000</v>
      </c>
      <c r="R1779" s="11" t="str">
        <f t="shared" si="138"/>
        <v>Conference</v>
      </c>
      <c r="S1779" s="11">
        <f t="shared" si="139"/>
        <v>4</v>
      </c>
    </row>
    <row r="1780" spans="1:19">
      <c r="A1780" t="s">
        <v>9218</v>
      </c>
      <c r="B1780" t="s">
        <v>9219</v>
      </c>
      <c r="C1780" t="s">
        <v>3586</v>
      </c>
      <c r="D1780" t="s">
        <v>9220</v>
      </c>
      <c r="E1780" t="s">
        <v>9221</v>
      </c>
      <c r="F1780" t="s">
        <v>9222</v>
      </c>
      <c r="G1780" s="4">
        <v>45797</v>
      </c>
      <c r="H1780" s="4">
        <v>45955</v>
      </c>
      <c r="I1780" s="4">
        <v>45968</v>
      </c>
      <c r="J1780">
        <f t="shared" si="135"/>
        <v>13</v>
      </c>
      <c r="K1780" t="str">
        <f t="array" ref="K1780">_xlfn.IFS(J1780=1,"Day Use",J1780&lt;=3,"Short Stay",J1780&lt;=7,"Extended Stay",J1780&gt;=8,"Long Stay")</f>
        <v>Long Stay</v>
      </c>
      <c r="L1780" t="s">
        <v>49</v>
      </c>
      <c r="M1780" s="10" t="str">
        <f t="shared" si="136"/>
        <v>Suite</v>
      </c>
      <c r="N1780" t="s">
        <v>26</v>
      </c>
      <c r="O1780" t="s">
        <v>27</v>
      </c>
      <c r="P1780">
        <f>IFERROR(VLOOKUP(TRIM(M1780),Room!D:H,5,FALSE),5000)</f>
        <v>12500</v>
      </c>
      <c r="Q1780">
        <f t="shared" si="137"/>
        <v>162500</v>
      </c>
      <c r="R1780" s="11" t="str">
        <f t="shared" si="138"/>
        <v>Business</v>
      </c>
      <c r="S1780" s="11">
        <f t="shared" si="139"/>
        <v>5</v>
      </c>
    </row>
    <row r="1781" spans="1:19">
      <c r="A1781" t="s">
        <v>9223</v>
      </c>
      <c r="B1781" t="s">
        <v>9224</v>
      </c>
      <c r="C1781" t="s">
        <v>9225</v>
      </c>
      <c r="D1781" t="s">
        <v>9226</v>
      </c>
      <c r="E1781" t="s">
        <v>9227</v>
      </c>
      <c r="F1781" t="s">
        <v>9228</v>
      </c>
      <c r="G1781" s="4">
        <v>45218</v>
      </c>
      <c r="H1781" s="4">
        <v>45724</v>
      </c>
      <c r="I1781" s="4">
        <v>45726</v>
      </c>
      <c r="J1781">
        <f t="shared" si="135"/>
        <v>2</v>
      </c>
      <c r="K1781" t="str">
        <f t="array" ref="K1781">_xlfn.IFS(J1781=1,"Day Use",J1781&lt;=3,"Short Stay",J1781&lt;=7,"Extended Stay",J1781&gt;=8,"Long Stay")</f>
        <v>Short Stay</v>
      </c>
      <c r="L1781" t="s">
        <v>84</v>
      </c>
      <c r="M1781" s="10" t="str">
        <f t="shared" si="136"/>
        <v>Standard</v>
      </c>
      <c r="N1781" t="s">
        <v>26</v>
      </c>
      <c r="O1781" t="s">
        <v>42</v>
      </c>
      <c r="P1781">
        <f>IFERROR(VLOOKUP(TRIM(M1781),Room!D:H,5,FALSE),5000)</f>
        <v>3200</v>
      </c>
      <c r="Q1781">
        <f t="shared" si="137"/>
        <v>6400</v>
      </c>
      <c r="R1781" s="11" t="str">
        <f t="shared" si="138"/>
        <v>Other</v>
      </c>
      <c r="S1781" s="11">
        <f t="shared" si="139"/>
        <v>2</v>
      </c>
    </row>
    <row r="1782" spans="1:19">
      <c r="A1782" t="s">
        <v>9229</v>
      </c>
      <c r="B1782" t="s">
        <v>9230</v>
      </c>
      <c r="C1782" t="s">
        <v>3525</v>
      </c>
      <c r="D1782" t="s">
        <v>9231</v>
      </c>
      <c r="E1782" t="s">
        <v>9232</v>
      </c>
      <c r="F1782" t="s">
        <v>9233</v>
      </c>
      <c r="G1782" s="4">
        <v>45237</v>
      </c>
      <c r="H1782" s="4">
        <v>45866</v>
      </c>
      <c r="I1782" s="4">
        <v>45869</v>
      </c>
      <c r="J1782">
        <f t="shared" si="135"/>
        <v>3</v>
      </c>
      <c r="K1782" t="str">
        <f t="array" ref="K1782">_xlfn.IFS(J1782=1,"Day Use",J1782&lt;=3,"Short Stay",J1782&lt;=7,"Extended Stay",J1782&gt;=8,"Long Stay")</f>
        <v>Short Stay</v>
      </c>
      <c r="L1782" t="s">
        <v>25</v>
      </c>
      <c r="M1782" s="10" t="str">
        <f t="shared" si="136"/>
        <v>Standard</v>
      </c>
      <c r="N1782" t="s">
        <v>26</v>
      </c>
      <c r="O1782" t="s">
        <v>35</v>
      </c>
      <c r="P1782">
        <f>IFERROR(VLOOKUP(TRIM(M1782),Room!D:H,5,FALSE),5000)</f>
        <v>3200</v>
      </c>
      <c r="Q1782">
        <f t="shared" si="137"/>
        <v>9600</v>
      </c>
      <c r="R1782" s="11" t="str">
        <f t="shared" si="138"/>
        <v>Other</v>
      </c>
      <c r="S1782" s="11">
        <f t="shared" si="139"/>
        <v>2</v>
      </c>
    </row>
    <row r="1783" spans="1:19">
      <c r="A1783" t="s">
        <v>9234</v>
      </c>
      <c r="B1783" t="s">
        <v>9235</v>
      </c>
      <c r="C1783" t="s">
        <v>3124</v>
      </c>
      <c r="D1783" t="s">
        <v>9236</v>
      </c>
      <c r="E1783" t="s">
        <v>9237</v>
      </c>
      <c r="F1783" t="s">
        <v>9238</v>
      </c>
      <c r="G1783" s="4">
        <v>45332</v>
      </c>
      <c r="H1783" s="4">
        <v>45354</v>
      </c>
      <c r="I1783" s="4">
        <v>45355</v>
      </c>
      <c r="J1783">
        <f t="shared" si="135"/>
        <v>1</v>
      </c>
      <c r="K1783" t="str">
        <f t="array" ref="K1783">_xlfn.IFS(J1783=1,"Day Use",J1783&lt;=3,"Short Stay",J1783&lt;=7,"Extended Stay",J1783&gt;=8,"Long Stay")</f>
        <v>Day Use</v>
      </c>
      <c r="L1783" t="s">
        <v>141</v>
      </c>
      <c r="M1783" s="10" t="str">
        <f t="shared" si="136"/>
        <v>Standard</v>
      </c>
      <c r="N1783" t="s">
        <v>26</v>
      </c>
      <c r="O1783" t="s">
        <v>71</v>
      </c>
      <c r="P1783">
        <f>IFERROR(VLOOKUP(TRIM(M1783),Room!D:H,5,FALSE),5000)</f>
        <v>3200</v>
      </c>
      <c r="Q1783">
        <f t="shared" si="137"/>
        <v>3200</v>
      </c>
      <c r="R1783" s="11" t="str">
        <f t="shared" si="138"/>
        <v>Other</v>
      </c>
      <c r="S1783" s="11">
        <f t="shared" si="139"/>
        <v>1</v>
      </c>
    </row>
    <row r="1784" spans="1:19">
      <c r="A1784" t="s">
        <v>9239</v>
      </c>
      <c r="B1784" t="s">
        <v>9240</v>
      </c>
      <c r="C1784" t="s">
        <v>21</v>
      </c>
      <c r="D1784" t="s">
        <v>9241</v>
      </c>
      <c r="E1784" t="s">
        <v>9242</v>
      </c>
      <c r="F1784" t="s">
        <v>9243</v>
      </c>
      <c r="G1784" s="4">
        <v>45531</v>
      </c>
      <c r="H1784" s="4">
        <v>45537</v>
      </c>
      <c r="I1784" s="4">
        <v>45546</v>
      </c>
      <c r="J1784">
        <f t="shared" si="135"/>
        <v>9</v>
      </c>
      <c r="K1784" t="str">
        <f t="array" ref="K1784">_xlfn.IFS(J1784=1,"Day Use",J1784&lt;=3,"Short Stay",J1784&lt;=7,"Extended Stay",J1784&gt;=8,"Long Stay")</f>
        <v>Long Stay</v>
      </c>
      <c r="L1784" t="s">
        <v>91</v>
      </c>
      <c r="M1784" s="10" t="str">
        <f t="shared" si="136"/>
        <v>Premium</v>
      </c>
      <c r="N1784" t="s">
        <v>57</v>
      </c>
      <c r="O1784" t="s">
        <v>58</v>
      </c>
      <c r="P1784">
        <f>IFERROR(VLOOKUP(TRIM(M1784),Room!D:H,5,FALSE),5000)</f>
        <v>9500</v>
      </c>
      <c r="Q1784">
        <f t="shared" si="137"/>
        <v>85500</v>
      </c>
      <c r="R1784" s="11" t="str">
        <f t="shared" si="138"/>
        <v>Conference</v>
      </c>
      <c r="S1784" s="11">
        <f t="shared" si="139"/>
        <v>4</v>
      </c>
    </row>
    <row r="1785" spans="1:19">
      <c r="A1785" t="s">
        <v>9244</v>
      </c>
      <c r="B1785" t="s">
        <v>9245</v>
      </c>
      <c r="C1785" t="s">
        <v>564</v>
      </c>
      <c r="D1785" t="s">
        <v>9246</v>
      </c>
      <c r="E1785" t="s">
        <v>9247</v>
      </c>
      <c r="F1785" t="s">
        <v>9248</v>
      </c>
      <c r="G1785" s="4">
        <v>45548</v>
      </c>
      <c r="H1785" s="4">
        <v>45576</v>
      </c>
      <c r="I1785" s="4">
        <v>45587</v>
      </c>
      <c r="J1785">
        <f t="shared" si="135"/>
        <v>11</v>
      </c>
      <c r="K1785" t="str">
        <f t="array" ref="K1785">_xlfn.IFS(J1785=1,"Day Use",J1785&lt;=3,"Short Stay",J1785&lt;=7,"Extended Stay",J1785&gt;=8,"Long Stay")</f>
        <v>Long Stay</v>
      </c>
      <c r="L1785" t="s">
        <v>56</v>
      </c>
      <c r="M1785" s="10" t="str">
        <f t="shared" si="136"/>
        <v>Suite</v>
      </c>
      <c r="N1785" t="s">
        <v>148</v>
      </c>
      <c r="O1785" t="s">
        <v>58</v>
      </c>
      <c r="P1785">
        <f>IFERROR(VLOOKUP(TRIM(M1785),Room!D:H,5,FALSE),5000)</f>
        <v>12500</v>
      </c>
      <c r="Q1785">
        <f t="shared" si="137"/>
        <v>137500</v>
      </c>
      <c r="R1785" s="11" t="str">
        <f t="shared" si="138"/>
        <v>Business</v>
      </c>
      <c r="S1785" s="11">
        <f t="shared" si="139"/>
        <v>5</v>
      </c>
    </row>
    <row r="1786" spans="1:19">
      <c r="A1786" t="s">
        <v>9249</v>
      </c>
      <c r="B1786" t="s">
        <v>9250</v>
      </c>
      <c r="C1786" t="s">
        <v>1008</v>
      </c>
      <c r="D1786" t="s">
        <v>9251</v>
      </c>
      <c r="E1786" t="s">
        <v>9252</v>
      </c>
      <c r="F1786" t="s">
        <v>9253</v>
      </c>
      <c r="G1786" s="4">
        <v>45418</v>
      </c>
      <c r="H1786" s="4">
        <v>45619</v>
      </c>
      <c r="I1786" s="4">
        <v>45626</v>
      </c>
      <c r="J1786">
        <f t="shared" si="135"/>
        <v>7</v>
      </c>
      <c r="K1786" t="str">
        <f t="array" ref="K1786">_xlfn.IFS(J1786=1,"Day Use",J1786&lt;=3,"Short Stay",J1786&lt;=7,"Extended Stay",J1786&gt;=8,"Long Stay")</f>
        <v>Extended Stay</v>
      </c>
      <c r="L1786" t="s">
        <v>91</v>
      </c>
      <c r="M1786" s="10" t="str">
        <f t="shared" si="136"/>
        <v>Premium</v>
      </c>
      <c r="N1786" t="s">
        <v>26</v>
      </c>
      <c r="O1786" t="s">
        <v>58</v>
      </c>
      <c r="P1786">
        <f>IFERROR(VLOOKUP(TRIM(M1786),Room!D:H,5,FALSE),5000)</f>
        <v>9500</v>
      </c>
      <c r="Q1786">
        <f t="shared" si="137"/>
        <v>66500</v>
      </c>
      <c r="R1786" s="11" t="str">
        <f t="shared" si="138"/>
        <v>Conference</v>
      </c>
      <c r="S1786" s="11">
        <f t="shared" si="139"/>
        <v>4</v>
      </c>
    </row>
    <row r="1787" spans="1:19">
      <c r="A1787" t="s">
        <v>9254</v>
      </c>
      <c r="B1787" t="s">
        <v>9255</v>
      </c>
      <c r="C1787" t="s">
        <v>118</v>
      </c>
      <c r="D1787" t="s">
        <v>9256</v>
      </c>
      <c r="E1787" t="s">
        <v>9257</v>
      </c>
      <c r="F1787" t="s">
        <v>9258</v>
      </c>
      <c r="G1787" s="4">
        <v>45424</v>
      </c>
      <c r="H1787" s="4">
        <v>45604</v>
      </c>
      <c r="I1787" s="4">
        <v>45616</v>
      </c>
      <c r="J1787">
        <f t="shared" si="135"/>
        <v>12</v>
      </c>
      <c r="K1787" t="str">
        <f t="array" ref="K1787">_xlfn.IFS(J1787=1,"Day Use",J1787&lt;=3,"Short Stay",J1787&lt;=7,"Extended Stay",J1787&gt;=8,"Long Stay")</f>
        <v>Long Stay</v>
      </c>
      <c r="L1787" t="s">
        <v>196</v>
      </c>
      <c r="M1787" s="10" t="str">
        <f t="shared" si="136"/>
        <v>Suite</v>
      </c>
      <c r="N1787" t="s">
        <v>26</v>
      </c>
      <c r="O1787" t="s">
        <v>58</v>
      </c>
      <c r="P1787">
        <f>IFERROR(VLOOKUP(TRIM(M1787),Room!D:H,5,FALSE),5000)</f>
        <v>12500</v>
      </c>
      <c r="Q1787">
        <f t="shared" si="137"/>
        <v>150000</v>
      </c>
      <c r="R1787" s="11" t="str">
        <f t="shared" si="138"/>
        <v>Business</v>
      </c>
      <c r="S1787" s="11">
        <f t="shared" si="139"/>
        <v>5</v>
      </c>
    </row>
    <row r="1788" spans="1:19">
      <c r="A1788" t="s">
        <v>9259</v>
      </c>
      <c r="B1788" t="s">
        <v>9260</v>
      </c>
      <c r="C1788" t="s">
        <v>6268</v>
      </c>
      <c r="D1788" t="s">
        <v>9261</v>
      </c>
      <c r="E1788" t="s">
        <v>9262</v>
      </c>
      <c r="F1788" t="s">
        <v>9263</v>
      </c>
      <c r="G1788" s="4">
        <v>45549</v>
      </c>
      <c r="H1788" s="4">
        <v>45570</v>
      </c>
      <c r="I1788" s="4">
        <v>45572</v>
      </c>
      <c r="J1788">
        <f t="shared" si="135"/>
        <v>2</v>
      </c>
      <c r="K1788" t="str">
        <f t="array" ref="K1788">_xlfn.IFS(J1788=1,"Day Use",J1788&lt;=3,"Short Stay",J1788&lt;=7,"Extended Stay",J1788&gt;=8,"Long Stay")</f>
        <v>Short Stay</v>
      </c>
      <c r="L1788" t="s">
        <v>91</v>
      </c>
      <c r="M1788" s="10" t="str">
        <f t="shared" si="136"/>
        <v>Standard</v>
      </c>
      <c r="N1788" t="s">
        <v>26</v>
      </c>
      <c r="O1788" t="s">
        <v>71</v>
      </c>
      <c r="P1788">
        <f>IFERROR(VLOOKUP(TRIM(M1788),Room!D:H,5,FALSE),5000)</f>
        <v>3200</v>
      </c>
      <c r="Q1788">
        <f t="shared" si="137"/>
        <v>6400</v>
      </c>
      <c r="R1788" s="11" t="str">
        <f t="shared" si="138"/>
        <v>Other</v>
      </c>
      <c r="S1788" s="11">
        <f t="shared" si="139"/>
        <v>2</v>
      </c>
    </row>
    <row r="1789" spans="1:19">
      <c r="A1789" t="s">
        <v>9264</v>
      </c>
      <c r="B1789" t="s">
        <v>9265</v>
      </c>
      <c r="C1789" t="s">
        <v>1810</v>
      </c>
      <c r="D1789" t="s">
        <v>9266</v>
      </c>
      <c r="E1789" t="s">
        <v>9267</v>
      </c>
      <c r="F1789" t="s">
        <v>9268</v>
      </c>
      <c r="G1789" s="4">
        <v>45429</v>
      </c>
      <c r="H1789" s="4">
        <v>45437</v>
      </c>
      <c r="I1789" s="4">
        <v>45439</v>
      </c>
      <c r="J1789">
        <f t="shared" si="135"/>
        <v>2</v>
      </c>
      <c r="K1789" t="str">
        <f t="array" ref="K1789">_xlfn.IFS(J1789=1,"Day Use",J1789&lt;=3,"Short Stay",J1789&lt;=7,"Extended Stay",J1789&gt;=8,"Long Stay")</f>
        <v>Short Stay</v>
      </c>
      <c r="L1789" t="s">
        <v>25</v>
      </c>
      <c r="M1789" s="10" t="str">
        <f t="shared" si="136"/>
        <v>Standard</v>
      </c>
      <c r="N1789" t="s">
        <v>26</v>
      </c>
      <c r="O1789" t="s">
        <v>71</v>
      </c>
      <c r="P1789">
        <f>IFERROR(VLOOKUP(TRIM(M1789),Room!D:H,5,FALSE),5000)</f>
        <v>3200</v>
      </c>
      <c r="Q1789">
        <f t="shared" si="137"/>
        <v>6400</v>
      </c>
      <c r="R1789" s="11" t="str">
        <f t="shared" si="138"/>
        <v>Other</v>
      </c>
      <c r="S1789" s="11">
        <f t="shared" si="139"/>
        <v>2</v>
      </c>
    </row>
    <row r="1790" spans="1:19">
      <c r="A1790" t="s">
        <v>9269</v>
      </c>
      <c r="B1790" t="s">
        <v>9270</v>
      </c>
      <c r="C1790" t="s">
        <v>2154</v>
      </c>
      <c r="D1790" t="s">
        <v>9271</v>
      </c>
      <c r="E1790" t="s">
        <v>9272</v>
      </c>
      <c r="F1790" t="s">
        <v>9273</v>
      </c>
      <c r="G1790" s="4">
        <v>45302</v>
      </c>
      <c r="H1790" s="4">
        <v>45328</v>
      </c>
      <c r="I1790" s="4">
        <v>45329</v>
      </c>
      <c r="J1790">
        <f t="shared" si="135"/>
        <v>1</v>
      </c>
      <c r="K1790" t="str">
        <f t="array" ref="K1790">_xlfn.IFS(J1790=1,"Day Use",J1790&lt;=3,"Short Stay",J1790&lt;=7,"Extended Stay",J1790&gt;=8,"Long Stay")</f>
        <v>Day Use</v>
      </c>
      <c r="L1790" t="s">
        <v>25</v>
      </c>
      <c r="M1790" s="10" t="str">
        <f t="shared" si="136"/>
        <v>Standard</v>
      </c>
      <c r="N1790" t="s">
        <v>26</v>
      </c>
      <c r="O1790" t="s">
        <v>71</v>
      </c>
      <c r="P1790">
        <f>IFERROR(VLOOKUP(TRIM(M1790),Room!D:H,5,FALSE),5000)</f>
        <v>3200</v>
      </c>
      <c r="Q1790">
        <f t="shared" si="137"/>
        <v>3200</v>
      </c>
      <c r="R1790" s="11" t="str">
        <f t="shared" si="138"/>
        <v>Other</v>
      </c>
      <c r="S1790" s="11">
        <f t="shared" si="139"/>
        <v>1</v>
      </c>
    </row>
    <row r="1791" spans="1:19">
      <c r="A1791" t="s">
        <v>9274</v>
      </c>
      <c r="B1791" t="s">
        <v>9275</v>
      </c>
      <c r="C1791" t="s">
        <v>3118</v>
      </c>
      <c r="D1791" t="s">
        <v>9276</v>
      </c>
      <c r="E1791" t="s">
        <v>9277</v>
      </c>
      <c r="F1791" t="s">
        <v>9278</v>
      </c>
      <c r="G1791" s="4">
        <v>45814</v>
      </c>
      <c r="H1791" s="4">
        <v>45953</v>
      </c>
      <c r="I1791" s="4">
        <v>45961</v>
      </c>
      <c r="J1791">
        <f t="shared" si="135"/>
        <v>8</v>
      </c>
      <c r="K1791" t="str">
        <f t="array" ref="K1791">_xlfn.IFS(J1791=1,"Day Use",J1791&lt;=3,"Short Stay",J1791&lt;=7,"Extended Stay",J1791&gt;=8,"Long Stay")</f>
        <v>Long Stay</v>
      </c>
      <c r="L1791" t="s">
        <v>196</v>
      </c>
      <c r="M1791" s="10" t="str">
        <f t="shared" si="136"/>
        <v>Premium</v>
      </c>
      <c r="N1791" t="s">
        <v>26</v>
      </c>
      <c r="O1791" t="s">
        <v>58</v>
      </c>
      <c r="P1791">
        <f>IFERROR(VLOOKUP(TRIM(M1791),Room!D:H,5,FALSE),5000)</f>
        <v>9500</v>
      </c>
      <c r="Q1791">
        <f t="shared" si="137"/>
        <v>76000</v>
      </c>
      <c r="R1791" s="11" t="str">
        <f t="shared" si="138"/>
        <v>Conference</v>
      </c>
      <c r="S1791" s="11">
        <f t="shared" si="139"/>
        <v>4</v>
      </c>
    </row>
    <row r="1792" spans="1:19">
      <c r="A1792" t="s">
        <v>9279</v>
      </c>
      <c r="B1792" t="s">
        <v>9280</v>
      </c>
      <c r="C1792" t="s">
        <v>2837</v>
      </c>
      <c r="D1792" t="s">
        <v>9281</v>
      </c>
      <c r="E1792" t="s">
        <v>9282</v>
      </c>
      <c r="F1792" t="s">
        <v>9283</v>
      </c>
      <c r="G1792" s="4">
        <v>45424</v>
      </c>
      <c r="H1792" s="4">
        <v>45796</v>
      </c>
      <c r="I1792" s="4">
        <v>45805</v>
      </c>
      <c r="J1792">
        <f t="shared" si="135"/>
        <v>9</v>
      </c>
      <c r="K1792" t="str">
        <f t="array" ref="K1792">_xlfn.IFS(J1792=1,"Day Use",J1792&lt;=3,"Short Stay",J1792&lt;=7,"Extended Stay",J1792&gt;=8,"Long Stay")</f>
        <v>Long Stay</v>
      </c>
      <c r="L1792" t="s">
        <v>34</v>
      </c>
      <c r="M1792" s="10" t="str">
        <f t="shared" si="136"/>
        <v>Premium</v>
      </c>
      <c r="N1792" t="s">
        <v>26</v>
      </c>
      <c r="O1792" t="s">
        <v>35</v>
      </c>
      <c r="P1792">
        <f>IFERROR(VLOOKUP(TRIM(M1792),Room!D:H,5,FALSE),5000)</f>
        <v>9500</v>
      </c>
      <c r="Q1792">
        <f t="shared" si="137"/>
        <v>85500</v>
      </c>
      <c r="R1792" s="11" t="str">
        <f t="shared" si="138"/>
        <v>Conference</v>
      </c>
      <c r="S1792" s="11">
        <f t="shared" si="139"/>
        <v>4</v>
      </c>
    </row>
    <row r="1793" spans="1:19">
      <c r="A1793" t="s">
        <v>9284</v>
      </c>
      <c r="B1793" t="s">
        <v>9285</v>
      </c>
      <c r="C1793" t="s">
        <v>5074</v>
      </c>
      <c r="D1793" t="s">
        <v>9286</v>
      </c>
      <c r="E1793" t="s">
        <v>9287</v>
      </c>
      <c r="F1793" t="s">
        <v>9288</v>
      </c>
      <c r="G1793" s="4">
        <v>45665</v>
      </c>
      <c r="H1793" s="4">
        <v>45679</v>
      </c>
      <c r="I1793" s="4">
        <v>45685</v>
      </c>
      <c r="J1793">
        <f t="shared" si="135"/>
        <v>6</v>
      </c>
      <c r="K1793" t="str">
        <f t="array" ref="K1793">_xlfn.IFS(J1793=1,"Day Use",J1793&lt;=3,"Short Stay",J1793&lt;=7,"Extended Stay",J1793&gt;=8,"Long Stay")</f>
        <v>Extended Stay</v>
      </c>
      <c r="L1793" t="s">
        <v>91</v>
      </c>
      <c r="M1793" s="10" t="str">
        <f t="shared" si="136"/>
        <v>Deluxe</v>
      </c>
      <c r="N1793" t="s">
        <v>26</v>
      </c>
      <c r="O1793" t="s">
        <v>42</v>
      </c>
      <c r="P1793">
        <f>IFERROR(VLOOKUP(TRIM(M1793),Room!D:H,5,FALSE),5000)</f>
        <v>5400</v>
      </c>
      <c r="Q1793">
        <f t="shared" si="137"/>
        <v>32400</v>
      </c>
      <c r="R1793" s="11" t="str">
        <f t="shared" si="138"/>
        <v>Conference</v>
      </c>
      <c r="S1793" s="11">
        <f t="shared" si="139"/>
        <v>3</v>
      </c>
    </row>
    <row r="1794" spans="1:19">
      <c r="A1794" t="s">
        <v>9289</v>
      </c>
      <c r="B1794" t="s">
        <v>9290</v>
      </c>
      <c r="C1794" t="s">
        <v>835</v>
      </c>
      <c r="D1794" t="s">
        <v>9291</v>
      </c>
      <c r="E1794" t="s">
        <v>9292</v>
      </c>
      <c r="F1794" t="s">
        <v>9293</v>
      </c>
      <c r="G1794" s="4">
        <v>45847</v>
      </c>
      <c r="H1794" s="4">
        <v>45961</v>
      </c>
      <c r="I1794" s="4">
        <v>45974</v>
      </c>
      <c r="J1794">
        <f t="shared" ref="J1794:J1857" si="140">I1794-H1794</f>
        <v>13</v>
      </c>
      <c r="K1794" t="str">
        <f t="array" ref="K1794">_xlfn.IFS(J1794=1,"Day Use",J1794&lt;=3,"Short Stay",J1794&lt;=7,"Extended Stay",J1794&gt;=8,"Long Stay")</f>
        <v>Long Stay</v>
      </c>
      <c r="L1794" t="s">
        <v>34</v>
      </c>
      <c r="M1794" s="10" t="str">
        <f t="shared" ref="M1794:M1857" si="141">IF($J1794&lt;=3,"Standard",IF($J1794&lt;=6,"Deluxe",IF($J1794&lt;=10,"Premium","Suite")))</f>
        <v>Suite</v>
      </c>
      <c r="N1794" t="s">
        <v>26</v>
      </c>
      <c r="O1794" t="s">
        <v>71</v>
      </c>
      <c r="P1794">
        <f>IFERROR(VLOOKUP(TRIM(M1794),Room!D:H,5,FALSE),5000)</f>
        <v>12500</v>
      </c>
      <c r="Q1794">
        <f t="shared" si="137"/>
        <v>162500</v>
      </c>
      <c r="R1794" s="11" t="str">
        <f t="shared" si="138"/>
        <v>Business</v>
      </c>
      <c r="S1794" s="11">
        <f t="shared" si="139"/>
        <v>5</v>
      </c>
    </row>
    <row r="1795" spans="1:19">
      <c r="A1795" t="s">
        <v>9294</v>
      </c>
      <c r="B1795" t="s">
        <v>9295</v>
      </c>
      <c r="C1795" t="s">
        <v>363</v>
      </c>
      <c r="D1795" t="s">
        <v>9296</v>
      </c>
      <c r="E1795" t="s">
        <v>9297</v>
      </c>
      <c r="F1795" t="s">
        <v>9298</v>
      </c>
      <c r="G1795" s="4">
        <v>45287</v>
      </c>
      <c r="H1795" s="4">
        <v>45316</v>
      </c>
      <c r="I1795" s="4">
        <v>45327</v>
      </c>
      <c r="J1795">
        <f t="shared" si="140"/>
        <v>11</v>
      </c>
      <c r="K1795" t="str">
        <f t="array" ref="K1795">_xlfn.IFS(J1795=1,"Day Use",J1795&lt;=3,"Short Stay",J1795&lt;=7,"Extended Stay",J1795&gt;=8,"Long Stay")</f>
        <v>Long Stay</v>
      </c>
      <c r="L1795" t="s">
        <v>25</v>
      </c>
      <c r="M1795" s="10" t="str">
        <f t="shared" si="141"/>
        <v>Suite</v>
      </c>
      <c r="N1795" t="s">
        <v>26</v>
      </c>
      <c r="O1795" t="s">
        <v>42</v>
      </c>
      <c r="P1795">
        <f>IFERROR(VLOOKUP(TRIM(M1795),Room!D:H,5,FALSE),5000)</f>
        <v>12500</v>
      </c>
      <c r="Q1795">
        <f t="shared" ref="Q1795:Q1858" si="142">P1795*J1795</f>
        <v>137500</v>
      </c>
      <c r="R1795" s="11" t="str">
        <f t="shared" ref="R1795:R1858" si="143">IF(ISNUMBER(SEARCH("Suite",D1795)),"Honeymoon",IF(P1795&gt;10000,"Business",IF(P1795&gt;5000,"Conference",IF(J1795&gt;=8,"Family Vacation","Other"))))</f>
        <v>Business</v>
      </c>
      <c r="S1795" s="11">
        <f t="shared" ref="S1795:S1858" si="144">IF(M1795="Suite",5,IF(M1795="Premium",IF(Q1795&gt;20000,4,3),IF(M1795="Deluxe",IF(Q1795&gt;=10000,3,2),IF(M1795="Standard",IF(Q1795&gt;=5000,2,1),1))))</f>
        <v>5</v>
      </c>
    </row>
    <row r="1796" spans="1:19">
      <c r="A1796" t="s">
        <v>9299</v>
      </c>
      <c r="B1796" t="s">
        <v>9300</v>
      </c>
      <c r="C1796" t="s">
        <v>1826</v>
      </c>
      <c r="D1796" t="s">
        <v>9301</v>
      </c>
      <c r="E1796" t="s">
        <v>9302</v>
      </c>
      <c r="F1796" t="s">
        <v>9303</v>
      </c>
      <c r="G1796" s="4">
        <v>45844</v>
      </c>
      <c r="H1796" s="4">
        <v>45861</v>
      </c>
      <c r="I1796" s="4">
        <v>45873</v>
      </c>
      <c r="J1796">
        <f t="shared" si="140"/>
        <v>12</v>
      </c>
      <c r="K1796" t="str">
        <f t="array" ref="K1796">_xlfn.IFS(J1796=1,"Day Use",J1796&lt;=3,"Short Stay",J1796&lt;=7,"Extended Stay",J1796&gt;=8,"Long Stay")</f>
        <v>Long Stay</v>
      </c>
      <c r="L1796" t="s">
        <v>84</v>
      </c>
      <c r="M1796" s="10" t="str">
        <f t="shared" si="141"/>
        <v>Suite</v>
      </c>
      <c r="N1796" t="s">
        <v>26</v>
      </c>
      <c r="O1796" t="s">
        <v>35</v>
      </c>
      <c r="P1796">
        <f>IFERROR(VLOOKUP(TRIM(M1796),Room!D:H,5,FALSE),5000)</f>
        <v>12500</v>
      </c>
      <c r="Q1796">
        <f t="shared" si="142"/>
        <v>150000</v>
      </c>
      <c r="R1796" s="11" t="str">
        <f t="shared" si="143"/>
        <v>Business</v>
      </c>
      <c r="S1796" s="11">
        <f t="shared" si="144"/>
        <v>5</v>
      </c>
    </row>
    <row r="1797" spans="1:19">
      <c r="A1797" t="s">
        <v>9304</v>
      </c>
      <c r="B1797" t="s">
        <v>9305</v>
      </c>
      <c r="C1797" t="s">
        <v>4512</v>
      </c>
      <c r="D1797" t="s">
        <v>9306</v>
      </c>
      <c r="E1797" t="s">
        <v>9307</v>
      </c>
      <c r="F1797" t="s">
        <v>9308</v>
      </c>
      <c r="G1797" s="4">
        <v>45582</v>
      </c>
      <c r="H1797" s="4">
        <v>45612</v>
      </c>
      <c r="I1797" s="4">
        <v>45619</v>
      </c>
      <c r="J1797">
        <f t="shared" si="140"/>
        <v>7</v>
      </c>
      <c r="K1797" t="str">
        <f t="array" ref="K1797">_xlfn.IFS(J1797=1,"Day Use",J1797&lt;=3,"Short Stay",J1797&lt;=7,"Extended Stay",J1797&gt;=8,"Long Stay")</f>
        <v>Extended Stay</v>
      </c>
      <c r="L1797" t="s">
        <v>141</v>
      </c>
      <c r="M1797" s="10" t="str">
        <f t="shared" si="141"/>
        <v>Premium</v>
      </c>
      <c r="N1797" t="s">
        <v>26</v>
      </c>
      <c r="O1797" t="s">
        <v>27</v>
      </c>
      <c r="P1797">
        <f>IFERROR(VLOOKUP(TRIM(M1797),Room!D:H,5,FALSE),5000)</f>
        <v>9500</v>
      </c>
      <c r="Q1797">
        <f t="shared" si="142"/>
        <v>66500</v>
      </c>
      <c r="R1797" s="11" t="str">
        <f t="shared" si="143"/>
        <v>Conference</v>
      </c>
      <c r="S1797" s="11">
        <f t="shared" si="144"/>
        <v>4</v>
      </c>
    </row>
    <row r="1798" spans="1:19">
      <c r="A1798" t="s">
        <v>9309</v>
      </c>
      <c r="B1798" t="s">
        <v>9310</v>
      </c>
      <c r="C1798" t="s">
        <v>1545</v>
      </c>
      <c r="D1798" t="s">
        <v>9311</v>
      </c>
      <c r="E1798" t="s">
        <v>9312</v>
      </c>
      <c r="F1798" t="s">
        <v>9313</v>
      </c>
      <c r="G1798" s="4">
        <v>45280</v>
      </c>
      <c r="H1798" s="4">
        <v>45306</v>
      </c>
      <c r="I1798" s="4">
        <v>45316</v>
      </c>
      <c r="J1798">
        <f t="shared" si="140"/>
        <v>10</v>
      </c>
      <c r="K1798" t="str">
        <f t="array" ref="K1798">_xlfn.IFS(J1798=1,"Day Use",J1798&lt;=3,"Short Stay",J1798&lt;=7,"Extended Stay",J1798&gt;=8,"Long Stay")</f>
        <v>Long Stay</v>
      </c>
      <c r="L1798" t="s">
        <v>196</v>
      </c>
      <c r="M1798" s="10" t="str">
        <f t="shared" si="141"/>
        <v>Premium</v>
      </c>
      <c r="N1798" t="s">
        <v>57</v>
      </c>
      <c r="O1798" t="s">
        <v>58</v>
      </c>
      <c r="P1798">
        <f>IFERROR(VLOOKUP(TRIM(M1798),Room!D:H,5,FALSE),5000)</f>
        <v>9500</v>
      </c>
      <c r="Q1798">
        <f t="shared" si="142"/>
        <v>95000</v>
      </c>
      <c r="R1798" s="11" t="str">
        <f t="shared" si="143"/>
        <v>Conference</v>
      </c>
      <c r="S1798" s="11">
        <f t="shared" si="144"/>
        <v>4</v>
      </c>
    </row>
    <row r="1799" spans="1:19">
      <c r="A1799" t="s">
        <v>9314</v>
      </c>
      <c r="B1799" t="s">
        <v>9315</v>
      </c>
      <c r="C1799" t="s">
        <v>835</v>
      </c>
      <c r="D1799" t="s">
        <v>9316</v>
      </c>
      <c r="E1799" t="s">
        <v>9317</v>
      </c>
      <c r="F1799" t="s">
        <v>9318</v>
      </c>
      <c r="G1799" s="4">
        <v>45278</v>
      </c>
      <c r="H1799" s="4">
        <v>45305</v>
      </c>
      <c r="I1799" s="4">
        <v>45312</v>
      </c>
      <c r="J1799">
        <f t="shared" si="140"/>
        <v>7</v>
      </c>
      <c r="K1799" t="str">
        <f t="array" ref="K1799">_xlfn.IFS(J1799=1,"Day Use",J1799&lt;=3,"Short Stay",J1799&lt;=7,"Extended Stay",J1799&gt;=8,"Long Stay")</f>
        <v>Extended Stay</v>
      </c>
      <c r="L1799" t="s">
        <v>34</v>
      </c>
      <c r="M1799" s="10" t="str">
        <f t="shared" si="141"/>
        <v>Premium</v>
      </c>
      <c r="N1799" t="s">
        <v>26</v>
      </c>
      <c r="O1799" t="s">
        <v>42</v>
      </c>
      <c r="P1799">
        <f>IFERROR(VLOOKUP(TRIM(M1799),Room!D:H,5,FALSE),5000)</f>
        <v>9500</v>
      </c>
      <c r="Q1799">
        <f t="shared" si="142"/>
        <v>66500</v>
      </c>
      <c r="R1799" s="11" t="str">
        <f t="shared" si="143"/>
        <v>Conference</v>
      </c>
      <c r="S1799" s="11">
        <f t="shared" si="144"/>
        <v>4</v>
      </c>
    </row>
    <row r="1800" spans="1:19">
      <c r="A1800" t="s">
        <v>9319</v>
      </c>
      <c r="B1800" t="s">
        <v>9320</v>
      </c>
      <c r="C1800" t="s">
        <v>351</v>
      </c>
      <c r="D1800" t="s">
        <v>9321</v>
      </c>
      <c r="E1800" t="s">
        <v>9322</v>
      </c>
      <c r="F1800" t="s">
        <v>9323</v>
      </c>
      <c r="G1800" s="4">
        <v>45295</v>
      </c>
      <c r="H1800" s="4">
        <v>45686</v>
      </c>
      <c r="I1800" s="4">
        <v>45691</v>
      </c>
      <c r="J1800">
        <f t="shared" si="140"/>
        <v>5</v>
      </c>
      <c r="K1800" t="str">
        <f t="array" ref="K1800">_xlfn.IFS(J1800=1,"Day Use",J1800&lt;=3,"Short Stay",J1800&lt;=7,"Extended Stay",J1800&gt;=8,"Long Stay")</f>
        <v>Extended Stay</v>
      </c>
      <c r="L1800" t="s">
        <v>49</v>
      </c>
      <c r="M1800" s="10" t="str">
        <f t="shared" si="141"/>
        <v>Deluxe</v>
      </c>
      <c r="N1800" t="s">
        <v>148</v>
      </c>
      <c r="O1800" t="s">
        <v>58</v>
      </c>
      <c r="P1800">
        <f>IFERROR(VLOOKUP(TRIM(M1800),Room!D:H,5,FALSE),5000)</f>
        <v>5400</v>
      </c>
      <c r="Q1800">
        <f t="shared" si="142"/>
        <v>27000</v>
      </c>
      <c r="R1800" s="11" t="str">
        <f t="shared" si="143"/>
        <v>Conference</v>
      </c>
      <c r="S1800" s="11">
        <f t="shared" si="144"/>
        <v>3</v>
      </c>
    </row>
    <row r="1801" spans="1:19">
      <c r="A1801" t="s">
        <v>9324</v>
      </c>
      <c r="B1801" t="s">
        <v>9325</v>
      </c>
      <c r="C1801" t="s">
        <v>2085</v>
      </c>
      <c r="D1801" t="s">
        <v>9326</v>
      </c>
      <c r="E1801" t="s">
        <v>9327</v>
      </c>
      <c r="F1801" t="s">
        <v>9328</v>
      </c>
      <c r="G1801" s="4">
        <v>45488</v>
      </c>
      <c r="H1801" s="4">
        <v>45758</v>
      </c>
      <c r="I1801" s="4">
        <v>45759</v>
      </c>
      <c r="J1801">
        <f t="shared" si="140"/>
        <v>1</v>
      </c>
      <c r="K1801" t="str">
        <f t="array" ref="K1801">_xlfn.IFS(J1801=1,"Day Use",J1801&lt;=3,"Short Stay",J1801&lt;=7,"Extended Stay",J1801&gt;=8,"Long Stay")</f>
        <v>Day Use</v>
      </c>
      <c r="L1801" t="s">
        <v>196</v>
      </c>
      <c r="M1801" s="10" t="str">
        <f t="shared" si="141"/>
        <v>Standard</v>
      </c>
      <c r="N1801" t="s">
        <v>26</v>
      </c>
      <c r="O1801" t="s">
        <v>35</v>
      </c>
      <c r="P1801">
        <f>IFERROR(VLOOKUP(TRIM(M1801),Room!D:H,5,FALSE),5000)</f>
        <v>3200</v>
      </c>
      <c r="Q1801">
        <f t="shared" si="142"/>
        <v>3200</v>
      </c>
      <c r="R1801" s="11" t="str">
        <f t="shared" si="143"/>
        <v>Other</v>
      </c>
      <c r="S1801" s="11">
        <f t="shared" si="144"/>
        <v>1</v>
      </c>
    </row>
    <row r="1802" spans="1:19">
      <c r="A1802" t="s">
        <v>9329</v>
      </c>
      <c r="B1802" t="s">
        <v>9330</v>
      </c>
      <c r="C1802" t="s">
        <v>786</v>
      </c>
      <c r="D1802" t="s">
        <v>9331</v>
      </c>
      <c r="E1802" t="s">
        <v>9332</v>
      </c>
      <c r="F1802" t="s">
        <v>9333</v>
      </c>
      <c r="G1802" s="4">
        <v>45540</v>
      </c>
      <c r="H1802" s="4">
        <v>45543</v>
      </c>
      <c r="I1802" s="4">
        <v>45557</v>
      </c>
      <c r="J1802">
        <f t="shared" si="140"/>
        <v>14</v>
      </c>
      <c r="K1802" t="str">
        <f t="array" ref="K1802">_xlfn.IFS(J1802=1,"Day Use",J1802&lt;=3,"Short Stay",J1802&lt;=7,"Extended Stay",J1802&gt;=8,"Long Stay")</f>
        <v>Long Stay</v>
      </c>
      <c r="L1802" t="s">
        <v>56</v>
      </c>
      <c r="M1802" s="10" t="str">
        <f t="shared" si="141"/>
        <v>Suite</v>
      </c>
      <c r="N1802" t="s">
        <v>26</v>
      </c>
      <c r="O1802" t="s">
        <v>71</v>
      </c>
      <c r="P1802">
        <f>IFERROR(VLOOKUP(TRIM(M1802),Room!D:H,5,FALSE),5000)</f>
        <v>12500</v>
      </c>
      <c r="Q1802">
        <f t="shared" si="142"/>
        <v>175000</v>
      </c>
      <c r="R1802" s="11" t="str">
        <f t="shared" si="143"/>
        <v>Business</v>
      </c>
      <c r="S1802" s="11">
        <f t="shared" si="144"/>
        <v>5</v>
      </c>
    </row>
    <row r="1803" spans="1:19">
      <c r="A1803" t="s">
        <v>9334</v>
      </c>
      <c r="B1803" t="s">
        <v>9335</v>
      </c>
      <c r="C1803" t="s">
        <v>294</v>
      </c>
      <c r="D1803" t="s">
        <v>9336</v>
      </c>
      <c r="E1803" t="s">
        <v>9337</v>
      </c>
      <c r="F1803" t="s">
        <v>9338</v>
      </c>
      <c r="G1803" s="4">
        <v>45443</v>
      </c>
      <c r="H1803" s="4">
        <v>45723</v>
      </c>
      <c r="I1803" s="4">
        <v>45725</v>
      </c>
      <c r="J1803">
        <f t="shared" si="140"/>
        <v>2</v>
      </c>
      <c r="K1803" t="str">
        <f t="array" ref="K1803">_xlfn.IFS(J1803=1,"Day Use",J1803&lt;=3,"Short Stay",J1803&lt;=7,"Extended Stay",J1803&gt;=8,"Long Stay")</f>
        <v>Short Stay</v>
      </c>
      <c r="L1803" t="s">
        <v>84</v>
      </c>
      <c r="M1803" s="10" t="str">
        <f t="shared" si="141"/>
        <v>Standard</v>
      </c>
      <c r="N1803" t="s">
        <v>148</v>
      </c>
      <c r="O1803" t="s">
        <v>71</v>
      </c>
      <c r="P1803">
        <f>IFERROR(VLOOKUP(TRIM(M1803),Room!D:H,5,FALSE),5000)</f>
        <v>3200</v>
      </c>
      <c r="Q1803">
        <f t="shared" si="142"/>
        <v>6400</v>
      </c>
      <c r="R1803" s="11" t="str">
        <f t="shared" si="143"/>
        <v>Other</v>
      </c>
      <c r="S1803" s="11">
        <f t="shared" si="144"/>
        <v>2</v>
      </c>
    </row>
    <row r="1804" spans="1:19">
      <c r="A1804" t="s">
        <v>9339</v>
      </c>
      <c r="B1804" t="s">
        <v>9340</v>
      </c>
      <c r="C1804" t="s">
        <v>955</v>
      </c>
      <c r="D1804" t="s">
        <v>9341</v>
      </c>
      <c r="E1804" t="s">
        <v>9342</v>
      </c>
      <c r="F1804" t="s">
        <v>9343</v>
      </c>
      <c r="G1804" s="4">
        <v>45387</v>
      </c>
      <c r="H1804" s="4">
        <v>45388</v>
      </c>
      <c r="I1804" s="4">
        <v>45390</v>
      </c>
      <c r="J1804">
        <f t="shared" si="140"/>
        <v>2</v>
      </c>
      <c r="K1804" t="str">
        <f t="array" ref="K1804">_xlfn.IFS(J1804=1,"Day Use",J1804&lt;=3,"Short Stay",J1804&lt;=7,"Extended Stay",J1804&gt;=8,"Long Stay")</f>
        <v>Short Stay</v>
      </c>
      <c r="L1804" t="s">
        <v>34</v>
      </c>
      <c r="M1804" s="10" t="str">
        <f t="shared" si="141"/>
        <v>Standard</v>
      </c>
      <c r="N1804" t="s">
        <v>26</v>
      </c>
      <c r="O1804" t="s">
        <v>35</v>
      </c>
      <c r="P1804">
        <f>IFERROR(VLOOKUP(TRIM(M1804),Room!D:H,5,FALSE),5000)</f>
        <v>3200</v>
      </c>
      <c r="Q1804">
        <f t="shared" si="142"/>
        <v>6400</v>
      </c>
      <c r="R1804" s="11" t="str">
        <f t="shared" si="143"/>
        <v>Other</v>
      </c>
      <c r="S1804" s="11">
        <f t="shared" si="144"/>
        <v>2</v>
      </c>
    </row>
    <row r="1805" spans="1:19">
      <c r="A1805" t="s">
        <v>9344</v>
      </c>
      <c r="B1805" t="s">
        <v>9345</v>
      </c>
      <c r="C1805" t="s">
        <v>1794</v>
      </c>
      <c r="D1805" t="s">
        <v>9346</v>
      </c>
      <c r="E1805" t="s">
        <v>9347</v>
      </c>
      <c r="F1805" t="s">
        <v>9348</v>
      </c>
      <c r="G1805" s="4">
        <v>45719</v>
      </c>
      <c r="H1805" s="4">
        <v>45740</v>
      </c>
      <c r="I1805" s="4">
        <v>45754</v>
      </c>
      <c r="J1805">
        <f t="shared" si="140"/>
        <v>14</v>
      </c>
      <c r="K1805" t="str">
        <f t="array" ref="K1805">_xlfn.IFS(J1805=1,"Day Use",J1805&lt;=3,"Short Stay",J1805&lt;=7,"Extended Stay",J1805&gt;=8,"Long Stay")</f>
        <v>Long Stay</v>
      </c>
      <c r="L1805" t="s">
        <v>91</v>
      </c>
      <c r="M1805" s="10" t="str">
        <f t="shared" si="141"/>
        <v>Suite</v>
      </c>
      <c r="N1805" t="s">
        <v>57</v>
      </c>
      <c r="O1805" t="s">
        <v>58</v>
      </c>
      <c r="P1805">
        <f>IFERROR(VLOOKUP(TRIM(M1805),Room!D:H,5,FALSE),5000)</f>
        <v>12500</v>
      </c>
      <c r="Q1805">
        <f t="shared" si="142"/>
        <v>175000</v>
      </c>
      <c r="R1805" s="11" t="str">
        <f t="shared" si="143"/>
        <v>Business</v>
      </c>
      <c r="S1805" s="11">
        <f t="shared" si="144"/>
        <v>5</v>
      </c>
    </row>
    <row r="1806" spans="1:19">
      <c r="A1806" t="s">
        <v>9349</v>
      </c>
      <c r="B1806" t="s">
        <v>9350</v>
      </c>
      <c r="C1806" t="s">
        <v>518</v>
      </c>
      <c r="D1806" t="s">
        <v>9351</v>
      </c>
      <c r="E1806" t="s">
        <v>9352</v>
      </c>
      <c r="F1806" t="s">
        <v>9353</v>
      </c>
      <c r="G1806" s="4">
        <v>45342</v>
      </c>
      <c r="H1806" s="4">
        <v>45429</v>
      </c>
      <c r="I1806" s="4">
        <v>45433</v>
      </c>
      <c r="J1806">
        <f t="shared" si="140"/>
        <v>4</v>
      </c>
      <c r="K1806" t="str">
        <f t="array" ref="K1806">_xlfn.IFS(J1806=1,"Day Use",J1806&lt;=3,"Short Stay",J1806&lt;=7,"Extended Stay",J1806&gt;=8,"Long Stay")</f>
        <v>Extended Stay</v>
      </c>
      <c r="L1806" t="s">
        <v>84</v>
      </c>
      <c r="M1806" s="10" t="str">
        <f t="shared" si="141"/>
        <v>Deluxe</v>
      </c>
      <c r="N1806" t="s">
        <v>148</v>
      </c>
      <c r="O1806" t="s">
        <v>42</v>
      </c>
      <c r="P1806">
        <f>IFERROR(VLOOKUP(TRIM(M1806),Room!D:H,5,FALSE),5000)</f>
        <v>5400</v>
      </c>
      <c r="Q1806">
        <f t="shared" si="142"/>
        <v>21600</v>
      </c>
      <c r="R1806" s="11" t="str">
        <f t="shared" si="143"/>
        <v>Conference</v>
      </c>
      <c r="S1806" s="11">
        <f t="shared" si="144"/>
        <v>3</v>
      </c>
    </row>
    <row r="1807" spans="1:19">
      <c r="A1807" t="s">
        <v>9354</v>
      </c>
      <c r="B1807" t="s">
        <v>9355</v>
      </c>
      <c r="C1807" t="s">
        <v>1972</v>
      </c>
      <c r="D1807" t="s">
        <v>9356</v>
      </c>
      <c r="E1807" t="s">
        <v>9357</v>
      </c>
      <c r="F1807" t="s">
        <v>9358</v>
      </c>
      <c r="G1807" s="4">
        <v>45398</v>
      </c>
      <c r="H1807" s="4">
        <v>45422</v>
      </c>
      <c r="I1807" s="4">
        <v>45430</v>
      </c>
      <c r="J1807">
        <f t="shared" si="140"/>
        <v>8</v>
      </c>
      <c r="K1807" t="str">
        <f t="array" ref="K1807">_xlfn.IFS(J1807=1,"Day Use",J1807&lt;=3,"Short Stay",J1807&lt;=7,"Extended Stay",J1807&gt;=8,"Long Stay")</f>
        <v>Long Stay</v>
      </c>
      <c r="L1807" t="s">
        <v>34</v>
      </c>
      <c r="M1807" s="10" t="str">
        <f t="shared" si="141"/>
        <v>Premium</v>
      </c>
      <c r="N1807" t="s">
        <v>26</v>
      </c>
      <c r="O1807" t="s">
        <v>27</v>
      </c>
      <c r="P1807">
        <f>IFERROR(VLOOKUP(TRIM(M1807),Room!D:H,5,FALSE),5000)</f>
        <v>9500</v>
      </c>
      <c r="Q1807">
        <f t="shared" si="142"/>
        <v>76000</v>
      </c>
      <c r="R1807" s="11" t="str">
        <f t="shared" si="143"/>
        <v>Conference</v>
      </c>
      <c r="S1807" s="11">
        <f t="shared" si="144"/>
        <v>4</v>
      </c>
    </row>
    <row r="1808" spans="1:19">
      <c r="A1808" t="s">
        <v>9359</v>
      </c>
      <c r="B1808" t="s">
        <v>9360</v>
      </c>
      <c r="C1808" t="s">
        <v>2270</v>
      </c>
      <c r="D1808" t="s">
        <v>9361</v>
      </c>
      <c r="E1808" t="s">
        <v>9362</v>
      </c>
      <c r="F1808" t="s">
        <v>9363</v>
      </c>
      <c r="G1808" s="4">
        <v>45419</v>
      </c>
      <c r="H1808" s="4">
        <v>45717</v>
      </c>
      <c r="I1808" s="4">
        <v>45718</v>
      </c>
      <c r="J1808">
        <f t="shared" si="140"/>
        <v>1</v>
      </c>
      <c r="K1808" t="str">
        <f t="array" ref="K1808">_xlfn.IFS(J1808=1,"Day Use",J1808&lt;=3,"Short Stay",J1808&lt;=7,"Extended Stay",J1808&gt;=8,"Long Stay")</f>
        <v>Day Use</v>
      </c>
      <c r="L1808" t="s">
        <v>141</v>
      </c>
      <c r="M1808" s="10" t="str">
        <f t="shared" si="141"/>
        <v>Standard</v>
      </c>
      <c r="N1808" t="s">
        <v>26</v>
      </c>
      <c r="O1808" t="s">
        <v>42</v>
      </c>
      <c r="P1808">
        <f>IFERROR(VLOOKUP(TRIM(M1808),Room!D:H,5,FALSE),5000)</f>
        <v>3200</v>
      </c>
      <c r="Q1808">
        <f t="shared" si="142"/>
        <v>3200</v>
      </c>
      <c r="R1808" s="11" t="str">
        <f t="shared" si="143"/>
        <v>Other</v>
      </c>
      <c r="S1808" s="11">
        <f t="shared" si="144"/>
        <v>1</v>
      </c>
    </row>
    <row r="1809" spans="1:19">
      <c r="A1809" t="s">
        <v>9364</v>
      </c>
      <c r="B1809" t="s">
        <v>9365</v>
      </c>
      <c r="C1809" t="s">
        <v>853</v>
      </c>
      <c r="D1809" t="s">
        <v>9366</v>
      </c>
      <c r="E1809" t="s">
        <v>9367</v>
      </c>
      <c r="F1809" t="s">
        <v>9368</v>
      </c>
      <c r="G1809" s="4">
        <v>45523</v>
      </c>
      <c r="H1809" s="4">
        <v>45784</v>
      </c>
      <c r="I1809" s="4">
        <v>45790</v>
      </c>
      <c r="J1809">
        <f t="shared" si="140"/>
        <v>6</v>
      </c>
      <c r="K1809" t="str">
        <f t="array" ref="K1809">_xlfn.IFS(J1809=1,"Day Use",J1809&lt;=3,"Short Stay",J1809&lt;=7,"Extended Stay",J1809&gt;=8,"Long Stay")</f>
        <v>Extended Stay</v>
      </c>
      <c r="L1809" t="s">
        <v>49</v>
      </c>
      <c r="M1809" s="10" t="str">
        <f t="shared" si="141"/>
        <v>Deluxe</v>
      </c>
      <c r="N1809" t="s">
        <v>26</v>
      </c>
      <c r="O1809" t="s">
        <v>35</v>
      </c>
      <c r="P1809">
        <f>IFERROR(VLOOKUP(TRIM(M1809),Room!D:H,5,FALSE),5000)</f>
        <v>5400</v>
      </c>
      <c r="Q1809">
        <f t="shared" si="142"/>
        <v>32400</v>
      </c>
      <c r="R1809" s="11" t="str">
        <f t="shared" si="143"/>
        <v>Conference</v>
      </c>
      <c r="S1809" s="11">
        <f t="shared" si="144"/>
        <v>3</v>
      </c>
    </row>
    <row r="1810" spans="1:19">
      <c r="A1810" t="s">
        <v>9369</v>
      </c>
      <c r="B1810" t="s">
        <v>9370</v>
      </c>
      <c r="C1810" t="s">
        <v>786</v>
      </c>
      <c r="D1810" t="s">
        <v>9371</v>
      </c>
      <c r="E1810" t="s">
        <v>9372</v>
      </c>
      <c r="F1810" t="s">
        <v>9373</v>
      </c>
      <c r="G1810" s="4">
        <v>45768</v>
      </c>
      <c r="H1810" s="4">
        <v>45824</v>
      </c>
      <c r="I1810" s="4">
        <v>45827</v>
      </c>
      <c r="J1810">
        <f t="shared" si="140"/>
        <v>3</v>
      </c>
      <c r="K1810" t="str">
        <f t="array" ref="K1810">_xlfn.IFS(J1810=1,"Day Use",J1810&lt;=3,"Short Stay",J1810&lt;=7,"Extended Stay",J1810&gt;=8,"Long Stay")</f>
        <v>Short Stay</v>
      </c>
      <c r="L1810" t="s">
        <v>25</v>
      </c>
      <c r="M1810" s="10" t="str">
        <f t="shared" si="141"/>
        <v>Standard</v>
      </c>
      <c r="N1810" t="s">
        <v>57</v>
      </c>
      <c r="O1810" t="s">
        <v>27</v>
      </c>
      <c r="P1810">
        <f>IFERROR(VLOOKUP(TRIM(M1810),Room!D:H,5,FALSE),5000)</f>
        <v>3200</v>
      </c>
      <c r="Q1810">
        <f t="shared" si="142"/>
        <v>9600</v>
      </c>
      <c r="R1810" s="11" t="str">
        <f t="shared" si="143"/>
        <v>Other</v>
      </c>
      <c r="S1810" s="11">
        <f t="shared" si="144"/>
        <v>2</v>
      </c>
    </row>
    <row r="1811" spans="1:19">
      <c r="A1811" t="s">
        <v>9374</v>
      </c>
      <c r="B1811" t="s">
        <v>9375</v>
      </c>
      <c r="C1811" t="s">
        <v>392</v>
      </c>
      <c r="D1811" t="s">
        <v>9376</v>
      </c>
      <c r="E1811" t="s">
        <v>9377</v>
      </c>
      <c r="F1811" t="s">
        <v>9378</v>
      </c>
      <c r="G1811" s="4">
        <v>45369</v>
      </c>
      <c r="H1811" s="4">
        <v>45369</v>
      </c>
      <c r="I1811" s="4">
        <v>45371</v>
      </c>
      <c r="J1811">
        <f t="shared" si="140"/>
        <v>2</v>
      </c>
      <c r="K1811" t="str">
        <f t="array" ref="K1811">_xlfn.IFS(J1811=1,"Day Use",J1811&lt;=3,"Short Stay",J1811&lt;=7,"Extended Stay",J1811&gt;=8,"Long Stay")</f>
        <v>Short Stay</v>
      </c>
      <c r="L1811" t="s">
        <v>49</v>
      </c>
      <c r="M1811" s="10" t="str">
        <f t="shared" si="141"/>
        <v>Standard</v>
      </c>
      <c r="N1811" t="s">
        <v>57</v>
      </c>
      <c r="O1811" t="s">
        <v>35</v>
      </c>
      <c r="P1811">
        <f>IFERROR(VLOOKUP(TRIM(M1811),Room!D:H,5,FALSE),5000)</f>
        <v>3200</v>
      </c>
      <c r="Q1811">
        <f t="shared" si="142"/>
        <v>6400</v>
      </c>
      <c r="R1811" s="11" t="str">
        <f t="shared" si="143"/>
        <v>Other</v>
      </c>
      <c r="S1811" s="11">
        <f t="shared" si="144"/>
        <v>2</v>
      </c>
    </row>
    <row r="1812" spans="1:19">
      <c r="A1812" t="s">
        <v>9379</v>
      </c>
      <c r="B1812" t="s">
        <v>9380</v>
      </c>
      <c r="C1812" t="s">
        <v>2837</v>
      </c>
      <c r="D1812" t="s">
        <v>9381</v>
      </c>
      <c r="E1812" t="s">
        <v>9382</v>
      </c>
      <c r="F1812" t="s">
        <v>9383</v>
      </c>
      <c r="G1812" s="4">
        <v>45404</v>
      </c>
      <c r="H1812" s="4">
        <v>45419</v>
      </c>
      <c r="I1812" s="4">
        <v>45424</v>
      </c>
      <c r="J1812">
        <f t="shared" si="140"/>
        <v>5</v>
      </c>
      <c r="K1812" t="str">
        <f t="array" ref="K1812">_xlfn.IFS(J1812=1,"Day Use",J1812&lt;=3,"Short Stay",J1812&lt;=7,"Extended Stay",J1812&gt;=8,"Long Stay")</f>
        <v>Extended Stay</v>
      </c>
      <c r="L1812" t="s">
        <v>196</v>
      </c>
      <c r="M1812" s="10" t="str">
        <f t="shared" si="141"/>
        <v>Deluxe</v>
      </c>
      <c r="N1812" t="s">
        <v>26</v>
      </c>
      <c r="O1812" t="s">
        <v>27</v>
      </c>
      <c r="P1812">
        <f>IFERROR(VLOOKUP(TRIM(M1812),Room!D:H,5,FALSE),5000)</f>
        <v>5400</v>
      </c>
      <c r="Q1812">
        <f t="shared" si="142"/>
        <v>27000</v>
      </c>
      <c r="R1812" s="11" t="str">
        <f t="shared" si="143"/>
        <v>Conference</v>
      </c>
      <c r="S1812" s="11">
        <f t="shared" si="144"/>
        <v>3</v>
      </c>
    </row>
    <row r="1813" spans="1:19">
      <c r="A1813" t="s">
        <v>9384</v>
      </c>
      <c r="B1813" t="s">
        <v>9385</v>
      </c>
      <c r="C1813" t="s">
        <v>174</v>
      </c>
      <c r="D1813" t="s">
        <v>9386</v>
      </c>
      <c r="E1813" t="s">
        <v>9387</v>
      </c>
      <c r="F1813" t="s">
        <v>9388</v>
      </c>
      <c r="G1813" s="4">
        <v>45705</v>
      </c>
      <c r="H1813" s="4">
        <v>45713</v>
      </c>
      <c r="I1813" s="4">
        <v>45720</v>
      </c>
      <c r="J1813">
        <f t="shared" si="140"/>
        <v>7</v>
      </c>
      <c r="K1813" t="str">
        <f t="array" ref="K1813">_xlfn.IFS(J1813=1,"Day Use",J1813&lt;=3,"Short Stay",J1813&lt;=7,"Extended Stay",J1813&gt;=8,"Long Stay")</f>
        <v>Extended Stay</v>
      </c>
      <c r="L1813" t="s">
        <v>84</v>
      </c>
      <c r="M1813" s="10" t="str">
        <f t="shared" si="141"/>
        <v>Premium</v>
      </c>
      <c r="N1813" t="s">
        <v>26</v>
      </c>
      <c r="O1813" t="s">
        <v>42</v>
      </c>
      <c r="P1813">
        <f>IFERROR(VLOOKUP(TRIM(M1813),Room!D:H,5,FALSE),5000)</f>
        <v>9500</v>
      </c>
      <c r="Q1813">
        <f t="shared" si="142"/>
        <v>66500</v>
      </c>
      <c r="R1813" s="11" t="str">
        <f t="shared" si="143"/>
        <v>Conference</v>
      </c>
      <c r="S1813" s="11">
        <f t="shared" si="144"/>
        <v>4</v>
      </c>
    </row>
    <row r="1814" spans="1:19">
      <c r="A1814" t="s">
        <v>9389</v>
      </c>
      <c r="B1814" t="s">
        <v>9390</v>
      </c>
      <c r="C1814" t="s">
        <v>2689</v>
      </c>
      <c r="D1814" t="s">
        <v>9391</v>
      </c>
      <c r="E1814" t="s">
        <v>9392</v>
      </c>
      <c r="F1814" t="s">
        <v>9393</v>
      </c>
      <c r="G1814" s="4">
        <v>45930</v>
      </c>
      <c r="H1814" s="4">
        <v>46009</v>
      </c>
      <c r="I1814" s="4">
        <v>46016</v>
      </c>
      <c r="J1814">
        <f t="shared" si="140"/>
        <v>7</v>
      </c>
      <c r="K1814" t="str">
        <f t="array" ref="K1814">_xlfn.IFS(J1814=1,"Day Use",J1814&lt;=3,"Short Stay",J1814&lt;=7,"Extended Stay",J1814&gt;=8,"Long Stay")</f>
        <v>Extended Stay</v>
      </c>
      <c r="L1814" t="s">
        <v>141</v>
      </c>
      <c r="M1814" s="10" t="str">
        <f t="shared" si="141"/>
        <v>Premium</v>
      </c>
      <c r="N1814" t="s">
        <v>26</v>
      </c>
      <c r="O1814" t="s">
        <v>42</v>
      </c>
      <c r="P1814">
        <f>IFERROR(VLOOKUP(TRIM(M1814),Room!D:H,5,FALSE),5000)</f>
        <v>9500</v>
      </c>
      <c r="Q1814">
        <f t="shared" si="142"/>
        <v>66500</v>
      </c>
      <c r="R1814" s="11" t="str">
        <f t="shared" si="143"/>
        <v>Conference</v>
      </c>
      <c r="S1814" s="11">
        <f t="shared" si="144"/>
        <v>4</v>
      </c>
    </row>
    <row r="1815" spans="1:19">
      <c r="A1815" t="s">
        <v>9394</v>
      </c>
      <c r="B1815" t="s">
        <v>9395</v>
      </c>
      <c r="C1815" t="s">
        <v>1794</v>
      </c>
      <c r="D1815" t="s">
        <v>9396</v>
      </c>
      <c r="E1815" t="s">
        <v>9397</v>
      </c>
      <c r="F1815" t="s">
        <v>9398</v>
      </c>
      <c r="G1815" s="4">
        <v>45576</v>
      </c>
      <c r="H1815" s="4">
        <v>45904</v>
      </c>
      <c r="I1815" s="4">
        <v>45915</v>
      </c>
      <c r="J1815">
        <f t="shared" si="140"/>
        <v>11</v>
      </c>
      <c r="K1815" t="str">
        <f t="array" ref="K1815">_xlfn.IFS(J1815=1,"Day Use",J1815&lt;=3,"Short Stay",J1815&lt;=7,"Extended Stay",J1815&gt;=8,"Long Stay")</f>
        <v>Long Stay</v>
      </c>
      <c r="L1815" t="s">
        <v>56</v>
      </c>
      <c r="M1815" s="10" t="str">
        <f t="shared" si="141"/>
        <v>Suite</v>
      </c>
      <c r="N1815" t="s">
        <v>26</v>
      </c>
      <c r="O1815" t="s">
        <v>42</v>
      </c>
      <c r="P1815">
        <f>IFERROR(VLOOKUP(TRIM(M1815),Room!D:H,5,FALSE),5000)</f>
        <v>12500</v>
      </c>
      <c r="Q1815">
        <f t="shared" si="142"/>
        <v>137500</v>
      </c>
      <c r="R1815" s="11" t="str">
        <f t="shared" si="143"/>
        <v>Business</v>
      </c>
      <c r="S1815" s="11">
        <f t="shared" si="144"/>
        <v>5</v>
      </c>
    </row>
    <row r="1816" spans="1:19">
      <c r="A1816" t="s">
        <v>9399</v>
      </c>
      <c r="B1816" t="s">
        <v>9400</v>
      </c>
      <c r="C1816" t="s">
        <v>2154</v>
      </c>
      <c r="D1816" t="s">
        <v>9401</v>
      </c>
      <c r="E1816" t="s">
        <v>9402</v>
      </c>
      <c r="F1816" t="s">
        <v>9403</v>
      </c>
      <c r="G1816" s="4">
        <v>45449</v>
      </c>
      <c r="H1816" s="4">
        <v>45593</v>
      </c>
      <c r="I1816" s="4">
        <v>45598</v>
      </c>
      <c r="J1816">
        <f t="shared" si="140"/>
        <v>5</v>
      </c>
      <c r="K1816" t="str">
        <f t="array" ref="K1816">_xlfn.IFS(J1816=1,"Day Use",J1816&lt;=3,"Short Stay",J1816&lt;=7,"Extended Stay",J1816&gt;=8,"Long Stay")</f>
        <v>Extended Stay</v>
      </c>
      <c r="L1816" t="s">
        <v>91</v>
      </c>
      <c r="M1816" s="10" t="str">
        <f t="shared" si="141"/>
        <v>Deluxe</v>
      </c>
      <c r="N1816" t="s">
        <v>134</v>
      </c>
      <c r="O1816" t="s">
        <v>35</v>
      </c>
      <c r="P1816">
        <f>IFERROR(VLOOKUP(TRIM(M1816),Room!D:H,5,FALSE),5000)</f>
        <v>5400</v>
      </c>
      <c r="Q1816">
        <f t="shared" si="142"/>
        <v>27000</v>
      </c>
      <c r="R1816" s="11" t="str">
        <f t="shared" si="143"/>
        <v>Conference</v>
      </c>
      <c r="S1816" s="11">
        <f t="shared" si="144"/>
        <v>3</v>
      </c>
    </row>
    <row r="1817" spans="1:19">
      <c r="A1817" t="s">
        <v>9404</v>
      </c>
      <c r="B1817" t="s">
        <v>9405</v>
      </c>
      <c r="C1817" t="s">
        <v>130</v>
      </c>
      <c r="D1817" t="s">
        <v>9406</v>
      </c>
      <c r="E1817" t="s">
        <v>9407</v>
      </c>
      <c r="F1817" t="s">
        <v>9408</v>
      </c>
      <c r="G1817" s="4">
        <v>45403</v>
      </c>
      <c r="H1817" s="4">
        <v>45424</v>
      </c>
      <c r="I1817" s="4">
        <v>45429</v>
      </c>
      <c r="J1817">
        <f t="shared" si="140"/>
        <v>5</v>
      </c>
      <c r="K1817" t="str">
        <f t="array" ref="K1817">_xlfn.IFS(J1817=1,"Day Use",J1817&lt;=3,"Short Stay",J1817&lt;=7,"Extended Stay",J1817&gt;=8,"Long Stay")</f>
        <v>Extended Stay</v>
      </c>
      <c r="L1817" t="s">
        <v>25</v>
      </c>
      <c r="M1817" s="10" t="str">
        <f t="shared" si="141"/>
        <v>Deluxe</v>
      </c>
      <c r="N1817" t="s">
        <v>57</v>
      </c>
      <c r="O1817" t="s">
        <v>27</v>
      </c>
      <c r="P1817">
        <f>IFERROR(VLOOKUP(TRIM(M1817),Room!D:H,5,FALSE),5000)</f>
        <v>5400</v>
      </c>
      <c r="Q1817">
        <f t="shared" si="142"/>
        <v>27000</v>
      </c>
      <c r="R1817" s="11" t="str">
        <f t="shared" si="143"/>
        <v>Conference</v>
      </c>
      <c r="S1817" s="11">
        <f t="shared" si="144"/>
        <v>3</v>
      </c>
    </row>
    <row r="1818" spans="1:19">
      <c r="A1818" t="s">
        <v>9409</v>
      </c>
      <c r="B1818" t="s">
        <v>9410</v>
      </c>
      <c r="C1818" t="s">
        <v>223</v>
      </c>
      <c r="D1818" t="s">
        <v>9411</v>
      </c>
      <c r="E1818" t="s">
        <v>9412</v>
      </c>
      <c r="F1818" t="s">
        <v>9413</v>
      </c>
      <c r="G1818" s="4">
        <v>45706</v>
      </c>
      <c r="H1818" s="4">
        <v>45757</v>
      </c>
      <c r="I1818" s="4">
        <v>45767</v>
      </c>
      <c r="J1818">
        <f t="shared" si="140"/>
        <v>10</v>
      </c>
      <c r="K1818" t="str">
        <f t="array" ref="K1818">_xlfn.IFS(J1818=1,"Day Use",J1818&lt;=3,"Short Stay",J1818&lt;=7,"Extended Stay",J1818&gt;=8,"Long Stay")</f>
        <v>Long Stay</v>
      </c>
      <c r="L1818" t="s">
        <v>196</v>
      </c>
      <c r="M1818" s="10" t="str">
        <f t="shared" si="141"/>
        <v>Premium</v>
      </c>
      <c r="N1818" t="s">
        <v>372</v>
      </c>
      <c r="O1818" t="s">
        <v>35</v>
      </c>
      <c r="P1818">
        <f>IFERROR(VLOOKUP(TRIM(M1818),Room!D:H,5,FALSE),5000)</f>
        <v>9500</v>
      </c>
      <c r="Q1818">
        <f t="shared" si="142"/>
        <v>95000</v>
      </c>
      <c r="R1818" s="11" t="str">
        <f t="shared" si="143"/>
        <v>Conference</v>
      </c>
      <c r="S1818" s="11">
        <f t="shared" si="144"/>
        <v>4</v>
      </c>
    </row>
    <row r="1819" spans="1:19">
      <c r="A1819" t="s">
        <v>9414</v>
      </c>
      <c r="B1819" t="s">
        <v>9415</v>
      </c>
      <c r="C1819" t="s">
        <v>7577</v>
      </c>
      <c r="D1819" t="s">
        <v>9416</v>
      </c>
      <c r="E1819" t="s">
        <v>9417</v>
      </c>
      <c r="F1819" t="s">
        <v>9418</v>
      </c>
      <c r="G1819" s="4">
        <v>45291</v>
      </c>
      <c r="H1819" s="4">
        <v>45661</v>
      </c>
      <c r="I1819" s="4">
        <v>45665</v>
      </c>
      <c r="J1819">
        <f t="shared" si="140"/>
        <v>4</v>
      </c>
      <c r="K1819" t="str">
        <f t="array" ref="K1819">_xlfn.IFS(J1819=1,"Day Use",J1819&lt;=3,"Short Stay",J1819&lt;=7,"Extended Stay",J1819&gt;=8,"Long Stay")</f>
        <v>Extended Stay</v>
      </c>
      <c r="L1819" t="s">
        <v>25</v>
      </c>
      <c r="M1819" s="10" t="str">
        <f t="shared" si="141"/>
        <v>Deluxe</v>
      </c>
      <c r="N1819" t="s">
        <v>26</v>
      </c>
      <c r="O1819" t="s">
        <v>71</v>
      </c>
      <c r="P1819">
        <f>IFERROR(VLOOKUP(TRIM(M1819),Room!D:H,5,FALSE),5000)</f>
        <v>5400</v>
      </c>
      <c r="Q1819">
        <f t="shared" si="142"/>
        <v>21600</v>
      </c>
      <c r="R1819" s="11" t="str">
        <f t="shared" si="143"/>
        <v>Conference</v>
      </c>
      <c r="S1819" s="11">
        <f t="shared" si="144"/>
        <v>3</v>
      </c>
    </row>
    <row r="1820" spans="1:19">
      <c r="A1820" t="s">
        <v>9419</v>
      </c>
      <c r="B1820" t="s">
        <v>9420</v>
      </c>
      <c r="C1820" t="s">
        <v>893</v>
      </c>
      <c r="D1820" t="s">
        <v>9421</v>
      </c>
      <c r="E1820" t="s">
        <v>9422</v>
      </c>
      <c r="F1820" t="s">
        <v>9423</v>
      </c>
      <c r="G1820" s="4">
        <v>45810</v>
      </c>
      <c r="H1820" s="4">
        <v>45839</v>
      </c>
      <c r="I1820" s="4">
        <v>45845</v>
      </c>
      <c r="J1820">
        <f t="shared" si="140"/>
        <v>6</v>
      </c>
      <c r="K1820" t="str">
        <f t="array" ref="K1820">_xlfn.IFS(J1820=1,"Day Use",J1820&lt;=3,"Short Stay",J1820&lt;=7,"Extended Stay",J1820&gt;=8,"Long Stay")</f>
        <v>Extended Stay</v>
      </c>
      <c r="L1820" t="s">
        <v>49</v>
      </c>
      <c r="M1820" s="10" t="str">
        <f t="shared" si="141"/>
        <v>Deluxe</v>
      </c>
      <c r="N1820" t="s">
        <v>148</v>
      </c>
      <c r="O1820" t="s">
        <v>42</v>
      </c>
      <c r="P1820">
        <f>IFERROR(VLOOKUP(TRIM(M1820),Room!D:H,5,FALSE),5000)</f>
        <v>5400</v>
      </c>
      <c r="Q1820">
        <f t="shared" si="142"/>
        <v>32400</v>
      </c>
      <c r="R1820" s="11" t="str">
        <f t="shared" si="143"/>
        <v>Conference</v>
      </c>
      <c r="S1820" s="11">
        <f t="shared" si="144"/>
        <v>3</v>
      </c>
    </row>
    <row r="1821" spans="1:19">
      <c r="A1821" t="s">
        <v>9424</v>
      </c>
      <c r="B1821" t="s">
        <v>9425</v>
      </c>
      <c r="C1821" t="s">
        <v>3762</v>
      </c>
      <c r="D1821" t="s">
        <v>9426</v>
      </c>
      <c r="E1821" t="s">
        <v>9427</v>
      </c>
      <c r="F1821" t="s">
        <v>9428</v>
      </c>
      <c r="G1821" s="4">
        <v>45993</v>
      </c>
      <c r="H1821" s="4">
        <v>46021</v>
      </c>
      <c r="I1821" s="4">
        <v>46022</v>
      </c>
      <c r="J1821">
        <f t="shared" si="140"/>
        <v>1</v>
      </c>
      <c r="K1821" t="str">
        <f t="array" ref="K1821">_xlfn.IFS(J1821=1,"Day Use",J1821&lt;=3,"Short Stay",J1821&lt;=7,"Extended Stay",J1821&gt;=8,"Long Stay")</f>
        <v>Day Use</v>
      </c>
      <c r="L1821" t="s">
        <v>34</v>
      </c>
      <c r="M1821" s="10" t="str">
        <f t="shared" si="141"/>
        <v>Standard</v>
      </c>
      <c r="N1821" t="s">
        <v>26</v>
      </c>
      <c r="O1821" t="s">
        <v>42</v>
      </c>
      <c r="P1821">
        <f>IFERROR(VLOOKUP(TRIM(M1821),Room!D:H,5,FALSE),5000)</f>
        <v>3200</v>
      </c>
      <c r="Q1821">
        <f t="shared" si="142"/>
        <v>3200</v>
      </c>
      <c r="R1821" s="11" t="str">
        <f t="shared" si="143"/>
        <v>Other</v>
      </c>
      <c r="S1821" s="11">
        <f t="shared" si="144"/>
        <v>1</v>
      </c>
    </row>
    <row r="1822" spans="1:19">
      <c r="A1822" t="s">
        <v>9429</v>
      </c>
      <c r="B1822" t="s">
        <v>9430</v>
      </c>
      <c r="C1822" t="s">
        <v>163</v>
      </c>
      <c r="D1822" t="s">
        <v>9431</v>
      </c>
      <c r="E1822" t="s">
        <v>9432</v>
      </c>
      <c r="F1822" t="s">
        <v>9433</v>
      </c>
      <c r="G1822" s="4">
        <v>45432</v>
      </c>
      <c r="H1822" s="4">
        <v>45439</v>
      </c>
      <c r="I1822" s="4">
        <v>45448</v>
      </c>
      <c r="J1822">
        <f t="shared" si="140"/>
        <v>9</v>
      </c>
      <c r="K1822" t="str">
        <f t="array" ref="K1822">_xlfn.IFS(J1822=1,"Day Use",J1822&lt;=3,"Short Stay",J1822&lt;=7,"Extended Stay",J1822&gt;=8,"Long Stay")</f>
        <v>Long Stay</v>
      </c>
      <c r="L1822" t="s">
        <v>91</v>
      </c>
      <c r="M1822" s="10" t="str">
        <f t="shared" si="141"/>
        <v>Premium</v>
      </c>
      <c r="N1822" t="s">
        <v>57</v>
      </c>
      <c r="O1822" t="s">
        <v>42</v>
      </c>
      <c r="P1822">
        <f>IFERROR(VLOOKUP(TRIM(M1822),Room!D:H,5,FALSE),5000)</f>
        <v>9500</v>
      </c>
      <c r="Q1822">
        <f t="shared" si="142"/>
        <v>85500</v>
      </c>
      <c r="R1822" s="11" t="str">
        <f t="shared" si="143"/>
        <v>Conference</v>
      </c>
      <c r="S1822" s="11">
        <f t="shared" si="144"/>
        <v>4</v>
      </c>
    </row>
    <row r="1823" spans="1:19">
      <c r="A1823" t="s">
        <v>9434</v>
      </c>
      <c r="B1823" t="s">
        <v>9435</v>
      </c>
      <c r="C1823" t="s">
        <v>524</v>
      </c>
      <c r="D1823" t="s">
        <v>9436</v>
      </c>
      <c r="E1823" t="s">
        <v>9437</v>
      </c>
      <c r="F1823" t="s">
        <v>9438</v>
      </c>
      <c r="G1823" s="4">
        <v>45766</v>
      </c>
      <c r="H1823" s="4">
        <v>45778</v>
      </c>
      <c r="I1823" s="4">
        <v>45782</v>
      </c>
      <c r="J1823">
        <f t="shared" si="140"/>
        <v>4</v>
      </c>
      <c r="K1823" t="str">
        <f t="array" ref="K1823">_xlfn.IFS(J1823=1,"Day Use",J1823&lt;=3,"Short Stay",J1823&lt;=7,"Extended Stay",J1823&gt;=8,"Long Stay")</f>
        <v>Extended Stay</v>
      </c>
      <c r="L1823" t="s">
        <v>196</v>
      </c>
      <c r="M1823" s="10" t="str">
        <f t="shared" si="141"/>
        <v>Deluxe</v>
      </c>
      <c r="N1823" t="s">
        <v>57</v>
      </c>
      <c r="O1823" t="s">
        <v>58</v>
      </c>
      <c r="P1823">
        <f>IFERROR(VLOOKUP(TRIM(M1823),Room!D:H,5,FALSE),5000)</f>
        <v>5400</v>
      </c>
      <c r="Q1823">
        <f t="shared" si="142"/>
        <v>21600</v>
      </c>
      <c r="R1823" s="11" t="str">
        <f t="shared" si="143"/>
        <v>Conference</v>
      </c>
      <c r="S1823" s="11">
        <f t="shared" si="144"/>
        <v>3</v>
      </c>
    </row>
    <row r="1824" spans="1:19">
      <c r="A1824" t="s">
        <v>9439</v>
      </c>
      <c r="B1824" t="s">
        <v>9440</v>
      </c>
      <c r="C1824" t="s">
        <v>38</v>
      </c>
      <c r="D1824" t="s">
        <v>9441</v>
      </c>
      <c r="E1824" t="s">
        <v>9442</v>
      </c>
      <c r="F1824" t="s">
        <v>9443</v>
      </c>
      <c r="G1824" s="4">
        <v>45411</v>
      </c>
      <c r="H1824" s="4">
        <v>45797</v>
      </c>
      <c r="I1824" s="4">
        <v>45804</v>
      </c>
      <c r="J1824">
        <f t="shared" si="140"/>
        <v>7</v>
      </c>
      <c r="K1824" t="str">
        <f t="array" ref="K1824">_xlfn.IFS(J1824=1,"Day Use",J1824&lt;=3,"Short Stay",J1824&lt;=7,"Extended Stay",J1824&gt;=8,"Long Stay")</f>
        <v>Extended Stay</v>
      </c>
      <c r="L1824" t="s">
        <v>56</v>
      </c>
      <c r="M1824" s="10" t="str">
        <f t="shared" si="141"/>
        <v>Premium</v>
      </c>
      <c r="N1824" t="s">
        <v>26</v>
      </c>
      <c r="O1824" t="s">
        <v>42</v>
      </c>
      <c r="P1824">
        <f>IFERROR(VLOOKUP(TRIM(M1824),Room!D:H,5,FALSE),5000)</f>
        <v>9500</v>
      </c>
      <c r="Q1824">
        <f t="shared" si="142"/>
        <v>66500</v>
      </c>
      <c r="R1824" s="11" t="str">
        <f t="shared" si="143"/>
        <v>Conference</v>
      </c>
      <c r="S1824" s="11">
        <f t="shared" si="144"/>
        <v>4</v>
      </c>
    </row>
    <row r="1825" spans="1:19">
      <c r="A1825" t="s">
        <v>9444</v>
      </c>
      <c r="B1825" t="s">
        <v>9445</v>
      </c>
      <c r="C1825" t="s">
        <v>667</v>
      </c>
      <c r="D1825" t="s">
        <v>9446</v>
      </c>
      <c r="E1825" t="s">
        <v>9447</v>
      </c>
      <c r="F1825" t="s">
        <v>9448</v>
      </c>
      <c r="G1825" s="4">
        <v>45294</v>
      </c>
      <c r="H1825" s="4">
        <v>45308</v>
      </c>
      <c r="I1825" s="4">
        <v>45320</v>
      </c>
      <c r="J1825">
        <f t="shared" si="140"/>
        <v>12</v>
      </c>
      <c r="K1825" t="str">
        <f t="array" ref="K1825">_xlfn.IFS(J1825=1,"Day Use",J1825&lt;=3,"Short Stay",J1825&lt;=7,"Extended Stay",J1825&gt;=8,"Long Stay")</f>
        <v>Long Stay</v>
      </c>
      <c r="L1825" t="s">
        <v>56</v>
      </c>
      <c r="M1825" s="10" t="str">
        <f t="shared" si="141"/>
        <v>Suite</v>
      </c>
      <c r="N1825" t="s">
        <v>57</v>
      </c>
      <c r="O1825" t="s">
        <v>35</v>
      </c>
      <c r="P1825">
        <f>IFERROR(VLOOKUP(TRIM(M1825),Room!D:H,5,FALSE),5000)</f>
        <v>12500</v>
      </c>
      <c r="Q1825">
        <f t="shared" si="142"/>
        <v>150000</v>
      </c>
      <c r="R1825" s="11" t="str">
        <f t="shared" si="143"/>
        <v>Business</v>
      </c>
      <c r="S1825" s="11">
        <f t="shared" si="144"/>
        <v>5</v>
      </c>
    </row>
    <row r="1826" spans="1:19">
      <c r="A1826" t="s">
        <v>9449</v>
      </c>
      <c r="B1826" t="s">
        <v>9450</v>
      </c>
      <c r="C1826" t="s">
        <v>865</v>
      </c>
      <c r="D1826" t="s">
        <v>9451</v>
      </c>
      <c r="E1826" t="s">
        <v>9452</v>
      </c>
      <c r="F1826" t="s">
        <v>9453</v>
      </c>
      <c r="G1826" s="4">
        <v>45912</v>
      </c>
      <c r="H1826" s="4">
        <v>45914</v>
      </c>
      <c r="I1826" s="4">
        <v>45925</v>
      </c>
      <c r="J1826">
        <f t="shared" si="140"/>
        <v>11</v>
      </c>
      <c r="K1826" t="str">
        <f t="array" ref="K1826">_xlfn.IFS(J1826=1,"Day Use",J1826&lt;=3,"Short Stay",J1826&lt;=7,"Extended Stay",J1826&gt;=8,"Long Stay")</f>
        <v>Long Stay</v>
      </c>
      <c r="L1826" t="s">
        <v>84</v>
      </c>
      <c r="M1826" s="10" t="str">
        <f t="shared" si="141"/>
        <v>Suite</v>
      </c>
      <c r="N1826" t="s">
        <v>26</v>
      </c>
      <c r="O1826" t="s">
        <v>71</v>
      </c>
      <c r="P1826">
        <f>IFERROR(VLOOKUP(TRIM(M1826),Room!D:H,5,FALSE),5000)</f>
        <v>12500</v>
      </c>
      <c r="Q1826">
        <f t="shared" si="142"/>
        <v>137500</v>
      </c>
      <c r="R1826" s="11" t="str">
        <f t="shared" si="143"/>
        <v>Business</v>
      </c>
      <c r="S1826" s="11">
        <f t="shared" si="144"/>
        <v>5</v>
      </c>
    </row>
    <row r="1827" spans="1:19">
      <c r="A1827" t="s">
        <v>9454</v>
      </c>
      <c r="B1827" t="s">
        <v>9455</v>
      </c>
      <c r="C1827" t="s">
        <v>500</v>
      </c>
      <c r="D1827" t="s">
        <v>9456</v>
      </c>
      <c r="E1827" t="s">
        <v>9457</v>
      </c>
      <c r="F1827" t="s">
        <v>9458</v>
      </c>
      <c r="G1827" s="4">
        <v>45382</v>
      </c>
      <c r="H1827" s="4">
        <v>45401</v>
      </c>
      <c r="I1827" s="4">
        <v>45406</v>
      </c>
      <c r="J1827">
        <f t="shared" si="140"/>
        <v>5</v>
      </c>
      <c r="K1827" t="str">
        <f t="array" ref="K1827">_xlfn.IFS(J1827=1,"Day Use",J1827&lt;=3,"Short Stay",J1827&lt;=7,"Extended Stay",J1827&gt;=8,"Long Stay")</f>
        <v>Extended Stay</v>
      </c>
      <c r="L1827" t="s">
        <v>34</v>
      </c>
      <c r="M1827" s="10" t="str">
        <f t="shared" si="141"/>
        <v>Deluxe</v>
      </c>
      <c r="N1827" t="s">
        <v>26</v>
      </c>
      <c r="O1827" t="s">
        <v>35</v>
      </c>
      <c r="P1827">
        <f>IFERROR(VLOOKUP(TRIM(M1827),Room!D:H,5,FALSE),5000)</f>
        <v>5400</v>
      </c>
      <c r="Q1827">
        <f t="shared" si="142"/>
        <v>27000</v>
      </c>
      <c r="R1827" s="11" t="str">
        <f t="shared" si="143"/>
        <v>Conference</v>
      </c>
      <c r="S1827" s="11">
        <f t="shared" si="144"/>
        <v>3</v>
      </c>
    </row>
    <row r="1828" spans="1:19">
      <c r="A1828" t="s">
        <v>9459</v>
      </c>
      <c r="B1828" t="s">
        <v>9460</v>
      </c>
      <c r="C1828" t="s">
        <v>124</v>
      </c>
      <c r="D1828" t="s">
        <v>9461</v>
      </c>
      <c r="E1828" t="s">
        <v>9462</v>
      </c>
      <c r="F1828" t="s">
        <v>9463</v>
      </c>
      <c r="G1828" s="4">
        <v>45626</v>
      </c>
      <c r="H1828" s="4">
        <v>45871</v>
      </c>
      <c r="I1828" s="4">
        <v>45875</v>
      </c>
      <c r="J1828">
        <f t="shared" si="140"/>
        <v>4</v>
      </c>
      <c r="K1828" t="str">
        <f t="array" ref="K1828">_xlfn.IFS(J1828=1,"Day Use",J1828&lt;=3,"Short Stay",J1828&lt;=7,"Extended Stay",J1828&gt;=8,"Long Stay")</f>
        <v>Extended Stay</v>
      </c>
      <c r="L1828" t="s">
        <v>141</v>
      </c>
      <c r="M1828" s="10" t="str">
        <f t="shared" si="141"/>
        <v>Deluxe</v>
      </c>
      <c r="N1828" t="s">
        <v>57</v>
      </c>
      <c r="O1828" t="s">
        <v>58</v>
      </c>
      <c r="P1828">
        <f>IFERROR(VLOOKUP(TRIM(M1828),Room!D:H,5,FALSE),5000)</f>
        <v>5400</v>
      </c>
      <c r="Q1828">
        <f t="shared" si="142"/>
        <v>21600</v>
      </c>
      <c r="R1828" s="11" t="str">
        <f t="shared" si="143"/>
        <v>Conference</v>
      </c>
      <c r="S1828" s="11">
        <f t="shared" si="144"/>
        <v>3</v>
      </c>
    </row>
    <row r="1829" spans="1:19">
      <c r="A1829" t="s">
        <v>9464</v>
      </c>
      <c r="B1829" t="s">
        <v>9465</v>
      </c>
      <c r="C1829" t="s">
        <v>1470</v>
      </c>
      <c r="D1829" t="s">
        <v>9466</v>
      </c>
      <c r="E1829" t="s">
        <v>9467</v>
      </c>
      <c r="F1829" t="s">
        <v>9468</v>
      </c>
      <c r="G1829" s="4">
        <v>45484</v>
      </c>
      <c r="H1829" s="4">
        <v>45565</v>
      </c>
      <c r="I1829" s="4">
        <v>45579</v>
      </c>
      <c r="J1829">
        <f t="shared" si="140"/>
        <v>14</v>
      </c>
      <c r="K1829" t="str">
        <f t="array" ref="K1829">_xlfn.IFS(J1829=1,"Day Use",J1829&lt;=3,"Short Stay",J1829&lt;=7,"Extended Stay",J1829&gt;=8,"Long Stay")</f>
        <v>Long Stay</v>
      </c>
      <c r="L1829" t="s">
        <v>34</v>
      </c>
      <c r="M1829" s="10" t="str">
        <f t="shared" si="141"/>
        <v>Suite</v>
      </c>
      <c r="N1829" t="s">
        <v>26</v>
      </c>
      <c r="O1829" t="s">
        <v>27</v>
      </c>
      <c r="P1829">
        <f>IFERROR(VLOOKUP(TRIM(M1829),Room!D:H,5,FALSE),5000)</f>
        <v>12500</v>
      </c>
      <c r="Q1829">
        <f t="shared" si="142"/>
        <v>175000</v>
      </c>
      <c r="R1829" s="11" t="str">
        <f t="shared" si="143"/>
        <v>Business</v>
      </c>
      <c r="S1829" s="11">
        <f t="shared" si="144"/>
        <v>5</v>
      </c>
    </row>
    <row r="1830" spans="1:19">
      <c r="A1830" t="s">
        <v>9469</v>
      </c>
      <c r="B1830" t="s">
        <v>9470</v>
      </c>
      <c r="C1830" t="s">
        <v>2474</v>
      </c>
      <c r="D1830" t="s">
        <v>9471</v>
      </c>
      <c r="E1830" t="s">
        <v>9472</v>
      </c>
      <c r="F1830" t="s">
        <v>9473</v>
      </c>
      <c r="G1830" s="4">
        <v>45622</v>
      </c>
      <c r="H1830" s="4">
        <v>45769</v>
      </c>
      <c r="I1830" s="4">
        <v>45774</v>
      </c>
      <c r="J1830">
        <f t="shared" si="140"/>
        <v>5</v>
      </c>
      <c r="K1830" t="str">
        <f t="array" ref="K1830">_xlfn.IFS(J1830=1,"Day Use",J1830&lt;=3,"Short Stay",J1830&lt;=7,"Extended Stay",J1830&gt;=8,"Long Stay")</f>
        <v>Extended Stay</v>
      </c>
      <c r="L1830" t="s">
        <v>56</v>
      </c>
      <c r="M1830" s="10" t="str">
        <f t="shared" si="141"/>
        <v>Deluxe</v>
      </c>
      <c r="N1830" t="s">
        <v>26</v>
      </c>
      <c r="O1830" t="s">
        <v>71</v>
      </c>
      <c r="P1830">
        <f>IFERROR(VLOOKUP(TRIM(M1830),Room!D:H,5,FALSE),5000)</f>
        <v>5400</v>
      </c>
      <c r="Q1830">
        <f t="shared" si="142"/>
        <v>27000</v>
      </c>
      <c r="R1830" s="11" t="str">
        <f t="shared" si="143"/>
        <v>Conference</v>
      </c>
      <c r="S1830" s="11">
        <f t="shared" si="144"/>
        <v>3</v>
      </c>
    </row>
    <row r="1831" spans="1:19">
      <c r="A1831" t="s">
        <v>9474</v>
      </c>
      <c r="B1831" t="s">
        <v>9475</v>
      </c>
      <c r="C1831" t="s">
        <v>4512</v>
      </c>
      <c r="D1831" t="s">
        <v>9476</v>
      </c>
      <c r="E1831" t="s">
        <v>9477</v>
      </c>
      <c r="F1831" t="s">
        <v>9478</v>
      </c>
      <c r="G1831" s="4">
        <v>45552</v>
      </c>
      <c r="H1831" s="4">
        <v>45742</v>
      </c>
      <c r="I1831" s="4">
        <v>45756</v>
      </c>
      <c r="J1831">
        <f t="shared" si="140"/>
        <v>14</v>
      </c>
      <c r="K1831" t="str">
        <f t="array" ref="K1831">_xlfn.IFS(J1831=1,"Day Use",J1831&lt;=3,"Short Stay",J1831&lt;=7,"Extended Stay",J1831&gt;=8,"Long Stay")</f>
        <v>Long Stay</v>
      </c>
      <c r="L1831" t="s">
        <v>56</v>
      </c>
      <c r="M1831" s="10" t="str">
        <f t="shared" si="141"/>
        <v>Suite</v>
      </c>
      <c r="N1831" t="s">
        <v>26</v>
      </c>
      <c r="O1831" t="s">
        <v>71</v>
      </c>
      <c r="P1831">
        <f>IFERROR(VLOOKUP(TRIM(M1831),Room!D:H,5,FALSE),5000)</f>
        <v>12500</v>
      </c>
      <c r="Q1831">
        <f t="shared" si="142"/>
        <v>175000</v>
      </c>
      <c r="R1831" s="11" t="str">
        <f t="shared" si="143"/>
        <v>Business</v>
      </c>
      <c r="S1831" s="11">
        <f t="shared" si="144"/>
        <v>5</v>
      </c>
    </row>
    <row r="1832" spans="1:19">
      <c r="A1832" t="s">
        <v>9479</v>
      </c>
      <c r="B1832" t="s">
        <v>9480</v>
      </c>
      <c r="C1832" t="s">
        <v>1114</v>
      </c>
      <c r="D1832" t="s">
        <v>9481</v>
      </c>
      <c r="E1832" t="s">
        <v>9482</v>
      </c>
      <c r="F1832" t="s">
        <v>9483</v>
      </c>
      <c r="G1832" s="4">
        <v>45557</v>
      </c>
      <c r="H1832" s="4">
        <v>45915</v>
      </c>
      <c r="I1832" s="4">
        <v>45922</v>
      </c>
      <c r="J1832">
        <f t="shared" si="140"/>
        <v>7</v>
      </c>
      <c r="K1832" t="str">
        <f t="array" ref="K1832">_xlfn.IFS(J1832=1,"Day Use",J1832&lt;=3,"Short Stay",J1832&lt;=7,"Extended Stay",J1832&gt;=8,"Long Stay")</f>
        <v>Extended Stay</v>
      </c>
      <c r="L1832" t="s">
        <v>34</v>
      </c>
      <c r="M1832" s="10" t="str">
        <f t="shared" si="141"/>
        <v>Premium</v>
      </c>
      <c r="N1832" t="s">
        <v>134</v>
      </c>
      <c r="O1832" t="s">
        <v>35</v>
      </c>
      <c r="P1832">
        <f>IFERROR(VLOOKUP(TRIM(M1832),Room!D:H,5,FALSE),5000)</f>
        <v>9500</v>
      </c>
      <c r="Q1832">
        <f t="shared" si="142"/>
        <v>66500</v>
      </c>
      <c r="R1832" s="11" t="str">
        <f t="shared" si="143"/>
        <v>Conference</v>
      </c>
      <c r="S1832" s="11">
        <f t="shared" si="144"/>
        <v>4</v>
      </c>
    </row>
    <row r="1833" spans="1:19">
      <c r="A1833" t="s">
        <v>9484</v>
      </c>
      <c r="B1833" t="s">
        <v>9485</v>
      </c>
      <c r="C1833" t="s">
        <v>639</v>
      </c>
      <c r="D1833" t="s">
        <v>9486</v>
      </c>
      <c r="E1833" t="s">
        <v>9487</v>
      </c>
      <c r="F1833" t="s">
        <v>9488</v>
      </c>
      <c r="G1833" s="4">
        <v>45207</v>
      </c>
      <c r="H1833" s="4">
        <v>45959</v>
      </c>
      <c r="I1833" s="4">
        <v>45964</v>
      </c>
      <c r="J1833">
        <f t="shared" si="140"/>
        <v>5</v>
      </c>
      <c r="K1833" t="str">
        <f t="array" ref="K1833">_xlfn.IFS(J1833=1,"Day Use",J1833&lt;=3,"Short Stay",J1833&lt;=7,"Extended Stay",J1833&gt;=8,"Long Stay")</f>
        <v>Extended Stay</v>
      </c>
      <c r="L1833" t="s">
        <v>84</v>
      </c>
      <c r="M1833" s="10" t="str">
        <f t="shared" si="141"/>
        <v>Deluxe</v>
      </c>
      <c r="N1833" t="s">
        <v>26</v>
      </c>
      <c r="O1833" t="s">
        <v>35</v>
      </c>
      <c r="P1833">
        <f>IFERROR(VLOOKUP(TRIM(M1833),Room!D:H,5,FALSE),5000)</f>
        <v>5400</v>
      </c>
      <c r="Q1833">
        <f t="shared" si="142"/>
        <v>27000</v>
      </c>
      <c r="R1833" s="11" t="str">
        <f t="shared" si="143"/>
        <v>Conference</v>
      </c>
      <c r="S1833" s="11">
        <f t="shared" si="144"/>
        <v>3</v>
      </c>
    </row>
    <row r="1834" spans="1:19">
      <c r="A1834" t="s">
        <v>9489</v>
      </c>
      <c r="B1834" t="s">
        <v>9490</v>
      </c>
      <c r="C1834" t="s">
        <v>1660</v>
      </c>
      <c r="D1834" t="s">
        <v>9491</v>
      </c>
      <c r="E1834" t="s">
        <v>9492</v>
      </c>
      <c r="F1834" t="s">
        <v>9493</v>
      </c>
      <c r="G1834" s="4">
        <v>45338</v>
      </c>
      <c r="H1834" s="4">
        <v>45805</v>
      </c>
      <c r="I1834" s="4">
        <v>45817</v>
      </c>
      <c r="J1834">
        <f t="shared" si="140"/>
        <v>12</v>
      </c>
      <c r="K1834" t="str">
        <f t="array" ref="K1834">_xlfn.IFS(J1834=1,"Day Use",J1834&lt;=3,"Short Stay",J1834&lt;=7,"Extended Stay",J1834&gt;=8,"Long Stay")</f>
        <v>Long Stay</v>
      </c>
      <c r="L1834" t="s">
        <v>56</v>
      </c>
      <c r="M1834" s="10" t="str">
        <f t="shared" si="141"/>
        <v>Suite</v>
      </c>
      <c r="N1834" t="s">
        <v>26</v>
      </c>
      <c r="O1834" t="s">
        <v>27</v>
      </c>
      <c r="P1834">
        <f>IFERROR(VLOOKUP(TRIM(M1834),Room!D:H,5,FALSE),5000)</f>
        <v>12500</v>
      </c>
      <c r="Q1834">
        <f t="shared" si="142"/>
        <v>150000</v>
      </c>
      <c r="R1834" s="11" t="str">
        <f t="shared" si="143"/>
        <v>Business</v>
      </c>
      <c r="S1834" s="11">
        <f t="shared" si="144"/>
        <v>5</v>
      </c>
    </row>
    <row r="1835" spans="1:19">
      <c r="A1835" t="s">
        <v>9494</v>
      </c>
      <c r="B1835" t="s">
        <v>9495</v>
      </c>
      <c r="C1835" t="s">
        <v>762</v>
      </c>
      <c r="D1835" t="s">
        <v>9496</v>
      </c>
      <c r="E1835" t="s">
        <v>9497</v>
      </c>
      <c r="F1835" t="s">
        <v>9498</v>
      </c>
      <c r="G1835" s="4">
        <v>45415</v>
      </c>
      <c r="H1835" s="4">
        <v>45724</v>
      </c>
      <c r="I1835" s="4">
        <v>45733</v>
      </c>
      <c r="J1835">
        <f t="shared" si="140"/>
        <v>9</v>
      </c>
      <c r="K1835" t="str">
        <f t="array" ref="K1835">_xlfn.IFS(J1835=1,"Day Use",J1835&lt;=3,"Short Stay",J1835&lt;=7,"Extended Stay",J1835&gt;=8,"Long Stay")</f>
        <v>Long Stay</v>
      </c>
      <c r="L1835" t="s">
        <v>141</v>
      </c>
      <c r="M1835" s="10" t="str">
        <f t="shared" si="141"/>
        <v>Premium</v>
      </c>
      <c r="N1835" t="s">
        <v>26</v>
      </c>
      <c r="O1835" t="s">
        <v>35</v>
      </c>
      <c r="P1835">
        <f>IFERROR(VLOOKUP(TRIM(M1835),Room!D:H,5,FALSE),5000)</f>
        <v>9500</v>
      </c>
      <c r="Q1835">
        <f t="shared" si="142"/>
        <v>85500</v>
      </c>
      <c r="R1835" s="11" t="str">
        <f t="shared" si="143"/>
        <v>Conference</v>
      </c>
      <c r="S1835" s="11">
        <f t="shared" si="144"/>
        <v>4</v>
      </c>
    </row>
    <row r="1836" spans="1:19">
      <c r="A1836" t="s">
        <v>9499</v>
      </c>
      <c r="B1836" t="s">
        <v>9500</v>
      </c>
      <c r="C1836" t="s">
        <v>1008</v>
      </c>
      <c r="D1836" t="s">
        <v>9501</v>
      </c>
      <c r="E1836" t="s">
        <v>9502</v>
      </c>
      <c r="F1836" t="s">
        <v>9503</v>
      </c>
      <c r="G1836" s="4">
        <v>45722</v>
      </c>
      <c r="H1836" s="4">
        <v>45752</v>
      </c>
      <c r="I1836" s="4">
        <v>45766</v>
      </c>
      <c r="J1836">
        <f t="shared" si="140"/>
        <v>14</v>
      </c>
      <c r="K1836" t="str">
        <f t="array" ref="K1836">_xlfn.IFS(J1836=1,"Day Use",J1836&lt;=3,"Short Stay",J1836&lt;=7,"Extended Stay",J1836&gt;=8,"Long Stay")</f>
        <v>Long Stay</v>
      </c>
      <c r="L1836" t="s">
        <v>25</v>
      </c>
      <c r="M1836" s="10" t="str">
        <f t="shared" si="141"/>
        <v>Suite</v>
      </c>
      <c r="N1836" t="s">
        <v>26</v>
      </c>
      <c r="O1836" t="s">
        <v>35</v>
      </c>
      <c r="P1836">
        <f>IFERROR(VLOOKUP(TRIM(M1836),Room!D:H,5,FALSE),5000)</f>
        <v>12500</v>
      </c>
      <c r="Q1836">
        <f t="shared" si="142"/>
        <v>175000</v>
      </c>
      <c r="R1836" s="11" t="str">
        <f t="shared" si="143"/>
        <v>Business</v>
      </c>
      <c r="S1836" s="11">
        <f t="shared" si="144"/>
        <v>5</v>
      </c>
    </row>
    <row r="1837" spans="1:19">
      <c r="A1837" t="s">
        <v>9504</v>
      </c>
      <c r="B1837" t="s">
        <v>9505</v>
      </c>
      <c r="C1837" t="s">
        <v>74</v>
      </c>
      <c r="D1837" t="s">
        <v>9506</v>
      </c>
      <c r="E1837" t="s">
        <v>9507</v>
      </c>
      <c r="F1837" t="s">
        <v>9508</v>
      </c>
      <c r="G1837" s="4">
        <v>45400</v>
      </c>
      <c r="H1837" s="4">
        <v>45692</v>
      </c>
      <c r="I1837" s="4">
        <v>45703</v>
      </c>
      <c r="J1837">
        <f t="shared" si="140"/>
        <v>11</v>
      </c>
      <c r="K1837" t="str">
        <f t="array" ref="K1837">_xlfn.IFS(J1837=1,"Day Use",J1837&lt;=3,"Short Stay",J1837&lt;=7,"Extended Stay",J1837&gt;=8,"Long Stay")</f>
        <v>Long Stay</v>
      </c>
      <c r="L1837" t="s">
        <v>25</v>
      </c>
      <c r="M1837" s="10" t="str">
        <f t="shared" si="141"/>
        <v>Suite</v>
      </c>
      <c r="N1837" t="s">
        <v>26</v>
      </c>
      <c r="O1837" t="s">
        <v>58</v>
      </c>
      <c r="P1837">
        <f>IFERROR(VLOOKUP(TRIM(M1837),Room!D:H,5,FALSE),5000)</f>
        <v>12500</v>
      </c>
      <c r="Q1837">
        <f t="shared" si="142"/>
        <v>137500</v>
      </c>
      <c r="R1837" s="11" t="str">
        <f t="shared" si="143"/>
        <v>Business</v>
      </c>
      <c r="S1837" s="11">
        <f t="shared" si="144"/>
        <v>5</v>
      </c>
    </row>
    <row r="1838" spans="1:19">
      <c r="A1838" t="s">
        <v>9509</v>
      </c>
      <c r="B1838" t="s">
        <v>9510</v>
      </c>
      <c r="C1838" t="s">
        <v>6541</v>
      </c>
      <c r="D1838" t="s">
        <v>9511</v>
      </c>
      <c r="E1838" t="s">
        <v>9512</v>
      </c>
      <c r="F1838" t="s">
        <v>9513</v>
      </c>
      <c r="G1838" s="4">
        <v>45331</v>
      </c>
      <c r="H1838" s="4">
        <v>45403</v>
      </c>
      <c r="I1838" s="4">
        <v>45413</v>
      </c>
      <c r="J1838">
        <f t="shared" si="140"/>
        <v>10</v>
      </c>
      <c r="K1838" t="str">
        <f t="array" ref="K1838">_xlfn.IFS(J1838=1,"Day Use",J1838&lt;=3,"Short Stay",J1838&lt;=7,"Extended Stay",J1838&gt;=8,"Long Stay")</f>
        <v>Long Stay</v>
      </c>
      <c r="L1838" t="s">
        <v>196</v>
      </c>
      <c r="M1838" s="10" t="str">
        <f t="shared" si="141"/>
        <v>Premium</v>
      </c>
      <c r="N1838" t="s">
        <v>57</v>
      </c>
      <c r="O1838" t="s">
        <v>58</v>
      </c>
      <c r="P1838">
        <f>IFERROR(VLOOKUP(TRIM(M1838),Room!D:H,5,FALSE),5000)</f>
        <v>9500</v>
      </c>
      <c r="Q1838">
        <f t="shared" si="142"/>
        <v>95000</v>
      </c>
      <c r="R1838" s="11" t="str">
        <f t="shared" si="143"/>
        <v>Conference</v>
      </c>
      <c r="S1838" s="11">
        <f t="shared" si="144"/>
        <v>4</v>
      </c>
    </row>
    <row r="1839" spans="1:19">
      <c r="A1839" t="s">
        <v>9514</v>
      </c>
      <c r="B1839" t="s">
        <v>9515</v>
      </c>
      <c r="C1839" t="s">
        <v>100</v>
      </c>
      <c r="D1839" t="s">
        <v>9516</v>
      </c>
      <c r="E1839" t="s">
        <v>9517</v>
      </c>
      <c r="F1839" t="s">
        <v>9518</v>
      </c>
      <c r="G1839" s="4">
        <v>45795</v>
      </c>
      <c r="H1839" s="4">
        <v>46000</v>
      </c>
      <c r="I1839" s="4">
        <v>46008</v>
      </c>
      <c r="J1839">
        <f t="shared" si="140"/>
        <v>8</v>
      </c>
      <c r="K1839" t="str">
        <f t="array" ref="K1839">_xlfn.IFS(J1839=1,"Day Use",J1839&lt;=3,"Short Stay",J1839&lt;=7,"Extended Stay",J1839&gt;=8,"Long Stay")</f>
        <v>Long Stay</v>
      </c>
      <c r="L1839" t="s">
        <v>56</v>
      </c>
      <c r="M1839" s="10" t="str">
        <f t="shared" si="141"/>
        <v>Premium</v>
      </c>
      <c r="N1839" t="s">
        <v>57</v>
      </c>
      <c r="O1839" t="s">
        <v>71</v>
      </c>
      <c r="P1839">
        <f>IFERROR(VLOOKUP(TRIM(M1839),Room!D:H,5,FALSE),5000)</f>
        <v>9500</v>
      </c>
      <c r="Q1839">
        <f t="shared" si="142"/>
        <v>76000</v>
      </c>
      <c r="R1839" s="11" t="str">
        <f t="shared" si="143"/>
        <v>Conference</v>
      </c>
      <c r="S1839" s="11">
        <f t="shared" si="144"/>
        <v>4</v>
      </c>
    </row>
    <row r="1840" spans="1:19">
      <c r="A1840" t="s">
        <v>9519</v>
      </c>
      <c r="B1840" t="s">
        <v>9520</v>
      </c>
      <c r="C1840" t="s">
        <v>1539</v>
      </c>
      <c r="D1840" t="s">
        <v>9521</v>
      </c>
      <c r="E1840" t="s">
        <v>9522</v>
      </c>
      <c r="F1840" t="s">
        <v>9523</v>
      </c>
      <c r="G1840" s="4">
        <v>45521</v>
      </c>
      <c r="H1840" s="4">
        <v>45527</v>
      </c>
      <c r="I1840" s="4">
        <v>45537</v>
      </c>
      <c r="J1840">
        <f t="shared" si="140"/>
        <v>10</v>
      </c>
      <c r="K1840" t="str">
        <f t="array" ref="K1840">_xlfn.IFS(J1840=1,"Day Use",J1840&lt;=3,"Short Stay",J1840&lt;=7,"Extended Stay",J1840&gt;=8,"Long Stay")</f>
        <v>Long Stay</v>
      </c>
      <c r="L1840" t="s">
        <v>34</v>
      </c>
      <c r="M1840" s="10" t="str">
        <f t="shared" si="141"/>
        <v>Premium</v>
      </c>
      <c r="N1840" t="s">
        <v>26</v>
      </c>
      <c r="O1840" t="s">
        <v>71</v>
      </c>
      <c r="P1840">
        <f>IFERROR(VLOOKUP(TRIM(M1840),Room!D:H,5,FALSE),5000)</f>
        <v>9500</v>
      </c>
      <c r="Q1840">
        <f t="shared" si="142"/>
        <v>95000</v>
      </c>
      <c r="R1840" s="11" t="str">
        <f t="shared" si="143"/>
        <v>Conference</v>
      </c>
      <c r="S1840" s="11">
        <f t="shared" si="144"/>
        <v>4</v>
      </c>
    </row>
    <row r="1841" spans="1:19">
      <c r="A1841" t="s">
        <v>9524</v>
      </c>
      <c r="B1841" t="s">
        <v>9525</v>
      </c>
      <c r="C1841" t="s">
        <v>351</v>
      </c>
      <c r="D1841" t="s">
        <v>9526</v>
      </c>
      <c r="E1841" t="s">
        <v>9527</v>
      </c>
      <c r="F1841" t="s">
        <v>9528</v>
      </c>
      <c r="G1841" s="4">
        <v>45562</v>
      </c>
      <c r="H1841" s="4">
        <v>45568</v>
      </c>
      <c r="I1841" s="4">
        <v>45570</v>
      </c>
      <c r="J1841">
        <f t="shared" si="140"/>
        <v>2</v>
      </c>
      <c r="K1841" t="str">
        <f t="array" ref="K1841">_xlfn.IFS(J1841=1,"Day Use",J1841&lt;=3,"Short Stay",J1841&lt;=7,"Extended Stay",J1841&gt;=8,"Long Stay")</f>
        <v>Short Stay</v>
      </c>
      <c r="L1841" t="s">
        <v>56</v>
      </c>
      <c r="M1841" s="10" t="str">
        <f t="shared" si="141"/>
        <v>Standard</v>
      </c>
      <c r="N1841" t="s">
        <v>26</v>
      </c>
      <c r="O1841" t="s">
        <v>27</v>
      </c>
      <c r="P1841">
        <f>IFERROR(VLOOKUP(TRIM(M1841),Room!D:H,5,FALSE),5000)</f>
        <v>3200</v>
      </c>
      <c r="Q1841">
        <f t="shared" si="142"/>
        <v>6400</v>
      </c>
      <c r="R1841" s="11" t="str">
        <f t="shared" si="143"/>
        <v>Other</v>
      </c>
      <c r="S1841" s="11">
        <f t="shared" si="144"/>
        <v>2</v>
      </c>
    </row>
    <row r="1842" spans="1:19">
      <c r="A1842" t="s">
        <v>9529</v>
      </c>
      <c r="B1842" t="s">
        <v>9530</v>
      </c>
      <c r="C1842" t="s">
        <v>1498</v>
      </c>
      <c r="D1842" t="s">
        <v>9531</v>
      </c>
      <c r="E1842" t="s">
        <v>9532</v>
      </c>
      <c r="F1842" t="s">
        <v>9533</v>
      </c>
      <c r="G1842" s="4">
        <v>45303</v>
      </c>
      <c r="H1842" s="4">
        <v>45837</v>
      </c>
      <c r="I1842" s="4">
        <v>45846</v>
      </c>
      <c r="J1842">
        <f t="shared" si="140"/>
        <v>9</v>
      </c>
      <c r="K1842" t="str">
        <f t="array" ref="K1842">_xlfn.IFS(J1842=1,"Day Use",J1842&lt;=3,"Short Stay",J1842&lt;=7,"Extended Stay",J1842&gt;=8,"Long Stay")</f>
        <v>Long Stay</v>
      </c>
      <c r="L1842" t="s">
        <v>91</v>
      </c>
      <c r="M1842" s="10" t="str">
        <f t="shared" si="141"/>
        <v>Premium</v>
      </c>
      <c r="N1842" t="s">
        <v>57</v>
      </c>
      <c r="O1842" t="s">
        <v>71</v>
      </c>
      <c r="P1842">
        <f>IFERROR(VLOOKUP(TRIM(M1842),Room!D:H,5,FALSE),5000)</f>
        <v>9500</v>
      </c>
      <c r="Q1842">
        <f t="shared" si="142"/>
        <v>85500</v>
      </c>
      <c r="R1842" s="11" t="str">
        <f t="shared" si="143"/>
        <v>Conference</v>
      </c>
      <c r="S1842" s="11">
        <f t="shared" si="144"/>
        <v>4</v>
      </c>
    </row>
    <row r="1843" spans="1:19">
      <c r="A1843" t="s">
        <v>9534</v>
      </c>
      <c r="B1843" t="s">
        <v>9535</v>
      </c>
      <c r="C1843" t="s">
        <v>9536</v>
      </c>
      <c r="D1843" t="s">
        <v>9537</v>
      </c>
      <c r="E1843" t="s">
        <v>9538</v>
      </c>
      <c r="F1843" t="s">
        <v>9539</v>
      </c>
      <c r="G1843" s="4">
        <v>45220</v>
      </c>
      <c r="H1843" s="4">
        <v>45381</v>
      </c>
      <c r="I1843" s="4">
        <v>45394</v>
      </c>
      <c r="J1843">
        <f t="shared" si="140"/>
        <v>13</v>
      </c>
      <c r="K1843" t="str">
        <f t="array" ref="K1843">_xlfn.IFS(J1843=1,"Day Use",J1843&lt;=3,"Short Stay",J1843&lt;=7,"Extended Stay",J1843&gt;=8,"Long Stay")</f>
        <v>Long Stay</v>
      </c>
      <c r="L1843" t="s">
        <v>84</v>
      </c>
      <c r="M1843" s="10" t="str">
        <f t="shared" si="141"/>
        <v>Suite</v>
      </c>
      <c r="N1843" t="s">
        <v>148</v>
      </c>
      <c r="O1843" t="s">
        <v>42</v>
      </c>
      <c r="P1843">
        <f>IFERROR(VLOOKUP(TRIM(M1843),Room!D:H,5,FALSE),5000)</f>
        <v>12500</v>
      </c>
      <c r="Q1843">
        <f t="shared" si="142"/>
        <v>162500</v>
      </c>
      <c r="R1843" s="11" t="str">
        <f t="shared" si="143"/>
        <v>Business</v>
      </c>
      <c r="S1843" s="11">
        <f t="shared" si="144"/>
        <v>5</v>
      </c>
    </row>
    <row r="1844" spans="1:19">
      <c r="A1844" t="s">
        <v>9540</v>
      </c>
      <c r="B1844" t="s">
        <v>9541</v>
      </c>
      <c r="C1844" t="s">
        <v>106</v>
      </c>
      <c r="D1844" t="s">
        <v>9542</v>
      </c>
      <c r="E1844" t="s">
        <v>9543</v>
      </c>
      <c r="F1844" t="s">
        <v>9544</v>
      </c>
      <c r="G1844" s="4">
        <v>45353</v>
      </c>
      <c r="H1844" s="4">
        <v>45367</v>
      </c>
      <c r="I1844" s="4">
        <v>45376</v>
      </c>
      <c r="J1844">
        <f t="shared" si="140"/>
        <v>9</v>
      </c>
      <c r="K1844" t="str">
        <f t="array" ref="K1844">_xlfn.IFS(J1844=1,"Day Use",J1844&lt;=3,"Short Stay",J1844&lt;=7,"Extended Stay",J1844&gt;=8,"Long Stay")</f>
        <v>Long Stay</v>
      </c>
      <c r="L1844" t="s">
        <v>56</v>
      </c>
      <c r="M1844" s="10" t="str">
        <f t="shared" si="141"/>
        <v>Premium</v>
      </c>
      <c r="N1844" t="s">
        <v>26</v>
      </c>
      <c r="O1844" t="s">
        <v>35</v>
      </c>
      <c r="P1844">
        <f>IFERROR(VLOOKUP(TRIM(M1844),Room!D:H,5,FALSE),5000)</f>
        <v>9500</v>
      </c>
      <c r="Q1844">
        <f t="shared" si="142"/>
        <v>85500</v>
      </c>
      <c r="R1844" s="11" t="str">
        <f t="shared" si="143"/>
        <v>Conference</v>
      </c>
      <c r="S1844" s="11">
        <f t="shared" si="144"/>
        <v>4</v>
      </c>
    </row>
    <row r="1845" spans="1:19">
      <c r="A1845" t="s">
        <v>9545</v>
      </c>
      <c r="B1845" t="s">
        <v>9546</v>
      </c>
      <c r="C1845" t="s">
        <v>460</v>
      </c>
      <c r="D1845" t="s">
        <v>9547</v>
      </c>
      <c r="E1845" t="s">
        <v>9548</v>
      </c>
      <c r="F1845" t="s">
        <v>9549</v>
      </c>
      <c r="G1845" s="4">
        <v>45363</v>
      </c>
      <c r="H1845" s="4">
        <v>45376</v>
      </c>
      <c r="I1845" s="4">
        <v>45378</v>
      </c>
      <c r="J1845">
        <f t="shared" si="140"/>
        <v>2</v>
      </c>
      <c r="K1845" t="str">
        <f t="array" ref="K1845">_xlfn.IFS(J1845=1,"Day Use",J1845&lt;=3,"Short Stay",J1845&lt;=7,"Extended Stay",J1845&gt;=8,"Long Stay")</f>
        <v>Short Stay</v>
      </c>
      <c r="L1845" t="s">
        <v>91</v>
      </c>
      <c r="M1845" s="10" t="str">
        <f t="shared" si="141"/>
        <v>Standard</v>
      </c>
      <c r="N1845" t="s">
        <v>372</v>
      </c>
      <c r="O1845" t="s">
        <v>58</v>
      </c>
      <c r="P1845">
        <f>IFERROR(VLOOKUP(TRIM(M1845),Room!D:H,5,FALSE),5000)</f>
        <v>3200</v>
      </c>
      <c r="Q1845">
        <f t="shared" si="142"/>
        <v>6400</v>
      </c>
      <c r="R1845" s="11" t="str">
        <f t="shared" si="143"/>
        <v>Other</v>
      </c>
      <c r="S1845" s="11">
        <f t="shared" si="144"/>
        <v>2</v>
      </c>
    </row>
    <row r="1846" spans="1:19">
      <c r="A1846" t="s">
        <v>9550</v>
      </c>
      <c r="B1846" t="s">
        <v>9551</v>
      </c>
      <c r="C1846" t="s">
        <v>4436</v>
      </c>
      <c r="D1846" t="s">
        <v>9552</v>
      </c>
      <c r="E1846" t="s">
        <v>9553</v>
      </c>
      <c r="F1846" t="s">
        <v>9554</v>
      </c>
      <c r="G1846" s="4">
        <v>45275</v>
      </c>
      <c r="H1846" s="4">
        <v>45844</v>
      </c>
      <c r="I1846" s="4">
        <v>45851</v>
      </c>
      <c r="J1846">
        <f t="shared" si="140"/>
        <v>7</v>
      </c>
      <c r="K1846" t="str">
        <f t="array" ref="K1846">_xlfn.IFS(J1846=1,"Day Use",J1846&lt;=3,"Short Stay",J1846&lt;=7,"Extended Stay",J1846&gt;=8,"Long Stay")</f>
        <v>Extended Stay</v>
      </c>
      <c r="L1846" t="s">
        <v>141</v>
      </c>
      <c r="M1846" s="10" t="str">
        <f t="shared" si="141"/>
        <v>Premium</v>
      </c>
      <c r="N1846" t="s">
        <v>148</v>
      </c>
      <c r="O1846" t="s">
        <v>35</v>
      </c>
      <c r="P1846">
        <f>IFERROR(VLOOKUP(TRIM(M1846),Room!D:H,5,FALSE),5000)</f>
        <v>9500</v>
      </c>
      <c r="Q1846">
        <f t="shared" si="142"/>
        <v>66500</v>
      </c>
      <c r="R1846" s="11" t="str">
        <f t="shared" si="143"/>
        <v>Conference</v>
      </c>
      <c r="S1846" s="11">
        <f t="shared" si="144"/>
        <v>4</v>
      </c>
    </row>
    <row r="1847" spans="1:19">
      <c r="A1847" t="s">
        <v>9555</v>
      </c>
      <c r="B1847" t="s">
        <v>9556</v>
      </c>
      <c r="C1847" t="s">
        <v>536</v>
      </c>
      <c r="D1847" t="s">
        <v>9557</v>
      </c>
      <c r="E1847" t="s">
        <v>9558</v>
      </c>
      <c r="F1847" t="s">
        <v>9559</v>
      </c>
      <c r="G1847" s="4">
        <v>45551</v>
      </c>
      <c r="H1847" s="4">
        <v>45564</v>
      </c>
      <c r="I1847" s="4">
        <v>45577</v>
      </c>
      <c r="J1847">
        <f t="shared" si="140"/>
        <v>13</v>
      </c>
      <c r="K1847" t="str">
        <f t="array" ref="K1847">_xlfn.IFS(J1847=1,"Day Use",J1847&lt;=3,"Short Stay",J1847&lt;=7,"Extended Stay",J1847&gt;=8,"Long Stay")</f>
        <v>Long Stay</v>
      </c>
      <c r="L1847" t="s">
        <v>91</v>
      </c>
      <c r="M1847" s="10" t="str">
        <f t="shared" si="141"/>
        <v>Suite</v>
      </c>
      <c r="N1847" t="s">
        <v>26</v>
      </c>
      <c r="O1847" t="s">
        <v>42</v>
      </c>
      <c r="P1847">
        <f>IFERROR(VLOOKUP(TRIM(M1847),Room!D:H,5,FALSE),5000)</f>
        <v>12500</v>
      </c>
      <c r="Q1847">
        <f t="shared" si="142"/>
        <v>162500</v>
      </c>
      <c r="R1847" s="11" t="str">
        <f t="shared" si="143"/>
        <v>Business</v>
      </c>
      <c r="S1847" s="11">
        <f t="shared" si="144"/>
        <v>5</v>
      </c>
    </row>
    <row r="1848" spans="1:19">
      <c r="A1848" t="s">
        <v>9560</v>
      </c>
      <c r="B1848" t="s">
        <v>9561</v>
      </c>
      <c r="C1848" t="s">
        <v>1983</v>
      </c>
      <c r="D1848" t="s">
        <v>9562</v>
      </c>
      <c r="E1848" t="s">
        <v>9563</v>
      </c>
      <c r="F1848" t="s">
        <v>9564</v>
      </c>
      <c r="G1848" s="4">
        <v>45514</v>
      </c>
      <c r="H1848" s="4">
        <v>45528</v>
      </c>
      <c r="I1848" s="4">
        <v>45537</v>
      </c>
      <c r="J1848">
        <f t="shared" si="140"/>
        <v>9</v>
      </c>
      <c r="K1848" t="str">
        <f t="array" ref="K1848">_xlfn.IFS(J1848=1,"Day Use",J1848&lt;=3,"Short Stay",J1848&lt;=7,"Extended Stay",J1848&gt;=8,"Long Stay")</f>
        <v>Long Stay</v>
      </c>
      <c r="L1848" t="s">
        <v>84</v>
      </c>
      <c r="M1848" s="10" t="str">
        <f t="shared" si="141"/>
        <v>Premium</v>
      </c>
      <c r="N1848" t="s">
        <v>26</v>
      </c>
      <c r="O1848" t="s">
        <v>42</v>
      </c>
      <c r="P1848">
        <f>IFERROR(VLOOKUP(TRIM(M1848),Room!D:H,5,FALSE),5000)</f>
        <v>9500</v>
      </c>
      <c r="Q1848">
        <f t="shared" si="142"/>
        <v>85500</v>
      </c>
      <c r="R1848" s="11" t="str">
        <f t="shared" si="143"/>
        <v>Conference</v>
      </c>
      <c r="S1848" s="11">
        <f t="shared" si="144"/>
        <v>4</v>
      </c>
    </row>
    <row r="1849" spans="1:19">
      <c r="A1849" t="s">
        <v>9565</v>
      </c>
      <c r="B1849" t="s">
        <v>9566</v>
      </c>
      <c r="C1849" t="s">
        <v>679</v>
      </c>
      <c r="D1849" t="s">
        <v>9567</v>
      </c>
      <c r="E1849" t="s">
        <v>9568</v>
      </c>
      <c r="F1849" t="s">
        <v>9569</v>
      </c>
      <c r="G1849" s="4">
        <v>45351</v>
      </c>
      <c r="H1849" s="4">
        <v>45365</v>
      </c>
      <c r="I1849" s="4">
        <v>45372</v>
      </c>
      <c r="J1849">
        <f t="shared" si="140"/>
        <v>7</v>
      </c>
      <c r="K1849" t="str">
        <f t="array" ref="K1849">_xlfn.IFS(J1849=1,"Day Use",J1849&lt;=3,"Short Stay",J1849&lt;=7,"Extended Stay",J1849&gt;=8,"Long Stay")</f>
        <v>Extended Stay</v>
      </c>
      <c r="L1849" t="s">
        <v>91</v>
      </c>
      <c r="M1849" s="10" t="str">
        <f t="shared" si="141"/>
        <v>Premium</v>
      </c>
      <c r="N1849" t="s">
        <v>26</v>
      </c>
      <c r="O1849" t="s">
        <v>42</v>
      </c>
      <c r="P1849">
        <f>IFERROR(VLOOKUP(TRIM(M1849),Room!D:H,5,FALSE),5000)</f>
        <v>9500</v>
      </c>
      <c r="Q1849">
        <f t="shared" si="142"/>
        <v>66500</v>
      </c>
      <c r="R1849" s="11" t="str">
        <f t="shared" si="143"/>
        <v>Conference</v>
      </c>
      <c r="S1849" s="11">
        <f t="shared" si="144"/>
        <v>4</v>
      </c>
    </row>
    <row r="1850" spans="1:19">
      <c r="A1850" t="s">
        <v>9570</v>
      </c>
      <c r="B1850" t="s">
        <v>9571</v>
      </c>
      <c r="C1850" t="s">
        <v>1282</v>
      </c>
      <c r="D1850" t="s">
        <v>9572</v>
      </c>
      <c r="E1850" t="s">
        <v>9573</v>
      </c>
      <c r="F1850" t="s">
        <v>9574</v>
      </c>
      <c r="G1850" s="4">
        <v>45658</v>
      </c>
      <c r="H1850" s="4">
        <v>45660</v>
      </c>
      <c r="I1850" s="4">
        <v>45671</v>
      </c>
      <c r="J1850">
        <f t="shared" si="140"/>
        <v>11</v>
      </c>
      <c r="K1850" t="str">
        <f t="array" ref="K1850">_xlfn.IFS(J1850=1,"Day Use",J1850&lt;=3,"Short Stay",J1850&lt;=7,"Extended Stay",J1850&gt;=8,"Long Stay")</f>
        <v>Long Stay</v>
      </c>
      <c r="L1850" t="s">
        <v>56</v>
      </c>
      <c r="M1850" s="10" t="str">
        <f t="shared" si="141"/>
        <v>Suite</v>
      </c>
      <c r="N1850" t="s">
        <v>26</v>
      </c>
      <c r="O1850" t="s">
        <v>35</v>
      </c>
      <c r="P1850">
        <f>IFERROR(VLOOKUP(TRIM(M1850),Room!D:H,5,FALSE),5000)</f>
        <v>12500</v>
      </c>
      <c r="Q1850">
        <f t="shared" si="142"/>
        <v>137500</v>
      </c>
      <c r="R1850" s="11" t="str">
        <f t="shared" si="143"/>
        <v>Business</v>
      </c>
      <c r="S1850" s="11">
        <f t="shared" si="144"/>
        <v>5</v>
      </c>
    </row>
    <row r="1851" spans="1:19">
      <c r="A1851" t="s">
        <v>9575</v>
      </c>
      <c r="B1851" t="s">
        <v>9576</v>
      </c>
      <c r="C1851" t="s">
        <v>52</v>
      </c>
      <c r="D1851" t="s">
        <v>9577</v>
      </c>
      <c r="E1851" t="s">
        <v>9578</v>
      </c>
      <c r="F1851" t="s">
        <v>9579</v>
      </c>
      <c r="G1851" s="4">
        <v>45286</v>
      </c>
      <c r="H1851" s="4">
        <v>45292</v>
      </c>
      <c r="I1851" s="4">
        <v>45298</v>
      </c>
      <c r="J1851">
        <f t="shared" si="140"/>
        <v>6</v>
      </c>
      <c r="K1851" t="str">
        <f t="array" ref="K1851">_xlfn.IFS(J1851=1,"Day Use",J1851&lt;=3,"Short Stay",J1851&lt;=7,"Extended Stay",J1851&gt;=8,"Long Stay")</f>
        <v>Extended Stay</v>
      </c>
      <c r="L1851" t="s">
        <v>56</v>
      </c>
      <c r="M1851" s="10" t="str">
        <f t="shared" si="141"/>
        <v>Deluxe</v>
      </c>
      <c r="N1851" t="s">
        <v>26</v>
      </c>
      <c r="O1851" t="s">
        <v>35</v>
      </c>
      <c r="P1851">
        <f>IFERROR(VLOOKUP(TRIM(M1851),Room!D:H,5,FALSE),5000)</f>
        <v>5400</v>
      </c>
      <c r="Q1851">
        <f t="shared" si="142"/>
        <v>32400</v>
      </c>
      <c r="R1851" s="11" t="str">
        <f t="shared" si="143"/>
        <v>Conference</v>
      </c>
      <c r="S1851" s="11">
        <f t="shared" si="144"/>
        <v>3</v>
      </c>
    </row>
    <row r="1852" spans="1:19">
      <c r="A1852" t="s">
        <v>9580</v>
      </c>
      <c r="B1852" t="s">
        <v>9581</v>
      </c>
      <c r="C1852" t="s">
        <v>100</v>
      </c>
      <c r="D1852" t="s">
        <v>9582</v>
      </c>
      <c r="E1852" t="s">
        <v>9583</v>
      </c>
      <c r="F1852" t="s">
        <v>9584</v>
      </c>
      <c r="G1852" s="4">
        <v>45670</v>
      </c>
      <c r="H1852" s="4">
        <v>45677</v>
      </c>
      <c r="I1852" s="4">
        <v>45686</v>
      </c>
      <c r="J1852">
        <f t="shared" si="140"/>
        <v>9</v>
      </c>
      <c r="K1852" t="str">
        <f t="array" ref="K1852">_xlfn.IFS(J1852=1,"Day Use",J1852&lt;=3,"Short Stay",J1852&lt;=7,"Extended Stay",J1852&gt;=8,"Long Stay")</f>
        <v>Long Stay</v>
      </c>
      <c r="L1852" t="s">
        <v>49</v>
      </c>
      <c r="M1852" s="10" t="str">
        <f t="shared" si="141"/>
        <v>Premium</v>
      </c>
      <c r="N1852" t="s">
        <v>26</v>
      </c>
      <c r="O1852" t="s">
        <v>42</v>
      </c>
      <c r="P1852">
        <f>IFERROR(VLOOKUP(TRIM(M1852),Room!D:H,5,FALSE),5000)</f>
        <v>9500</v>
      </c>
      <c r="Q1852">
        <f t="shared" si="142"/>
        <v>85500</v>
      </c>
      <c r="R1852" s="11" t="str">
        <f t="shared" si="143"/>
        <v>Conference</v>
      </c>
      <c r="S1852" s="11">
        <f t="shared" si="144"/>
        <v>4</v>
      </c>
    </row>
    <row r="1853" spans="1:19">
      <c r="A1853" t="s">
        <v>9585</v>
      </c>
      <c r="B1853" t="s">
        <v>9586</v>
      </c>
      <c r="C1853" t="s">
        <v>106</v>
      </c>
      <c r="D1853" t="s">
        <v>9587</v>
      </c>
      <c r="E1853" t="s">
        <v>9588</v>
      </c>
      <c r="F1853" t="s">
        <v>9589</v>
      </c>
      <c r="G1853" s="4">
        <v>45438</v>
      </c>
      <c r="H1853" s="4">
        <v>45692</v>
      </c>
      <c r="I1853" s="4">
        <v>45696</v>
      </c>
      <c r="J1853">
        <f t="shared" si="140"/>
        <v>4</v>
      </c>
      <c r="K1853" t="str">
        <f t="array" ref="K1853">_xlfn.IFS(J1853=1,"Day Use",J1853&lt;=3,"Short Stay",J1853&lt;=7,"Extended Stay",J1853&gt;=8,"Long Stay")</f>
        <v>Extended Stay</v>
      </c>
      <c r="L1853" t="s">
        <v>91</v>
      </c>
      <c r="M1853" s="10" t="str">
        <f t="shared" si="141"/>
        <v>Deluxe</v>
      </c>
      <c r="N1853" t="s">
        <v>26</v>
      </c>
      <c r="O1853" t="s">
        <v>35</v>
      </c>
      <c r="P1853">
        <f>IFERROR(VLOOKUP(TRIM(M1853),Room!D:H,5,FALSE),5000)</f>
        <v>5400</v>
      </c>
      <c r="Q1853">
        <f t="shared" si="142"/>
        <v>21600</v>
      </c>
      <c r="R1853" s="11" t="str">
        <f t="shared" si="143"/>
        <v>Conference</v>
      </c>
      <c r="S1853" s="11">
        <f t="shared" si="144"/>
        <v>3</v>
      </c>
    </row>
    <row r="1854" spans="1:19">
      <c r="A1854" t="s">
        <v>9590</v>
      </c>
      <c r="B1854" t="s">
        <v>9591</v>
      </c>
      <c r="C1854" t="s">
        <v>4892</v>
      </c>
      <c r="D1854" t="s">
        <v>9592</v>
      </c>
      <c r="E1854" t="s">
        <v>9593</v>
      </c>
      <c r="F1854" t="s">
        <v>9594</v>
      </c>
      <c r="G1854" s="4">
        <v>45431</v>
      </c>
      <c r="H1854" s="4">
        <v>45511</v>
      </c>
      <c r="I1854" s="4">
        <v>45524</v>
      </c>
      <c r="J1854">
        <f t="shared" si="140"/>
        <v>13</v>
      </c>
      <c r="K1854" t="str">
        <f t="array" ref="K1854">_xlfn.IFS(J1854=1,"Day Use",J1854&lt;=3,"Short Stay",J1854&lt;=7,"Extended Stay",J1854&gt;=8,"Long Stay")</f>
        <v>Long Stay</v>
      </c>
      <c r="L1854" t="s">
        <v>84</v>
      </c>
      <c r="M1854" s="10" t="str">
        <f t="shared" si="141"/>
        <v>Suite</v>
      </c>
      <c r="N1854" t="s">
        <v>26</v>
      </c>
      <c r="O1854" t="s">
        <v>27</v>
      </c>
      <c r="P1854">
        <f>IFERROR(VLOOKUP(TRIM(M1854),Room!D:H,5,FALSE),5000)</f>
        <v>12500</v>
      </c>
      <c r="Q1854">
        <f t="shared" si="142"/>
        <v>162500</v>
      </c>
      <c r="R1854" s="11" t="str">
        <f t="shared" si="143"/>
        <v>Business</v>
      </c>
      <c r="S1854" s="11">
        <f t="shared" si="144"/>
        <v>5</v>
      </c>
    </row>
    <row r="1855" spans="1:19">
      <c r="A1855" t="s">
        <v>9595</v>
      </c>
      <c r="B1855" t="s">
        <v>9596</v>
      </c>
      <c r="C1855" t="s">
        <v>661</v>
      </c>
      <c r="D1855" t="s">
        <v>9597</v>
      </c>
      <c r="E1855" t="s">
        <v>9598</v>
      </c>
      <c r="F1855" t="s">
        <v>9599</v>
      </c>
      <c r="G1855" s="4">
        <v>45620</v>
      </c>
      <c r="H1855" s="4">
        <v>45730</v>
      </c>
      <c r="I1855" s="4">
        <v>45739</v>
      </c>
      <c r="J1855">
        <f t="shared" si="140"/>
        <v>9</v>
      </c>
      <c r="K1855" t="str">
        <f t="array" ref="K1855">_xlfn.IFS(J1855=1,"Day Use",J1855&lt;=3,"Short Stay",J1855&lt;=7,"Extended Stay",J1855&gt;=8,"Long Stay")</f>
        <v>Long Stay</v>
      </c>
      <c r="L1855" t="s">
        <v>91</v>
      </c>
      <c r="M1855" s="10" t="str">
        <f t="shared" si="141"/>
        <v>Premium</v>
      </c>
      <c r="N1855" t="s">
        <v>57</v>
      </c>
      <c r="O1855" t="s">
        <v>27</v>
      </c>
      <c r="P1855">
        <f>IFERROR(VLOOKUP(TRIM(M1855),Room!D:H,5,FALSE),5000)</f>
        <v>9500</v>
      </c>
      <c r="Q1855">
        <f t="shared" si="142"/>
        <v>85500</v>
      </c>
      <c r="R1855" s="11" t="str">
        <f t="shared" si="143"/>
        <v>Conference</v>
      </c>
      <c r="S1855" s="11">
        <f t="shared" si="144"/>
        <v>4</v>
      </c>
    </row>
    <row r="1856" spans="1:19">
      <c r="A1856" t="s">
        <v>9600</v>
      </c>
      <c r="B1856" t="s">
        <v>9601</v>
      </c>
      <c r="C1856" t="s">
        <v>460</v>
      </c>
      <c r="D1856" t="s">
        <v>9602</v>
      </c>
      <c r="E1856" t="s">
        <v>9603</v>
      </c>
      <c r="F1856" t="s">
        <v>9604</v>
      </c>
      <c r="G1856" s="4">
        <v>45407</v>
      </c>
      <c r="H1856" s="4">
        <v>45915</v>
      </c>
      <c r="I1856" s="4">
        <v>45929</v>
      </c>
      <c r="J1856">
        <f t="shared" si="140"/>
        <v>14</v>
      </c>
      <c r="K1856" t="str">
        <f t="array" ref="K1856">_xlfn.IFS(J1856=1,"Day Use",J1856&lt;=3,"Short Stay",J1856&lt;=7,"Extended Stay",J1856&gt;=8,"Long Stay")</f>
        <v>Long Stay</v>
      </c>
      <c r="L1856" t="s">
        <v>91</v>
      </c>
      <c r="M1856" s="10" t="str">
        <f t="shared" si="141"/>
        <v>Suite</v>
      </c>
      <c r="N1856" t="s">
        <v>26</v>
      </c>
      <c r="O1856" t="s">
        <v>35</v>
      </c>
      <c r="P1856">
        <f>IFERROR(VLOOKUP(TRIM(M1856),Room!D:H,5,FALSE),5000)</f>
        <v>12500</v>
      </c>
      <c r="Q1856">
        <f t="shared" si="142"/>
        <v>175000</v>
      </c>
      <c r="R1856" s="11" t="str">
        <f t="shared" si="143"/>
        <v>Business</v>
      </c>
      <c r="S1856" s="11">
        <f t="shared" si="144"/>
        <v>5</v>
      </c>
    </row>
    <row r="1857" spans="1:19">
      <c r="A1857" t="s">
        <v>9605</v>
      </c>
      <c r="B1857" t="s">
        <v>9606</v>
      </c>
      <c r="C1857" t="s">
        <v>1637</v>
      </c>
      <c r="D1857" t="s">
        <v>9607</v>
      </c>
      <c r="E1857" t="s">
        <v>9608</v>
      </c>
      <c r="F1857" t="s">
        <v>9609</v>
      </c>
      <c r="G1857" s="4">
        <v>45375</v>
      </c>
      <c r="H1857" s="4">
        <v>45747</v>
      </c>
      <c r="I1857" s="4">
        <v>45760</v>
      </c>
      <c r="J1857">
        <f t="shared" si="140"/>
        <v>13</v>
      </c>
      <c r="K1857" t="str">
        <f t="array" ref="K1857">_xlfn.IFS(J1857=1,"Day Use",J1857&lt;=3,"Short Stay",J1857&lt;=7,"Extended Stay",J1857&gt;=8,"Long Stay")</f>
        <v>Long Stay</v>
      </c>
      <c r="L1857" t="s">
        <v>25</v>
      </c>
      <c r="M1857" s="10" t="str">
        <f t="shared" si="141"/>
        <v>Suite</v>
      </c>
      <c r="N1857" t="s">
        <v>26</v>
      </c>
      <c r="O1857" t="s">
        <v>58</v>
      </c>
      <c r="P1857">
        <f>IFERROR(VLOOKUP(TRIM(M1857),Room!D:H,5,FALSE),5000)</f>
        <v>12500</v>
      </c>
      <c r="Q1857">
        <f t="shared" si="142"/>
        <v>162500</v>
      </c>
      <c r="R1857" s="11" t="str">
        <f t="shared" si="143"/>
        <v>Business</v>
      </c>
      <c r="S1857" s="11">
        <f t="shared" si="144"/>
        <v>5</v>
      </c>
    </row>
    <row r="1858" spans="1:19">
      <c r="A1858" t="s">
        <v>9610</v>
      </c>
      <c r="B1858" t="s">
        <v>9611</v>
      </c>
      <c r="C1858" t="s">
        <v>1008</v>
      </c>
      <c r="D1858" t="s">
        <v>9612</v>
      </c>
      <c r="E1858" t="s">
        <v>9613</v>
      </c>
      <c r="F1858" t="s">
        <v>9614</v>
      </c>
      <c r="G1858" s="4">
        <v>45861</v>
      </c>
      <c r="H1858" s="4">
        <v>45889</v>
      </c>
      <c r="I1858" s="4">
        <v>45901</v>
      </c>
      <c r="J1858">
        <f t="shared" ref="J1858:J1921" si="145">I1858-H1858</f>
        <v>12</v>
      </c>
      <c r="K1858" t="str">
        <f t="array" ref="K1858">_xlfn.IFS(J1858=1,"Day Use",J1858&lt;=3,"Short Stay",J1858&lt;=7,"Extended Stay",J1858&gt;=8,"Long Stay")</f>
        <v>Long Stay</v>
      </c>
      <c r="L1858" t="s">
        <v>141</v>
      </c>
      <c r="M1858" s="10" t="str">
        <f t="shared" ref="M1858:M1921" si="146">IF($J1858&lt;=3,"Standard",IF($J1858&lt;=6,"Deluxe",IF($J1858&lt;=10,"Premium","Suite")))</f>
        <v>Suite</v>
      </c>
      <c r="N1858" t="s">
        <v>26</v>
      </c>
      <c r="O1858" t="s">
        <v>71</v>
      </c>
      <c r="P1858">
        <f>IFERROR(VLOOKUP(TRIM(M1858),Room!D:H,5,FALSE),5000)</f>
        <v>12500</v>
      </c>
      <c r="Q1858">
        <f t="shared" si="142"/>
        <v>150000</v>
      </c>
      <c r="R1858" s="11" t="str">
        <f t="shared" si="143"/>
        <v>Business</v>
      </c>
      <c r="S1858" s="11">
        <f t="shared" si="144"/>
        <v>5</v>
      </c>
    </row>
    <row r="1859" spans="1:19">
      <c r="A1859" t="s">
        <v>9615</v>
      </c>
      <c r="B1859" t="s">
        <v>9616</v>
      </c>
      <c r="C1859" t="s">
        <v>157</v>
      </c>
      <c r="D1859" t="s">
        <v>9617</v>
      </c>
      <c r="E1859" t="s">
        <v>9618</v>
      </c>
      <c r="F1859" t="s">
        <v>9619</v>
      </c>
      <c r="G1859" s="4">
        <v>45594</v>
      </c>
      <c r="H1859" s="4">
        <v>45597</v>
      </c>
      <c r="I1859" s="4">
        <v>45602</v>
      </c>
      <c r="J1859">
        <f t="shared" si="145"/>
        <v>5</v>
      </c>
      <c r="K1859" t="str">
        <f t="array" ref="K1859">_xlfn.IFS(J1859=1,"Day Use",J1859&lt;=3,"Short Stay",J1859&lt;=7,"Extended Stay",J1859&gt;=8,"Long Stay")</f>
        <v>Extended Stay</v>
      </c>
      <c r="L1859" t="s">
        <v>25</v>
      </c>
      <c r="M1859" s="10" t="str">
        <f t="shared" si="146"/>
        <v>Deluxe</v>
      </c>
      <c r="N1859" t="s">
        <v>26</v>
      </c>
      <c r="O1859" t="s">
        <v>27</v>
      </c>
      <c r="P1859">
        <f>IFERROR(VLOOKUP(TRIM(M1859),Room!D:H,5,FALSE),5000)</f>
        <v>5400</v>
      </c>
      <c r="Q1859">
        <f t="shared" ref="Q1859:Q1922" si="147">P1859*J1859</f>
        <v>27000</v>
      </c>
      <c r="R1859" s="11" t="str">
        <f t="shared" ref="R1859:R1922" si="148">IF(ISNUMBER(SEARCH("Suite",D1859)),"Honeymoon",IF(P1859&gt;10000,"Business",IF(P1859&gt;5000,"Conference",IF(J1859&gt;=8,"Family Vacation","Other"))))</f>
        <v>Conference</v>
      </c>
      <c r="S1859" s="11">
        <f t="shared" ref="S1859:S1922" si="149">IF(M1859="Suite",5,IF(M1859="Premium",IF(Q1859&gt;20000,4,3),IF(M1859="Deluxe",IF(Q1859&gt;=10000,3,2),IF(M1859="Standard",IF(Q1859&gt;=5000,2,1),1))))</f>
        <v>3</v>
      </c>
    </row>
    <row r="1860" spans="1:19">
      <c r="A1860" t="s">
        <v>9620</v>
      </c>
      <c r="B1860" t="s">
        <v>9621</v>
      </c>
      <c r="C1860" t="s">
        <v>1068</v>
      </c>
      <c r="D1860" t="s">
        <v>9622</v>
      </c>
      <c r="E1860" t="s">
        <v>9623</v>
      </c>
      <c r="F1860" t="s">
        <v>9624</v>
      </c>
      <c r="G1860" s="4">
        <v>45502</v>
      </c>
      <c r="H1860" s="4">
        <v>45871</v>
      </c>
      <c r="I1860" s="4">
        <v>45877</v>
      </c>
      <c r="J1860">
        <f t="shared" si="145"/>
        <v>6</v>
      </c>
      <c r="K1860" t="str">
        <f t="array" ref="K1860">_xlfn.IFS(J1860=1,"Day Use",J1860&lt;=3,"Short Stay",J1860&lt;=7,"Extended Stay",J1860&gt;=8,"Long Stay")</f>
        <v>Extended Stay</v>
      </c>
      <c r="L1860" t="s">
        <v>141</v>
      </c>
      <c r="M1860" s="10" t="str">
        <f t="shared" si="146"/>
        <v>Deluxe</v>
      </c>
      <c r="N1860" t="s">
        <v>26</v>
      </c>
      <c r="O1860" t="s">
        <v>42</v>
      </c>
      <c r="P1860">
        <f>IFERROR(VLOOKUP(TRIM(M1860),Room!D:H,5,FALSE),5000)</f>
        <v>5400</v>
      </c>
      <c r="Q1860">
        <f t="shared" si="147"/>
        <v>32400</v>
      </c>
      <c r="R1860" s="11" t="str">
        <f t="shared" si="148"/>
        <v>Conference</v>
      </c>
      <c r="S1860" s="11">
        <f t="shared" si="149"/>
        <v>3</v>
      </c>
    </row>
    <row r="1861" spans="1:19">
      <c r="A1861" t="s">
        <v>9625</v>
      </c>
      <c r="B1861" t="s">
        <v>9626</v>
      </c>
      <c r="C1861" t="s">
        <v>1164</v>
      </c>
      <c r="D1861" t="s">
        <v>9627</v>
      </c>
      <c r="E1861" t="s">
        <v>9628</v>
      </c>
      <c r="F1861" t="s">
        <v>9629</v>
      </c>
      <c r="G1861" s="4">
        <v>45668</v>
      </c>
      <c r="H1861" s="4">
        <v>45951</v>
      </c>
      <c r="I1861" s="4">
        <v>45960</v>
      </c>
      <c r="J1861">
        <f t="shared" si="145"/>
        <v>9</v>
      </c>
      <c r="K1861" t="str">
        <f t="array" ref="K1861">_xlfn.IFS(J1861=1,"Day Use",J1861&lt;=3,"Short Stay",J1861&lt;=7,"Extended Stay",J1861&gt;=8,"Long Stay")</f>
        <v>Long Stay</v>
      </c>
      <c r="L1861" t="s">
        <v>91</v>
      </c>
      <c r="M1861" s="10" t="str">
        <f t="shared" si="146"/>
        <v>Premium</v>
      </c>
      <c r="N1861" t="s">
        <v>26</v>
      </c>
      <c r="O1861" t="s">
        <v>42</v>
      </c>
      <c r="P1861">
        <f>IFERROR(VLOOKUP(TRIM(M1861),Room!D:H,5,FALSE),5000)</f>
        <v>9500</v>
      </c>
      <c r="Q1861">
        <f t="shared" si="147"/>
        <v>85500</v>
      </c>
      <c r="R1861" s="11" t="str">
        <f t="shared" si="148"/>
        <v>Conference</v>
      </c>
      <c r="S1861" s="11">
        <f t="shared" si="149"/>
        <v>4</v>
      </c>
    </row>
    <row r="1862" spans="1:19">
      <c r="A1862" t="s">
        <v>9630</v>
      </c>
      <c r="B1862" t="s">
        <v>9631</v>
      </c>
      <c r="C1862" t="s">
        <v>1030</v>
      </c>
      <c r="D1862" t="s">
        <v>9632</v>
      </c>
      <c r="E1862" t="s">
        <v>9633</v>
      </c>
      <c r="F1862" t="s">
        <v>9634</v>
      </c>
      <c r="G1862" s="4">
        <v>45697</v>
      </c>
      <c r="H1862" s="4">
        <v>45859</v>
      </c>
      <c r="I1862" s="4">
        <v>45862</v>
      </c>
      <c r="J1862">
        <f t="shared" si="145"/>
        <v>3</v>
      </c>
      <c r="K1862" t="str">
        <f t="array" ref="K1862">_xlfn.IFS(J1862=1,"Day Use",J1862&lt;=3,"Short Stay",J1862&lt;=7,"Extended Stay",J1862&gt;=8,"Long Stay")</f>
        <v>Short Stay</v>
      </c>
      <c r="L1862" t="s">
        <v>141</v>
      </c>
      <c r="M1862" s="10" t="str">
        <f t="shared" si="146"/>
        <v>Standard</v>
      </c>
      <c r="N1862" t="s">
        <v>148</v>
      </c>
      <c r="O1862" t="s">
        <v>42</v>
      </c>
      <c r="P1862">
        <f>IFERROR(VLOOKUP(TRIM(M1862),Room!D:H,5,FALSE),5000)</f>
        <v>3200</v>
      </c>
      <c r="Q1862">
        <f t="shared" si="147"/>
        <v>9600</v>
      </c>
      <c r="R1862" s="11" t="str">
        <f t="shared" si="148"/>
        <v>Other</v>
      </c>
      <c r="S1862" s="11">
        <f t="shared" si="149"/>
        <v>2</v>
      </c>
    </row>
    <row r="1863" spans="1:19">
      <c r="A1863" t="s">
        <v>9635</v>
      </c>
      <c r="B1863" t="s">
        <v>9636</v>
      </c>
      <c r="C1863" t="s">
        <v>1545</v>
      </c>
      <c r="D1863" t="s">
        <v>9637</v>
      </c>
      <c r="E1863" t="s">
        <v>9638</v>
      </c>
      <c r="F1863" t="s">
        <v>9639</v>
      </c>
      <c r="G1863" s="4">
        <v>45453</v>
      </c>
      <c r="H1863" s="4">
        <v>45600</v>
      </c>
      <c r="I1863" s="4">
        <v>45606</v>
      </c>
      <c r="J1863">
        <f t="shared" si="145"/>
        <v>6</v>
      </c>
      <c r="K1863" t="str">
        <f t="array" ref="K1863">_xlfn.IFS(J1863=1,"Day Use",J1863&lt;=3,"Short Stay",J1863&lt;=7,"Extended Stay",J1863&gt;=8,"Long Stay")</f>
        <v>Extended Stay</v>
      </c>
      <c r="L1863" t="s">
        <v>91</v>
      </c>
      <c r="M1863" s="10" t="str">
        <f t="shared" si="146"/>
        <v>Deluxe</v>
      </c>
      <c r="N1863" t="s">
        <v>26</v>
      </c>
      <c r="O1863" t="s">
        <v>71</v>
      </c>
      <c r="P1863">
        <f>IFERROR(VLOOKUP(TRIM(M1863),Room!D:H,5,FALSE),5000)</f>
        <v>5400</v>
      </c>
      <c r="Q1863">
        <f t="shared" si="147"/>
        <v>32400</v>
      </c>
      <c r="R1863" s="11" t="str">
        <f t="shared" si="148"/>
        <v>Conference</v>
      </c>
      <c r="S1863" s="11">
        <f t="shared" si="149"/>
        <v>3</v>
      </c>
    </row>
    <row r="1864" spans="1:19">
      <c r="A1864" t="s">
        <v>9640</v>
      </c>
      <c r="B1864" t="s">
        <v>9641</v>
      </c>
      <c r="C1864" t="s">
        <v>67</v>
      </c>
      <c r="D1864" t="s">
        <v>9642</v>
      </c>
      <c r="E1864" t="s">
        <v>9643</v>
      </c>
      <c r="F1864" t="s">
        <v>9644</v>
      </c>
      <c r="G1864" s="4">
        <v>45480</v>
      </c>
      <c r="H1864" s="4">
        <v>45619</v>
      </c>
      <c r="I1864" s="4">
        <v>45626</v>
      </c>
      <c r="J1864">
        <f t="shared" si="145"/>
        <v>7</v>
      </c>
      <c r="K1864" t="str">
        <f t="array" ref="K1864">_xlfn.IFS(J1864=1,"Day Use",J1864&lt;=3,"Short Stay",J1864&lt;=7,"Extended Stay",J1864&gt;=8,"Long Stay")</f>
        <v>Extended Stay</v>
      </c>
      <c r="L1864" t="s">
        <v>49</v>
      </c>
      <c r="M1864" s="10" t="str">
        <f t="shared" si="146"/>
        <v>Premium</v>
      </c>
      <c r="N1864" t="s">
        <v>134</v>
      </c>
      <c r="O1864" t="s">
        <v>58</v>
      </c>
      <c r="P1864">
        <f>IFERROR(VLOOKUP(TRIM(M1864),Room!D:H,5,FALSE),5000)</f>
        <v>9500</v>
      </c>
      <c r="Q1864">
        <f t="shared" si="147"/>
        <v>66500</v>
      </c>
      <c r="R1864" s="11" t="str">
        <f t="shared" si="148"/>
        <v>Conference</v>
      </c>
      <c r="S1864" s="11">
        <f t="shared" si="149"/>
        <v>4</v>
      </c>
    </row>
    <row r="1865" spans="1:19">
      <c r="A1865" t="s">
        <v>9645</v>
      </c>
      <c r="B1865" t="s">
        <v>9646</v>
      </c>
      <c r="C1865" t="s">
        <v>9647</v>
      </c>
      <c r="D1865" t="s">
        <v>9648</v>
      </c>
      <c r="E1865" t="s">
        <v>9649</v>
      </c>
      <c r="F1865" t="s">
        <v>9650</v>
      </c>
      <c r="G1865" s="4">
        <v>45348</v>
      </c>
      <c r="H1865" s="4">
        <v>45929</v>
      </c>
      <c r="I1865" s="4">
        <v>45941</v>
      </c>
      <c r="J1865">
        <f t="shared" si="145"/>
        <v>12</v>
      </c>
      <c r="K1865" t="str">
        <f t="array" ref="K1865">_xlfn.IFS(J1865=1,"Day Use",J1865&lt;=3,"Short Stay",J1865&lt;=7,"Extended Stay",J1865&gt;=8,"Long Stay")</f>
        <v>Long Stay</v>
      </c>
      <c r="L1865" t="s">
        <v>56</v>
      </c>
      <c r="M1865" s="10" t="str">
        <f t="shared" si="146"/>
        <v>Suite</v>
      </c>
      <c r="N1865" t="s">
        <v>134</v>
      </c>
      <c r="O1865" t="s">
        <v>71</v>
      </c>
      <c r="P1865">
        <f>IFERROR(VLOOKUP(TRIM(M1865),Room!D:H,5,FALSE),5000)</f>
        <v>12500</v>
      </c>
      <c r="Q1865">
        <f t="shared" si="147"/>
        <v>150000</v>
      </c>
      <c r="R1865" s="11" t="str">
        <f t="shared" si="148"/>
        <v>Business</v>
      </c>
      <c r="S1865" s="11">
        <f t="shared" si="149"/>
        <v>5</v>
      </c>
    </row>
    <row r="1866" spans="1:19">
      <c r="A1866" t="s">
        <v>9651</v>
      </c>
      <c r="B1866" t="s">
        <v>9652</v>
      </c>
      <c r="C1866" t="s">
        <v>52</v>
      </c>
      <c r="D1866" t="s">
        <v>9653</v>
      </c>
      <c r="E1866" t="s">
        <v>9654</v>
      </c>
      <c r="F1866" t="s">
        <v>9655</v>
      </c>
      <c r="G1866" s="4">
        <v>45246</v>
      </c>
      <c r="H1866" s="4">
        <v>45403</v>
      </c>
      <c r="I1866" s="4">
        <v>45412</v>
      </c>
      <c r="J1866">
        <f t="shared" si="145"/>
        <v>9</v>
      </c>
      <c r="K1866" t="str">
        <f t="array" ref="K1866">_xlfn.IFS(J1866=1,"Day Use",J1866&lt;=3,"Short Stay",J1866&lt;=7,"Extended Stay",J1866&gt;=8,"Long Stay")</f>
        <v>Long Stay</v>
      </c>
      <c r="L1866" t="s">
        <v>91</v>
      </c>
      <c r="M1866" s="10" t="str">
        <f t="shared" si="146"/>
        <v>Premium</v>
      </c>
      <c r="N1866" t="s">
        <v>26</v>
      </c>
      <c r="O1866" t="s">
        <v>42</v>
      </c>
      <c r="P1866">
        <f>IFERROR(VLOOKUP(TRIM(M1866),Room!D:H,5,FALSE),5000)</f>
        <v>9500</v>
      </c>
      <c r="Q1866">
        <f t="shared" si="147"/>
        <v>85500</v>
      </c>
      <c r="R1866" s="11" t="str">
        <f t="shared" si="148"/>
        <v>Conference</v>
      </c>
      <c r="S1866" s="11">
        <f t="shared" si="149"/>
        <v>4</v>
      </c>
    </row>
    <row r="1867" spans="1:19">
      <c r="A1867" t="s">
        <v>9656</v>
      </c>
      <c r="B1867" t="s">
        <v>9657</v>
      </c>
      <c r="C1867" t="s">
        <v>6465</v>
      </c>
      <c r="D1867" t="s">
        <v>9658</v>
      </c>
      <c r="E1867" t="s">
        <v>9659</v>
      </c>
      <c r="F1867" t="s">
        <v>9660</v>
      </c>
      <c r="G1867" s="4">
        <v>45274</v>
      </c>
      <c r="H1867" s="4">
        <v>45659</v>
      </c>
      <c r="I1867" s="4">
        <v>45671</v>
      </c>
      <c r="J1867">
        <f t="shared" si="145"/>
        <v>12</v>
      </c>
      <c r="K1867" t="str">
        <f t="array" ref="K1867">_xlfn.IFS(J1867=1,"Day Use",J1867&lt;=3,"Short Stay",J1867&lt;=7,"Extended Stay",J1867&gt;=8,"Long Stay")</f>
        <v>Long Stay</v>
      </c>
      <c r="L1867" t="s">
        <v>25</v>
      </c>
      <c r="M1867" s="10" t="str">
        <f t="shared" si="146"/>
        <v>Suite</v>
      </c>
      <c r="N1867" t="s">
        <v>26</v>
      </c>
      <c r="O1867" t="s">
        <v>58</v>
      </c>
      <c r="P1867">
        <f>IFERROR(VLOOKUP(TRIM(M1867),Room!D:H,5,FALSE),5000)</f>
        <v>12500</v>
      </c>
      <c r="Q1867">
        <f t="shared" si="147"/>
        <v>150000</v>
      </c>
      <c r="R1867" s="11" t="str">
        <f t="shared" si="148"/>
        <v>Business</v>
      </c>
      <c r="S1867" s="11">
        <f t="shared" si="149"/>
        <v>5</v>
      </c>
    </row>
    <row r="1868" spans="1:19">
      <c r="A1868" t="s">
        <v>9661</v>
      </c>
      <c r="B1868" t="s">
        <v>9662</v>
      </c>
      <c r="C1868" t="s">
        <v>1710</v>
      </c>
      <c r="D1868" t="s">
        <v>9663</v>
      </c>
      <c r="E1868" t="s">
        <v>9664</v>
      </c>
      <c r="F1868" t="s">
        <v>9665</v>
      </c>
      <c r="G1868" s="4">
        <v>45432</v>
      </c>
      <c r="H1868" s="4">
        <v>45458</v>
      </c>
      <c r="I1868" s="4">
        <v>45461</v>
      </c>
      <c r="J1868">
        <f t="shared" si="145"/>
        <v>3</v>
      </c>
      <c r="K1868" t="str">
        <f t="array" ref="K1868">_xlfn.IFS(J1868=1,"Day Use",J1868&lt;=3,"Short Stay",J1868&lt;=7,"Extended Stay",J1868&gt;=8,"Long Stay")</f>
        <v>Short Stay</v>
      </c>
      <c r="L1868" t="s">
        <v>196</v>
      </c>
      <c r="M1868" s="10" t="str">
        <f t="shared" si="146"/>
        <v>Standard</v>
      </c>
      <c r="N1868" t="s">
        <v>26</v>
      </c>
      <c r="O1868" t="s">
        <v>35</v>
      </c>
      <c r="P1868">
        <f>IFERROR(VLOOKUP(TRIM(M1868),Room!D:H,5,FALSE),5000)</f>
        <v>3200</v>
      </c>
      <c r="Q1868">
        <f t="shared" si="147"/>
        <v>9600</v>
      </c>
      <c r="R1868" s="11" t="str">
        <f t="shared" si="148"/>
        <v>Other</v>
      </c>
      <c r="S1868" s="11">
        <f t="shared" si="149"/>
        <v>2</v>
      </c>
    </row>
    <row r="1869" spans="1:19">
      <c r="A1869" t="s">
        <v>9666</v>
      </c>
      <c r="B1869" t="s">
        <v>9667</v>
      </c>
      <c r="C1869" t="s">
        <v>392</v>
      </c>
      <c r="D1869" t="s">
        <v>9668</v>
      </c>
      <c r="E1869" t="s">
        <v>9669</v>
      </c>
      <c r="F1869" t="s">
        <v>9670</v>
      </c>
      <c r="G1869" s="4">
        <v>45303</v>
      </c>
      <c r="H1869" s="4">
        <v>45318</v>
      </c>
      <c r="I1869" s="4">
        <v>45322</v>
      </c>
      <c r="J1869">
        <f t="shared" si="145"/>
        <v>4</v>
      </c>
      <c r="K1869" t="str">
        <f t="array" ref="K1869">_xlfn.IFS(J1869=1,"Day Use",J1869&lt;=3,"Short Stay",J1869&lt;=7,"Extended Stay",J1869&gt;=8,"Long Stay")</f>
        <v>Extended Stay</v>
      </c>
      <c r="L1869" t="s">
        <v>84</v>
      </c>
      <c r="M1869" s="10" t="str">
        <f t="shared" si="146"/>
        <v>Deluxe</v>
      </c>
      <c r="N1869" t="s">
        <v>26</v>
      </c>
      <c r="O1869" t="s">
        <v>71</v>
      </c>
      <c r="P1869">
        <f>IFERROR(VLOOKUP(TRIM(M1869),Room!D:H,5,FALSE),5000)</f>
        <v>5400</v>
      </c>
      <c r="Q1869">
        <f t="shared" si="147"/>
        <v>21600</v>
      </c>
      <c r="R1869" s="11" t="str">
        <f t="shared" si="148"/>
        <v>Conference</v>
      </c>
      <c r="S1869" s="11">
        <f t="shared" si="149"/>
        <v>3</v>
      </c>
    </row>
    <row r="1870" spans="1:19">
      <c r="A1870" t="s">
        <v>9671</v>
      </c>
      <c r="B1870" t="s">
        <v>9672</v>
      </c>
      <c r="C1870" t="s">
        <v>339</v>
      </c>
      <c r="D1870" t="s">
        <v>9673</v>
      </c>
      <c r="E1870" t="s">
        <v>9674</v>
      </c>
      <c r="F1870" t="s">
        <v>9675</v>
      </c>
      <c r="G1870" s="4">
        <v>45377</v>
      </c>
      <c r="H1870" s="4">
        <v>45702</v>
      </c>
      <c r="I1870" s="4">
        <v>45709</v>
      </c>
      <c r="J1870">
        <f t="shared" si="145"/>
        <v>7</v>
      </c>
      <c r="K1870" t="str">
        <f t="array" ref="K1870">_xlfn.IFS(J1870=1,"Day Use",J1870&lt;=3,"Short Stay",J1870&lt;=7,"Extended Stay",J1870&gt;=8,"Long Stay")</f>
        <v>Extended Stay</v>
      </c>
      <c r="L1870" t="s">
        <v>91</v>
      </c>
      <c r="M1870" s="10" t="str">
        <f t="shared" si="146"/>
        <v>Premium</v>
      </c>
      <c r="N1870" t="s">
        <v>148</v>
      </c>
      <c r="O1870" t="s">
        <v>71</v>
      </c>
      <c r="P1870">
        <f>IFERROR(VLOOKUP(TRIM(M1870),Room!D:H,5,FALSE),5000)</f>
        <v>9500</v>
      </c>
      <c r="Q1870">
        <f t="shared" si="147"/>
        <v>66500</v>
      </c>
      <c r="R1870" s="11" t="str">
        <f t="shared" si="148"/>
        <v>Conference</v>
      </c>
      <c r="S1870" s="11">
        <f t="shared" si="149"/>
        <v>4</v>
      </c>
    </row>
    <row r="1871" spans="1:19">
      <c r="A1871" t="s">
        <v>9676</v>
      </c>
      <c r="B1871" t="s">
        <v>9677</v>
      </c>
      <c r="C1871" t="s">
        <v>1383</v>
      </c>
      <c r="D1871" t="s">
        <v>9678</v>
      </c>
      <c r="E1871" t="s">
        <v>9679</v>
      </c>
      <c r="F1871" t="s">
        <v>9680</v>
      </c>
      <c r="G1871" s="4">
        <v>45341</v>
      </c>
      <c r="H1871" s="4">
        <v>45754</v>
      </c>
      <c r="I1871" s="4">
        <v>45756</v>
      </c>
      <c r="J1871">
        <f t="shared" si="145"/>
        <v>2</v>
      </c>
      <c r="K1871" t="str">
        <f t="array" ref="K1871">_xlfn.IFS(J1871=1,"Day Use",J1871&lt;=3,"Short Stay",J1871&lt;=7,"Extended Stay",J1871&gt;=8,"Long Stay")</f>
        <v>Short Stay</v>
      </c>
      <c r="L1871" t="s">
        <v>25</v>
      </c>
      <c r="M1871" s="10" t="str">
        <f t="shared" si="146"/>
        <v>Standard</v>
      </c>
      <c r="N1871" t="s">
        <v>372</v>
      </c>
      <c r="O1871" t="s">
        <v>71</v>
      </c>
      <c r="P1871">
        <f>IFERROR(VLOOKUP(TRIM(M1871),Room!D:H,5,FALSE),5000)</f>
        <v>3200</v>
      </c>
      <c r="Q1871">
        <f t="shared" si="147"/>
        <v>6400</v>
      </c>
      <c r="R1871" s="11" t="str">
        <f t="shared" si="148"/>
        <v>Other</v>
      </c>
      <c r="S1871" s="11">
        <f t="shared" si="149"/>
        <v>2</v>
      </c>
    </row>
    <row r="1872" spans="1:19">
      <c r="A1872" t="s">
        <v>9681</v>
      </c>
      <c r="B1872" t="s">
        <v>9682</v>
      </c>
      <c r="C1872" t="s">
        <v>4648</v>
      </c>
      <c r="D1872" t="s">
        <v>9683</v>
      </c>
      <c r="E1872" t="s">
        <v>9684</v>
      </c>
      <c r="F1872" t="s">
        <v>9685</v>
      </c>
      <c r="G1872" s="4">
        <v>45458</v>
      </c>
      <c r="H1872" s="4">
        <v>45873</v>
      </c>
      <c r="I1872" s="4">
        <v>45883</v>
      </c>
      <c r="J1872">
        <f t="shared" si="145"/>
        <v>10</v>
      </c>
      <c r="K1872" t="str">
        <f t="array" ref="K1872">_xlfn.IFS(J1872=1,"Day Use",J1872&lt;=3,"Short Stay",J1872&lt;=7,"Extended Stay",J1872&gt;=8,"Long Stay")</f>
        <v>Long Stay</v>
      </c>
      <c r="L1872" t="s">
        <v>25</v>
      </c>
      <c r="M1872" s="10" t="str">
        <f t="shared" si="146"/>
        <v>Premium</v>
      </c>
      <c r="N1872" t="s">
        <v>57</v>
      </c>
      <c r="O1872" t="s">
        <v>42</v>
      </c>
      <c r="P1872">
        <f>IFERROR(VLOOKUP(TRIM(M1872),Room!D:H,5,FALSE),5000)</f>
        <v>9500</v>
      </c>
      <c r="Q1872">
        <f t="shared" si="147"/>
        <v>95000</v>
      </c>
      <c r="R1872" s="11" t="str">
        <f t="shared" si="148"/>
        <v>Conference</v>
      </c>
      <c r="S1872" s="11">
        <f t="shared" si="149"/>
        <v>4</v>
      </c>
    </row>
    <row r="1873" spans="1:19">
      <c r="A1873" t="s">
        <v>9686</v>
      </c>
      <c r="B1873" t="s">
        <v>9687</v>
      </c>
      <c r="C1873" t="s">
        <v>1453</v>
      </c>
      <c r="D1873" t="s">
        <v>9688</v>
      </c>
      <c r="E1873" t="s">
        <v>9689</v>
      </c>
      <c r="F1873" t="s">
        <v>9690</v>
      </c>
      <c r="G1873" s="4">
        <v>45296</v>
      </c>
      <c r="H1873" s="4">
        <v>45309</v>
      </c>
      <c r="I1873" s="4">
        <v>45311</v>
      </c>
      <c r="J1873">
        <f t="shared" si="145"/>
        <v>2</v>
      </c>
      <c r="K1873" t="str">
        <f t="array" ref="K1873">_xlfn.IFS(J1873=1,"Day Use",J1873&lt;=3,"Short Stay",J1873&lt;=7,"Extended Stay",J1873&gt;=8,"Long Stay")</f>
        <v>Short Stay</v>
      </c>
      <c r="L1873" t="s">
        <v>25</v>
      </c>
      <c r="M1873" s="10" t="str">
        <f t="shared" si="146"/>
        <v>Standard</v>
      </c>
      <c r="N1873" t="s">
        <v>26</v>
      </c>
      <c r="O1873" t="s">
        <v>58</v>
      </c>
      <c r="P1873">
        <f>IFERROR(VLOOKUP(TRIM(M1873),Room!D:H,5,FALSE),5000)</f>
        <v>3200</v>
      </c>
      <c r="Q1873">
        <f t="shared" si="147"/>
        <v>6400</v>
      </c>
      <c r="R1873" s="11" t="str">
        <f t="shared" si="148"/>
        <v>Other</v>
      </c>
      <c r="S1873" s="11">
        <f t="shared" si="149"/>
        <v>2</v>
      </c>
    </row>
    <row r="1874" spans="1:19">
      <c r="A1874" t="s">
        <v>9691</v>
      </c>
      <c r="B1874" t="s">
        <v>9692</v>
      </c>
      <c r="C1874" t="s">
        <v>916</v>
      </c>
      <c r="D1874" t="s">
        <v>9693</v>
      </c>
      <c r="E1874" t="s">
        <v>9694</v>
      </c>
      <c r="F1874" t="s">
        <v>9695</v>
      </c>
      <c r="G1874" s="4">
        <v>45738</v>
      </c>
      <c r="H1874" s="4">
        <v>45955</v>
      </c>
      <c r="I1874" s="4">
        <v>45969</v>
      </c>
      <c r="J1874">
        <f t="shared" si="145"/>
        <v>14</v>
      </c>
      <c r="K1874" t="str">
        <f t="array" ref="K1874">_xlfn.IFS(J1874=1,"Day Use",J1874&lt;=3,"Short Stay",J1874&lt;=7,"Extended Stay",J1874&gt;=8,"Long Stay")</f>
        <v>Long Stay</v>
      </c>
      <c r="L1874" t="s">
        <v>25</v>
      </c>
      <c r="M1874" s="10" t="str">
        <f t="shared" si="146"/>
        <v>Suite</v>
      </c>
      <c r="N1874" t="s">
        <v>26</v>
      </c>
      <c r="O1874" t="s">
        <v>58</v>
      </c>
      <c r="P1874">
        <f>IFERROR(VLOOKUP(TRIM(M1874),Room!D:H,5,FALSE),5000)</f>
        <v>12500</v>
      </c>
      <c r="Q1874">
        <f t="shared" si="147"/>
        <v>175000</v>
      </c>
      <c r="R1874" s="11" t="str">
        <f t="shared" si="148"/>
        <v>Business</v>
      </c>
      <c r="S1874" s="11">
        <f t="shared" si="149"/>
        <v>5</v>
      </c>
    </row>
    <row r="1875" spans="1:19">
      <c r="A1875" t="s">
        <v>9696</v>
      </c>
      <c r="B1875" t="s">
        <v>9697</v>
      </c>
      <c r="C1875" t="s">
        <v>2101</v>
      </c>
      <c r="D1875" t="s">
        <v>9698</v>
      </c>
      <c r="E1875" t="s">
        <v>9699</v>
      </c>
      <c r="F1875" t="s">
        <v>9700</v>
      </c>
      <c r="G1875" s="4">
        <v>45419</v>
      </c>
      <c r="H1875" s="4">
        <v>45721</v>
      </c>
      <c r="I1875" s="4">
        <v>45730</v>
      </c>
      <c r="J1875">
        <f t="shared" si="145"/>
        <v>9</v>
      </c>
      <c r="K1875" t="str">
        <f t="array" ref="K1875">_xlfn.IFS(J1875=1,"Day Use",J1875&lt;=3,"Short Stay",J1875&lt;=7,"Extended Stay",J1875&gt;=8,"Long Stay")</f>
        <v>Long Stay</v>
      </c>
      <c r="L1875" t="s">
        <v>84</v>
      </c>
      <c r="M1875" s="10" t="str">
        <f t="shared" si="146"/>
        <v>Premium</v>
      </c>
      <c r="N1875" t="s">
        <v>26</v>
      </c>
      <c r="O1875" t="s">
        <v>35</v>
      </c>
      <c r="P1875">
        <f>IFERROR(VLOOKUP(TRIM(M1875),Room!D:H,5,FALSE),5000)</f>
        <v>9500</v>
      </c>
      <c r="Q1875">
        <f t="shared" si="147"/>
        <v>85500</v>
      </c>
      <c r="R1875" s="11" t="str">
        <f t="shared" si="148"/>
        <v>Conference</v>
      </c>
      <c r="S1875" s="11">
        <f t="shared" si="149"/>
        <v>4</v>
      </c>
    </row>
    <row r="1876" spans="1:19">
      <c r="A1876" t="s">
        <v>9701</v>
      </c>
      <c r="B1876" t="s">
        <v>9702</v>
      </c>
      <c r="C1876" t="s">
        <v>80</v>
      </c>
      <c r="D1876" t="s">
        <v>9703</v>
      </c>
      <c r="E1876" t="s">
        <v>9704</v>
      </c>
      <c r="F1876" t="s">
        <v>9705</v>
      </c>
      <c r="G1876" s="4">
        <v>45602</v>
      </c>
      <c r="H1876" s="4">
        <v>45614</v>
      </c>
      <c r="I1876" s="4">
        <v>45625</v>
      </c>
      <c r="J1876">
        <f t="shared" si="145"/>
        <v>11</v>
      </c>
      <c r="K1876" t="str">
        <f t="array" ref="K1876">_xlfn.IFS(J1876=1,"Day Use",J1876&lt;=3,"Short Stay",J1876&lt;=7,"Extended Stay",J1876&gt;=8,"Long Stay")</f>
        <v>Long Stay</v>
      </c>
      <c r="L1876" t="s">
        <v>34</v>
      </c>
      <c r="M1876" s="10" t="str">
        <f t="shared" si="146"/>
        <v>Suite</v>
      </c>
      <c r="N1876" t="s">
        <v>26</v>
      </c>
      <c r="O1876" t="s">
        <v>58</v>
      </c>
      <c r="P1876">
        <f>IFERROR(VLOOKUP(TRIM(M1876),Room!D:H,5,FALSE),5000)</f>
        <v>12500</v>
      </c>
      <c r="Q1876">
        <f t="shared" si="147"/>
        <v>137500</v>
      </c>
      <c r="R1876" s="11" t="str">
        <f t="shared" si="148"/>
        <v>Business</v>
      </c>
      <c r="S1876" s="11">
        <f t="shared" si="149"/>
        <v>5</v>
      </c>
    </row>
    <row r="1877" spans="1:19">
      <c r="A1877" t="s">
        <v>9706</v>
      </c>
      <c r="B1877" t="s">
        <v>9707</v>
      </c>
      <c r="C1877" t="s">
        <v>1052</v>
      </c>
      <c r="D1877" t="s">
        <v>9708</v>
      </c>
      <c r="E1877" t="s">
        <v>9709</v>
      </c>
      <c r="F1877" t="s">
        <v>9710</v>
      </c>
      <c r="G1877" s="4">
        <v>45693</v>
      </c>
      <c r="H1877" s="4">
        <v>45717</v>
      </c>
      <c r="I1877" s="4">
        <v>45725</v>
      </c>
      <c r="J1877">
        <f t="shared" si="145"/>
        <v>8</v>
      </c>
      <c r="K1877" t="str">
        <f t="array" ref="K1877">_xlfn.IFS(J1877=1,"Day Use",J1877&lt;=3,"Short Stay",J1877&lt;=7,"Extended Stay",J1877&gt;=8,"Long Stay")</f>
        <v>Long Stay</v>
      </c>
      <c r="L1877" t="s">
        <v>91</v>
      </c>
      <c r="M1877" s="10" t="str">
        <f t="shared" si="146"/>
        <v>Premium</v>
      </c>
      <c r="N1877" t="s">
        <v>26</v>
      </c>
      <c r="O1877" t="s">
        <v>58</v>
      </c>
      <c r="P1877">
        <f>IFERROR(VLOOKUP(TRIM(M1877),Room!D:H,5,FALSE),5000)</f>
        <v>9500</v>
      </c>
      <c r="Q1877">
        <f t="shared" si="147"/>
        <v>76000</v>
      </c>
      <c r="R1877" s="11" t="str">
        <f t="shared" si="148"/>
        <v>Conference</v>
      </c>
      <c r="S1877" s="11">
        <f t="shared" si="149"/>
        <v>4</v>
      </c>
    </row>
    <row r="1878" spans="1:19">
      <c r="A1878" t="s">
        <v>9711</v>
      </c>
      <c r="B1878" t="s">
        <v>9712</v>
      </c>
      <c r="C1878" t="s">
        <v>506</v>
      </c>
      <c r="D1878" t="s">
        <v>9713</v>
      </c>
      <c r="E1878" t="s">
        <v>9714</v>
      </c>
      <c r="F1878" t="s">
        <v>9715</v>
      </c>
      <c r="G1878" s="4">
        <v>45703</v>
      </c>
      <c r="H1878" s="4">
        <v>45707</v>
      </c>
      <c r="I1878" s="4">
        <v>45720</v>
      </c>
      <c r="J1878">
        <f t="shared" si="145"/>
        <v>13</v>
      </c>
      <c r="K1878" t="str">
        <f t="array" ref="K1878">_xlfn.IFS(J1878=1,"Day Use",J1878&lt;=3,"Short Stay",J1878&lt;=7,"Extended Stay",J1878&gt;=8,"Long Stay")</f>
        <v>Long Stay</v>
      </c>
      <c r="L1878" t="s">
        <v>91</v>
      </c>
      <c r="M1878" s="10" t="str">
        <f t="shared" si="146"/>
        <v>Suite</v>
      </c>
      <c r="N1878" t="s">
        <v>26</v>
      </c>
      <c r="O1878" t="s">
        <v>27</v>
      </c>
      <c r="P1878">
        <f>IFERROR(VLOOKUP(TRIM(M1878),Room!D:H,5,FALSE),5000)</f>
        <v>12500</v>
      </c>
      <c r="Q1878">
        <f t="shared" si="147"/>
        <v>162500</v>
      </c>
      <c r="R1878" s="11" t="str">
        <f t="shared" si="148"/>
        <v>Business</v>
      </c>
      <c r="S1878" s="11">
        <f t="shared" si="149"/>
        <v>5</v>
      </c>
    </row>
    <row r="1879" spans="1:19">
      <c r="A1879" t="s">
        <v>9716</v>
      </c>
      <c r="B1879" t="s">
        <v>9717</v>
      </c>
      <c r="C1879" t="s">
        <v>421</v>
      </c>
      <c r="D1879" t="s">
        <v>9718</v>
      </c>
      <c r="E1879" t="s">
        <v>9719</v>
      </c>
      <c r="F1879" t="s">
        <v>9720</v>
      </c>
      <c r="G1879" s="4">
        <v>45314</v>
      </c>
      <c r="H1879" s="4">
        <v>45337</v>
      </c>
      <c r="I1879" s="4">
        <v>45340</v>
      </c>
      <c r="J1879">
        <f t="shared" si="145"/>
        <v>3</v>
      </c>
      <c r="K1879" t="str">
        <f t="array" ref="K1879">_xlfn.IFS(J1879=1,"Day Use",J1879&lt;=3,"Short Stay",J1879&lt;=7,"Extended Stay",J1879&gt;=8,"Long Stay")</f>
        <v>Short Stay</v>
      </c>
      <c r="L1879" t="s">
        <v>91</v>
      </c>
      <c r="M1879" s="10" t="str">
        <f t="shared" si="146"/>
        <v>Standard</v>
      </c>
      <c r="N1879" t="s">
        <v>26</v>
      </c>
      <c r="O1879" t="s">
        <v>58</v>
      </c>
      <c r="P1879">
        <f>IFERROR(VLOOKUP(TRIM(M1879),Room!D:H,5,FALSE),5000)</f>
        <v>3200</v>
      </c>
      <c r="Q1879">
        <f t="shared" si="147"/>
        <v>9600</v>
      </c>
      <c r="R1879" s="11" t="str">
        <f t="shared" si="148"/>
        <v>Other</v>
      </c>
      <c r="S1879" s="11">
        <f t="shared" si="149"/>
        <v>2</v>
      </c>
    </row>
    <row r="1880" spans="1:19">
      <c r="A1880" t="s">
        <v>9721</v>
      </c>
      <c r="B1880" t="s">
        <v>9722</v>
      </c>
      <c r="C1880" t="s">
        <v>1693</v>
      </c>
      <c r="D1880" t="s">
        <v>9723</v>
      </c>
      <c r="E1880" t="s">
        <v>9724</v>
      </c>
      <c r="F1880" t="s">
        <v>9725</v>
      </c>
      <c r="G1880" s="4">
        <v>45259</v>
      </c>
      <c r="H1880" s="4">
        <v>45731</v>
      </c>
      <c r="I1880" s="4">
        <v>45742</v>
      </c>
      <c r="J1880">
        <f t="shared" si="145"/>
        <v>11</v>
      </c>
      <c r="K1880" t="str">
        <f t="array" ref="K1880">_xlfn.IFS(J1880=1,"Day Use",J1880&lt;=3,"Short Stay",J1880&lt;=7,"Extended Stay",J1880&gt;=8,"Long Stay")</f>
        <v>Long Stay</v>
      </c>
      <c r="L1880" t="s">
        <v>34</v>
      </c>
      <c r="M1880" s="10" t="str">
        <f t="shared" si="146"/>
        <v>Suite</v>
      </c>
      <c r="N1880" t="s">
        <v>57</v>
      </c>
      <c r="O1880" t="s">
        <v>35</v>
      </c>
      <c r="P1880">
        <f>IFERROR(VLOOKUP(TRIM(M1880),Room!D:H,5,FALSE),5000)</f>
        <v>12500</v>
      </c>
      <c r="Q1880">
        <f t="shared" si="147"/>
        <v>137500</v>
      </c>
      <c r="R1880" s="11" t="str">
        <f t="shared" si="148"/>
        <v>Business</v>
      </c>
      <c r="S1880" s="11">
        <f t="shared" si="149"/>
        <v>5</v>
      </c>
    </row>
    <row r="1881" spans="1:19">
      <c r="A1881" t="s">
        <v>9726</v>
      </c>
      <c r="B1881" t="s">
        <v>9727</v>
      </c>
      <c r="C1881" t="s">
        <v>80</v>
      </c>
      <c r="D1881" t="s">
        <v>9728</v>
      </c>
      <c r="E1881" t="s">
        <v>9729</v>
      </c>
      <c r="F1881" t="s">
        <v>9730</v>
      </c>
      <c r="G1881" s="4">
        <v>45586</v>
      </c>
      <c r="H1881" s="4">
        <v>45592</v>
      </c>
      <c r="I1881" s="4">
        <v>45595</v>
      </c>
      <c r="J1881">
        <f t="shared" si="145"/>
        <v>3</v>
      </c>
      <c r="K1881" t="str">
        <f t="array" ref="K1881">_xlfn.IFS(J1881=1,"Day Use",J1881&lt;=3,"Short Stay",J1881&lt;=7,"Extended Stay",J1881&gt;=8,"Long Stay")</f>
        <v>Short Stay</v>
      </c>
      <c r="L1881" t="s">
        <v>25</v>
      </c>
      <c r="M1881" s="10" t="str">
        <f t="shared" si="146"/>
        <v>Standard</v>
      </c>
      <c r="N1881" t="s">
        <v>26</v>
      </c>
      <c r="O1881" t="s">
        <v>71</v>
      </c>
      <c r="P1881">
        <f>IFERROR(VLOOKUP(TRIM(M1881),Room!D:H,5,FALSE),5000)</f>
        <v>3200</v>
      </c>
      <c r="Q1881">
        <f t="shared" si="147"/>
        <v>9600</v>
      </c>
      <c r="R1881" s="11" t="str">
        <f t="shared" si="148"/>
        <v>Other</v>
      </c>
      <c r="S1881" s="11">
        <f t="shared" si="149"/>
        <v>2</v>
      </c>
    </row>
    <row r="1882" spans="1:19">
      <c r="A1882" t="s">
        <v>9731</v>
      </c>
      <c r="B1882" t="s">
        <v>9732</v>
      </c>
      <c r="C1882" t="s">
        <v>1643</v>
      </c>
      <c r="D1882" t="s">
        <v>9733</v>
      </c>
      <c r="E1882" t="s">
        <v>9734</v>
      </c>
      <c r="F1882" t="s">
        <v>9735</v>
      </c>
      <c r="G1882" s="4">
        <v>45543</v>
      </c>
      <c r="H1882" s="4">
        <v>45901</v>
      </c>
      <c r="I1882" s="4">
        <v>45913</v>
      </c>
      <c r="J1882">
        <f t="shared" si="145"/>
        <v>12</v>
      </c>
      <c r="K1882" t="str">
        <f t="array" ref="K1882">_xlfn.IFS(J1882=1,"Day Use",J1882&lt;=3,"Short Stay",J1882&lt;=7,"Extended Stay",J1882&gt;=8,"Long Stay")</f>
        <v>Long Stay</v>
      </c>
      <c r="L1882" t="s">
        <v>49</v>
      </c>
      <c r="M1882" s="10" t="str">
        <f t="shared" si="146"/>
        <v>Suite</v>
      </c>
      <c r="N1882" t="s">
        <v>26</v>
      </c>
      <c r="O1882" t="s">
        <v>35</v>
      </c>
      <c r="P1882">
        <f>IFERROR(VLOOKUP(TRIM(M1882),Room!D:H,5,FALSE),5000)</f>
        <v>12500</v>
      </c>
      <c r="Q1882">
        <f t="shared" si="147"/>
        <v>150000</v>
      </c>
      <c r="R1882" s="11" t="str">
        <f t="shared" si="148"/>
        <v>Business</v>
      </c>
      <c r="S1882" s="11">
        <f t="shared" si="149"/>
        <v>5</v>
      </c>
    </row>
    <row r="1883" spans="1:19">
      <c r="A1883" t="s">
        <v>9736</v>
      </c>
      <c r="B1883" t="s">
        <v>9737</v>
      </c>
      <c r="C1883" t="s">
        <v>223</v>
      </c>
      <c r="D1883" t="s">
        <v>9738</v>
      </c>
      <c r="E1883" t="s">
        <v>9739</v>
      </c>
      <c r="F1883" t="s">
        <v>9740</v>
      </c>
      <c r="G1883" s="4">
        <v>45601</v>
      </c>
      <c r="H1883" s="4">
        <v>45604</v>
      </c>
      <c r="I1883" s="4">
        <v>45610</v>
      </c>
      <c r="J1883">
        <f t="shared" si="145"/>
        <v>6</v>
      </c>
      <c r="K1883" t="str">
        <f t="array" ref="K1883">_xlfn.IFS(J1883=1,"Day Use",J1883&lt;=3,"Short Stay",J1883&lt;=7,"Extended Stay",J1883&gt;=8,"Long Stay")</f>
        <v>Extended Stay</v>
      </c>
      <c r="L1883" t="s">
        <v>84</v>
      </c>
      <c r="M1883" s="10" t="str">
        <f t="shared" si="146"/>
        <v>Deluxe</v>
      </c>
      <c r="N1883" t="s">
        <v>26</v>
      </c>
      <c r="O1883" t="s">
        <v>27</v>
      </c>
      <c r="P1883">
        <f>IFERROR(VLOOKUP(TRIM(M1883),Room!D:H,5,FALSE),5000)</f>
        <v>5400</v>
      </c>
      <c r="Q1883">
        <f t="shared" si="147"/>
        <v>32400</v>
      </c>
      <c r="R1883" s="11" t="str">
        <f t="shared" si="148"/>
        <v>Conference</v>
      </c>
      <c r="S1883" s="11">
        <f t="shared" si="149"/>
        <v>3</v>
      </c>
    </row>
    <row r="1884" spans="1:19">
      <c r="A1884" t="s">
        <v>9741</v>
      </c>
      <c r="B1884" t="s">
        <v>9742</v>
      </c>
      <c r="C1884" t="s">
        <v>1014</v>
      </c>
      <c r="D1884" t="s">
        <v>9743</v>
      </c>
      <c r="E1884" t="s">
        <v>9744</v>
      </c>
      <c r="F1884" t="s">
        <v>9745</v>
      </c>
      <c r="G1884" s="4">
        <v>45217</v>
      </c>
      <c r="H1884" s="4">
        <v>45756</v>
      </c>
      <c r="I1884" s="4">
        <v>45762</v>
      </c>
      <c r="J1884">
        <f t="shared" si="145"/>
        <v>6</v>
      </c>
      <c r="K1884" t="str">
        <f t="array" ref="K1884">_xlfn.IFS(J1884=1,"Day Use",J1884&lt;=3,"Short Stay",J1884&lt;=7,"Extended Stay",J1884&gt;=8,"Long Stay")</f>
        <v>Extended Stay</v>
      </c>
      <c r="L1884" t="s">
        <v>91</v>
      </c>
      <c r="M1884" s="10" t="str">
        <f t="shared" si="146"/>
        <v>Deluxe</v>
      </c>
      <c r="N1884" t="s">
        <v>26</v>
      </c>
      <c r="O1884" t="s">
        <v>58</v>
      </c>
      <c r="P1884">
        <f>IFERROR(VLOOKUP(TRIM(M1884),Room!D:H,5,FALSE),5000)</f>
        <v>5400</v>
      </c>
      <c r="Q1884">
        <f t="shared" si="147"/>
        <v>32400</v>
      </c>
      <c r="R1884" s="11" t="str">
        <f t="shared" si="148"/>
        <v>Conference</v>
      </c>
      <c r="S1884" s="11">
        <f t="shared" si="149"/>
        <v>3</v>
      </c>
    </row>
    <row r="1885" spans="1:19">
      <c r="A1885" t="s">
        <v>9746</v>
      </c>
      <c r="B1885" t="s">
        <v>9747</v>
      </c>
      <c r="C1885" t="s">
        <v>484</v>
      </c>
      <c r="D1885" t="s">
        <v>9748</v>
      </c>
      <c r="E1885" t="s">
        <v>9749</v>
      </c>
      <c r="F1885" t="s">
        <v>9750</v>
      </c>
      <c r="G1885" s="4">
        <v>45489</v>
      </c>
      <c r="H1885" s="4">
        <v>45492</v>
      </c>
      <c r="I1885" s="4">
        <v>45499</v>
      </c>
      <c r="J1885">
        <f t="shared" si="145"/>
        <v>7</v>
      </c>
      <c r="K1885" t="str">
        <f t="array" ref="K1885">_xlfn.IFS(J1885=1,"Day Use",J1885&lt;=3,"Short Stay",J1885&lt;=7,"Extended Stay",J1885&gt;=8,"Long Stay")</f>
        <v>Extended Stay</v>
      </c>
      <c r="L1885" t="s">
        <v>34</v>
      </c>
      <c r="M1885" s="10" t="str">
        <f t="shared" si="146"/>
        <v>Premium</v>
      </c>
      <c r="N1885" t="s">
        <v>148</v>
      </c>
      <c r="O1885" t="s">
        <v>35</v>
      </c>
      <c r="P1885">
        <f>IFERROR(VLOOKUP(TRIM(M1885),Room!D:H,5,FALSE),5000)</f>
        <v>9500</v>
      </c>
      <c r="Q1885">
        <f t="shared" si="147"/>
        <v>66500</v>
      </c>
      <c r="R1885" s="11" t="str">
        <f t="shared" si="148"/>
        <v>Conference</v>
      </c>
      <c r="S1885" s="11">
        <f t="shared" si="149"/>
        <v>4</v>
      </c>
    </row>
    <row r="1886" spans="1:19">
      <c r="A1886" t="s">
        <v>9751</v>
      </c>
      <c r="B1886" t="s">
        <v>9752</v>
      </c>
      <c r="C1886" t="s">
        <v>633</v>
      </c>
      <c r="D1886" t="s">
        <v>9753</v>
      </c>
      <c r="E1886" t="s">
        <v>9754</v>
      </c>
      <c r="F1886" t="s">
        <v>9755</v>
      </c>
      <c r="G1886" s="4">
        <v>45632</v>
      </c>
      <c r="H1886" s="4">
        <v>45796</v>
      </c>
      <c r="I1886" s="4">
        <v>45806</v>
      </c>
      <c r="J1886">
        <f t="shared" si="145"/>
        <v>10</v>
      </c>
      <c r="K1886" t="str">
        <f t="array" ref="K1886">_xlfn.IFS(J1886=1,"Day Use",J1886&lt;=3,"Short Stay",J1886&lt;=7,"Extended Stay",J1886&gt;=8,"Long Stay")</f>
        <v>Long Stay</v>
      </c>
      <c r="L1886" t="s">
        <v>25</v>
      </c>
      <c r="M1886" s="10" t="str">
        <f t="shared" si="146"/>
        <v>Premium</v>
      </c>
      <c r="N1886" t="s">
        <v>26</v>
      </c>
      <c r="O1886" t="s">
        <v>27</v>
      </c>
      <c r="P1886">
        <f>IFERROR(VLOOKUP(TRIM(M1886),Room!D:H,5,FALSE),5000)</f>
        <v>9500</v>
      </c>
      <c r="Q1886">
        <f t="shared" si="147"/>
        <v>95000</v>
      </c>
      <c r="R1886" s="11" t="str">
        <f t="shared" si="148"/>
        <v>Conference</v>
      </c>
      <c r="S1886" s="11">
        <f t="shared" si="149"/>
        <v>4</v>
      </c>
    </row>
    <row r="1887" spans="1:19">
      <c r="A1887" t="s">
        <v>9756</v>
      </c>
      <c r="B1887" t="s">
        <v>9757</v>
      </c>
      <c r="C1887" t="s">
        <v>157</v>
      </c>
      <c r="D1887" t="s">
        <v>9758</v>
      </c>
      <c r="E1887" t="s">
        <v>9759</v>
      </c>
      <c r="F1887" t="s">
        <v>9760</v>
      </c>
      <c r="G1887" s="4">
        <v>45750</v>
      </c>
      <c r="H1887" s="4">
        <v>45916</v>
      </c>
      <c r="I1887" s="4">
        <v>45928</v>
      </c>
      <c r="J1887">
        <f t="shared" si="145"/>
        <v>12</v>
      </c>
      <c r="K1887" t="str">
        <f t="array" ref="K1887">_xlfn.IFS(J1887=1,"Day Use",J1887&lt;=3,"Short Stay",J1887&lt;=7,"Extended Stay",J1887&gt;=8,"Long Stay")</f>
        <v>Long Stay</v>
      </c>
      <c r="L1887" t="s">
        <v>84</v>
      </c>
      <c r="M1887" s="10" t="str">
        <f t="shared" si="146"/>
        <v>Suite</v>
      </c>
      <c r="N1887" t="s">
        <v>134</v>
      </c>
      <c r="O1887" t="s">
        <v>71</v>
      </c>
      <c r="P1887">
        <f>IFERROR(VLOOKUP(TRIM(M1887),Room!D:H,5,FALSE),5000)</f>
        <v>12500</v>
      </c>
      <c r="Q1887">
        <f t="shared" si="147"/>
        <v>150000</v>
      </c>
      <c r="R1887" s="11" t="str">
        <f t="shared" si="148"/>
        <v>Business</v>
      </c>
      <c r="S1887" s="11">
        <f t="shared" si="149"/>
        <v>5</v>
      </c>
    </row>
    <row r="1888" spans="1:19">
      <c r="A1888" t="s">
        <v>9761</v>
      </c>
      <c r="B1888" t="s">
        <v>9762</v>
      </c>
      <c r="C1888" t="s">
        <v>163</v>
      </c>
      <c r="D1888" t="s">
        <v>9763</v>
      </c>
      <c r="E1888" t="s">
        <v>9764</v>
      </c>
      <c r="F1888" t="s">
        <v>9765</v>
      </c>
      <c r="G1888" s="4">
        <v>45665</v>
      </c>
      <c r="H1888" s="4">
        <v>45682</v>
      </c>
      <c r="I1888" s="4">
        <v>45690</v>
      </c>
      <c r="J1888">
        <f t="shared" si="145"/>
        <v>8</v>
      </c>
      <c r="K1888" t="str">
        <f t="array" ref="K1888">_xlfn.IFS(J1888=1,"Day Use",J1888&lt;=3,"Short Stay",J1888&lt;=7,"Extended Stay",J1888&gt;=8,"Long Stay")</f>
        <v>Long Stay</v>
      </c>
      <c r="L1888" t="s">
        <v>34</v>
      </c>
      <c r="M1888" s="10" t="str">
        <f t="shared" si="146"/>
        <v>Premium</v>
      </c>
      <c r="N1888" t="s">
        <v>26</v>
      </c>
      <c r="O1888" t="s">
        <v>58</v>
      </c>
      <c r="P1888">
        <f>IFERROR(VLOOKUP(TRIM(M1888),Room!D:H,5,FALSE),5000)</f>
        <v>9500</v>
      </c>
      <c r="Q1888">
        <f t="shared" si="147"/>
        <v>76000</v>
      </c>
      <c r="R1888" s="11" t="str">
        <f t="shared" si="148"/>
        <v>Conference</v>
      </c>
      <c r="S1888" s="11">
        <f t="shared" si="149"/>
        <v>4</v>
      </c>
    </row>
    <row r="1889" spans="1:19">
      <c r="A1889" t="s">
        <v>9766</v>
      </c>
      <c r="B1889" t="s">
        <v>9767</v>
      </c>
      <c r="C1889" t="s">
        <v>87</v>
      </c>
      <c r="D1889" t="s">
        <v>9768</v>
      </c>
      <c r="E1889" t="s">
        <v>9769</v>
      </c>
      <c r="F1889" t="s">
        <v>9770</v>
      </c>
      <c r="G1889" s="4">
        <v>45350</v>
      </c>
      <c r="H1889" s="4">
        <v>45357</v>
      </c>
      <c r="I1889" s="4">
        <v>45367</v>
      </c>
      <c r="J1889">
        <f t="shared" si="145"/>
        <v>10</v>
      </c>
      <c r="K1889" t="str">
        <f t="array" ref="K1889">_xlfn.IFS(J1889=1,"Day Use",J1889&lt;=3,"Short Stay",J1889&lt;=7,"Extended Stay",J1889&gt;=8,"Long Stay")</f>
        <v>Long Stay</v>
      </c>
      <c r="L1889" t="s">
        <v>56</v>
      </c>
      <c r="M1889" s="10" t="str">
        <f t="shared" si="146"/>
        <v>Premium</v>
      </c>
      <c r="N1889" t="s">
        <v>26</v>
      </c>
      <c r="O1889" t="s">
        <v>42</v>
      </c>
      <c r="P1889">
        <f>IFERROR(VLOOKUP(TRIM(M1889),Room!D:H,5,FALSE),5000)</f>
        <v>9500</v>
      </c>
      <c r="Q1889">
        <f t="shared" si="147"/>
        <v>95000</v>
      </c>
      <c r="R1889" s="11" t="str">
        <f t="shared" si="148"/>
        <v>Conference</v>
      </c>
      <c r="S1889" s="11">
        <f t="shared" si="149"/>
        <v>4</v>
      </c>
    </row>
    <row r="1890" spans="1:19">
      <c r="A1890" t="s">
        <v>9771</v>
      </c>
      <c r="B1890" t="s">
        <v>9772</v>
      </c>
      <c r="C1890" t="s">
        <v>3061</v>
      </c>
      <c r="D1890" t="s">
        <v>9773</v>
      </c>
      <c r="E1890" t="s">
        <v>9774</v>
      </c>
      <c r="F1890" t="s">
        <v>9775</v>
      </c>
      <c r="G1890" s="4">
        <v>45232</v>
      </c>
      <c r="H1890" s="4">
        <v>45892</v>
      </c>
      <c r="I1890" s="4">
        <v>45896</v>
      </c>
      <c r="J1890">
        <f t="shared" si="145"/>
        <v>4</v>
      </c>
      <c r="K1890" t="str">
        <f t="array" ref="K1890">_xlfn.IFS(J1890=1,"Day Use",J1890&lt;=3,"Short Stay",J1890&lt;=7,"Extended Stay",J1890&gt;=8,"Long Stay")</f>
        <v>Extended Stay</v>
      </c>
      <c r="L1890" t="s">
        <v>141</v>
      </c>
      <c r="M1890" s="10" t="str">
        <f t="shared" si="146"/>
        <v>Deluxe</v>
      </c>
      <c r="N1890" t="s">
        <v>26</v>
      </c>
      <c r="O1890" t="s">
        <v>35</v>
      </c>
      <c r="P1890">
        <f>IFERROR(VLOOKUP(TRIM(M1890),Room!D:H,5,FALSE),5000)</f>
        <v>5400</v>
      </c>
      <c r="Q1890">
        <f t="shared" si="147"/>
        <v>21600</v>
      </c>
      <c r="R1890" s="11" t="str">
        <f t="shared" si="148"/>
        <v>Conference</v>
      </c>
      <c r="S1890" s="11">
        <f t="shared" si="149"/>
        <v>3</v>
      </c>
    </row>
    <row r="1891" spans="1:19">
      <c r="A1891" t="s">
        <v>9776</v>
      </c>
      <c r="B1891" t="s">
        <v>9777</v>
      </c>
      <c r="C1891" t="s">
        <v>871</v>
      </c>
      <c r="D1891" t="s">
        <v>9778</v>
      </c>
      <c r="E1891" t="s">
        <v>9779</v>
      </c>
      <c r="F1891" t="s">
        <v>9780</v>
      </c>
      <c r="G1891" s="4">
        <v>45634</v>
      </c>
      <c r="H1891" s="4">
        <v>45716</v>
      </c>
      <c r="I1891" s="4">
        <v>45723</v>
      </c>
      <c r="J1891">
        <f t="shared" si="145"/>
        <v>7</v>
      </c>
      <c r="K1891" t="str">
        <f t="array" ref="K1891">_xlfn.IFS(J1891=1,"Day Use",J1891&lt;=3,"Short Stay",J1891&lt;=7,"Extended Stay",J1891&gt;=8,"Long Stay")</f>
        <v>Extended Stay</v>
      </c>
      <c r="L1891" t="s">
        <v>25</v>
      </c>
      <c r="M1891" s="10" t="str">
        <f t="shared" si="146"/>
        <v>Premium</v>
      </c>
      <c r="N1891" t="s">
        <v>26</v>
      </c>
      <c r="O1891" t="s">
        <v>42</v>
      </c>
      <c r="P1891">
        <f>IFERROR(VLOOKUP(TRIM(M1891),Room!D:H,5,FALSE),5000)</f>
        <v>9500</v>
      </c>
      <c r="Q1891">
        <f t="shared" si="147"/>
        <v>66500</v>
      </c>
      <c r="R1891" s="11" t="str">
        <f t="shared" si="148"/>
        <v>Conference</v>
      </c>
      <c r="S1891" s="11">
        <f t="shared" si="149"/>
        <v>4</v>
      </c>
    </row>
    <row r="1892" spans="1:19">
      <c r="A1892" t="s">
        <v>9781</v>
      </c>
      <c r="B1892" t="s">
        <v>9782</v>
      </c>
      <c r="C1892" t="s">
        <v>1482</v>
      </c>
      <c r="D1892" t="s">
        <v>9783</v>
      </c>
      <c r="E1892" t="s">
        <v>9784</v>
      </c>
      <c r="F1892" t="s">
        <v>9785</v>
      </c>
      <c r="G1892" s="4">
        <v>45270</v>
      </c>
      <c r="H1892" s="4">
        <v>45363</v>
      </c>
      <c r="I1892" s="4">
        <v>45377</v>
      </c>
      <c r="J1892">
        <f t="shared" si="145"/>
        <v>14</v>
      </c>
      <c r="K1892" t="str">
        <f t="array" ref="K1892">_xlfn.IFS(J1892=1,"Day Use",J1892&lt;=3,"Short Stay",J1892&lt;=7,"Extended Stay",J1892&gt;=8,"Long Stay")</f>
        <v>Long Stay</v>
      </c>
      <c r="L1892" t="s">
        <v>141</v>
      </c>
      <c r="M1892" s="10" t="str">
        <f t="shared" si="146"/>
        <v>Suite</v>
      </c>
      <c r="N1892" t="s">
        <v>26</v>
      </c>
      <c r="O1892" t="s">
        <v>27</v>
      </c>
      <c r="P1892">
        <f>IFERROR(VLOOKUP(TRIM(M1892),Room!D:H,5,FALSE),5000)</f>
        <v>12500</v>
      </c>
      <c r="Q1892">
        <f t="shared" si="147"/>
        <v>175000</v>
      </c>
      <c r="R1892" s="11" t="str">
        <f t="shared" si="148"/>
        <v>Business</v>
      </c>
      <c r="S1892" s="11">
        <f t="shared" si="149"/>
        <v>5</v>
      </c>
    </row>
    <row r="1893" spans="1:19">
      <c r="A1893" t="s">
        <v>9786</v>
      </c>
      <c r="B1893" t="s">
        <v>9787</v>
      </c>
      <c r="C1893" t="s">
        <v>1763</v>
      </c>
      <c r="D1893" t="s">
        <v>9788</v>
      </c>
      <c r="E1893" t="s">
        <v>9789</v>
      </c>
      <c r="F1893" t="s">
        <v>9790</v>
      </c>
      <c r="G1893" s="4">
        <v>45656</v>
      </c>
      <c r="H1893" s="4">
        <v>45978</v>
      </c>
      <c r="I1893" s="4">
        <v>45980</v>
      </c>
      <c r="J1893">
        <f t="shared" si="145"/>
        <v>2</v>
      </c>
      <c r="K1893" t="str">
        <f t="array" ref="K1893">_xlfn.IFS(J1893=1,"Day Use",J1893&lt;=3,"Short Stay",J1893&lt;=7,"Extended Stay",J1893&gt;=8,"Long Stay")</f>
        <v>Short Stay</v>
      </c>
      <c r="L1893" t="s">
        <v>49</v>
      </c>
      <c r="M1893" s="10" t="str">
        <f t="shared" si="146"/>
        <v>Standard</v>
      </c>
      <c r="N1893" t="s">
        <v>57</v>
      </c>
      <c r="O1893" t="s">
        <v>27</v>
      </c>
      <c r="P1893">
        <f>IFERROR(VLOOKUP(TRIM(M1893),Room!D:H,5,FALSE),5000)</f>
        <v>3200</v>
      </c>
      <c r="Q1893">
        <f t="shared" si="147"/>
        <v>6400</v>
      </c>
      <c r="R1893" s="11" t="str">
        <f t="shared" si="148"/>
        <v>Other</v>
      </c>
      <c r="S1893" s="11">
        <f t="shared" si="149"/>
        <v>2</v>
      </c>
    </row>
    <row r="1894" spans="1:19">
      <c r="A1894" t="s">
        <v>9791</v>
      </c>
      <c r="B1894" t="s">
        <v>9792</v>
      </c>
      <c r="C1894" t="s">
        <v>265</v>
      </c>
      <c r="D1894" t="s">
        <v>9793</v>
      </c>
      <c r="E1894" t="s">
        <v>9794</v>
      </c>
      <c r="F1894" t="s">
        <v>9795</v>
      </c>
      <c r="G1894" s="4">
        <v>45924</v>
      </c>
      <c r="H1894" s="4">
        <v>45990</v>
      </c>
      <c r="I1894" s="4">
        <v>45995</v>
      </c>
      <c r="J1894">
        <f t="shared" si="145"/>
        <v>5</v>
      </c>
      <c r="K1894" t="str">
        <f t="array" ref="K1894">_xlfn.IFS(J1894=1,"Day Use",J1894&lt;=3,"Short Stay",J1894&lt;=7,"Extended Stay",J1894&gt;=8,"Long Stay")</f>
        <v>Extended Stay</v>
      </c>
      <c r="L1894" t="s">
        <v>34</v>
      </c>
      <c r="M1894" s="10" t="str">
        <f t="shared" si="146"/>
        <v>Deluxe</v>
      </c>
      <c r="N1894" t="s">
        <v>26</v>
      </c>
      <c r="O1894" t="s">
        <v>35</v>
      </c>
      <c r="P1894">
        <f>IFERROR(VLOOKUP(TRIM(M1894),Room!D:H,5,FALSE),5000)</f>
        <v>5400</v>
      </c>
      <c r="Q1894">
        <f t="shared" si="147"/>
        <v>27000</v>
      </c>
      <c r="R1894" s="11" t="str">
        <f t="shared" si="148"/>
        <v>Conference</v>
      </c>
      <c r="S1894" s="11">
        <f t="shared" si="149"/>
        <v>3</v>
      </c>
    </row>
    <row r="1895" spans="1:19">
      <c r="A1895" t="s">
        <v>9796</v>
      </c>
      <c r="B1895" t="s">
        <v>9797</v>
      </c>
      <c r="C1895" t="s">
        <v>6354</v>
      </c>
      <c r="D1895" t="s">
        <v>9798</v>
      </c>
      <c r="E1895" t="s">
        <v>9799</v>
      </c>
      <c r="F1895" t="s">
        <v>9800</v>
      </c>
      <c r="G1895" s="4">
        <v>45861</v>
      </c>
      <c r="H1895" s="4">
        <v>45864</v>
      </c>
      <c r="I1895" s="4">
        <v>45866</v>
      </c>
      <c r="J1895">
        <f t="shared" si="145"/>
        <v>2</v>
      </c>
      <c r="K1895" t="str">
        <f t="array" ref="K1895">_xlfn.IFS(J1895=1,"Day Use",J1895&lt;=3,"Short Stay",J1895&lt;=7,"Extended Stay",J1895&gt;=8,"Long Stay")</f>
        <v>Short Stay</v>
      </c>
      <c r="L1895" t="s">
        <v>25</v>
      </c>
      <c r="M1895" s="10" t="str">
        <f t="shared" si="146"/>
        <v>Standard</v>
      </c>
      <c r="N1895" t="s">
        <v>26</v>
      </c>
      <c r="O1895" t="s">
        <v>71</v>
      </c>
      <c r="P1895">
        <f>IFERROR(VLOOKUP(TRIM(M1895),Room!D:H,5,FALSE),5000)</f>
        <v>3200</v>
      </c>
      <c r="Q1895">
        <f t="shared" si="147"/>
        <v>6400</v>
      </c>
      <c r="R1895" s="11" t="str">
        <f t="shared" si="148"/>
        <v>Other</v>
      </c>
      <c r="S1895" s="11">
        <f t="shared" si="149"/>
        <v>2</v>
      </c>
    </row>
    <row r="1896" spans="1:19">
      <c r="A1896" t="s">
        <v>9801</v>
      </c>
      <c r="B1896" t="s">
        <v>9802</v>
      </c>
      <c r="C1896" t="s">
        <v>6181</v>
      </c>
      <c r="D1896" t="s">
        <v>9803</v>
      </c>
      <c r="E1896" t="s">
        <v>9804</v>
      </c>
      <c r="F1896" t="s">
        <v>9805</v>
      </c>
      <c r="G1896" s="4">
        <v>45777</v>
      </c>
      <c r="H1896" s="4">
        <v>46012</v>
      </c>
      <c r="I1896" s="4">
        <v>46022</v>
      </c>
      <c r="J1896">
        <f t="shared" si="145"/>
        <v>10</v>
      </c>
      <c r="K1896" t="str">
        <f t="array" ref="K1896">_xlfn.IFS(J1896=1,"Day Use",J1896&lt;=3,"Short Stay",J1896&lt;=7,"Extended Stay",J1896&gt;=8,"Long Stay")</f>
        <v>Long Stay</v>
      </c>
      <c r="L1896" t="s">
        <v>91</v>
      </c>
      <c r="M1896" s="10" t="str">
        <f t="shared" si="146"/>
        <v>Premium</v>
      </c>
      <c r="N1896" t="s">
        <v>372</v>
      </c>
      <c r="O1896" t="s">
        <v>42</v>
      </c>
      <c r="P1896">
        <f>IFERROR(VLOOKUP(TRIM(M1896),Room!D:H,5,FALSE),5000)</f>
        <v>9500</v>
      </c>
      <c r="Q1896">
        <f t="shared" si="147"/>
        <v>95000</v>
      </c>
      <c r="R1896" s="11" t="str">
        <f t="shared" si="148"/>
        <v>Conference</v>
      </c>
      <c r="S1896" s="11">
        <f t="shared" si="149"/>
        <v>4</v>
      </c>
    </row>
    <row r="1897" spans="1:19">
      <c r="A1897" t="s">
        <v>9806</v>
      </c>
      <c r="B1897" t="s">
        <v>9807</v>
      </c>
      <c r="C1897" t="s">
        <v>2510</v>
      </c>
      <c r="D1897" t="s">
        <v>9808</v>
      </c>
      <c r="E1897" t="s">
        <v>9809</v>
      </c>
      <c r="F1897" t="s">
        <v>9810</v>
      </c>
      <c r="G1897" s="4">
        <v>45422</v>
      </c>
      <c r="H1897" s="4">
        <v>45441</v>
      </c>
      <c r="I1897" s="4">
        <v>45452</v>
      </c>
      <c r="J1897">
        <f t="shared" si="145"/>
        <v>11</v>
      </c>
      <c r="K1897" t="str">
        <f t="array" ref="K1897">_xlfn.IFS(J1897=1,"Day Use",J1897&lt;=3,"Short Stay",J1897&lt;=7,"Extended Stay",J1897&gt;=8,"Long Stay")</f>
        <v>Long Stay</v>
      </c>
      <c r="L1897" t="s">
        <v>56</v>
      </c>
      <c r="M1897" s="10" t="str">
        <f t="shared" si="146"/>
        <v>Suite</v>
      </c>
      <c r="N1897" t="s">
        <v>26</v>
      </c>
      <c r="O1897" t="s">
        <v>35</v>
      </c>
      <c r="P1897">
        <f>IFERROR(VLOOKUP(TRIM(M1897),Room!D:H,5,FALSE),5000)</f>
        <v>12500</v>
      </c>
      <c r="Q1897">
        <f t="shared" si="147"/>
        <v>137500</v>
      </c>
      <c r="R1897" s="11" t="str">
        <f t="shared" si="148"/>
        <v>Business</v>
      </c>
      <c r="S1897" s="11">
        <f t="shared" si="149"/>
        <v>5</v>
      </c>
    </row>
    <row r="1898" spans="1:19">
      <c r="A1898" t="s">
        <v>9811</v>
      </c>
      <c r="B1898" t="s">
        <v>9812</v>
      </c>
      <c r="C1898" t="s">
        <v>432</v>
      </c>
      <c r="D1898" t="s">
        <v>9813</v>
      </c>
      <c r="E1898" t="s">
        <v>9814</v>
      </c>
      <c r="F1898" t="s">
        <v>9815</v>
      </c>
      <c r="G1898" s="4">
        <v>45293</v>
      </c>
      <c r="H1898" s="4">
        <v>45491</v>
      </c>
      <c r="I1898" s="4">
        <v>45498</v>
      </c>
      <c r="J1898">
        <f t="shared" si="145"/>
        <v>7</v>
      </c>
      <c r="K1898" t="str">
        <f t="array" ref="K1898">_xlfn.IFS(J1898=1,"Day Use",J1898&lt;=3,"Short Stay",J1898&lt;=7,"Extended Stay",J1898&gt;=8,"Long Stay")</f>
        <v>Extended Stay</v>
      </c>
      <c r="L1898" t="s">
        <v>141</v>
      </c>
      <c r="M1898" s="10" t="str">
        <f t="shared" si="146"/>
        <v>Premium</v>
      </c>
      <c r="N1898" t="s">
        <v>148</v>
      </c>
      <c r="O1898" t="s">
        <v>35</v>
      </c>
      <c r="P1898">
        <f>IFERROR(VLOOKUP(TRIM(M1898),Room!D:H,5,FALSE),5000)</f>
        <v>9500</v>
      </c>
      <c r="Q1898">
        <f t="shared" si="147"/>
        <v>66500</v>
      </c>
      <c r="R1898" s="11" t="str">
        <f t="shared" si="148"/>
        <v>Conference</v>
      </c>
      <c r="S1898" s="11">
        <f t="shared" si="149"/>
        <v>4</v>
      </c>
    </row>
    <row r="1899" spans="1:19">
      <c r="A1899" t="s">
        <v>9816</v>
      </c>
      <c r="B1899" t="s">
        <v>9817</v>
      </c>
      <c r="C1899" t="s">
        <v>392</v>
      </c>
      <c r="D1899" t="s">
        <v>9818</v>
      </c>
      <c r="E1899" t="s">
        <v>9819</v>
      </c>
      <c r="F1899" t="s">
        <v>9820</v>
      </c>
      <c r="G1899" s="4">
        <v>45686</v>
      </c>
      <c r="H1899" s="4">
        <v>45687</v>
      </c>
      <c r="I1899" s="4">
        <v>45688</v>
      </c>
      <c r="J1899">
        <f t="shared" si="145"/>
        <v>1</v>
      </c>
      <c r="K1899" t="str">
        <f t="array" ref="K1899">_xlfn.IFS(J1899=1,"Day Use",J1899&lt;=3,"Short Stay",J1899&lt;=7,"Extended Stay",J1899&gt;=8,"Long Stay")</f>
        <v>Day Use</v>
      </c>
      <c r="L1899" t="s">
        <v>91</v>
      </c>
      <c r="M1899" s="10" t="str">
        <f t="shared" si="146"/>
        <v>Standard</v>
      </c>
      <c r="N1899" t="s">
        <v>57</v>
      </c>
      <c r="O1899" t="s">
        <v>35</v>
      </c>
      <c r="P1899">
        <f>IFERROR(VLOOKUP(TRIM(M1899),Room!D:H,5,FALSE),5000)</f>
        <v>3200</v>
      </c>
      <c r="Q1899">
        <f t="shared" si="147"/>
        <v>3200</v>
      </c>
      <c r="R1899" s="11" t="str">
        <f t="shared" si="148"/>
        <v>Other</v>
      </c>
      <c r="S1899" s="11">
        <f t="shared" si="149"/>
        <v>1</v>
      </c>
    </row>
    <row r="1900" spans="1:19">
      <c r="A1900" t="s">
        <v>9821</v>
      </c>
      <c r="B1900" t="s">
        <v>9822</v>
      </c>
      <c r="C1900" t="s">
        <v>363</v>
      </c>
      <c r="D1900" t="s">
        <v>9823</v>
      </c>
      <c r="E1900" t="s">
        <v>9824</v>
      </c>
      <c r="F1900" t="s">
        <v>9825</v>
      </c>
      <c r="G1900" s="4">
        <v>45920</v>
      </c>
      <c r="H1900" s="4">
        <v>45923</v>
      </c>
      <c r="I1900" s="4">
        <v>45925</v>
      </c>
      <c r="J1900">
        <f t="shared" si="145"/>
        <v>2</v>
      </c>
      <c r="K1900" t="str">
        <f t="array" ref="K1900">_xlfn.IFS(J1900=1,"Day Use",J1900&lt;=3,"Short Stay",J1900&lt;=7,"Extended Stay",J1900&gt;=8,"Long Stay")</f>
        <v>Short Stay</v>
      </c>
      <c r="L1900" t="s">
        <v>49</v>
      </c>
      <c r="M1900" s="10" t="str">
        <f t="shared" si="146"/>
        <v>Standard</v>
      </c>
      <c r="N1900" t="s">
        <v>26</v>
      </c>
      <c r="O1900" t="s">
        <v>71</v>
      </c>
      <c r="P1900">
        <f>IFERROR(VLOOKUP(TRIM(M1900),Room!D:H,5,FALSE),5000)</f>
        <v>3200</v>
      </c>
      <c r="Q1900">
        <f t="shared" si="147"/>
        <v>6400</v>
      </c>
      <c r="R1900" s="11" t="str">
        <f t="shared" si="148"/>
        <v>Other</v>
      </c>
      <c r="S1900" s="11">
        <f t="shared" si="149"/>
        <v>2</v>
      </c>
    </row>
    <row r="1901" spans="1:19">
      <c r="A1901" t="s">
        <v>9826</v>
      </c>
      <c r="B1901" t="s">
        <v>9827</v>
      </c>
      <c r="C1901" t="s">
        <v>151</v>
      </c>
      <c r="D1901" t="s">
        <v>9828</v>
      </c>
      <c r="E1901" t="s">
        <v>9829</v>
      </c>
      <c r="F1901" t="s">
        <v>9830</v>
      </c>
      <c r="G1901" s="4">
        <v>45810</v>
      </c>
      <c r="H1901" s="4">
        <v>45925</v>
      </c>
      <c r="I1901" s="4">
        <v>45938</v>
      </c>
      <c r="J1901">
        <f t="shared" si="145"/>
        <v>13</v>
      </c>
      <c r="K1901" t="str">
        <f t="array" ref="K1901">_xlfn.IFS(J1901=1,"Day Use",J1901&lt;=3,"Short Stay",J1901&lt;=7,"Extended Stay",J1901&gt;=8,"Long Stay")</f>
        <v>Long Stay</v>
      </c>
      <c r="L1901" t="s">
        <v>56</v>
      </c>
      <c r="M1901" s="10" t="str">
        <f t="shared" si="146"/>
        <v>Suite</v>
      </c>
      <c r="N1901" t="s">
        <v>26</v>
      </c>
      <c r="O1901" t="s">
        <v>58</v>
      </c>
      <c r="P1901">
        <f>IFERROR(VLOOKUP(TRIM(M1901),Room!D:H,5,FALSE),5000)</f>
        <v>12500</v>
      </c>
      <c r="Q1901">
        <f t="shared" si="147"/>
        <v>162500</v>
      </c>
      <c r="R1901" s="11" t="str">
        <f t="shared" si="148"/>
        <v>Business</v>
      </c>
      <c r="S1901" s="11">
        <f t="shared" si="149"/>
        <v>5</v>
      </c>
    </row>
    <row r="1902" spans="1:19">
      <c r="A1902" t="s">
        <v>9831</v>
      </c>
      <c r="B1902" t="s">
        <v>9832</v>
      </c>
      <c r="C1902" t="s">
        <v>4669</v>
      </c>
      <c r="D1902" t="s">
        <v>9833</v>
      </c>
      <c r="E1902" t="s">
        <v>9834</v>
      </c>
      <c r="F1902" t="s">
        <v>9835</v>
      </c>
      <c r="G1902" s="4">
        <v>45301</v>
      </c>
      <c r="H1902" s="4">
        <v>45317</v>
      </c>
      <c r="I1902" s="4">
        <v>45325</v>
      </c>
      <c r="J1902">
        <f t="shared" si="145"/>
        <v>8</v>
      </c>
      <c r="K1902" t="str">
        <f t="array" ref="K1902">_xlfn.IFS(J1902=1,"Day Use",J1902&lt;=3,"Short Stay",J1902&lt;=7,"Extended Stay",J1902&gt;=8,"Long Stay")</f>
        <v>Long Stay</v>
      </c>
      <c r="L1902" t="s">
        <v>56</v>
      </c>
      <c r="M1902" s="10" t="str">
        <f t="shared" si="146"/>
        <v>Premium</v>
      </c>
      <c r="N1902" t="s">
        <v>26</v>
      </c>
      <c r="O1902" t="s">
        <v>58</v>
      </c>
      <c r="P1902">
        <f>IFERROR(VLOOKUP(TRIM(M1902),Room!D:H,5,FALSE),5000)</f>
        <v>9500</v>
      </c>
      <c r="Q1902">
        <f t="shared" si="147"/>
        <v>76000</v>
      </c>
      <c r="R1902" s="11" t="str">
        <f t="shared" si="148"/>
        <v>Conference</v>
      </c>
      <c r="S1902" s="11">
        <f t="shared" si="149"/>
        <v>4</v>
      </c>
    </row>
    <row r="1903" spans="1:19">
      <c r="A1903" t="s">
        <v>9836</v>
      </c>
      <c r="B1903" t="s">
        <v>9837</v>
      </c>
      <c r="C1903" t="s">
        <v>282</v>
      </c>
      <c r="D1903" t="s">
        <v>9838</v>
      </c>
      <c r="E1903" t="s">
        <v>9839</v>
      </c>
      <c r="F1903" t="s">
        <v>9840</v>
      </c>
      <c r="G1903" s="4">
        <v>45590</v>
      </c>
      <c r="H1903" s="4">
        <v>45592</v>
      </c>
      <c r="I1903" s="4">
        <v>45593</v>
      </c>
      <c r="J1903">
        <f t="shared" si="145"/>
        <v>1</v>
      </c>
      <c r="K1903" t="str">
        <f t="array" ref="K1903">_xlfn.IFS(J1903=1,"Day Use",J1903&lt;=3,"Short Stay",J1903&lt;=7,"Extended Stay",J1903&gt;=8,"Long Stay")</f>
        <v>Day Use</v>
      </c>
      <c r="L1903" t="s">
        <v>56</v>
      </c>
      <c r="M1903" s="10" t="str">
        <f t="shared" si="146"/>
        <v>Standard</v>
      </c>
      <c r="N1903" t="s">
        <v>26</v>
      </c>
      <c r="O1903" t="s">
        <v>42</v>
      </c>
      <c r="P1903">
        <f>IFERROR(VLOOKUP(TRIM(M1903),Room!D:H,5,FALSE),5000)</f>
        <v>3200</v>
      </c>
      <c r="Q1903">
        <f t="shared" si="147"/>
        <v>3200</v>
      </c>
      <c r="R1903" s="11" t="str">
        <f t="shared" si="148"/>
        <v>Other</v>
      </c>
      <c r="S1903" s="11">
        <f t="shared" si="149"/>
        <v>1</v>
      </c>
    </row>
    <row r="1904" spans="1:19">
      <c r="A1904" t="s">
        <v>9841</v>
      </c>
      <c r="B1904" t="s">
        <v>9842</v>
      </c>
      <c r="C1904" t="s">
        <v>500</v>
      </c>
      <c r="D1904" t="s">
        <v>9843</v>
      </c>
      <c r="E1904" t="s">
        <v>9844</v>
      </c>
      <c r="F1904" t="s">
        <v>9845</v>
      </c>
      <c r="G1904" s="4">
        <v>45749</v>
      </c>
      <c r="H1904" s="4">
        <v>45750</v>
      </c>
      <c r="I1904" s="4">
        <v>45754</v>
      </c>
      <c r="J1904">
        <f t="shared" si="145"/>
        <v>4</v>
      </c>
      <c r="K1904" t="str">
        <f t="array" ref="K1904">_xlfn.IFS(J1904=1,"Day Use",J1904&lt;=3,"Short Stay",J1904&lt;=7,"Extended Stay",J1904&gt;=8,"Long Stay")</f>
        <v>Extended Stay</v>
      </c>
      <c r="L1904" t="s">
        <v>49</v>
      </c>
      <c r="M1904" s="10" t="str">
        <f t="shared" si="146"/>
        <v>Deluxe</v>
      </c>
      <c r="N1904" t="s">
        <v>134</v>
      </c>
      <c r="O1904" t="s">
        <v>35</v>
      </c>
      <c r="P1904">
        <f>IFERROR(VLOOKUP(TRIM(M1904),Room!D:H,5,FALSE),5000)</f>
        <v>5400</v>
      </c>
      <c r="Q1904">
        <f t="shared" si="147"/>
        <v>21600</v>
      </c>
      <c r="R1904" s="11" t="str">
        <f t="shared" si="148"/>
        <v>Conference</v>
      </c>
      <c r="S1904" s="11">
        <f t="shared" si="149"/>
        <v>3</v>
      </c>
    </row>
    <row r="1905" spans="1:19">
      <c r="A1905" t="s">
        <v>9846</v>
      </c>
      <c r="B1905" t="s">
        <v>9847</v>
      </c>
      <c r="C1905" t="s">
        <v>853</v>
      </c>
      <c r="D1905" t="s">
        <v>9848</v>
      </c>
      <c r="E1905" t="s">
        <v>9849</v>
      </c>
      <c r="F1905" t="s">
        <v>9850</v>
      </c>
      <c r="G1905" s="4">
        <v>45504</v>
      </c>
      <c r="H1905" s="4">
        <v>45524</v>
      </c>
      <c r="I1905" s="4">
        <v>45528</v>
      </c>
      <c r="J1905">
        <f t="shared" si="145"/>
        <v>4</v>
      </c>
      <c r="K1905" t="str">
        <f t="array" ref="K1905">_xlfn.IFS(J1905=1,"Day Use",J1905&lt;=3,"Short Stay",J1905&lt;=7,"Extended Stay",J1905&gt;=8,"Long Stay")</f>
        <v>Extended Stay</v>
      </c>
      <c r="L1905" t="s">
        <v>49</v>
      </c>
      <c r="M1905" s="10" t="str">
        <f t="shared" si="146"/>
        <v>Deluxe</v>
      </c>
      <c r="N1905" t="s">
        <v>134</v>
      </c>
      <c r="O1905" t="s">
        <v>42</v>
      </c>
      <c r="P1905">
        <f>IFERROR(VLOOKUP(TRIM(M1905),Room!D:H,5,FALSE),5000)</f>
        <v>5400</v>
      </c>
      <c r="Q1905">
        <f t="shared" si="147"/>
        <v>21600</v>
      </c>
      <c r="R1905" s="11" t="str">
        <f t="shared" si="148"/>
        <v>Conference</v>
      </c>
      <c r="S1905" s="11">
        <f t="shared" si="149"/>
        <v>3</v>
      </c>
    </row>
    <row r="1906" spans="1:19">
      <c r="A1906" t="s">
        <v>9851</v>
      </c>
      <c r="B1906" t="s">
        <v>9852</v>
      </c>
      <c r="C1906" t="s">
        <v>871</v>
      </c>
      <c r="D1906" t="s">
        <v>9853</v>
      </c>
      <c r="E1906" t="s">
        <v>9854</v>
      </c>
      <c r="F1906" t="s">
        <v>9855</v>
      </c>
      <c r="G1906" s="4">
        <v>45388</v>
      </c>
      <c r="H1906" s="4">
        <v>45811</v>
      </c>
      <c r="I1906" s="4">
        <v>45818</v>
      </c>
      <c r="J1906">
        <f t="shared" si="145"/>
        <v>7</v>
      </c>
      <c r="K1906" t="str">
        <f t="array" ref="K1906">_xlfn.IFS(J1906=1,"Day Use",J1906&lt;=3,"Short Stay",J1906&lt;=7,"Extended Stay",J1906&gt;=8,"Long Stay")</f>
        <v>Extended Stay</v>
      </c>
      <c r="L1906" t="s">
        <v>196</v>
      </c>
      <c r="M1906" s="10" t="str">
        <f t="shared" si="146"/>
        <v>Premium</v>
      </c>
      <c r="N1906" t="s">
        <v>57</v>
      </c>
      <c r="O1906" t="s">
        <v>58</v>
      </c>
      <c r="P1906">
        <f>IFERROR(VLOOKUP(TRIM(M1906),Room!D:H,5,FALSE),5000)</f>
        <v>9500</v>
      </c>
      <c r="Q1906">
        <f t="shared" si="147"/>
        <v>66500</v>
      </c>
      <c r="R1906" s="11" t="str">
        <f t="shared" si="148"/>
        <v>Conference</v>
      </c>
      <c r="S1906" s="11">
        <f t="shared" si="149"/>
        <v>4</v>
      </c>
    </row>
    <row r="1907" spans="1:19">
      <c r="A1907" t="s">
        <v>9856</v>
      </c>
      <c r="B1907" t="s">
        <v>9857</v>
      </c>
      <c r="C1907" t="s">
        <v>899</v>
      </c>
      <c r="D1907" t="s">
        <v>9858</v>
      </c>
      <c r="E1907" t="s">
        <v>9859</v>
      </c>
      <c r="F1907" t="s">
        <v>9860</v>
      </c>
      <c r="G1907" s="4">
        <v>45250</v>
      </c>
      <c r="H1907" s="4">
        <v>45733</v>
      </c>
      <c r="I1907" s="4">
        <v>45747</v>
      </c>
      <c r="J1907">
        <f t="shared" si="145"/>
        <v>14</v>
      </c>
      <c r="K1907" t="str">
        <f t="array" ref="K1907">_xlfn.IFS(J1907=1,"Day Use",J1907&lt;=3,"Short Stay",J1907&lt;=7,"Extended Stay",J1907&gt;=8,"Long Stay")</f>
        <v>Long Stay</v>
      </c>
      <c r="L1907" t="s">
        <v>49</v>
      </c>
      <c r="M1907" s="10" t="str">
        <f t="shared" si="146"/>
        <v>Suite</v>
      </c>
      <c r="N1907" t="s">
        <v>148</v>
      </c>
      <c r="O1907" t="s">
        <v>35</v>
      </c>
      <c r="P1907">
        <f>IFERROR(VLOOKUP(TRIM(M1907),Room!D:H,5,FALSE),5000)</f>
        <v>12500</v>
      </c>
      <c r="Q1907">
        <f t="shared" si="147"/>
        <v>175000</v>
      </c>
      <c r="R1907" s="11" t="str">
        <f t="shared" si="148"/>
        <v>Business</v>
      </c>
      <c r="S1907" s="11">
        <f t="shared" si="149"/>
        <v>5</v>
      </c>
    </row>
    <row r="1908" spans="1:19">
      <c r="A1908" t="s">
        <v>9861</v>
      </c>
      <c r="B1908" t="s">
        <v>9862</v>
      </c>
      <c r="C1908" t="s">
        <v>1186</v>
      </c>
      <c r="D1908" t="s">
        <v>9863</v>
      </c>
      <c r="E1908" t="s">
        <v>9864</v>
      </c>
      <c r="F1908" t="s">
        <v>9865</v>
      </c>
      <c r="G1908" s="4">
        <v>45426</v>
      </c>
      <c r="H1908" s="4">
        <v>45436</v>
      </c>
      <c r="I1908" s="4">
        <v>45443</v>
      </c>
      <c r="J1908">
        <f t="shared" si="145"/>
        <v>7</v>
      </c>
      <c r="K1908" t="str">
        <f t="array" ref="K1908">_xlfn.IFS(J1908=1,"Day Use",J1908&lt;=3,"Short Stay",J1908&lt;=7,"Extended Stay",J1908&gt;=8,"Long Stay")</f>
        <v>Extended Stay</v>
      </c>
      <c r="L1908" t="s">
        <v>196</v>
      </c>
      <c r="M1908" s="10" t="str">
        <f t="shared" si="146"/>
        <v>Premium</v>
      </c>
      <c r="N1908" t="s">
        <v>26</v>
      </c>
      <c r="O1908" t="s">
        <v>58</v>
      </c>
      <c r="P1908">
        <f>IFERROR(VLOOKUP(TRIM(M1908),Room!D:H,5,FALSE),5000)</f>
        <v>9500</v>
      </c>
      <c r="Q1908">
        <f t="shared" si="147"/>
        <v>66500</v>
      </c>
      <c r="R1908" s="11" t="str">
        <f t="shared" si="148"/>
        <v>Conference</v>
      </c>
      <c r="S1908" s="11">
        <f t="shared" si="149"/>
        <v>4</v>
      </c>
    </row>
    <row r="1909" spans="1:19">
      <c r="A1909" t="s">
        <v>9866</v>
      </c>
      <c r="B1909" t="s">
        <v>9867</v>
      </c>
      <c r="C1909" t="s">
        <v>1710</v>
      </c>
      <c r="D1909" t="s">
        <v>9868</v>
      </c>
      <c r="E1909" t="s">
        <v>9869</v>
      </c>
      <c r="F1909" t="s">
        <v>9870</v>
      </c>
      <c r="G1909" s="4">
        <v>45385</v>
      </c>
      <c r="H1909" s="4">
        <v>45407</v>
      </c>
      <c r="I1909" s="4">
        <v>45415</v>
      </c>
      <c r="J1909">
        <f t="shared" si="145"/>
        <v>8</v>
      </c>
      <c r="K1909" t="str">
        <f t="array" ref="K1909">_xlfn.IFS(J1909=1,"Day Use",J1909&lt;=3,"Short Stay",J1909&lt;=7,"Extended Stay",J1909&gt;=8,"Long Stay")</f>
        <v>Long Stay</v>
      </c>
      <c r="L1909" t="s">
        <v>49</v>
      </c>
      <c r="M1909" s="10" t="str">
        <f t="shared" si="146"/>
        <v>Premium</v>
      </c>
      <c r="N1909" t="s">
        <v>148</v>
      </c>
      <c r="O1909" t="s">
        <v>58</v>
      </c>
      <c r="P1909">
        <f>IFERROR(VLOOKUP(TRIM(M1909),Room!D:H,5,FALSE),5000)</f>
        <v>9500</v>
      </c>
      <c r="Q1909">
        <f t="shared" si="147"/>
        <v>76000</v>
      </c>
      <c r="R1909" s="11" t="str">
        <f t="shared" si="148"/>
        <v>Conference</v>
      </c>
      <c r="S1909" s="11">
        <f t="shared" si="149"/>
        <v>4</v>
      </c>
    </row>
    <row r="1910" spans="1:19">
      <c r="A1910" t="s">
        <v>9871</v>
      </c>
      <c r="B1910" t="s">
        <v>9872</v>
      </c>
      <c r="C1910" t="s">
        <v>6567</v>
      </c>
      <c r="D1910" t="s">
        <v>9873</v>
      </c>
      <c r="E1910" t="s">
        <v>9874</v>
      </c>
      <c r="F1910" t="s">
        <v>9875</v>
      </c>
      <c r="G1910" s="4">
        <v>45798</v>
      </c>
      <c r="H1910" s="4">
        <v>45799</v>
      </c>
      <c r="I1910" s="4">
        <v>45807</v>
      </c>
      <c r="J1910">
        <f t="shared" si="145"/>
        <v>8</v>
      </c>
      <c r="K1910" t="str">
        <f t="array" ref="K1910">_xlfn.IFS(J1910=1,"Day Use",J1910&lt;=3,"Short Stay",J1910&lt;=7,"Extended Stay",J1910&gt;=8,"Long Stay")</f>
        <v>Long Stay</v>
      </c>
      <c r="L1910" t="s">
        <v>196</v>
      </c>
      <c r="M1910" s="10" t="str">
        <f t="shared" si="146"/>
        <v>Premium</v>
      </c>
      <c r="N1910" t="s">
        <v>26</v>
      </c>
      <c r="O1910" t="s">
        <v>58</v>
      </c>
      <c r="P1910">
        <f>IFERROR(VLOOKUP(TRIM(M1910),Room!D:H,5,FALSE),5000)</f>
        <v>9500</v>
      </c>
      <c r="Q1910">
        <f t="shared" si="147"/>
        <v>76000</v>
      </c>
      <c r="R1910" s="11" t="str">
        <f t="shared" si="148"/>
        <v>Conference</v>
      </c>
      <c r="S1910" s="11">
        <f t="shared" si="149"/>
        <v>4</v>
      </c>
    </row>
    <row r="1911" spans="1:19">
      <c r="A1911" t="s">
        <v>9876</v>
      </c>
      <c r="B1911" t="s">
        <v>9877</v>
      </c>
      <c r="C1911" t="s">
        <v>829</v>
      </c>
      <c r="D1911" t="s">
        <v>9878</v>
      </c>
      <c r="E1911" t="s">
        <v>9879</v>
      </c>
      <c r="F1911" t="s">
        <v>9880</v>
      </c>
      <c r="G1911" s="4">
        <v>45390</v>
      </c>
      <c r="H1911" s="4">
        <v>45394</v>
      </c>
      <c r="I1911" s="4">
        <v>45398</v>
      </c>
      <c r="J1911">
        <f t="shared" si="145"/>
        <v>4</v>
      </c>
      <c r="K1911" t="str">
        <f t="array" ref="K1911">_xlfn.IFS(J1911=1,"Day Use",J1911&lt;=3,"Short Stay",J1911&lt;=7,"Extended Stay",J1911&gt;=8,"Long Stay")</f>
        <v>Extended Stay</v>
      </c>
      <c r="L1911" t="s">
        <v>56</v>
      </c>
      <c r="M1911" s="10" t="str">
        <f t="shared" si="146"/>
        <v>Deluxe</v>
      </c>
      <c r="N1911" t="s">
        <v>57</v>
      </c>
      <c r="O1911" t="s">
        <v>42</v>
      </c>
      <c r="P1911">
        <f>IFERROR(VLOOKUP(TRIM(M1911),Room!D:H,5,FALSE),5000)</f>
        <v>5400</v>
      </c>
      <c r="Q1911">
        <f t="shared" si="147"/>
        <v>21600</v>
      </c>
      <c r="R1911" s="11" t="str">
        <f t="shared" si="148"/>
        <v>Conference</v>
      </c>
      <c r="S1911" s="11">
        <f t="shared" si="149"/>
        <v>3</v>
      </c>
    </row>
    <row r="1912" spans="1:19">
      <c r="A1912" t="s">
        <v>9881</v>
      </c>
      <c r="B1912" t="s">
        <v>9882</v>
      </c>
      <c r="C1912" t="s">
        <v>199</v>
      </c>
      <c r="D1912" t="s">
        <v>9883</v>
      </c>
      <c r="E1912" t="s">
        <v>9884</v>
      </c>
      <c r="F1912" t="s">
        <v>9885</v>
      </c>
      <c r="G1912" s="4">
        <v>45662</v>
      </c>
      <c r="H1912" s="4">
        <v>45664</v>
      </c>
      <c r="I1912" s="4">
        <v>45671</v>
      </c>
      <c r="J1912">
        <f t="shared" si="145"/>
        <v>7</v>
      </c>
      <c r="K1912" t="str">
        <f t="array" ref="K1912">_xlfn.IFS(J1912=1,"Day Use",J1912&lt;=3,"Short Stay",J1912&lt;=7,"Extended Stay",J1912&gt;=8,"Long Stay")</f>
        <v>Extended Stay</v>
      </c>
      <c r="L1912" t="s">
        <v>56</v>
      </c>
      <c r="M1912" s="10" t="str">
        <f t="shared" si="146"/>
        <v>Premium</v>
      </c>
      <c r="N1912" t="s">
        <v>26</v>
      </c>
      <c r="O1912" t="s">
        <v>71</v>
      </c>
      <c r="P1912">
        <f>IFERROR(VLOOKUP(TRIM(M1912),Room!D:H,5,FALSE),5000)</f>
        <v>9500</v>
      </c>
      <c r="Q1912">
        <f t="shared" si="147"/>
        <v>66500</v>
      </c>
      <c r="R1912" s="11" t="str">
        <f t="shared" si="148"/>
        <v>Conference</v>
      </c>
      <c r="S1912" s="11">
        <f t="shared" si="149"/>
        <v>4</v>
      </c>
    </row>
    <row r="1913" spans="1:19">
      <c r="A1913" t="s">
        <v>9886</v>
      </c>
      <c r="B1913" t="s">
        <v>9887</v>
      </c>
      <c r="C1913" t="s">
        <v>2945</v>
      </c>
      <c r="D1913" t="s">
        <v>9888</v>
      </c>
      <c r="E1913" t="s">
        <v>9889</v>
      </c>
      <c r="F1913" t="s">
        <v>9890</v>
      </c>
      <c r="G1913" s="4">
        <v>45567</v>
      </c>
      <c r="H1913" s="4">
        <v>45570</v>
      </c>
      <c r="I1913" s="4">
        <v>45576</v>
      </c>
      <c r="J1913">
        <f t="shared" si="145"/>
        <v>6</v>
      </c>
      <c r="K1913" t="str">
        <f t="array" ref="K1913">_xlfn.IFS(J1913=1,"Day Use",J1913&lt;=3,"Short Stay",J1913&lt;=7,"Extended Stay",J1913&gt;=8,"Long Stay")</f>
        <v>Extended Stay</v>
      </c>
      <c r="L1913" t="s">
        <v>49</v>
      </c>
      <c r="M1913" s="10" t="str">
        <f t="shared" si="146"/>
        <v>Deluxe</v>
      </c>
      <c r="N1913" t="s">
        <v>26</v>
      </c>
      <c r="O1913" t="s">
        <v>27</v>
      </c>
      <c r="P1913">
        <f>IFERROR(VLOOKUP(TRIM(M1913),Room!D:H,5,FALSE),5000)</f>
        <v>5400</v>
      </c>
      <c r="Q1913">
        <f t="shared" si="147"/>
        <v>32400</v>
      </c>
      <c r="R1913" s="11" t="str">
        <f t="shared" si="148"/>
        <v>Conference</v>
      </c>
      <c r="S1913" s="11">
        <f t="shared" si="149"/>
        <v>3</v>
      </c>
    </row>
    <row r="1914" spans="1:19">
      <c r="A1914" t="s">
        <v>9891</v>
      </c>
      <c r="B1914" t="s">
        <v>9892</v>
      </c>
      <c r="C1914" t="s">
        <v>137</v>
      </c>
      <c r="D1914" t="s">
        <v>9893</v>
      </c>
      <c r="E1914" t="s">
        <v>9894</v>
      </c>
      <c r="F1914" t="s">
        <v>9895</v>
      </c>
      <c r="G1914" s="4">
        <v>45500</v>
      </c>
      <c r="H1914" s="4">
        <v>45982</v>
      </c>
      <c r="I1914" s="4">
        <v>45991</v>
      </c>
      <c r="J1914">
        <f t="shared" si="145"/>
        <v>9</v>
      </c>
      <c r="K1914" t="str">
        <f t="array" ref="K1914">_xlfn.IFS(J1914=1,"Day Use",J1914&lt;=3,"Short Stay",J1914&lt;=7,"Extended Stay",J1914&gt;=8,"Long Stay")</f>
        <v>Long Stay</v>
      </c>
      <c r="L1914" t="s">
        <v>84</v>
      </c>
      <c r="M1914" s="10" t="str">
        <f t="shared" si="146"/>
        <v>Premium</v>
      </c>
      <c r="N1914" t="s">
        <v>26</v>
      </c>
      <c r="O1914" t="s">
        <v>42</v>
      </c>
      <c r="P1914">
        <f>IFERROR(VLOOKUP(TRIM(M1914),Room!D:H,5,FALSE),5000)</f>
        <v>9500</v>
      </c>
      <c r="Q1914">
        <f t="shared" si="147"/>
        <v>85500</v>
      </c>
      <c r="R1914" s="11" t="str">
        <f t="shared" si="148"/>
        <v>Conference</v>
      </c>
      <c r="S1914" s="11">
        <f t="shared" si="149"/>
        <v>4</v>
      </c>
    </row>
    <row r="1915" spans="1:19">
      <c r="A1915" t="s">
        <v>9896</v>
      </c>
      <c r="B1915" t="s">
        <v>9897</v>
      </c>
      <c r="C1915" t="s">
        <v>363</v>
      </c>
      <c r="D1915" t="s">
        <v>9898</v>
      </c>
      <c r="E1915" t="s">
        <v>9899</v>
      </c>
      <c r="F1915" t="s">
        <v>9900</v>
      </c>
      <c r="G1915" s="4">
        <v>45327</v>
      </c>
      <c r="H1915" s="4">
        <v>45934</v>
      </c>
      <c r="I1915" s="4">
        <v>45941</v>
      </c>
      <c r="J1915">
        <f t="shared" si="145"/>
        <v>7</v>
      </c>
      <c r="K1915" t="str">
        <f t="array" ref="K1915">_xlfn.IFS(J1915=1,"Day Use",J1915&lt;=3,"Short Stay",J1915&lt;=7,"Extended Stay",J1915&gt;=8,"Long Stay")</f>
        <v>Extended Stay</v>
      </c>
      <c r="L1915" t="s">
        <v>84</v>
      </c>
      <c r="M1915" s="10" t="str">
        <f t="shared" si="146"/>
        <v>Premium</v>
      </c>
      <c r="N1915" t="s">
        <v>57</v>
      </c>
      <c r="O1915" t="s">
        <v>35</v>
      </c>
      <c r="P1915">
        <f>IFERROR(VLOOKUP(TRIM(M1915),Room!D:H,5,FALSE),5000)</f>
        <v>9500</v>
      </c>
      <c r="Q1915">
        <f t="shared" si="147"/>
        <v>66500</v>
      </c>
      <c r="R1915" s="11" t="str">
        <f t="shared" si="148"/>
        <v>Conference</v>
      </c>
      <c r="S1915" s="11">
        <f t="shared" si="149"/>
        <v>4</v>
      </c>
    </row>
    <row r="1916" spans="1:19">
      <c r="A1916" t="s">
        <v>9901</v>
      </c>
      <c r="B1916" t="s">
        <v>9902</v>
      </c>
      <c r="C1916" t="s">
        <v>1014</v>
      </c>
      <c r="D1916" t="s">
        <v>9903</v>
      </c>
      <c r="E1916" t="s">
        <v>9904</v>
      </c>
      <c r="F1916" t="s">
        <v>9905</v>
      </c>
      <c r="G1916" s="4">
        <v>45363</v>
      </c>
      <c r="H1916" s="4">
        <v>45380</v>
      </c>
      <c r="I1916" s="4">
        <v>45394</v>
      </c>
      <c r="J1916">
        <f t="shared" si="145"/>
        <v>14</v>
      </c>
      <c r="K1916" t="str">
        <f t="array" ref="K1916">_xlfn.IFS(J1916=1,"Day Use",J1916&lt;=3,"Short Stay",J1916&lt;=7,"Extended Stay",J1916&gt;=8,"Long Stay")</f>
        <v>Long Stay</v>
      </c>
      <c r="L1916" t="s">
        <v>49</v>
      </c>
      <c r="M1916" s="10" t="str">
        <f t="shared" si="146"/>
        <v>Suite</v>
      </c>
      <c r="N1916" t="s">
        <v>134</v>
      </c>
      <c r="O1916" t="s">
        <v>35</v>
      </c>
      <c r="P1916">
        <f>IFERROR(VLOOKUP(TRIM(M1916),Room!D:H,5,FALSE),5000)</f>
        <v>12500</v>
      </c>
      <c r="Q1916">
        <f t="shared" si="147"/>
        <v>175000</v>
      </c>
      <c r="R1916" s="11" t="str">
        <f t="shared" si="148"/>
        <v>Business</v>
      </c>
      <c r="S1916" s="11">
        <f t="shared" si="149"/>
        <v>5</v>
      </c>
    </row>
    <row r="1917" spans="1:19">
      <c r="A1917" t="s">
        <v>9906</v>
      </c>
      <c r="B1917" t="s">
        <v>9907</v>
      </c>
      <c r="C1917" t="s">
        <v>2244</v>
      </c>
      <c r="D1917" t="s">
        <v>9908</v>
      </c>
      <c r="E1917" t="s">
        <v>9909</v>
      </c>
      <c r="F1917" t="s">
        <v>9910</v>
      </c>
      <c r="G1917" s="4">
        <v>45506</v>
      </c>
      <c r="H1917" s="4">
        <v>45889</v>
      </c>
      <c r="I1917" s="4">
        <v>45892</v>
      </c>
      <c r="J1917">
        <f t="shared" si="145"/>
        <v>3</v>
      </c>
      <c r="K1917" t="str">
        <f t="array" ref="K1917">_xlfn.IFS(J1917=1,"Day Use",J1917&lt;=3,"Short Stay",J1917&lt;=7,"Extended Stay",J1917&gt;=8,"Long Stay")</f>
        <v>Short Stay</v>
      </c>
      <c r="L1917" t="s">
        <v>196</v>
      </c>
      <c r="M1917" s="10" t="str">
        <f t="shared" si="146"/>
        <v>Standard</v>
      </c>
      <c r="N1917" t="s">
        <v>26</v>
      </c>
      <c r="O1917" t="s">
        <v>27</v>
      </c>
      <c r="P1917">
        <f>IFERROR(VLOOKUP(TRIM(M1917),Room!D:H,5,FALSE),5000)</f>
        <v>3200</v>
      </c>
      <c r="Q1917">
        <f t="shared" si="147"/>
        <v>9600</v>
      </c>
      <c r="R1917" s="11" t="str">
        <f t="shared" si="148"/>
        <v>Other</v>
      </c>
      <c r="S1917" s="11">
        <f t="shared" si="149"/>
        <v>2</v>
      </c>
    </row>
    <row r="1918" spans="1:19">
      <c r="A1918" t="s">
        <v>9911</v>
      </c>
      <c r="B1918" t="s">
        <v>9912</v>
      </c>
      <c r="C1918" t="s">
        <v>1470</v>
      </c>
      <c r="D1918" t="s">
        <v>9913</v>
      </c>
      <c r="E1918" t="s">
        <v>9914</v>
      </c>
      <c r="F1918" t="s">
        <v>9915</v>
      </c>
      <c r="G1918" s="4">
        <v>45486</v>
      </c>
      <c r="H1918" s="4">
        <v>45928</v>
      </c>
      <c r="I1918" s="4">
        <v>45938</v>
      </c>
      <c r="J1918">
        <f t="shared" si="145"/>
        <v>10</v>
      </c>
      <c r="K1918" t="str">
        <f t="array" ref="K1918">_xlfn.IFS(J1918=1,"Day Use",J1918&lt;=3,"Short Stay",J1918&lt;=7,"Extended Stay",J1918&gt;=8,"Long Stay")</f>
        <v>Long Stay</v>
      </c>
      <c r="L1918" t="s">
        <v>34</v>
      </c>
      <c r="M1918" s="10" t="str">
        <f t="shared" si="146"/>
        <v>Premium</v>
      </c>
      <c r="N1918" t="s">
        <v>148</v>
      </c>
      <c r="O1918" t="s">
        <v>27</v>
      </c>
      <c r="P1918">
        <f>IFERROR(VLOOKUP(TRIM(M1918),Room!D:H,5,FALSE),5000)</f>
        <v>9500</v>
      </c>
      <c r="Q1918">
        <f t="shared" si="147"/>
        <v>95000</v>
      </c>
      <c r="R1918" s="11" t="str">
        <f t="shared" si="148"/>
        <v>Conference</v>
      </c>
      <c r="S1918" s="11">
        <f t="shared" si="149"/>
        <v>4</v>
      </c>
    </row>
    <row r="1919" spans="1:19">
      <c r="A1919" t="s">
        <v>9916</v>
      </c>
      <c r="B1919" t="s">
        <v>9917</v>
      </c>
      <c r="C1919" t="s">
        <v>151</v>
      </c>
      <c r="D1919" t="s">
        <v>9918</v>
      </c>
      <c r="E1919" t="s">
        <v>9919</v>
      </c>
      <c r="F1919" t="s">
        <v>9920</v>
      </c>
      <c r="G1919" s="4">
        <v>45447</v>
      </c>
      <c r="H1919" s="4">
        <v>45644</v>
      </c>
      <c r="I1919" s="4">
        <v>45646</v>
      </c>
      <c r="J1919">
        <f t="shared" si="145"/>
        <v>2</v>
      </c>
      <c r="K1919" t="str">
        <f t="array" ref="K1919">_xlfn.IFS(J1919=1,"Day Use",J1919&lt;=3,"Short Stay",J1919&lt;=7,"Extended Stay",J1919&gt;=8,"Long Stay")</f>
        <v>Short Stay</v>
      </c>
      <c r="L1919" t="s">
        <v>49</v>
      </c>
      <c r="M1919" s="10" t="str">
        <f t="shared" si="146"/>
        <v>Standard</v>
      </c>
      <c r="N1919" t="s">
        <v>57</v>
      </c>
      <c r="O1919" t="s">
        <v>42</v>
      </c>
      <c r="P1919">
        <f>IFERROR(VLOOKUP(TRIM(M1919),Room!D:H,5,FALSE),5000)</f>
        <v>3200</v>
      </c>
      <c r="Q1919">
        <f t="shared" si="147"/>
        <v>6400</v>
      </c>
      <c r="R1919" s="11" t="str">
        <f t="shared" si="148"/>
        <v>Other</v>
      </c>
      <c r="S1919" s="11">
        <f t="shared" si="149"/>
        <v>2</v>
      </c>
    </row>
    <row r="1920" spans="1:19">
      <c r="A1920" t="s">
        <v>9921</v>
      </c>
      <c r="B1920" t="s">
        <v>9922</v>
      </c>
      <c r="C1920" t="s">
        <v>2742</v>
      </c>
      <c r="D1920" t="s">
        <v>9923</v>
      </c>
      <c r="E1920" t="s">
        <v>9924</v>
      </c>
      <c r="F1920" t="s">
        <v>9925</v>
      </c>
      <c r="G1920" s="4">
        <v>45300</v>
      </c>
      <c r="H1920" s="4">
        <v>45943</v>
      </c>
      <c r="I1920" s="4">
        <v>45952</v>
      </c>
      <c r="J1920">
        <f t="shared" si="145"/>
        <v>9</v>
      </c>
      <c r="K1920" t="str">
        <f t="array" ref="K1920">_xlfn.IFS(J1920=1,"Day Use",J1920&lt;=3,"Short Stay",J1920&lt;=7,"Extended Stay",J1920&gt;=8,"Long Stay")</f>
        <v>Long Stay</v>
      </c>
      <c r="L1920" t="s">
        <v>56</v>
      </c>
      <c r="M1920" s="10" t="str">
        <f t="shared" si="146"/>
        <v>Premium</v>
      </c>
      <c r="N1920" t="s">
        <v>57</v>
      </c>
      <c r="O1920" t="s">
        <v>27</v>
      </c>
      <c r="P1920">
        <f>IFERROR(VLOOKUP(TRIM(M1920),Room!D:H,5,FALSE),5000)</f>
        <v>9500</v>
      </c>
      <c r="Q1920">
        <f t="shared" si="147"/>
        <v>85500</v>
      </c>
      <c r="R1920" s="11" t="str">
        <f t="shared" si="148"/>
        <v>Conference</v>
      </c>
      <c r="S1920" s="11">
        <f t="shared" si="149"/>
        <v>4</v>
      </c>
    </row>
    <row r="1921" spans="1:19">
      <c r="A1921" t="s">
        <v>9926</v>
      </c>
      <c r="B1921" t="s">
        <v>9927</v>
      </c>
      <c r="C1921" t="s">
        <v>2451</v>
      </c>
      <c r="D1921" t="s">
        <v>9928</v>
      </c>
      <c r="E1921" t="s">
        <v>9929</v>
      </c>
      <c r="F1921" t="s">
        <v>9930</v>
      </c>
      <c r="G1921" s="4">
        <v>45356</v>
      </c>
      <c r="H1921" s="4">
        <v>45363</v>
      </c>
      <c r="I1921" s="4">
        <v>45364</v>
      </c>
      <c r="J1921">
        <f t="shared" si="145"/>
        <v>1</v>
      </c>
      <c r="K1921" t="str">
        <f t="array" ref="K1921">_xlfn.IFS(J1921=1,"Day Use",J1921&lt;=3,"Short Stay",J1921&lt;=7,"Extended Stay",J1921&gt;=8,"Long Stay")</f>
        <v>Day Use</v>
      </c>
      <c r="L1921" t="s">
        <v>196</v>
      </c>
      <c r="M1921" s="10" t="str">
        <f t="shared" si="146"/>
        <v>Standard</v>
      </c>
      <c r="N1921" t="s">
        <v>148</v>
      </c>
      <c r="O1921" t="s">
        <v>58</v>
      </c>
      <c r="P1921">
        <f>IFERROR(VLOOKUP(TRIM(M1921),Room!D:H,5,FALSE),5000)</f>
        <v>3200</v>
      </c>
      <c r="Q1921">
        <f t="shared" si="147"/>
        <v>3200</v>
      </c>
      <c r="R1921" s="11" t="str">
        <f t="shared" si="148"/>
        <v>Other</v>
      </c>
      <c r="S1921" s="11">
        <f t="shared" si="149"/>
        <v>1</v>
      </c>
    </row>
    <row r="1922" spans="1:19">
      <c r="A1922" t="s">
        <v>9931</v>
      </c>
      <c r="B1922" t="s">
        <v>9932</v>
      </c>
      <c r="C1922" t="s">
        <v>2154</v>
      </c>
      <c r="D1922" t="s">
        <v>9933</v>
      </c>
      <c r="E1922" t="s">
        <v>9934</v>
      </c>
      <c r="F1922" t="s">
        <v>9935</v>
      </c>
      <c r="G1922" s="4">
        <v>45293</v>
      </c>
      <c r="H1922" s="4">
        <v>45880</v>
      </c>
      <c r="I1922" s="4">
        <v>45888</v>
      </c>
      <c r="J1922">
        <f t="shared" ref="J1922:J1985" si="150">I1922-H1922</f>
        <v>8</v>
      </c>
      <c r="K1922" t="str">
        <f t="array" ref="K1922">_xlfn.IFS(J1922=1,"Day Use",J1922&lt;=3,"Short Stay",J1922&lt;=7,"Extended Stay",J1922&gt;=8,"Long Stay")</f>
        <v>Long Stay</v>
      </c>
      <c r="L1922" t="s">
        <v>196</v>
      </c>
      <c r="M1922" s="10" t="str">
        <f t="shared" ref="M1922:M1985" si="151">IF($J1922&lt;=3,"Standard",IF($J1922&lt;=6,"Deluxe",IF($J1922&lt;=10,"Premium","Suite")))</f>
        <v>Premium</v>
      </c>
      <c r="N1922" t="s">
        <v>26</v>
      </c>
      <c r="O1922" t="s">
        <v>71</v>
      </c>
      <c r="P1922">
        <f>IFERROR(VLOOKUP(TRIM(M1922),Room!D:H,5,FALSE),5000)</f>
        <v>9500</v>
      </c>
      <c r="Q1922">
        <f t="shared" si="147"/>
        <v>76000</v>
      </c>
      <c r="R1922" s="11" t="str">
        <f t="shared" si="148"/>
        <v>Conference</v>
      </c>
      <c r="S1922" s="11">
        <f t="shared" si="149"/>
        <v>4</v>
      </c>
    </row>
    <row r="1923" spans="1:19">
      <c r="A1923" t="s">
        <v>9936</v>
      </c>
      <c r="B1923" t="s">
        <v>9937</v>
      </c>
      <c r="C1923" t="s">
        <v>144</v>
      </c>
      <c r="D1923" t="s">
        <v>9938</v>
      </c>
      <c r="E1923" t="s">
        <v>9939</v>
      </c>
      <c r="F1923" t="s">
        <v>9940</v>
      </c>
      <c r="G1923" s="4">
        <v>45557</v>
      </c>
      <c r="H1923" s="4">
        <v>45582</v>
      </c>
      <c r="I1923" s="4">
        <v>45596</v>
      </c>
      <c r="J1923">
        <f t="shared" si="150"/>
        <v>14</v>
      </c>
      <c r="K1923" t="str">
        <f t="array" ref="K1923">_xlfn.IFS(J1923=1,"Day Use",J1923&lt;=3,"Short Stay",J1923&lt;=7,"Extended Stay",J1923&gt;=8,"Long Stay")</f>
        <v>Long Stay</v>
      </c>
      <c r="L1923" t="s">
        <v>91</v>
      </c>
      <c r="M1923" s="10" t="str">
        <f t="shared" si="151"/>
        <v>Suite</v>
      </c>
      <c r="N1923" t="s">
        <v>57</v>
      </c>
      <c r="O1923" t="s">
        <v>71</v>
      </c>
      <c r="P1923">
        <f>IFERROR(VLOOKUP(TRIM(M1923),Room!D:H,5,FALSE),5000)</f>
        <v>12500</v>
      </c>
      <c r="Q1923">
        <f t="shared" ref="Q1923:Q1986" si="152">P1923*J1923</f>
        <v>175000</v>
      </c>
      <c r="R1923" s="11" t="str">
        <f t="shared" ref="R1923:R1986" si="153">IF(ISNUMBER(SEARCH("Suite",D1923)),"Honeymoon",IF(P1923&gt;10000,"Business",IF(P1923&gt;5000,"Conference",IF(J1923&gt;=8,"Family Vacation","Other"))))</f>
        <v>Business</v>
      </c>
      <c r="S1923" s="11">
        <f t="shared" ref="S1923:S1986" si="154">IF(M1923="Suite",5,IF(M1923="Premium",IF(Q1923&gt;20000,4,3),IF(M1923="Deluxe",IF(Q1923&gt;=10000,3,2),IF(M1923="Standard",IF(Q1923&gt;=5000,2,1),1))))</f>
        <v>5</v>
      </c>
    </row>
    <row r="1924" spans="1:19">
      <c r="A1924" t="s">
        <v>9941</v>
      </c>
      <c r="B1924" t="s">
        <v>9942</v>
      </c>
      <c r="C1924" t="s">
        <v>6774</v>
      </c>
      <c r="D1924" t="s">
        <v>9943</v>
      </c>
      <c r="E1924" t="s">
        <v>9944</v>
      </c>
      <c r="F1924" t="s">
        <v>9945</v>
      </c>
      <c r="G1924" s="4">
        <v>45731</v>
      </c>
      <c r="H1924" s="4">
        <v>45963</v>
      </c>
      <c r="I1924" s="4">
        <v>45965</v>
      </c>
      <c r="J1924">
        <f t="shared" si="150"/>
        <v>2</v>
      </c>
      <c r="K1924" t="str">
        <f t="array" ref="K1924">_xlfn.IFS(J1924=1,"Day Use",J1924&lt;=3,"Short Stay",J1924&lt;=7,"Extended Stay",J1924&gt;=8,"Long Stay")</f>
        <v>Short Stay</v>
      </c>
      <c r="L1924" t="s">
        <v>34</v>
      </c>
      <c r="M1924" s="10" t="str">
        <f t="shared" si="151"/>
        <v>Standard</v>
      </c>
      <c r="N1924" t="s">
        <v>26</v>
      </c>
      <c r="O1924" t="s">
        <v>42</v>
      </c>
      <c r="P1924">
        <f>IFERROR(VLOOKUP(TRIM(M1924),Room!D:H,5,FALSE),5000)</f>
        <v>3200</v>
      </c>
      <c r="Q1924">
        <f t="shared" si="152"/>
        <v>6400</v>
      </c>
      <c r="R1924" s="11" t="str">
        <f t="shared" si="153"/>
        <v>Other</v>
      </c>
      <c r="S1924" s="11">
        <f t="shared" si="154"/>
        <v>2</v>
      </c>
    </row>
    <row r="1925" spans="1:19">
      <c r="A1925" t="s">
        <v>9946</v>
      </c>
      <c r="B1925" t="s">
        <v>9947</v>
      </c>
      <c r="C1925" t="s">
        <v>5293</v>
      </c>
      <c r="D1925" t="s">
        <v>9948</v>
      </c>
      <c r="E1925" t="s">
        <v>9949</v>
      </c>
      <c r="F1925" t="s">
        <v>9950</v>
      </c>
      <c r="G1925" s="4">
        <v>45781</v>
      </c>
      <c r="H1925" s="4">
        <v>45988</v>
      </c>
      <c r="I1925" s="4">
        <v>45993</v>
      </c>
      <c r="J1925">
        <f t="shared" si="150"/>
        <v>5</v>
      </c>
      <c r="K1925" t="str">
        <f t="array" ref="K1925">_xlfn.IFS(J1925=1,"Day Use",J1925&lt;=3,"Short Stay",J1925&lt;=7,"Extended Stay",J1925&gt;=8,"Long Stay")</f>
        <v>Extended Stay</v>
      </c>
      <c r="L1925" t="s">
        <v>84</v>
      </c>
      <c r="M1925" s="10" t="str">
        <f t="shared" si="151"/>
        <v>Deluxe</v>
      </c>
      <c r="N1925" t="s">
        <v>26</v>
      </c>
      <c r="O1925" t="s">
        <v>58</v>
      </c>
      <c r="P1925">
        <f>IFERROR(VLOOKUP(TRIM(M1925),Room!D:H,5,FALSE),5000)</f>
        <v>5400</v>
      </c>
      <c r="Q1925">
        <f t="shared" si="152"/>
        <v>27000</v>
      </c>
      <c r="R1925" s="11" t="str">
        <f t="shared" si="153"/>
        <v>Conference</v>
      </c>
      <c r="S1925" s="11">
        <f t="shared" si="154"/>
        <v>3</v>
      </c>
    </row>
    <row r="1926" spans="1:19">
      <c r="A1926" t="s">
        <v>9951</v>
      </c>
      <c r="B1926" t="s">
        <v>9952</v>
      </c>
      <c r="C1926" t="s">
        <v>1074</v>
      </c>
      <c r="D1926" t="s">
        <v>9953</v>
      </c>
      <c r="E1926" t="s">
        <v>9954</v>
      </c>
      <c r="F1926" t="s">
        <v>9955</v>
      </c>
      <c r="G1926" s="4">
        <v>45877</v>
      </c>
      <c r="H1926" s="4">
        <v>45950</v>
      </c>
      <c r="I1926" s="4">
        <v>45960</v>
      </c>
      <c r="J1926">
        <f t="shared" si="150"/>
        <v>10</v>
      </c>
      <c r="K1926" t="str">
        <f t="array" ref="K1926">_xlfn.IFS(J1926=1,"Day Use",J1926&lt;=3,"Short Stay",J1926&lt;=7,"Extended Stay",J1926&gt;=8,"Long Stay")</f>
        <v>Long Stay</v>
      </c>
      <c r="L1926" t="s">
        <v>56</v>
      </c>
      <c r="M1926" s="10" t="str">
        <f t="shared" si="151"/>
        <v>Premium</v>
      </c>
      <c r="N1926" t="s">
        <v>57</v>
      </c>
      <c r="O1926" t="s">
        <v>71</v>
      </c>
      <c r="P1926">
        <f>IFERROR(VLOOKUP(TRIM(M1926),Room!D:H,5,FALSE),5000)</f>
        <v>9500</v>
      </c>
      <c r="Q1926">
        <f t="shared" si="152"/>
        <v>95000</v>
      </c>
      <c r="R1926" s="11" t="str">
        <f t="shared" si="153"/>
        <v>Conference</v>
      </c>
      <c r="S1926" s="11">
        <f t="shared" si="154"/>
        <v>4</v>
      </c>
    </row>
    <row r="1927" spans="1:19">
      <c r="A1927" t="s">
        <v>9956</v>
      </c>
      <c r="B1927" t="s">
        <v>9957</v>
      </c>
      <c r="C1927" t="s">
        <v>853</v>
      </c>
      <c r="D1927" t="s">
        <v>9958</v>
      </c>
      <c r="E1927" t="s">
        <v>9959</v>
      </c>
      <c r="F1927" t="s">
        <v>9960</v>
      </c>
      <c r="G1927" s="4">
        <v>45311</v>
      </c>
      <c r="H1927" s="4">
        <v>45326</v>
      </c>
      <c r="I1927" s="4">
        <v>45327</v>
      </c>
      <c r="J1927">
        <f t="shared" si="150"/>
        <v>1</v>
      </c>
      <c r="K1927" t="str">
        <f t="array" ref="K1927">_xlfn.IFS(J1927=1,"Day Use",J1927&lt;=3,"Short Stay",J1927&lt;=7,"Extended Stay",J1927&gt;=8,"Long Stay")</f>
        <v>Day Use</v>
      </c>
      <c r="L1927" t="s">
        <v>141</v>
      </c>
      <c r="M1927" s="10" t="str">
        <f t="shared" si="151"/>
        <v>Standard</v>
      </c>
      <c r="N1927" t="s">
        <v>148</v>
      </c>
      <c r="O1927" t="s">
        <v>71</v>
      </c>
      <c r="P1927">
        <f>IFERROR(VLOOKUP(TRIM(M1927),Room!D:H,5,FALSE),5000)</f>
        <v>3200</v>
      </c>
      <c r="Q1927">
        <f t="shared" si="152"/>
        <v>3200</v>
      </c>
      <c r="R1927" s="11" t="str">
        <f t="shared" si="153"/>
        <v>Other</v>
      </c>
      <c r="S1927" s="11">
        <f t="shared" si="154"/>
        <v>1</v>
      </c>
    </row>
    <row r="1928" spans="1:19">
      <c r="A1928" t="s">
        <v>9961</v>
      </c>
      <c r="B1928" t="s">
        <v>9962</v>
      </c>
      <c r="C1928" t="s">
        <v>558</v>
      </c>
      <c r="D1928" t="s">
        <v>9963</v>
      </c>
      <c r="E1928" t="s">
        <v>9964</v>
      </c>
      <c r="F1928" t="s">
        <v>9965</v>
      </c>
      <c r="G1928" s="4">
        <v>45493</v>
      </c>
      <c r="H1928" s="4">
        <v>45521</v>
      </c>
      <c r="I1928" s="4">
        <v>45523</v>
      </c>
      <c r="J1928">
        <f t="shared" si="150"/>
        <v>2</v>
      </c>
      <c r="K1928" t="str">
        <f t="array" ref="K1928">_xlfn.IFS(J1928=1,"Day Use",J1928&lt;=3,"Short Stay",J1928&lt;=7,"Extended Stay",J1928&gt;=8,"Long Stay")</f>
        <v>Short Stay</v>
      </c>
      <c r="L1928" t="s">
        <v>91</v>
      </c>
      <c r="M1928" s="10" t="str">
        <f t="shared" si="151"/>
        <v>Standard</v>
      </c>
      <c r="N1928" t="s">
        <v>57</v>
      </c>
      <c r="O1928" t="s">
        <v>71</v>
      </c>
      <c r="P1928">
        <f>IFERROR(VLOOKUP(TRIM(M1928),Room!D:H,5,FALSE),5000)</f>
        <v>3200</v>
      </c>
      <c r="Q1928">
        <f t="shared" si="152"/>
        <v>6400</v>
      </c>
      <c r="R1928" s="11" t="str">
        <f t="shared" si="153"/>
        <v>Other</v>
      </c>
      <c r="S1928" s="11">
        <f t="shared" si="154"/>
        <v>2</v>
      </c>
    </row>
    <row r="1929" spans="1:19">
      <c r="A1929" t="s">
        <v>9966</v>
      </c>
      <c r="B1929" t="s">
        <v>9967</v>
      </c>
      <c r="C1929" t="s">
        <v>100</v>
      </c>
      <c r="D1929" t="s">
        <v>9968</v>
      </c>
      <c r="E1929" t="s">
        <v>9969</v>
      </c>
      <c r="F1929" t="s">
        <v>9970</v>
      </c>
      <c r="G1929" s="4">
        <v>45283</v>
      </c>
      <c r="H1929" s="4">
        <v>45304</v>
      </c>
      <c r="I1929" s="4">
        <v>45308</v>
      </c>
      <c r="J1929">
        <f t="shared" si="150"/>
        <v>4</v>
      </c>
      <c r="K1929" t="str">
        <f t="array" ref="K1929">_xlfn.IFS(J1929=1,"Day Use",J1929&lt;=3,"Short Stay",J1929&lt;=7,"Extended Stay",J1929&gt;=8,"Long Stay")</f>
        <v>Extended Stay</v>
      </c>
      <c r="L1929" t="s">
        <v>91</v>
      </c>
      <c r="M1929" s="10" t="str">
        <f t="shared" si="151"/>
        <v>Deluxe</v>
      </c>
      <c r="N1929" t="s">
        <v>26</v>
      </c>
      <c r="O1929" t="s">
        <v>42</v>
      </c>
      <c r="P1929">
        <f>IFERROR(VLOOKUP(TRIM(M1929),Room!D:H,5,FALSE),5000)</f>
        <v>5400</v>
      </c>
      <c r="Q1929">
        <f t="shared" si="152"/>
        <v>21600</v>
      </c>
      <c r="R1929" s="11" t="str">
        <f t="shared" si="153"/>
        <v>Conference</v>
      </c>
      <c r="S1929" s="11">
        <f t="shared" si="154"/>
        <v>3</v>
      </c>
    </row>
    <row r="1930" spans="1:19">
      <c r="A1930" t="s">
        <v>9971</v>
      </c>
      <c r="B1930" t="s">
        <v>9972</v>
      </c>
      <c r="C1930" t="s">
        <v>363</v>
      </c>
      <c r="D1930" t="s">
        <v>9973</v>
      </c>
      <c r="E1930" t="s">
        <v>9974</v>
      </c>
      <c r="F1930" t="s">
        <v>9975</v>
      </c>
      <c r="G1930" s="4">
        <v>45613</v>
      </c>
      <c r="H1930" s="4">
        <v>45670</v>
      </c>
      <c r="I1930" s="4">
        <v>45684</v>
      </c>
      <c r="J1930">
        <f t="shared" si="150"/>
        <v>14</v>
      </c>
      <c r="K1930" t="str">
        <f t="array" ref="K1930">_xlfn.IFS(J1930=1,"Day Use",J1930&lt;=3,"Short Stay",J1930&lt;=7,"Extended Stay",J1930&gt;=8,"Long Stay")</f>
        <v>Long Stay</v>
      </c>
      <c r="L1930" t="s">
        <v>56</v>
      </c>
      <c r="M1930" s="10" t="str">
        <f t="shared" si="151"/>
        <v>Suite</v>
      </c>
      <c r="N1930" t="s">
        <v>26</v>
      </c>
      <c r="O1930" t="s">
        <v>42</v>
      </c>
      <c r="P1930">
        <f>IFERROR(VLOOKUP(TRIM(M1930),Room!D:H,5,FALSE),5000)</f>
        <v>12500</v>
      </c>
      <c r="Q1930">
        <f t="shared" si="152"/>
        <v>175000</v>
      </c>
      <c r="R1930" s="11" t="str">
        <f t="shared" si="153"/>
        <v>Business</v>
      </c>
      <c r="S1930" s="11">
        <f t="shared" si="154"/>
        <v>5</v>
      </c>
    </row>
    <row r="1931" spans="1:19">
      <c r="A1931" t="s">
        <v>9976</v>
      </c>
      <c r="B1931" t="s">
        <v>9977</v>
      </c>
      <c r="C1931" t="s">
        <v>311</v>
      </c>
      <c r="D1931" t="s">
        <v>9978</v>
      </c>
      <c r="E1931" t="s">
        <v>9979</v>
      </c>
      <c r="F1931" t="s">
        <v>9980</v>
      </c>
      <c r="G1931" s="4">
        <v>45328</v>
      </c>
      <c r="H1931" s="4">
        <v>45341</v>
      </c>
      <c r="I1931" s="4">
        <v>45344</v>
      </c>
      <c r="J1931">
        <f t="shared" si="150"/>
        <v>3</v>
      </c>
      <c r="K1931" t="str">
        <f t="array" ref="K1931">_xlfn.IFS(J1931=1,"Day Use",J1931&lt;=3,"Short Stay",J1931&lt;=7,"Extended Stay",J1931&gt;=8,"Long Stay")</f>
        <v>Short Stay</v>
      </c>
      <c r="L1931" t="s">
        <v>84</v>
      </c>
      <c r="M1931" s="10" t="str">
        <f t="shared" si="151"/>
        <v>Standard</v>
      </c>
      <c r="N1931" t="s">
        <v>26</v>
      </c>
      <c r="O1931" t="s">
        <v>42</v>
      </c>
      <c r="P1931">
        <f>IFERROR(VLOOKUP(TRIM(M1931),Room!D:H,5,FALSE),5000)</f>
        <v>3200</v>
      </c>
      <c r="Q1931">
        <f t="shared" si="152"/>
        <v>9600</v>
      </c>
      <c r="R1931" s="11" t="str">
        <f t="shared" si="153"/>
        <v>Other</v>
      </c>
      <c r="S1931" s="11">
        <f t="shared" si="154"/>
        <v>2</v>
      </c>
    </row>
    <row r="1932" spans="1:19">
      <c r="A1932" t="s">
        <v>9981</v>
      </c>
      <c r="B1932" t="s">
        <v>9982</v>
      </c>
      <c r="C1932" t="s">
        <v>186</v>
      </c>
      <c r="D1932" t="s">
        <v>9983</v>
      </c>
      <c r="E1932" t="s">
        <v>9984</v>
      </c>
      <c r="F1932" t="s">
        <v>9985</v>
      </c>
      <c r="G1932" s="4">
        <v>45324</v>
      </c>
      <c r="H1932" s="4">
        <v>45805</v>
      </c>
      <c r="I1932" s="4">
        <v>45814</v>
      </c>
      <c r="J1932">
        <f t="shared" si="150"/>
        <v>9</v>
      </c>
      <c r="K1932" t="str">
        <f t="array" ref="K1932">_xlfn.IFS(J1932=1,"Day Use",J1932&lt;=3,"Short Stay",J1932&lt;=7,"Extended Stay",J1932&gt;=8,"Long Stay")</f>
        <v>Long Stay</v>
      </c>
      <c r="L1932" t="s">
        <v>196</v>
      </c>
      <c r="M1932" s="10" t="str">
        <f t="shared" si="151"/>
        <v>Premium</v>
      </c>
      <c r="N1932" t="s">
        <v>26</v>
      </c>
      <c r="O1932" t="s">
        <v>71</v>
      </c>
      <c r="P1932">
        <f>IFERROR(VLOOKUP(TRIM(M1932),Room!D:H,5,FALSE),5000)</f>
        <v>9500</v>
      </c>
      <c r="Q1932">
        <f t="shared" si="152"/>
        <v>85500</v>
      </c>
      <c r="R1932" s="11" t="str">
        <f t="shared" si="153"/>
        <v>Conference</v>
      </c>
      <c r="S1932" s="11">
        <f t="shared" si="154"/>
        <v>4</v>
      </c>
    </row>
    <row r="1933" spans="1:19">
      <c r="A1933" t="s">
        <v>9986</v>
      </c>
      <c r="B1933" t="s">
        <v>9987</v>
      </c>
      <c r="C1933" t="s">
        <v>865</v>
      </c>
      <c r="D1933" t="s">
        <v>9988</v>
      </c>
      <c r="E1933" t="s">
        <v>9989</v>
      </c>
      <c r="F1933" t="s">
        <v>9990</v>
      </c>
      <c r="G1933" s="4">
        <v>45491</v>
      </c>
      <c r="H1933" s="4">
        <v>45591</v>
      </c>
      <c r="I1933" s="4">
        <v>45603</v>
      </c>
      <c r="J1933">
        <f t="shared" si="150"/>
        <v>12</v>
      </c>
      <c r="K1933" t="str">
        <f t="array" ref="K1933">_xlfn.IFS(J1933=1,"Day Use",J1933&lt;=3,"Short Stay",J1933&lt;=7,"Extended Stay",J1933&gt;=8,"Long Stay")</f>
        <v>Long Stay</v>
      </c>
      <c r="L1933" t="s">
        <v>141</v>
      </c>
      <c r="M1933" s="10" t="str">
        <f t="shared" si="151"/>
        <v>Suite</v>
      </c>
      <c r="N1933" t="s">
        <v>57</v>
      </c>
      <c r="O1933" t="s">
        <v>27</v>
      </c>
      <c r="P1933">
        <f>IFERROR(VLOOKUP(TRIM(M1933),Room!D:H,5,FALSE),5000)</f>
        <v>12500</v>
      </c>
      <c r="Q1933">
        <f t="shared" si="152"/>
        <v>150000</v>
      </c>
      <c r="R1933" s="11" t="str">
        <f t="shared" si="153"/>
        <v>Business</v>
      </c>
      <c r="S1933" s="11">
        <f t="shared" si="154"/>
        <v>5</v>
      </c>
    </row>
    <row r="1934" spans="1:19">
      <c r="A1934" t="s">
        <v>9991</v>
      </c>
      <c r="B1934" t="s">
        <v>9992</v>
      </c>
      <c r="C1934" t="s">
        <v>151</v>
      </c>
      <c r="D1934" t="s">
        <v>9993</v>
      </c>
      <c r="E1934" t="s">
        <v>9994</v>
      </c>
      <c r="F1934" t="s">
        <v>9995</v>
      </c>
      <c r="G1934" s="4">
        <v>45292</v>
      </c>
      <c r="H1934" s="4">
        <v>45320</v>
      </c>
      <c r="I1934" s="4">
        <v>45321</v>
      </c>
      <c r="J1934">
        <f t="shared" si="150"/>
        <v>1</v>
      </c>
      <c r="K1934" t="str">
        <f t="array" ref="K1934">_xlfn.IFS(J1934=1,"Day Use",J1934&lt;=3,"Short Stay",J1934&lt;=7,"Extended Stay",J1934&gt;=8,"Long Stay")</f>
        <v>Day Use</v>
      </c>
      <c r="L1934" t="s">
        <v>196</v>
      </c>
      <c r="M1934" s="10" t="str">
        <f t="shared" si="151"/>
        <v>Standard</v>
      </c>
      <c r="N1934" t="s">
        <v>26</v>
      </c>
      <c r="O1934" t="s">
        <v>42</v>
      </c>
      <c r="P1934">
        <f>IFERROR(VLOOKUP(TRIM(M1934),Room!D:H,5,FALSE),5000)</f>
        <v>3200</v>
      </c>
      <c r="Q1934">
        <f t="shared" si="152"/>
        <v>3200</v>
      </c>
      <c r="R1934" s="11" t="str">
        <f t="shared" si="153"/>
        <v>Other</v>
      </c>
      <c r="S1934" s="11">
        <f t="shared" si="154"/>
        <v>1</v>
      </c>
    </row>
    <row r="1935" spans="1:19">
      <c r="A1935" t="s">
        <v>9996</v>
      </c>
      <c r="B1935" t="s">
        <v>9997</v>
      </c>
      <c r="C1935" t="s">
        <v>927</v>
      </c>
      <c r="D1935" t="s">
        <v>9998</v>
      </c>
      <c r="E1935" t="s">
        <v>9999</v>
      </c>
      <c r="F1935" t="s">
        <v>10000</v>
      </c>
      <c r="G1935" s="4">
        <v>45400</v>
      </c>
      <c r="H1935" s="4">
        <v>45428</v>
      </c>
      <c r="I1935" s="4">
        <v>45441</v>
      </c>
      <c r="J1935">
        <f t="shared" si="150"/>
        <v>13</v>
      </c>
      <c r="K1935" t="str">
        <f t="array" ref="K1935">_xlfn.IFS(J1935=1,"Day Use",J1935&lt;=3,"Short Stay",J1935&lt;=7,"Extended Stay",J1935&gt;=8,"Long Stay")</f>
        <v>Long Stay</v>
      </c>
      <c r="L1935" t="s">
        <v>141</v>
      </c>
      <c r="M1935" s="10" t="str">
        <f t="shared" si="151"/>
        <v>Suite</v>
      </c>
      <c r="N1935" t="s">
        <v>57</v>
      </c>
      <c r="O1935" t="s">
        <v>58</v>
      </c>
      <c r="P1935">
        <f>IFERROR(VLOOKUP(TRIM(M1935),Room!D:H,5,FALSE),5000)</f>
        <v>12500</v>
      </c>
      <c r="Q1935">
        <f t="shared" si="152"/>
        <v>162500</v>
      </c>
      <c r="R1935" s="11" t="str">
        <f t="shared" si="153"/>
        <v>Business</v>
      </c>
      <c r="S1935" s="11">
        <f t="shared" si="154"/>
        <v>5</v>
      </c>
    </row>
    <row r="1936" spans="1:19">
      <c r="A1936" t="s">
        <v>10001</v>
      </c>
      <c r="B1936" t="s">
        <v>10002</v>
      </c>
      <c r="C1936" t="s">
        <v>421</v>
      </c>
      <c r="D1936" t="s">
        <v>10003</v>
      </c>
      <c r="E1936" t="s">
        <v>10004</v>
      </c>
      <c r="F1936" t="s">
        <v>10005</v>
      </c>
      <c r="G1936" s="4">
        <v>45429</v>
      </c>
      <c r="H1936" s="4">
        <v>45936</v>
      </c>
      <c r="I1936" s="4">
        <v>45943</v>
      </c>
      <c r="J1936">
        <f t="shared" si="150"/>
        <v>7</v>
      </c>
      <c r="K1936" t="str">
        <f t="array" ref="K1936">_xlfn.IFS(J1936=1,"Day Use",J1936&lt;=3,"Short Stay",J1936&lt;=7,"Extended Stay",J1936&gt;=8,"Long Stay")</f>
        <v>Extended Stay</v>
      </c>
      <c r="L1936" t="s">
        <v>56</v>
      </c>
      <c r="M1936" s="10" t="str">
        <f t="shared" si="151"/>
        <v>Premium</v>
      </c>
      <c r="N1936" t="s">
        <v>26</v>
      </c>
      <c r="O1936" t="s">
        <v>71</v>
      </c>
      <c r="P1936">
        <f>IFERROR(VLOOKUP(TRIM(M1936),Room!D:H,5,FALSE),5000)</f>
        <v>9500</v>
      </c>
      <c r="Q1936">
        <f t="shared" si="152"/>
        <v>66500</v>
      </c>
      <c r="R1936" s="11" t="str">
        <f t="shared" si="153"/>
        <v>Conference</v>
      </c>
      <c r="S1936" s="11">
        <f t="shared" si="154"/>
        <v>4</v>
      </c>
    </row>
    <row r="1937" spans="1:19">
      <c r="A1937" t="s">
        <v>10006</v>
      </c>
      <c r="B1937" t="s">
        <v>10007</v>
      </c>
      <c r="C1937" t="s">
        <v>124</v>
      </c>
      <c r="D1937" t="s">
        <v>10008</v>
      </c>
      <c r="E1937" t="s">
        <v>10009</v>
      </c>
      <c r="F1937" t="s">
        <v>10010</v>
      </c>
      <c r="G1937" s="4">
        <v>45240</v>
      </c>
      <c r="H1937" s="4">
        <v>45996</v>
      </c>
      <c r="I1937" s="4">
        <v>46006</v>
      </c>
      <c r="J1937">
        <f t="shared" si="150"/>
        <v>10</v>
      </c>
      <c r="K1937" t="str">
        <f t="array" ref="K1937">_xlfn.IFS(J1937=1,"Day Use",J1937&lt;=3,"Short Stay",J1937&lt;=7,"Extended Stay",J1937&gt;=8,"Long Stay")</f>
        <v>Long Stay</v>
      </c>
      <c r="L1937" t="s">
        <v>49</v>
      </c>
      <c r="M1937" s="10" t="str">
        <f t="shared" si="151"/>
        <v>Premium</v>
      </c>
      <c r="N1937" t="s">
        <v>134</v>
      </c>
      <c r="O1937" t="s">
        <v>71</v>
      </c>
      <c r="P1937">
        <f>IFERROR(VLOOKUP(TRIM(M1937),Room!D:H,5,FALSE),5000)</f>
        <v>9500</v>
      </c>
      <c r="Q1937">
        <f t="shared" si="152"/>
        <v>95000</v>
      </c>
      <c r="R1937" s="11" t="str">
        <f t="shared" si="153"/>
        <v>Conference</v>
      </c>
      <c r="S1937" s="11">
        <f t="shared" si="154"/>
        <v>4</v>
      </c>
    </row>
    <row r="1938" spans="1:19">
      <c r="A1938" t="s">
        <v>10011</v>
      </c>
      <c r="B1938" t="s">
        <v>10012</v>
      </c>
      <c r="C1938" t="s">
        <v>1008</v>
      </c>
      <c r="D1938" t="s">
        <v>10013</v>
      </c>
      <c r="E1938" t="s">
        <v>10014</v>
      </c>
      <c r="F1938" t="s">
        <v>10015</v>
      </c>
      <c r="G1938" s="4">
        <v>45569</v>
      </c>
      <c r="H1938" s="4">
        <v>45574</v>
      </c>
      <c r="I1938" s="4">
        <v>45584</v>
      </c>
      <c r="J1938">
        <f t="shared" si="150"/>
        <v>10</v>
      </c>
      <c r="K1938" t="str">
        <f t="array" ref="K1938">_xlfn.IFS(J1938=1,"Day Use",J1938&lt;=3,"Short Stay",J1938&lt;=7,"Extended Stay",J1938&gt;=8,"Long Stay")</f>
        <v>Long Stay</v>
      </c>
      <c r="L1938" t="s">
        <v>84</v>
      </c>
      <c r="M1938" s="10" t="str">
        <f t="shared" si="151"/>
        <v>Premium</v>
      </c>
      <c r="N1938" t="s">
        <v>134</v>
      </c>
      <c r="O1938" t="s">
        <v>42</v>
      </c>
      <c r="P1938">
        <f>IFERROR(VLOOKUP(TRIM(M1938),Room!D:H,5,FALSE),5000)</f>
        <v>9500</v>
      </c>
      <c r="Q1938">
        <f t="shared" si="152"/>
        <v>95000</v>
      </c>
      <c r="R1938" s="11" t="str">
        <f t="shared" si="153"/>
        <v>Conference</v>
      </c>
      <c r="S1938" s="11">
        <f t="shared" si="154"/>
        <v>4</v>
      </c>
    </row>
    <row r="1939" spans="1:19">
      <c r="A1939" t="s">
        <v>10016</v>
      </c>
      <c r="B1939" t="s">
        <v>10017</v>
      </c>
      <c r="C1939" t="s">
        <v>587</v>
      </c>
      <c r="D1939" t="s">
        <v>10018</v>
      </c>
      <c r="E1939" t="s">
        <v>10019</v>
      </c>
      <c r="F1939" t="s">
        <v>10020</v>
      </c>
      <c r="G1939" s="4">
        <v>45741</v>
      </c>
      <c r="H1939" s="4">
        <v>45758</v>
      </c>
      <c r="I1939" s="4">
        <v>45770</v>
      </c>
      <c r="J1939">
        <f t="shared" si="150"/>
        <v>12</v>
      </c>
      <c r="K1939" t="str">
        <f t="array" ref="K1939">_xlfn.IFS(J1939=1,"Day Use",J1939&lt;=3,"Short Stay",J1939&lt;=7,"Extended Stay",J1939&gt;=8,"Long Stay")</f>
        <v>Long Stay</v>
      </c>
      <c r="L1939" t="s">
        <v>141</v>
      </c>
      <c r="M1939" s="10" t="str">
        <f t="shared" si="151"/>
        <v>Suite</v>
      </c>
      <c r="N1939" t="s">
        <v>26</v>
      </c>
      <c r="O1939" t="s">
        <v>27</v>
      </c>
      <c r="P1939">
        <f>IFERROR(VLOOKUP(TRIM(M1939),Room!D:H,5,FALSE),5000)</f>
        <v>12500</v>
      </c>
      <c r="Q1939">
        <f t="shared" si="152"/>
        <v>150000</v>
      </c>
      <c r="R1939" s="11" t="str">
        <f t="shared" si="153"/>
        <v>Business</v>
      </c>
      <c r="S1939" s="11">
        <f t="shared" si="154"/>
        <v>5</v>
      </c>
    </row>
    <row r="1940" spans="1:19">
      <c r="A1940" t="s">
        <v>10021</v>
      </c>
      <c r="B1940" t="s">
        <v>10022</v>
      </c>
      <c r="C1940" t="s">
        <v>1068</v>
      </c>
      <c r="D1940" t="s">
        <v>10023</v>
      </c>
      <c r="E1940" t="s">
        <v>10024</v>
      </c>
      <c r="F1940" t="s">
        <v>10025</v>
      </c>
      <c r="G1940" s="4">
        <v>45266</v>
      </c>
      <c r="H1940" s="4">
        <v>45711</v>
      </c>
      <c r="I1940" s="4">
        <v>45723</v>
      </c>
      <c r="J1940">
        <f t="shared" si="150"/>
        <v>12</v>
      </c>
      <c r="K1940" t="str">
        <f t="array" ref="K1940">_xlfn.IFS(J1940=1,"Day Use",J1940&lt;=3,"Short Stay",J1940&lt;=7,"Extended Stay",J1940&gt;=8,"Long Stay")</f>
        <v>Long Stay</v>
      </c>
      <c r="L1940" t="s">
        <v>25</v>
      </c>
      <c r="M1940" s="10" t="str">
        <f t="shared" si="151"/>
        <v>Suite</v>
      </c>
      <c r="N1940" t="s">
        <v>26</v>
      </c>
      <c r="O1940" t="s">
        <v>27</v>
      </c>
      <c r="P1940">
        <f>IFERROR(VLOOKUP(TRIM(M1940),Room!D:H,5,FALSE),5000)</f>
        <v>12500</v>
      </c>
      <c r="Q1940">
        <f t="shared" si="152"/>
        <v>150000</v>
      </c>
      <c r="R1940" s="11" t="str">
        <f t="shared" si="153"/>
        <v>Business</v>
      </c>
      <c r="S1940" s="11">
        <f t="shared" si="154"/>
        <v>5</v>
      </c>
    </row>
    <row r="1941" spans="1:19">
      <c r="A1941" t="s">
        <v>10026</v>
      </c>
      <c r="B1941" t="s">
        <v>10027</v>
      </c>
      <c r="C1941" t="s">
        <v>697</v>
      </c>
      <c r="D1941" t="s">
        <v>10028</v>
      </c>
      <c r="E1941" t="s">
        <v>10029</v>
      </c>
      <c r="F1941" t="s">
        <v>10030</v>
      </c>
      <c r="G1941" s="4">
        <v>45531</v>
      </c>
      <c r="H1941" s="4">
        <v>45534</v>
      </c>
      <c r="I1941" s="4">
        <v>45541</v>
      </c>
      <c r="J1941">
        <f t="shared" si="150"/>
        <v>7</v>
      </c>
      <c r="K1941" t="str">
        <f t="array" ref="K1941">_xlfn.IFS(J1941=1,"Day Use",J1941&lt;=3,"Short Stay",J1941&lt;=7,"Extended Stay",J1941&gt;=8,"Long Stay")</f>
        <v>Extended Stay</v>
      </c>
      <c r="L1941" t="s">
        <v>91</v>
      </c>
      <c r="M1941" s="10" t="str">
        <f t="shared" si="151"/>
        <v>Premium</v>
      </c>
      <c r="N1941" t="s">
        <v>26</v>
      </c>
      <c r="O1941" t="s">
        <v>42</v>
      </c>
      <c r="P1941">
        <f>IFERROR(VLOOKUP(TRIM(M1941),Room!D:H,5,FALSE),5000)</f>
        <v>9500</v>
      </c>
      <c r="Q1941">
        <f t="shared" si="152"/>
        <v>66500</v>
      </c>
      <c r="R1941" s="11" t="str">
        <f t="shared" si="153"/>
        <v>Conference</v>
      </c>
      <c r="S1941" s="11">
        <f t="shared" si="154"/>
        <v>4</v>
      </c>
    </row>
    <row r="1942" spans="1:19">
      <c r="A1942" t="s">
        <v>10031</v>
      </c>
      <c r="B1942" t="s">
        <v>10032</v>
      </c>
      <c r="C1942" t="s">
        <v>52</v>
      </c>
      <c r="D1942" t="s">
        <v>10033</v>
      </c>
      <c r="E1942" t="s">
        <v>10034</v>
      </c>
      <c r="F1942" t="s">
        <v>10035</v>
      </c>
      <c r="G1942" s="4">
        <v>45288</v>
      </c>
      <c r="H1942" s="4">
        <v>45492</v>
      </c>
      <c r="I1942" s="4">
        <v>45493</v>
      </c>
      <c r="J1942">
        <f t="shared" si="150"/>
        <v>1</v>
      </c>
      <c r="K1942" t="str">
        <f t="array" ref="K1942">_xlfn.IFS(J1942=1,"Day Use",J1942&lt;=3,"Short Stay",J1942&lt;=7,"Extended Stay",J1942&gt;=8,"Long Stay")</f>
        <v>Day Use</v>
      </c>
      <c r="L1942" t="s">
        <v>91</v>
      </c>
      <c r="M1942" s="10" t="str">
        <f t="shared" si="151"/>
        <v>Standard</v>
      </c>
      <c r="N1942" t="s">
        <v>26</v>
      </c>
      <c r="O1942" t="s">
        <v>71</v>
      </c>
      <c r="P1942">
        <f>IFERROR(VLOOKUP(TRIM(M1942),Room!D:H,5,FALSE),5000)</f>
        <v>3200</v>
      </c>
      <c r="Q1942">
        <f t="shared" si="152"/>
        <v>3200</v>
      </c>
      <c r="R1942" s="11" t="str">
        <f t="shared" si="153"/>
        <v>Other</v>
      </c>
      <c r="S1942" s="11">
        <f t="shared" si="154"/>
        <v>1</v>
      </c>
    </row>
    <row r="1943" spans="1:19">
      <c r="A1943" t="s">
        <v>10036</v>
      </c>
      <c r="B1943" t="s">
        <v>10037</v>
      </c>
      <c r="C1943" t="s">
        <v>339</v>
      </c>
      <c r="D1943" t="s">
        <v>10038</v>
      </c>
      <c r="E1943" t="s">
        <v>10039</v>
      </c>
      <c r="F1943" t="s">
        <v>10040</v>
      </c>
      <c r="G1943" s="4">
        <v>45475</v>
      </c>
      <c r="H1943" s="4">
        <v>45493</v>
      </c>
      <c r="I1943" s="4">
        <v>45504</v>
      </c>
      <c r="J1943">
        <f t="shared" si="150"/>
        <v>11</v>
      </c>
      <c r="K1943" t="str">
        <f t="array" ref="K1943">_xlfn.IFS(J1943=1,"Day Use",J1943&lt;=3,"Short Stay",J1943&lt;=7,"Extended Stay",J1943&gt;=8,"Long Stay")</f>
        <v>Long Stay</v>
      </c>
      <c r="L1943" t="s">
        <v>25</v>
      </c>
      <c r="M1943" s="10" t="str">
        <f t="shared" si="151"/>
        <v>Suite</v>
      </c>
      <c r="N1943" t="s">
        <v>26</v>
      </c>
      <c r="O1943" t="s">
        <v>35</v>
      </c>
      <c r="P1943">
        <f>IFERROR(VLOOKUP(TRIM(M1943),Room!D:H,5,FALSE),5000)</f>
        <v>12500</v>
      </c>
      <c r="Q1943">
        <f t="shared" si="152"/>
        <v>137500</v>
      </c>
      <c r="R1943" s="11" t="str">
        <f t="shared" si="153"/>
        <v>Business</v>
      </c>
      <c r="S1943" s="11">
        <f t="shared" si="154"/>
        <v>5</v>
      </c>
    </row>
    <row r="1944" spans="1:19">
      <c r="A1944" t="s">
        <v>10041</v>
      </c>
      <c r="B1944" t="s">
        <v>10042</v>
      </c>
      <c r="C1944" t="s">
        <v>1030</v>
      </c>
      <c r="D1944" t="s">
        <v>10043</v>
      </c>
      <c r="E1944" t="s">
        <v>10044</v>
      </c>
      <c r="F1944" t="s">
        <v>10045</v>
      </c>
      <c r="G1944" s="4">
        <v>45905</v>
      </c>
      <c r="H1944" s="4">
        <v>45913</v>
      </c>
      <c r="I1944" s="4">
        <v>45926</v>
      </c>
      <c r="J1944">
        <f t="shared" si="150"/>
        <v>13</v>
      </c>
      <c r="K1944" t="str">
        <f t="array" ref="K1944">_xlfn.IFS(J1944=1,"Day Use",J1944&lt;=3,"Short Stay",J1944&lt;=7,"Extended Stay",J1944&gt;=8,"Long Stay")</f>
        <v>Long Stay</v>
      </c>
      <c r="L1944" t="s">
        <v>84</v>
      </c>
      <c r="M1944" s="10" t="str">
        <f t="shared" si="151"/>
        <v>Suite</v>
      </c>
      <c r="N1944" t="s">
        <v>26</v>
      </c>
      <c r="O1944" t="s">
        <v>42</v>
      </c>
      <c r="P1944">
        <f>IFERROR(VLOOKUP(TRIM(M1944),Room!D:H,5,FALSE),5000)</f>
        <v>12500</v>
      </c>
      <c r="Q1944">
        <f t="shared" si="152"/>
        <v>162500</v>
      </c>
      <c r="R1944" s="11" t="str">
        <f t="shared" si="153"/>
        <v>Business</v>
      </c>
      <c r="S1944" s="11">
        <f t="shared" si="154"/>
        <v>5</v>
      </c>
    </row>
    <row r="1945" spans="1:19">
      <c r="A1945" t="s">
        <v>10046</v>
      </c>
      <c r="B1945" t="s">
        <v>10047</v>
      </c>
      <c r="C1945" t="s">
        <v>853</v>
      </c>
      <c r="D1945" t="s">
        <v>10048</v>
      </c>
      <c r="E1945" t="s">
        <v>10049</v>
      </c>
      <c r="F1945" t="s">
        <v>10050</v>
      </c>
      <c r="G1945" s="4">
        <v>45327</v>
      </c>
      <c r="H1945" s="4">
        <v>45344</v>
      </c>
      <c r="I1945" s="4">
        <v>45356</v>
      </c>
      <c r="J1945">
        <f t="shared" si="150"/>
        <v>12</v>
      </c>
      <c r="K1945" t="str">
        <f t="array" ref="K1945">_xlfn.IFS(J1945=1,"Day Use",J1945&lt;=3,"Short Stay",J1945&lt;=7,"Extended Stay",J1945&gt;=8,"Long Stay")</f>
        <v>Long Stay</v>
      </c>
      <c r="L1945" t="s">
        <v>25</v>
      </c>
      <c r="M1945" s="10" t="str">
        <f t="shared" si="151"/>
        <v>Suite</v>
      </c>
      <c r="N1945" t="s">
        <v>26</v>
      </c>
      <c r="O1945" t="s">
        <v>35</v>
      </c>
      <c r="P1945">
        <f>IFERROR(VLOOKUP(TRIM(M1945),Room!D:H,5,FALSE),5000)</f>
        <v>12500</v>
      </c>
      <c r="Q1945">
        <f t="shared" si="152"/>
        <v>150000</v>
      </c>
      <c r="R1945" s="11" t="str">
        <f t="shared" si="153"/>
        <v>Business</v>
      </c>
      <c r="S1945" s="11">
        <f t="shared" si="154"/>
        <v>5</v>
      </c>
    </row>
    <row r="1946" spans="1:19">
      <c r="A1946" t="s">
        <v>10051</v>
      </c>
      <c r="B1946" t="s">
        <v>10052</v>
      </c>
      <c r="C1946" t="s">
        <v>2085</v>
      </c>
      <c r="D1946" t="s">
        <v>10053</v>
      </c>
      <c r="E1946" t="s">
        <v>10054</v>
      </c>
      <c r="F1946" t="s">
        <v>10055</v>
      </c>
      <c r="G1946" s="4">
        <v>45343</v>
      </c>
      <c r="H1946" s="4">
        <v>45348</v>
      </c>
      <c r="I1946" s="4">
        <v>45356</v>
      </c>
      <c r="J1946">
        <f t="shared" si="150"/>
        <v>8</v>
      </c>
      <c r="K1946" t="str">
        <f t="array" ref="K1946">_xlfn.IFS(J1946=1,"Day Use",J1946&lt;=3,"Short Stay",J1946&lt;=7,"Extended Stay",J1946&gt;=8,"Long Stay")</f>
        <v>Long Stay</v>
      </c>
      <c r="L1946" t="s">
        <v>84</v>
      </c>
      <c r="M1946" s="10" t="str">
        <f t="shared" si="151"/>
        <v>Premium</v>
      </c>
      <c r="N1946" t="s">
        <v>26</v>
      </c>
      <c r="O1946" t="s">
        <v>35</v>
      </c>
      <c r="P1946">
        <f>IFERROR(VLOOKUP(TRIM(M1946),Room!D:H,5,FALSE),5000)</f>
        <v>9500</v>
      </c>
      <c r="Q1946">
        <f t="shared" si="152"/>
        <v>76000</v>
      </c>
      <c r="R1946" s="11" t="str">
        <f t="shared" si="153"/>
        <v>Conference</v>
      </c>
      <c r="S1946" s="11">
        <f t="shared" si="154"/>
        <v>4</v>
      </c>
    </row>
    <row r="1947" spans="1:19">
      <c r="A1947" t="s">
        <v>10056</v>
      </c>
      <c r="B1947" t="s">
        <v>10057</v>
      </c>
      <c r="C1947" t="s">
        <v>2778</v>
      </c>
      <c r="D1947" t="s">
        <v>10058</v>
      </c>
      <c r="E1947" t="s">
        <v>10059</v>
      </c>
      <c r="F1947" t="s">
        <v>10060</v>
      </c>
      <c r="G1947" s="4">
        <v>45481</v>
      </c>
      <c r="H1947" s="4">
        <v>45502</v>
      </c>
      <c r="I1947" s="4">
        <v>45513</v>
      </c>
      <c r="J1947">
        <f t="shared" si="150"/>
        <v>11</v>
      </c>
      <c r="K1947" t="str">
        <f t="array" ref="K1947">_xlfn.IFS(J1947=1,"Day Use",J1947&lt;=3,"Short Stay",J1947&lt;=7,"Extended Stay",J1947&gt;=8,"Long Stay")</f>
        <v>Long Stay</v>
      </c>
      <c r="L1947" t="s">
        <v>141</v>
      </c>
      <c r="M1947" s="10" t="str">
        <f t="shared" si="151"/>
        <v>Suite</v>
      </c>
      <c r="N1947" t="s">
        <v>26</v>
      </c>
      <c r="O1947" t="s">
        <v>42</v>
      </c>
      <c r="P1947">
        <f>IFERROR(VLOOKUP(TRIM(M1947),Room!D:H,5,FALSE),5000)</f>
        <v>12500</v>
      </c>
      <c r="Q1947">
        <f t="shared" si="152"/>
        <v>137500</v>
      </c>
      <c r="R1947" s="11" t="str">
        <f t="shared" si="153"/>
        <v>Business</v>
      </c>
      <c r="S1947" s="11">
        <f t="shared" si="154"/>
        <v>5</v>
      </c>
    </row>
    <row r="1948" spans="1:19">
      <c r="A1948" t="s">
        <v>10061</v>
      </c>
      <c r="B1948" t="s">
        <v>10062</v>
      </c>
      <c r="C1948" t="s">
        <v>835</v>
      </c>
      <c r="D1948" t="s">
        <v>10063</v>
      </c>
      <c r="E1948" t="s">
        <v>10064</v>
      </c>
      <c r="F1948" t="s">
        <v>10065</v>
      </c>
      <c r="G1948" s="4">
        <v>45354</v>
      </c>
      <c r="H1948" s="4">
        <v>45361</v>
      </c>
      <c r="I1948" s="4">
        <v>45373</v>
      </c>
      <c r="J1948">
        <f t="shared" si="150"/>
        <v>12</v>
      </c>
      <c r="K1948" t="str">
        <f t="array" ref="K1948">_xlfn.IFS(J1948=1,"Day Use",J1948&lt;=3,"Short Stay",J1948&lt;=7,"Extended Stay",J1948&gt;=8,"Long Stay")</f>
        <v>Long Stay</v>
      </c>
      <c r="L1948" t="s">
        <v>49</v>
      </c>
      <c r="M1948" s="10" t="str">
        <f t="shared" si="151"/>
        <v>Suite</v>
      </c>
      <c r="N1948" t="s">
        <v>26</v>
      </c>
      <c r="O1948" t="s">
        <v>35</v>
      </c>
      <c r="P1948">
        <f>IFERROR(VLOOKUP(TRIM(M1948),Room!D:H,5,FALSE),5000)</f>
        <v>12500</v>
      </c>
      <c r="Q1948">
        <f t="shared" si="152"/>
        <v>150000</v>
      </c>
      <c r="R1948" s="11" t="str">
        <f t="shared" si="153"/>
        <v>Business</v>
      </c>
      <c r="S1948" s="11">
        <f t="shared" si="154"/>
        <v>5</v>
      </c>
    </row>
    <row r="1949" spans="1:19">
      <c r="A1949" t="s">
        <v>10066</v>
      </c>
      <c r="B1949" t="s">
        <v>10067</v>
      </c>
      <c r="C1949" t="s">
        <v>1146</v>
      </c>
      <c r="D1949" t="s">
        <v>10068</v>
      </c>
      <c r="E1949" t="s">
        <v>10069</v>
      </c>
      <c r="F1949" t="s">
        <v>10070</v>
      </c>
      <c r="G1949" s="4">
        <v>45571</v>
      </c>
      <c r="H1949" s="4">
        <v>45581</v>
      </c>
      <c r="I1949" s="4">
        <v>45587</v>
      </c>
      <c r="J1949">
        <f t="shared" si="150"/>
        <v>6</v>
      </c>
      <c r="K1949" t="str">
        <f t="array" ref="K1949">_xlfn.IFS(J1949=1,"Day Use",J1949&lt;=3,"Short Stay",J1949&lt;=7,"Extended Stay",J1949&gt;=8,"Long Stay")</f>
        <v>Extended Stay</v>
      </c>
      <c r="L1949" t="s">
        <v>25</v>
      </c>
      <c r="M1949" s="10" t="str">
        <f t="shared" si="151"/>
        <v>Deluxe</v>
      </c>
      <c r="N1949" t="s">
        <v>26</v>
      </c>
      <c r="O1949" t="s">
        <v>35</v>
      </c>
      <c r="P1949">
        <f>IFERROR(VLOOKUP(TRIM(M1949),Room!D:H,5,FALSE),5000)</f>
        <v>5400</v>
      </c>
      <c r="Q1949">
        <f t="shared" si="152"/>
        <v>32400</v>
      </c>
      <c r="R1949" s="11" t="str">
        <f t="shared" si="153"/>
        <v>Conference</v>
      </c>
      <c r="S1949" s="11">
        <f t="shared" si="154"/>
        <v>3</v>
      </c>
    </row>
    <row r="1950" spans="1:19">
      <c r="A1950" t="s">
        <v>10071</v>
      </c>
      <c r="B1950" t="s">
        <v>10072</v>
      </c>
      <c r="C1950" t="s">
        <v>823</v>
      </c>
      <c r="D1950" t="s">
        <v>10073</v>
      </c>
      <c r="E1950" t="s">
        <v>10074</v>
      </c>
      <c r="F1950" t="s">
        <v>10075</v>
      </c>
      <c r="G1950" s="4">
        <v>45202</v>
      </c>
      <c r="H1950" s="4">
        <v>45931</v>
      </c>
      <c r="I1950" s="4">
        <v>45934</v>
      </c>
      <c r="J1950">
        <f t="shared" si="150"/>
        <v>3</v>
      </c>
      <c r="K1950" t="str">
        <f t="array" ref="K1950">_xlfn.IFS(J1950=1,"Day Use",J1950&lt;=3,"Short Stay",J1950&lt;=7,"Extended Stay",J1950&gt;=8,"Long Stay")</f>
        <v>Short Stay</v>
      </c>
      <c r="L1950" t="s">
        <v>196</v>
      </c>
      <c r="M1950" s="10" t="str">
        <f t="shared" si="151"/>
        <v>Standard</v>
      </c>
      <c r="N1950" t="s">
        <v>26</v>
      </c>
      <c r="O1950" t="s">
        <v>71</v>
      </c>
      <c r="P1950">
        <f>IFERROR(VLOOKUP(TRIM(M1950),Room!D:H,5,FALSE),5000)</f>
        <v>3200</v>
      </c>
      <c r="Q1950">
        <f t="shared" si="152"/>
        <v>9600</v>
      </c>
      <c r="R1950" s="11" t="str">
        <f t="shared" si="153"/>
        <v>Other</v>
      </c>
      <c r="S1950" s="11">
        <f t="shared" si="154"/>
        <v>2</v>
      </c>
    </row>
    <row r="1951" spans="1:19">
      <c r="A1951" t="s">
        <v>10076</v>
      </c>
      <c r="B1951" t="s">
        <v>10077</v>
      </c>
      <c r="C1951" t="s">
        <v>1693</v>
      </c>
      <c r="D1951" t="s">
        <v>10078</v>
      </c>
      <c r="E1951" t="s">
        <v>10079</v>
      </c>
      <c r="F1951" t="s">
        <v>10080</v>
      </c>
      <c r="G1951" s="4">
        <v>45225</v>
      </c>
      <c r="H1951" s="4">
        <v>45903</v>
      </c>
      <c r="I1951" s="4">
        <v>45912</v>
      </c>
      <c r="J1951">
        <f t="shared" si="150"/>
        <v>9</v>
      </c>
      <c r="K1951" t="str">
        <f t="array" ref="K1951">_xlfn.IFS(J1951=1,"Day Use",J1951&lt;=3,"Short Stay",J1951&lt;=7,"Extended Stay",J1951&gt;=8,"Long Stay")</f>
        <v>Long Stay</v>
      </c>
      <c r="L1951" t="s">
        <v>34</v>
      </c>
      <c r="M1951" s="10" t="str">
        <f t="shared" si="151"/>
        <v>Premium</v>
      </c>
      <c r="N1951" t="s">
        <v>57</v>
      </c>
      <c r="O1951" t="s">
        <v>27</v>
      </c>
      <c r="P1951">
        <f>IFERROR(VLOOKUP(TRIM(M1951),Room!D:H,5,FALSE),5000)</f>
        <v>9500</v>
      </c>
      <c r="Q1951">
        <f t="shared" si="152"/>
        <v>85500</v>
      </c>
      <c r="R1951" s="11" t="str">
        <f t="shared" si="153"/>
        <v>Conference</v>
      </c>
      <c r="S1951" s="11">
        <f t="shared" si="154"/>
        <v>4</v>
      </c>
    </row>
    <row r="1952" spans="1:19">
      <c r="A1952" t="s">
        <v>10081</v>
      </c>
      <c r="B1952" t="s">
        <v>10082</v>
      </c>
      <c r="C1952" t="s">
        <v>685</v>
      </c>
      <c r="D1952" t="s">
        <v>10083</v>
      </c>
      <c r="E1952" t="s">
        <v>10084</v>
      </c>
      <c r="F1952" t="s">
        <v>10085</v>
      </c>
      <c r="G1952" s="4">
        <v>45583</v>
      </c>
      <c r="H1952" s="4">
        <v>45650</v>
      </c>
      <c r="I1952" s="4">
        <v>45653</v>
      </c>
      <c r="J1952">
        <f t="shared" si="150"/>
        <v>3</v>
      </c>
      <c r="K1952" t="str">
        <f t="array" ref="K1952">_xlfn.IFS(J1952=1,"Day Use",J1952&lt;=3,"Short Stay",J1952&lt;=7,"Extended Stay",J1952&gt;=8,"Long Stay")</f>
        <v>Short Stay</v>
      </c>
      <c r="L1952" t="s">
        <v>49</v>
      </c>
      <c r="M1952" s="10" t="str">
        <f t="shared" si="151"/>
        <v>Standard</v>
      </c>
      <c r="N1952" t="s">
        <v>26</v>
      </c>
      <c r="O1952" t="s">
        <v>35</v>
      </c>
      <c r="P1952">
        <f>IFERROR(VLOOKUP(TRIM(M1952),Room!D:H,5,FALSE),5000)</f>
        <v>3200</v>
      </c>
      <c r="Q1952">
        <f t="shared" si="152"/>
        <v>9600</v>
      </c>
      <c r="R1952" s="11" t="str">
        <f t="shared" si="153"/>
        <v>Other</v>
      </c>
      <c r="S1952" s="11">
        <f t="shared" si="154"/>
        <v>2</v>
      </c>
    </row>
    <row r="1953" spans="1:19">
      <c r="A1953" t="s">
        <v>10086</v>
      </c>
      <c r="B1953" t="s">
        <v>10087</v>
      </c>
      <c r="C1953" t="s">
        <v>524</v>
      </c>
      <c r="D1953" t="s">
        <v>10088</v>
      </c>
      <c r="E1953" t="s">
        <v>10089</v>
      </c>
      <c r="F1953" t="s">
        <v>10090</v>
      </c>
      <c r="G1953" s="4">
        <v>45359</v>
      </c>
      <c r="H1953" s="4">
        <v>45362</v>
      </c>
      <c r="I1953" s="4">
        <v>45374</v>
      </c>
      <c r="J1953">
        <f t="shared" si="150"/>
        <v>12</v>
      </c>
      <c r="K1953" t="str">
        <f t="array" ref="K1953">_xlfn.IFS(J1953=1,"Day Use",J1953&lt;=3,"Short Stay",J1953&lt;=7,"Extended Stay",J1953&gt;=8,"Long Stay")</f>
        <v>Long Stay</v>
      </c>
      <c r="L1953" t="s">
        <v>25</v>
      </c>
      <c r="M1953" s="10" t="str">
        <f t="shared" si="151"/>
        <v>Suite</v>
      </c>
      <c r="N1953" t="s">
        <v>26</v>
      </c>
      <c r="O1953" t="s">
        <v>35</v>
      </c>
      <c r="P1953">
        <f>IFERROR(VLOOKUP(TRIM(M1953),Room!D:H,5,FALSE),5000)</f>
        <v>12500</v>
      </c>
      <c r="Q1953">
        <f t="shared" si="152"/>
        <v>150000</v>
      </c>
      <c r="R1953" s="11" t="str">
        <f t="shared" si="153"/>
        <v>Business</v>
      </c>
      <c r="S1953" s="11">
        <f t="shared" si="154"/>
        <v>5</v>
      </c>
    </row>
    <row r="1954" spans="1:19">
      <c r="A1954" t="s">
        <v>10091</v>
      </c>
      <c r="B1954" t="s">
        <v>10092</v>
      </c>
      <c r="C1954" t="s">
        <v>2636</v>
      </c>
      <c r="D1954" t="s">
        <v>10093</v>
      </c>
      <c r="E1954" t="s">
        <v>10094</v>
      </c>
      <c r="F1954" t="s">
        <v>10095</v>
      </c>
      <c r="G1954" s="4">
        <v>45473</v>
      </c>
      <c r="H1954" s="4">
        <v>45720</v>
      </c>
      <c r="I1954" s="4">
        <v>45734</v>
      </c>
      <c r="J1954">
        <f t="shared" si="150"/>
        <v>14</v>
      </c>
      <c r="K1954" t="str">
        <f t="array" ref="K1954">_xlfn.IFS(J1954=1,"Day Use",J1954&lt;=3,"Short Stay",J1954&lt;=7,"Extended Stay",J1954&gt;=8,"Long Stay")</f>
        <v>Long Stay</v>
      </c>
      <c r="L1954" t="s">
        <v>91</v>
      </c>
      <c r="M1954" s="10" t="str">
        <f t="shared" si="151"/>
        <v>Suite</v>
      </c>
      <c r="N1954" t="s">
        <v>26</v>
      </c>
      <c r="O1954" t="s">
        <v>71</v>
      </c>
      <c r="P1954">
        <f>IFERROR(VLOOKUP(TRIM(M1954),Room!D:H,5,FALSE),5000)</f>
        <v>12500</v>
      </c>
      <c r="Q1954">
        <f t="shared" si="152"/>
        <v>175000</v>
      </c>
      <c r="R1954" s="11" t="str">
        <f t="shared" si="153"/>
        <v>Business</v>
      </c>
      <c r="S1954" s="11">
        <f t="shared" si="154"/>
        <v>5</v>
      </c>
    </row>
    <row r="1955" spans="1:19">
      <c r="A1955" t="s">
        <v>10096</v>
      </c>
      <c r="B1955" t="s">
        <v>10097</v>
      </c>
      <c r="C1955" t="s">
        <v>961</v>
      </c>
      <c r="D1955" t="s">
        <v>10098</v>
      </c>
      <c r="E1955" t="s">
        <v>10099</v>
      </c>
      <c r="F1955" t="s">
        <v>10100</v>
      </c>
      <c r="G1955" s="4">
        <v>45519</v>
      </c>
      <c r="H1955" s="4">
        <v>45882</v>
      </c>
      <c r="I1955" s="4">
        <v>45883</v>
      </c>
      <c r="J1955">
        <f t="shared" si="150"/>
        <v>1</v>
      </c>
      <c r="K1955" t="str">
        <f t="array" ref="K1955">_xlfn.IFS(J1955=1,"Day Use",J1955&lt;=3,"Short Stay",J1955&lt;=7,"Extended Stay",J1955&gt;=8,"Long Stay")</f>
        <v>Day Use</v>
      </c>
      <c r="L1955" t="s">
        <v>34</v>
      </c>
      <c r="M1955" s="10" t="str">
        <f t="shared" si="151"/>
        <v>Standard</v>
      </c>
      <c r="N1955" t="s">
        <v>26</v>
      </c>
      <c r="O1955" t="s">
        <v>35</v>
      </c>
      <c r="P1955">
        <f>IFERROR(VLOOKUP(TRIM(M1955),Room!D:H,5,FALSE),5000)</f>
        <v>3200</v>
      </c>
      <c r="Q1955">
        <f t="shared" si="152"/>
        <v>3200</v>
      </c>
      <c r="R1955" s="11" t="str">
        <f t="shared" si="153"/>
        <v>Other</v>
      </c>
      <c r="S1955" s="11">
        <f t="shared" si="154"/>
        <v>1</v>
      </c>
    </row>
    <row r="1956" spans="1:19">
      <c r="A1956" t="s">
        <v>10101</v>
      </c>
      <c r="B1956" t="s">
        <v>10102</v>
      </c>
      <c r="C1956" t="s">
        <v>2154</v>
      </c>
      <c r="D1956" t="s">
        <v>10103</v>
      </c>
      <c r="E1956" t="s">
        <v>10104</v>
      </c>
      <c r="F1956" t="s">
        <v>10105</v>
      </c>
      <c r="G1956" s="4">
        <v>45601</v>
      </c>
      <c r="H1956" s="4">
        <v>45893</v>
      </c>
      <c r="I1956" s="4">
        <v>45900</v>
      </c>
      <c r="J1956">
        <f t="shared" si="150"/>
        <v>7</v>
      </c>
      <c r="K1956" t="str">
        <f t="array" ref="K1956">_xlfn.IFS(J1956=1,"Day Use",J1956&lt;=3,"Short Stay",J1956&lt;=7,"Extended Stay",J1956&gt;=8,"Long Stay")</f>
        <v>Extended Stay</v>
      </c>
      <c r="L1956" t="s">
        <v>196</v>
      </c>
      <c r="M1956" s="10" t="str">
        <f t="shared" si="151"/>
        <v>Premium</v>
      </c>
      <c r="N1956" t="s">
        <v>372</v>
      </c>
      <c r="O1956" t="s">
        <v>35</v>
      </c>
      <c r="P1956">
        <f>IFERROR(VLOOKUP(TRIM(M1956),Room!D:H,5,FALSE),5000)</f>
        <v>9500</v>
      </c>
      <c r="Q1956">
        <f t="shared" si="152"/>
        <v>66500</v>
      </c>
      <c r="R1956" s="11" t="str">
        <f t="shared" si="153"/>
        <v>Conference</v>
      </c>
      <c r="S1956" s="11">
        <f t="shared" si="154"/>
        <v>4</v>
      </c>
    </row>
    <row r="1957" spans="1:19">
      <c r="A1957" t="s">
        <v>10106</v>
      </c>
      <c r="B1957" t="s">
        <v>10107</v>
      </c>
      <c r="C1957" t="s">
        <v>1068</v>
      </c>
      <c r="D1957" t="s">
        <v>10108</v>
      </c>
      <c r="E1957" t="s">
        <v>10109</v>
      </c>
      <c r="F1957" t="s">
        <v>10110</v>
      </c>
      <c r="G1957" s="4">
        <v>45326</v>
      </c>
      <c r="H1957" s="4">
        <v>45345</v>
      </c>
      <c r="I1957" s="4">
        <v>45348</v>
      </c>
      <c r="J1957">
        <f t="shared" si="150"/>
        <v>3</v>
      </c>
      <c r="K1957" t="str">
        <f t="array" ref="K1957">_xlfn.IFS(J1957=1,"Day Use",J1957&lt;=3,"Short Stay",J1957&lt;=7,"Extended Stay",J1957&gt;=8,"Long Stay")</f>
        <v>Short Stay</v>
      </c>
      <c r="L1957" t="s">
        <v>84</v>
      </c>
      <c r="M1957" s="10" t="str">
        <f t="shared" si="151"/>
        <v>Standard</v>
      </c>
      <c r="N1957" t="s">
        <v>26</v>
      </c>
      <c r="O1957" t="s">
        <v>58</v>
      </c>
      <c r="P1957">
        <f>IFERROR(VLOOKUP(TRIM(M1957),Room!D:H,5,FALSE),5000)</f>
        <v>3200</v>
      </c>
      <c r="Q1957">
        <f t="shared" si="152"/>
        <v>9600</v>
      </c>
      <c r="R1957" s="11" t="str">
        <f t="shared" si="153"/>
        <v>Other</v>
      </c>
      <c r="S1957" s="11">
        <f t="shared" si="154"/>
        <v>2</v>
      </c>
    </row>
    <row r="1958" spans="1:19">
      <c r="A1958" t="s">
        <v>10111</v>
      </c>
      <c r="B1958" t="s">
        <v>10112</v>
      </c>
      <c r="C1958" t="s">
        <v>351</v>
      </c>
      <c r="D1958" t="s">
        <v>10113</v>
      </c>
      <c r="E1958" t="s">
        <v>10114</v>
      </c>
      <c r="F1958" t="s">
        <v>10115</v>
      </c>
      <c r="G1958" s="4">
        <v>45740</v>
      </c>
      <c r="H1958" s="4">
        <v>45747</v>
      </c>
      <c r="I1958" s="4">
        <v>45759</v>
      </c>
      <c r="J1958">
        <f t="shared" si="150"/>
        <v>12</v>
      </c>
      <c r="K1958" t="str">
        <f t="array" ref="K1958">_xlfn.IFS(J1958=1,"Day Use",J1958&lt;=3,"Short Stay",J1958&lt;=7,"Extended Stay",J1958&gt;=8,"Long Stay")</f>
        <v>Long Stay</v>
      </c>
      <c r="L1958" t="s">
        <v>196</v>
      </c>
      <c r="M1958" s="10" t="str">
        <f t="shared" si="151"/>
        <v>Suite</v>
      </c>
      <c r="N1958" t="s">
        <v>26</v>
      </c>
      <c r="O1958" t="s">
        <v>27</v>
      </c>
      <c r="P1958">
        <f>IFERROR(VLOOKUP(TRIM(M1958),Room!D:H,5,FALSE),5000)</f>
        <v>12500</v>
      </c>
      <c r="Q1958">
        <f t="shared" si="152"/>
        <v>150000</v>
      </c>
      <c r="R1958" s="11" t="str">
        <f t="shared" si="153"/>
        <v>Business</v>
      </c>
      <c r="S1958" s="11">
        <f t="shared" si="154"/>
        <v>5</v>
      </c>
    </row>
    <row r="1959" spans="1:19">
      <c r="A1959" t="s">
        <v>10116</v>
      </c>
      <c r="B1959" t="s">
        <v>10117</v>
      </c>
      <c r="C1959" t="s">
        <v>137</v>
      </c>
      <c r="D1959" t="s">
        <v>10118</v>
      </c>
      <c r="E1959" t="s">
        <v>10119</v>
      </c>
      <c r="F1959" t="s">
        <v>10120</v>
      </c>
      <c r="G1959" s="4">
        <v>45439</v>
      </c>
      <c r="H1959" s="4">
        <v>45921</v>
      </c>
      <c r="I1959" s="4">
        <v>45922</v>
      </c>
      <c r="J1959">
        <f t="shared" si="150"/>
        <v>1</v>
      </c>
      <c r="K1959" t="str">
        <f t="array" ref="K1959">_xlfn.IFS(J1959=1,"Day Use",J1959&lt;=3,"Short Stay",J1959&lt;=7,"Extended Stay",J1959&gt;=8,"Long Stay")</f>
        <v>Day Use</v>
      </c>
      <c r="L1959" t="s">
        <v>196</v>
      </c>
      <c r="M1959" s="10" t="str">
        <f t="shared" si="151"/>
        <v>Standard</v>
      </c>
      <c r="N1959" t="s">
        <v>148</v>
      </c>
      <c r="O1959" t="s">
        <v>58</v>
      </c>
      <c r="P1959">
        <f>IFERROR(VLOOKUP(TRIM(M1959),Room!D:H,5,FALSE),5000)</f>
        <v>3200</v>
      </c>
      <c r="Q1959">
        <f t="shared" si="152"/>
        <v>3200</v>
      </c>
      <c r="R1959" s="11" t="str">
        <f t="shared" si="153"/>
        <v>Other</v>
      </c>
      <c r="S1959" s="11">
        <f t="shared" si="154"/>
        <v>1</v>
      </c>
    </row>
    <row r="1960" spans="1:19">
      <c r="A1960" t="s">
        <v>10121</v>
      </c>
      <c r="B1960" t="s">
        <v>10122</v>
      </c>
      <c r="C1960" t="s">
        <v>2041</v>
      </c>
      <c r="D1960" t="s">
        <v>10123</v>
      </c>
      <c r="E1960" t="s">
        <v>10124</v>
      </c>
      <c r="F1960" t="s">
        <v>10125</v>
      </c>
      <c r="G1960" s="4">
        <v>45496</v>
      </c>
      <c r="H1960" s="4">
        <v>45526</v>
      </c>
      <c r="I1960" s="4">
        <v>45528</v>
      </c>
      <c r="J1960">
        <f t="shared" si="150"/>
        <v>2</v>
      </c>
      <c r="K1960" t="str">
        <f t="array" ref="K1960">_xlfn.IFS(J1960=1,"Day Use",J1960&lt;=3,"Short Stay",J1960&lt;=7,"Extended Stay",J1960&gt;=8,"Long Stay")</f>
        <v>Short Stay</v>
      </c>
      <c r="L1960" t="s">
        <v>56</v>
      </c>
      <c r="M1960" s="10" t="str">
        <f t="shared" si="151"/>
        <v>Standard</v>
      </c>
      <c r="N1960" t="s">
        <v>26</v>
      </c>
      <c r="O1960" t="s">
        <v>58</v>
      </c>
      <c r="P1960">
        <f>IFERROR(VLOOKUP(TRIM(M1960),Room!D:H,5,FALSE),5000)</f>
        <v>3200</v>
      </c>
      <c r="Q1960">
        <f t="shared" si="152"/>
        <v>6400</v>
      </c>
      <c r="R1960" s="11" t="str">
        <f t="shared" si="153"/>
        <v>Other</v>
      </c>
      <c r="S1960" s="11">
        <f t="shared" si="154"/>
        <v>2</v>
      </c>
    </row>
    <row r="1961" spans="1:19">
      <c r="A1961" t="s">
        <v>10126</v>
      </c>
      <c r="B1961" t="s">
        <v>10127</v>
      </c>
      <c r="C1961" t="s">
        <v>52</v>
      </c>
      <c r="D1961" t="s">
        <v>10128</v>
      </c>
      <c r="E1961" t="s">
        <v>10129</v>
      </c>
      <c r="F1961" t="s">
        <v>10130</v>
      </c>
      <c r="G1961" s="4">
        <v>45776</v>
      </c>
      <c r="H1961" s="4">
        <v>45777</v>
      </c>
      <c r="I1961" s="4">
        <v>45779</v>
      </c>
      <c r="J1961">
        <f t="shared" si="150"/>
        <v>2</v>
      </c>
      <c r="K1961" t="str">
        <f t="array" ref="K1961">_xlfn.IFS(J1961=1,"Day Use",J1961&lt;=3,"Short Stay",J1961&lt;=7,"Extended Stay",J1961&gt;=8,"Long Stay")</f>
        <v>Short Stay</v>
      </c>
      <c r="L1961" t="s">
        <v>34</v>
      </c>
      <c r="M1961" s="10" t="str">
        <f t="shared" si="151"/>
        <v>Standard</v>
      </c>
      <c r="N1961" t="s">
        <v>57</v>
      </c>
      <c r="O1961" t="s">
        <v>58</v>
      </c>
      <c r="P1961">
        <f>IFERROR(VLOOKUP(TRIM(M1961),Room!D:H,5,FALSE),5000)</f>
        <v>3200</v>
      </c>
      <c r="Q1961">
        <f t="shared" si="152"/>
        <v>6400</v>
      </c>
      <c r="R1961" s="11" t="str">
        <f t="shared" si="153"/>
        <v>Other</v>
      </c>
      <c r="S1961" s="11">
        <f t="shared" si="154"/>
        <v>2</v>
      </c>
    </row>
    <row r="1962" spans="1:19">
      <c r="A1962" t="s">
        <v>10131</v>
      </c>
      <c r="B1962" t="s">
        <v>10132</v>
      </c>
      <c r="C1962" t="s">
        <v>1699</v>
      </c>
      <c r="D1962" t="s">
        <v>10133</v>
      </c>
      <c r="E1962" t="s">
        <v>10134</v>
      </c>
      <c r="F1962" t="s">
        <v>10135</v>
      </c>
      <c r="G1962" s="4">
        <v>45299</v>
      </c>
      <c r="H1962" s="4">
        <v>45327</v>
      </c>
      <c r="I1962" s="4">
        <v>45341</v>
      </c>
      <c r="J1962">
        <f t="shared" si="150"/>
        <v>14</v>
      </c>
      <c r="K1962" t="str">
        <f t="array" ref="K1962">_xlfn.IFS(J1962=1,"Day Use",J1962&lt;=3,"Short Stay",J1962&lt;=7,"Extended Stay",J1962&gt;=8,"Long Stay")</f>
        <v>Long Stay</v>
      </c>
      <c r="L1962" t="s">
        <v>56</v>
      </c>
      <c r="M1962" s="10" t="str">
        <f t="shared" si="151"/>
        <v>Suite</v>
      </c>
      <c r="N1962" t="s">
        <v>26</v>
      </c>
      <c r="O1962" t="s">
        <v>71</v>
      </c>
      <c r="P1962">
        <f>IFERROR(VLOOKUP(TRIM(M1962),Room!D:H,5,FALSE),5000)</f>
        <v>12500</v>
      </c>
      <c r="Q1962">
        <f t="shared" si="152"/>
        <v>175000</v>
      </c>
      <c r="R1962" s="11" t="str">
        <f t="shared" si="153"/>
        <v>Business</v>
      </c>
      <c r="S1962" s="11">
        <f t="shared" si="154"/>
        <v>5</v>
      </c>
    </row>
    <row r="1963" spans="1:19">
      <c r="A1963" t="s">
        <v>10136</v>
      </c>
      <c r="B1963" t="s">
        <v>10137</v>
      </c>
      <c r="C1963" t="s">
        <v>118</v>
      </c>
      <c r="D1963" t="s">
        <v>10138</v>
      </c>
      <c r="E1963" t="s">
        <v>10139</v>
      </c>
      <c r="F1963" t="s">
        <v>10140</v>
      </c>
      <c r="G1963" s="4">
        <v>45471</v>
      </c>
      <c r="H1963" s="4">
        <v>45472</v>
      </c>
      <c r="I1963" s="4">
        <v>45474</v>
      </c>
      <c r="J1963">
        <f t="shared" si="150"/>
        <v>2</v>
      </c>
      <c r="K1963" t="str">
        <f t="array" ref="K1963">_xlfn.IFS(J1963=1,"Day Use",J1963&lt;=3,"Short Stay",J1963&lt;=7,"Extended Stay",J1963&gt;=8,"Long Stay")</f>
        <v>Short Stay</v>
      </c>
      <c r="L1963" t="s">
        <v>91</v>
      </c>
      <c r="M1963" s="10" t="str">
        <f t="shared" si="151"/>
        <v>Standard</v>
      </c>
      <c r="N1963" t="s">
        <v>26</v>
      </c>
      <c r="O1963" t="s">
        <v>58</v>
      </c>
      <c r="P1963">
        <f>IFERROR(VLOOKUP(TRIM(M1963),Room!D:H,5,FALSE),5000)</f>
        <v>3200</v>
      </c>
      <c r="Q1963">
        <f t="shared" si="152"/>
        <v>6400</v>
      </c>
      <c r="R1963" s="11" t="str">
        <f t="shared" si="153"/>
        <v>Other</v>
      </c>
      <c r="S1963" s="11">
        <f t="shared" si="154"/>
        <v>2</v>
      </c>
    </row>
    <row r="1964" spans="1:19">
      <c r="A1964" t="s">
        <v>10141</v>
      </c>
      <c r="B1964" t="s">
        <v>10142</v>
      </c>
      <c r="C1964" t="s">
        <v>1794</v>
      </c>
      <c r="D1964" t="s">
        <v>10143</v>
      </c>
      <c r="E1964" t="s">
        <v>10144</v>
      </c>
      <c r="F1964" t="s">
        <v>10145</v>
      </c>
      <c r="G1964" s="4">
        <v>45310</v>
      </c>
      <c r="H1964" s="4">
        <v>45445</v>
      </c>
      <c r="I1964" s="4">
        <v>45457</v>
      </c>
      <c r="J1964">
        <f t="shared" si="150"/>
        <v>12</v>
      </c>
      <c r="K1964" t="str">
        <f t="array" ref="K1964">_xlfn.IFS(J1964=1,"Day Use",J1964&lt;=3,"Short Stay",J1964&lt;=7,"Extended Stay",J1964&gt;=8,"Long Stay")</f>
        <v>Long Stay</v>
      </c>
      <c r="L1964" t="s">
        <v>91</v>
      </c>
      <c r="M1964" s="10" t="str">
        <f t="shared" si="151"/>
        <v>Suite</v>
      </c>
      <c r="N1964" t="s">
        <v>372</v>
      </c>
      <c r="O1964" t="s">
        <v>42</v>
      </c>
      <c r="P1964">
        <f>IFERROR(VLOOKUP(TRIM(M1964),Room!D:H,5,FALSE),5000)</f>
        <v>12500</v>
      </c>
      <c r="Q1964">
        <f t="shared" si="152"/>
        <v>150000</v>
      </c>
      <c r="R1964" s="11" t="str">
        <f t="shared" si="153"/>
        <v>Business</v>
      </c>
      <c r="S1964" s="11">
        <f t="shared" si="154"/>
        <v>5</v>
      </c>
    </row>
    <row r="1965" spans="1:19">
      <c r="A1965" t="s">
        <v>10146</v>
      </c>
      <c r="B1965" t="s">
        <v>10147</v>
      </c>
      <c r="C1965" t="s">
        <v>899</v>
      </c>
      <c r="D1965" t="s">
        <v>10148</v>
      </c>
      <c r="E1965" t="s">
        <v>10149</v>
      </c>
      <c r="F1965" t="s">
        <v>10150</v>
      </c>
      <c r="G1965" s="4">
        <v>45212</v>
      </c>
      <c r="H1965" s="4">
        <v>45872</v>
      </c>
      <c r="I1965" s="4">
        <v>45882</v>
      </c>
      <c r="J1965">
        <f t="shared" si="150"/>
        <v>10</v>
      </c>
      <c r="K1965" t="str">
        <f t="array" ref="K1965">_xlfn.IFS(J1965=1,"Day Use",J1965&lt;=3,"Short Stay",J1965&lt;=7,"Extended Stay",J1965&gt;=8,"Long Stay")</f>
        <v>Long Stay</v>
      </c>
      <c r="L1965" t="s">
        <v>84</v>
      </c>
      <c r="M1965" s="10" t="str">
        <f t="shared" si="151"/>
        <v>Premium</v>
      </c>
      <c r="N1965" t="s">
        <v>26</v>
      </c>
      <c r="O1965" t="s">
        <v>35</v>
      </c>
      <c r="P1965">
        <f>IFERROR(VLOOKUP(TRIM(M1965),Room!D:H,5,FALSE),5000)</f>
        <v>9500</v>
      </c>
      <c r="Q1965">
        <f t="shared" si="152"/>
        <v>95000</v>
      </c>
      <c r="R1965" s="11" t="str">
        <f t="shared" si="153"/>
        <v>Conference</v>
      </c>
      <c r="S1965" s="11">
        <f t="shared" si="154"/>
        <v>4</v>
      </c>
    </row>
    <row r="1966" spans="1:19">
      <c r="A1966" t="s">
        <v>10151</v>
      </c>
      <c r="B1966" t="s">
        <v>10152</v>
      </c>
      <c r="C1966" t="s">
        <v>1453</v>
      </c>
      <c r="D1966" t="s">
        <v>10153</v>
      </c>
      <c r="E1966" t="s">
        <v>10154</v>
      </c>
      <c r="F1966" t="s">
        <v>10155</v>
      </c>
      <c r="G1966" s="4">
        <v>45609</v>
      </c>
      <c r="H1966" s="4">
        <v>45638</v>
      </c>
      <c r="I1966" s="4">
        <v>45646</v>
      </c>
      <c r="J1966">
        <f t="shared" si="150"/>
        <v>8</v>
      </c>
      <c r="K1966" t="str">
        <f t="array" ref="K1966">_xlfn.IFS(J1966=1,"Day Use",J1966&lt;=3,"Short Stay",J1966&lt;=7,"Extended Stay",J1966&gt;=8,"Long Stay")</f>
        <v>Long Stay</v>
      </c>
      <c r="L1966" t="s">
        <v>84</v>
      </c>
      <c r="M1966" s="10" t="str">
        <f t="shared" si="151"/>
        <v>Premium</v>
      </c>
      <c r="N1966" t="s">
        <v>26</v>
      </c>
      <c r="O1966" t="s">
        <v>35</v>
      </c>
      <c r="P1966">
        <f>IFERROR(VLOOKUP(TRIM(M1966),Room!D:H,5,FALSE),5000)</f>
        <v>9500</v>
      </c>
      <c r="Q1966">
        <f t="shared" si="152"/>
        <v>76000</v>
      </c>
      <c r="R1966" s="11" t="str">
        <f t="shared" si="153"/>
        <v>Conference</v>
      </c>
      <c r="S1966" s="11">
        <f t="shared" si="154"/>
        <v>4</v>
      </c>
    </row>
    <row r="1967" spans="1:19">
      <c r="A1967" t="s">
        <v>10156</v>
      </c>
      <c r="B1967" t="s">
        <v>10157</v>
      </c>
      <c r="C1967" t="s">
        <v>1213</v>
      </c>
      <c r="D1967" t="s">
        <v>10158</v>
      </c>
      <c r="E1967" t="s">
        <v>10159</v>
      </c>
      <c r="F1967" t="s">
        <v>10160</v>
      </c>
      <c r="G1967" s="4">
        <v>45570</v>
      </c>
      <c r="H1967" s="4">
        <v>45576</v>
      </c>
      <c r="I1967" s="4">
        <v>45587</v>
      </c>
      <c r="J1967">
        <f t="shared" si="150"/>
        <v>11</v>
      </c>
      <c r="K1967" t="str">
        <f t="array" ref="K1967">_xlfn.IFS(J1967=1,"Day Use",J1967&lt;=3,"Short Stay",J1967&lt;=7,"Extended Stay",J1967&gt;=8,"Long Stay")</f>
        <v>Long Stay</v>
      </c>
      <c r="L1967" t="s">
        <v>196</v>
      </c>
      <c r="M1967" s="10" t="str">
        <f t="shared" si="151"/>
        <v>Suite</v>
      </c>
      <c r="N1967" t="s">
        <v>26</v>
      </c>
      <c r="O1967" t="s">
        <v>42</v>
      </c>
      <c r="P1967">
        <f>IFERROR(VLOOKUP(TRIM(M1967),Room!D:H,5,FALSE),5000)</f>
        <v>12500</v>
      </c>
      <c r="Q1967">
        <f t="shared" si="152"/>
        <v>137500</v>
      </c>
      <c r="R1967" s="11" t="str">
        <f t="shared" si="153"/>
        <v>Business</v>
      </c>
      <c r="S1967" s="11">
        <f t="shared" si="154"/>
        <v>5</v>
      </c>
    </row>
    <row r="1968" spans="1:19">
      <c r="A1968" t="s">
        <v>10161</v>
      </c>
      <c r="B1968" t="s">
        <v>10162</v>
      </c>
      <c r="C1968" t="s">
        <v>3448</v>
      </c>
      <c r="D1968" t="s">
        <v>10163</v>
      </c>
      <c r="E1968" t="s">
        <v>10164</v>
      </c>
      <c r="F1968" t="s">
        <v>10165</v>
      </c>
      <c r="G1968" s="4">
        <v>45590</v>
      </c>
      <c r="H1968" s="4">
        <v>45598</v>
      </c>
      <c r="I1968" s="4">
        <v>45607</v>
      </c>
      <c r="J1968">
        <f t="shared" si="150"/>
        <v>9</v>
      </c>
      <c r="K1968" t="str">
        <f t="array" ref="K1968">_xlfn.IFS(J1968=1,"Day Use",J1968&lt;=3,"Short Stay",J1968&lt;=7,"Extended Stay",J1968&gt;=8,"Long Stay")</f>
        <v>Long Stay</v>
      </c>
      <c r="L1968" t="s">
        <v>25</v>
      </c>
      <c r="M1968" s="10" t="str">
        <f t="shared" si="151"/>
        <v>Premium</v>
      </c>
      <c r="N1968" t="s">
        <v>26</v>
      </c>
      <c r="O1968" t="s">
        <v>35</v>
      </c>
      <c r="P1968">
        <f>IFERROR(VLOOKUP(TRIM(M1968),Room!D:H,5,FALSE),5000)</f>
        <v>9500</v>
      </c>
      <c r="Q1968">
        <f t="shared" si="152"/>
        <v>85500</v>
      </c>
      <c r="R1968" s="11" t="str">
        <f t="shared" si="153"/>
        <v>Conference</v>
      </c>
      <c r="S1968" s="11">
        <f t="shared" si="154"/>
        <v>4</v>
      </c>
    </row>
    <row r="1969" spans="1:19">
      <c r="A1969" t="s">
        <v>10166</v>
      </c>
      <c r="B1969" t="s">
        <v>10167</v>
      </c>
      <c r="C1969" t="s">
        <v>2778</v>
      </c>
      <c r="D1969" t="s">
        <v>10168</v>
      </c>
      <c r="E1969" t="s">
        <v>10169</v>
      </c>
      <c r="F1969" t="s">
        <v>10170</v>
      </c>
      <c r="G1969" s="4">
        <v>45523</v>
      </c>
      <c r="H1969" s="4">
        <v>45540</v>
      </c>
      <c r="I1969" s="4">
        <v>45544</v>
      </c>
      <c r="J1969">
        <f t="shared" si="150"/>
        <v>4</v>
      </c>
      <c r="K1969" t="str">
        <f t="array" ref="K1969">_xlfn.IFS(J1969=1,"Day Use",J1969&lt;=3,"Short Stay",J1969&lt;=7,"Extended Stay",J1969&gt;=8,"Long Stay")</f>
        <v>Extended Stay</v>
      </c>
      <c r="L1969" t="s">
        <v>34</v>
      </c>
      <c r="M1969" s="10" t="str">
        <f t="shared" si="151"/>
        <v>Deluxe</v>
      </c>
      <c r="N1969" t="s">
        <v>26</v>
      </c>
      <c r="O1969" t="s">
        <v>42</v>
      </c>
      <c r="P1969">
        <f>IFERROR(VLOOKUP(TRIM(M1969),Room!D:H,5,FALSE),5000)</f>
        <v>5400</v>
      </c>
      <c r="Q1969">
        <f t="shared" si="152"/>
        <v>21600</v>
      </c>
      <c r="R1969" s="11" t="str">
        <f t="shared" si="153"/>
        <v>Conference</v>
      </c>
      <c r="S1969" s="11">
        <f t="shared" si="154"/>
        <v>3</v>
      </c>
    </row>
    <row r="1970" spans="1:19">
      <c r="A1970" t="s">
        <v>10171</v>
      </c>
      <c r="B1970" t="s">
        <v>10172</v>
      </c>
      <c r="C1970" t="s">
        <v>38</v>
      </c>
      <c r="D1970" t="s">
        <v>10173</v>
      </c>
      <c r="E1970" t="s">
        <v>10174</v>
      </c>
      <c r="F1970" t="s">
        <v>10175</v>
      </c>
      <c r="G1970" s="4">
        <v>45742</v>
      </c>
      <c r="H1970" s="4">
        <v>45767</v>
      </c>
      <c r="I1970" s="4">
        <v>45780</v>
      </c>
      <c r="J1970">
        <f t="shared" si="150"/>
        <v>13</v>
      </c>
      <c r="K1970" t="str">
        <f t="array" ref="K1970">_xlfn.IFS(J1970=1,"Day Use",J1970&lt;=3,"Short Stay",J1970&lt;=7,"Extended Stay",J1970&gt;=8,"Long Stay")</f>
        <v>Long Stay</v>
      </c>
      <c r="L1970" t="s">
        <v>56</v>
      </c>
      <c r="M1970" s="10" t="str">
        <f t="shared" si="151"/>
        <v>Suite</v>
      </c>
      <c r="N1970" t="s">
        <v>57</v>
      </c>
      <c r="O1970" t="s">
        <v>35</v>
      </c>
      <c r="P1970">
        <f>IFERROR(VLOOKUP(TRIM(M1970),Room!D:H,5,FALSE),5000)</f>
        <v>12500</v>
      </c>
      <c r="Q1970">
        <f t="shared" si="152"/>
        <v>162500</v>
      </c>
      <c r="R1970" s="11" t="str">
        <f t="shared" si="153"/>
        <v>Business</v>
      </c>
      <c r="S1970" s="11">
        <f t="shared" si="154"/>
        <v>5</v>
      </c>
    </row>
    <row r="1971" spans="1:19">
      <c r="A1971" t="s">
        <v>10176</v>
      </c>
      <c r="B1971" t="s">
        <v>10177</v>
      </c>
      <c r="C1971" t="s">
        <v>163</v>
      </c>
      <c r="D1971" t="s">
        <v>10178</v>
      </c>
      <c r="E1971" t="s">
        <v>10179</v>
      </c>
      <c r="F1971" t="s">
        <v>10180</v>
      </c>
      <c r="G1971" s="4">
        <v>45686</v>
      </c>
      <c r="H1971" s="4">
        <v>45716</v>
      </c>
      <c r="I1971" s="4">
        <v>45719</v>
      </c>
      <c r="J1971">
        <f t="shared" si="150"/>
        <v>3</v>
      </c>
      <c r="K1971" t="str">
        <f t="array" ref="K1971">_xlfn.IFS(J1971=1,"Day Use",J1971&lt;=3,"Short Stay",J1971&lt;=7,"Extended Stay",J1971&gt;=8,"Long Stay")</f>
        <v>Short Stay</v>
      </c>
      <c r="L1971" t="s">
        <v>196</v>
      </c>
      <c r="M1971" s="10" t="str">
        <f t="shared" si="151"/>
        <v>Standard</v>
      </c>
      <c r="N1971" t="s">
        <v>26</v>
      </c>
      <c r="O1971" t="s">
        <v>27</v>
      </c>
      <c r="P1971">
        <f>IFERROR(VLOOKUP(TRIM(M1971),Room!D:H,5,FALSE),5000)</f>
        <v>3200</v>
      </c>
      <c r="Q1971">
        <f t="shared" si="152"/>
        <v>9600</v>
      </c>
      <c r="R1971" s="11" t="str">
        <f t="shared" si="153"/>
        <v>Other</v>
      </c>
      <c r="S1971" s="11">
        <f t="shared" si="154"/>
        <v>2</v>
      </c>
    </row>
    <row r="1972" spans="1:19">
      <c r="A1972" t="s">
        <v>10181</v>
      </c>
      <c r="B1972" t="s">
        <v>10182</v>
      </c>
      <c r="C1972" t="s">
        <v>604</v>
      </c>
      <c r="D1972" t="s">
        <v>10183</v>
      </c>
      <c r="E1972" t="s">
        <v>10184</v>
      </c>
      <c r="F1972" t="s">
        <v>10185</v>
      </c>
      <c r="G1972" s="4">
        <v>45448</v>
      </c>
      <c r="H1972" s="4">
        <v>45493</v>
      </c>
      <c r="I1972" s="4">
        <v>45497</v>
      </c>
      <c r="J1972">
        <f t="shared" si="150"/>
        <v>4</v>
      </c>
      <c r="K1972" t="str">
        <f t="array" ref="K1972">_xlfn.IFS(J1972=1,"Day Use",J1972&lt;=3,"Short Stay",J1972&lt;=7,"Extended Stay",J1972&gt;=8,"Long Stay")</f>
        <v>Extended Stay</v>
      </c>
      <c r="L1972" t="s">
        <v>91</v>
      </c>
      <c r="M1972" s="10" t="str">
        <f t="shared" si="151"/>
        <v>Deluxe</v>
      </c>
      <c r="N1972" t="s">
        <v>26</v>
      </c>
      <c r="O1972" t="s">
        <v>58</v>
      </c>
      <c r="P1972">
        <f>IFERROR(VLOOKUP(TRIM(M1972),Room!D:H,5,FALSE),5000)</f>
        <v>5400</v>
      </c>
      <c r="Q1972">
        <f t="shared" si="152"/>
        <v>21600</v>
      </c>
      <c r="R1972" s="11" t="str">
        <f t="shared" si="153"/>
        <v>Conference</v>
      </c>
      <c r="S1972" s="11">
        <f t="shared" si="154"/>
        <v>3</v>
      </c>
    </row>
    <row r="1973" spans="1:19">
      <c r="A1973" t="s">
        <v>10186</v>
      </c>
      <c r="B1973" t="s">
        <v>10187</v>
      </c>
      <c r="C1973" t="s">
        <v>740</v>
      </c>
      <c r="D1973" t="s">
        <v>10188</v>
      </c>
      <c r="E1973" t="s">
        <v>10189</v>
      </c>
      <c r="F1973" t="s">
        <v>10190</v>
      </c>
      <c r="G1973" s="4">
        <v>45547</v>
      </c>
      <c r="H1973" s="4">
        <v>45874</v>
      </c>
      <c r="I1973" s="4">
        <v>45886</v>
      </c>
      <c r="J1973">
        <f t="shared" si="150"/>
        <v>12</v>
      </c>
      <c r="K1973" t="str">
        <f t="array" ref="K1973">_xlfn.IFS(J1973=1,"Day Use",J1973&lt;=3,"Short Stay",J1973&lt;=7,"Extended Stay",J1973&gt;=8,"Long Stay")</f>
        <v>Long Stay</v>
      </c>
      <c r="L1973" t="s">
        <v>141</v>
      </c>
      <c r="M1973" s="10" t="str">
        <f t="shared" si="151"/>
        <v>Suite</v>
      </c>
      <c r="N1973" t="s">
        <v>57</v>
      </c>
      <c r="O1973" t="s">
        <v>27</v>
      </c>
      <c r="P1973">
        <f>IFERROR(VLOOKUP(TRIM(M1973),Room!D:H,5,FALSE),5000)</f>
        <v>12500</v>
      </c>
      <c r="Q1973">
        <f t="shared" si="152"/>
        <v>150000</v>
      </c>
      <c r="R1973" s="11" t="str">
        <f t="shared" si="153"/>
        <v>Business</v>
      </c>
      <c r="S1973" s="11">
        <f t="shared" si="154"/>
        <v>5</v>
      </c>
    </row>
    <row r="1974" spans="1:19">
      <c r="A1974" t="s">
        <v>10191</v>
      </c>
      <c r="B1974" t="s">
        <v>10192</v>
      </c>
      <c r="C1974" t="s">
        <v>2112</v>
      </c>
      <c r="D1974" t="s">
        <v>10193</v>
      </c>
      <c r="E1974" t="s">
        <v>10194</v>
      </c>
      <c r="F1974" t="s">
        <v>10195</v>
      </c>
      <c r="G1974" s="4">
        <v>45253</v>
      </c>
      <c r="H1974" s="4">
        <v>45330</v>
      </c>
      <c r="I1974" s="4">
        <v>45337</v>
      </c>
      <c r="J1974">
        <f t="shared" si="150"/>
        <v>7</v>
      </c>
      <c r="K1974" t="str">
        <f t="array" ref="K1974">_xlfn.IFS(J1974=1,"Day Use",J1974&lt;=3,"Short Stay",J1974&lt;=7,"Extended Stay",J1974&gt;=8,"Long Stay")</f>
        <v>Extended Stay</v>
      </c>
      <c r="L1974" t="s">
        <v>196</v>
      </c>
      <c r="M1974" s="10" t="str">
        <f t="shared" si="151"/>
        <v>Premium</v>
      </c>
      <c r="N1974" t="s">
        <v>26</v>
      </c>
      <c r="O1974" t="s">
        <v>71</v>
      </c>
      <c r="P1974">
        <f>IFERROR(VLOOKUP(TRIM(M1974),Room!D:H,5,FALSE),5000)</f>
        <v>9500</v>
      </c>
      <c r="Q1974">
        <f t="shared" si="152"/>
        <v>66500</v>
      </c>
      <c r="R1974" s="11" t="str">
        <f t="shared" si="153"/>
        <v>Conference</v>
      </c>
      <c r="S1974" s="11">
        <f t="shared" si="154"/>
        <v>4</v>
      </c>
    </row>
    <row r="1975" spans="1:19">
      <c r="A1975" t="s">
        <v>10196</v>
      </c>
      <c r="B1975" t="s">
        <v>10197</v>
      </c>
      <c r="C1975" t="s">
        <v>6202</v>
      </c>
      <c r="D1975" t="s">
        <v>10198</v>
      </c>
      <c r="E1975" t="s">
        <v>10199</v>
      </c>
      <c r="F1975" t="s">
        <v>10200</v>
      </c>
      <c r="G1975" s="4">
        <v>45417</v>
      </c>
      <c r="H1975" s="4">
        <v>45436</v>
      </c>
      <c r="I1975" s="4">
        <v>45441</v>
      </c>
      <c r="J1975">
        <f t="shared" si="150"/>
        <v>5</v>
      </c>
      <c r="K1975" t="str">
        <f t="array" ref="K1975">_xlfn.IFS(J1975=1,"Day Use",J1975&lt;=3,"Short Stay",J1975&lt;=7,"Extended Stay",J1975&gt;=8,"Long Stay")</f>
        <v>Extended Stay</v>
      </c>
      <c r="L1975" t="s">
        <v>49</v>
      </c>
      <c r="M1975" s="10" t="str">
        <f t="shared" si="151"/>
        <v>Deluxe</v>
      </c>
      <c r="N1975" t="s">
        <v>26</v>
      </c>
      <c r="O1975" t="s">
        <v>42</v>
      </c>
      <c r="P1975">
        <f>IFERROR(VLOOKUP(TRIM(M1975),Room!D:H,5,FALSE),5000)</f>
        <v>5400</v>
      </c>
      <c r="Q1975">
        <f t="shared" si="152"/>
        <v>27000</v>
      </c>
      <c r="R1975" s="11" t="str">
        <f t="shared" si="153"/>
        <v>Conference</v>
      </c>
      <c r="S1975" s="11">
        <f t="shared" si="154"/>
        <v>3</v>
      </c>
    </row>
    <row r="1976" spans="1:19">
      <c r="A1976" t="s">
        <v>10201</v>
      </c>
      <c r="B1976" t="s">
        <v>10202</v>
      </c>
      <c r="C1976" t="s">
        <v>484</v>
      </c>
      <c r="D1976" t="s">
        <v>10203</v>
      </c>
      <c r="E1976" t="s">
        <v>10204</v>
      </c>
      <c r="F1976" t="s">
        <v>10205</v>
      </c>
      <c r="G1976" s="4">
        <v>45403</v>
      </c>
      <c r="H1976" s="4">
        <v>45756</v>
      </c>
      <c r="I1976" s="4">
        <v>45763</v>
      </c>
      <c r="J1976">
        <f t="shared" si="150"/>
        <v>7</v>
      </c>
      <c r="K1976" t="str">
        <f t="array" ref="K1976">_xlfn.IFS(J1976=1,"Day Use",J1976&lt;=3,"Short Stay",J1976&lt;=7,"Extended Stay",J1976&gt;=8,"Long Stay")</f>
        <v>Extended Stay</v>
      </c>
      <c r="L1976" t="s">
        <v>56</v>
      </c>
      <c r="M1976" s="10" t="str">
        <f t="shared" si="151"/>
        <v>Premium</v>
      </c>
      <c r="N1976" t="s">
        <v>26</v>
      </c>
      <c r="O1976" t="s">
        <v>35</v>
      </c>
      <c r="P1976">
        <f>IFERROR(VLOOKUP(TRIM(M1976),Room!D:H,5,FALSE),5000)</f>
        <v>9500</v>
      </c>
      <c r="Q1976">
        <f t="shared" si="152"/>
        <v>66500</v>
      </c>
      <c r="R1976" s="11" t="str">
        <f t="shared" si="153"/>
        <v>Conference</v>
      </c>
      <c r="S1976" s="11">
        <f t="shared" si="154"/>
        <v>4</v>
      </c>
    </row>
    <row r="1977" spans="1:19">
      <c r="A1977" t="s">
        <v>10206</v>
      </c>
      <c r="B1977" t="s">
        <v>10207</v>
      </c>
      <c r="C1977" t="s">
        <v>449</v>
      </c>
      <c r="D1977" t="s">
        <v>10208</v>
      </c>
      <c r="E1977" t="s">
        <v>10209</v>
      </c>
      <c r="F1977" t="s">
        <v>10210</v>
      </c>
      <c r="G1977" s="4">
        <v>45253</v>
      </c>
      <c r="H1977" s="4">
        <v>45469</v>
      </c>
      <c r="I1977" s="4">
        <v>45477</v>
      </c>
      <c r="J1977">
        <f t="shared" si="150"/>
        <v>8</v>
      </c>
      <c r="K1977" t="str">
        <f t="array" ref="K1977">_xlfn.IFS(J1977=1,"Day Use",J1977&lt;=3,"Short Stay",J1977&lt;=7,"Extended Stay",J1977&gt;=8,"Long Stay")</f>
        <v>Long Stay</v>
      </c>
      <c r="L1977" t="s">
        <v>141</v>
      </c>
      <c r="M1977" s="10" t="str">
        <f t="shared" si="151"/>
        <v>Premium</v>
      </c>
      <c r="N1977" t="s">
        <v>57</v>
      </c>
      <c r="O1977" t="s">
        <v>58</v>
      </c>
      <c r="P1977">
        <f>IFERROR(VLOOKUP(TRIM(M1977),Room!D:H,5,FALSE),5000)</f>
        <v>9500</v>
      </c>
      <c r="Q1977">
        <f t="shared" si="152"/>
        <v>76000</v>
      </c>
      <c r="R1977" s="11" t="str">
        <f t="shared" si="153"/>
        <v>Conference</v>
      </c>
      <c r="S1977" s="11">
        <f t="shared" si="154"/>
        <v>4</v>
      </c>
    </row>
    <row r="1978" spans="1:19">
      <c r="A1978" t="s">
        <v>10211</v>
      </c>
      <c r="B1978" t="s">
        <v>10212</v>
      </c>
      <c r="C1978" t="s">
        <v>265</v>
      </c>
      <c r="D1978" t="s">
        <v>10213</v>
      </c>
      <c r="E1978" t="s">
        <v>10214</v>
      </c>
      <c r="F1978" t="s">
        <v>10215</v>
      </c>
      <c r="G1978" s="4">
        <v>45795</v>
      </c>
      <c r="H1978" s="4">
        <v>45811</v>
      </c>
      <c r="I1978" s="4">
        <v>45818</v>
      </c>
      <c r="J1978">
        <f t="shared" si="150"/>
        <v>7</v>
      </c>
      <c r="K1978" t="str">
        <f t="array" ref="K1978">_xlfn.IFS(J1978=1,"Day Use",J1978&lt;=3,"Short Stay",J1978&lt;=7,"Extended Stay",J1978&gt;=8,"Long Stay")</f>
        <v>Extended Stay</v>
      </c>
      <c r="L1978" t="s">
        <v>141</v>
      </c>
      <c r="M1978" s="10" t="str">
        <f t="shared" si="151"/>
        <v>Premium</v>
      </c>
      <c r="N1978" t="s">
        <v>26</v>
      </c>
      <c r="O1978" t="s">
        <v>42</v>
      </c>
      <c r="P1978">
        <f>IFERROR(VLOOKUP(TRIM(M1978),Room!D:H,5,FALSE),5000)</f>
        <v>9500</v>
      </c>
      <c r="Q1978">
        <f t="shared" si="152"/>
        <v>66500</v>
      </c>
      <c r="R1978" s="11" t="str">
        <f t="shared" si="153"/>
        <v>Conference</v>
      </c>
      <c r="S1978" s="11">
        <f t="shared" si="154"/>
        <v>4</v>
      </c>
    </row>
    <row r="1979" spans="1:19">
      <c r="A1979" t="s">
        <v>10216</v>
      </c>
      <c r="B1979" t="s">
        <v>10217</v>
      </c>
      <c r="C1979" t="s">
        <v>3112</v>
      </c>
      <c r="D1979" t="s">
        <v>10218</v>
      </c>
      <c r="E1979" t="s">
        <v>10219</v>
      </c>
      <c r="F1979" t="s">
        <v>10220</v>
      </c>
      <c r="G1979" s="4">
        <v>45617</v>
      </c>
      <c r="H1979" s="4">
        <v>45640</v>
      </c>
      <c r="I1979" s="4">
        <v>45649</v>
      </c>
      <c r="J1979">
        <f t="shared" si="150"/>
        <v>9</v>
      </c>
      <c r="K1979" t="str">
        <f t="array" ref="K1979">_xlfn.IFS(J1979=1,"Day Use",J1979&lt;=3,"Short Stay",J1979&lt;=7,"Extended Stay",J1979&gt;=8,"Long Stay")</f>
        <v>Long Stay</v>
      </c>
      <c r="L1979" t="s">
        <v>49</v>
      </c>
      <c r="M1979" s="10" t="str">
        <f t="shared" si="151"/>
        <v>Premium</v>
      </c>
      <c r="N1979" t="s">
        <v>26</v>
      </c>
      <c r="O1979" t="s">
        <v>42</v>
      </c>
      <c r="P1979">
        <f>IFERROR(VLOOKUP(TRIM(M1979),Room!D:H,5,FALSE),5000)</f>
        <v>9500</v>
      </c>
      <c r="Q1979">
        <f t="shared" si="152"/>
        <v>85500</v>
      </c>
      <c r="R1979" s="11" t="str">
        <f t="shared" si="153"/>
        <v>Conference</v>
      </c>
      <c r="S1979" s="11">
        <f t="shared" si="154"/>
        <v>4</v>
      </c>
    </row>
    <row r="1980" spans="1:19">
      <c r="A1980" t="s">
        <v>10221</v>
      </c>
      <c r="B1980" t="s">
        <v>10222</v>
      </c>
      <c r="C1980" t="s">
        <v>558</v>
      </c>
      <c r="D1980" t="s">
        <v>10223</v>
      </c>
      <c r="E1980" t="s">
        <v>10224</v>
      </c>
      <c r="F1980" t="s">
        <v>10225</v>
      </c>
      <c r="G1980" s="4">
        <v>45500</v>
      </c>
      <c r="H1980" s="4">
        <v>45800</v>
      </c>
      <c r="I1980" s="4">
        <v>45814</v>
      </c>
      <c r="J1980">
        <f t="shared" si="150"/>
        <v>14</v>
      </c>
      <c r="K1980" t="str">
        <f t="array" ref="K1980">_xlfn.IFS(J1980=1,"Day Use",J1980&lt;=3,"Short Stay",J1980&lt;=7,"Extended Stay",J1980&gt;=8,"Long Stay")</f>
        <v>Long Stay</v>
      </c>
      <c r="L1980" t="s">
        <v>49</v>
      </c>
      <c r="M1980" s="10" t="str">
        <f t="shared" si="151"/>
        <v>Suite</v>
      </c>
      <c r="N1980" t="s">
        <v>26</v>
      </c>
      <c r="O1980" t="s">
        <v>58</v>
      </c>
      <c r="P1980">
        <f>IFERROR(VLOOKUP(TRIM(M1980),Room!D:H,5,FALSE),5000)</f>
        <v>12500</v>
      </c>
      <c r="Q1980">
        <f t="shared" si="152"/>
        <v>175000</v>
      </c>
      <c r="R1980" s="11" t="str">
        <f t="shared" si="153"/>
        <v>Business</v>
      </c>
      <c r="S1980" s="11">
        <f t="shared" si="154"/>
        <v>5</v>
      </c>
    </row>
    <row r="1981" spans="1:19">
      <c r="A1981" t="s">
        <v>10226</v>
      </c>
      <c r="B1981" t="s">
        <v>10227</v>
      </c>
      <c r="C1981" t="s">
        <v>1983</v>
      </c>
      <c r="D1981" t="s">
        <v>10228</v>
      </c>
      <c r="E1981" t="s">
        <v>10229</v>
      </c>
      <c r="F1981" t="s">
        <v>10230</v>
      </c>
      <c r="G1981" s="4">
        <v>45273</v>
      </c>
      <c r="H1981" s="4">
        <v>45521</v>
      </c>
      <c r="I1981" s="4">
        <v>45531</v>
      </c>
      <c r="J1981">
        <f t="shared" si="150"/>
        <v>10</v>
      </c>
      <c r="K1981" t="str">
        <f t="array" ref="K1981">_xlfn.IFS(J1981=1,"Day Use",J1981&lt;=3,"Short Stay",J1981&lt;=7,"Extended Stay",J1981&gt;=8,"Long Stay")</f>
        <v>Long Stay</v>
      </c>
      <c r="L1981" t="s">
        <v>56</v>
      </c>
      <c r="M1981" s="10" t="str">
        <f t="shared" si="151"/>
        <v>Premium</v>
      </c>
      <c r="N1981" t="s">
        <v>134</v>
      </c>
      <c r="O1981" t="s">
        <v>42</v>
      </c>
      <c r="P1981">
        <f>IFERROR(VLOOKUP(TRIM(M1981),Room!D:H,5,FALSE),5000)</f>
        <v>9500</v>
      </c>
      <c r="Q1981">
        <f t="shared" si="152"/>
        <v>95000</v>
      </c>
      <c r="R1981" s="11" t="str">
        <f t="shared" si="153"/>
        <v>Conference</v>
      </c>
      <c r="S1981" s="11">
        <f t="shared" si="154"/>
        <v>4</v>
      </c>
    </row>
    <row r="1982" spans="1:19">
      <c r="A1982" t="s">
        <v>10231</v>
      </c>
      <c r="B1982" t="s">
        <v>10232</v>
      </c>
      <c r="C1982" t="s">
        <v>1030</v>
      </c>
      <c r="D1982" t="s">
        <v>10233</v>
      </c>
      <c r="E1982" t="s">
        <v>10234</v>
      </c>
      <c r="F1982" t="s">
        <v>10235</v>
      </c>
      <c r="G1982" s="4">
        <v>45280</v>
      </c>
      <c r="H1982" s="4">
        <v>45743</v>
      </c>
      <c r="I1982" s="4">
        <v>45757</v>
      </c>
      <c r="J1982">
        <f t="shared" si="150"/>
        <v>14</v>
      </c>
      <c r="K1982" t="str">
        <f t="array" ref="K1982">_xlfn.IFS(J1982=1,"Day Use",J1982&lt;=3,"Short Stay",J1982&lt;=7,"Extended Stay",J1982&gt;=8,"Long Stay")</f>
        <v>Long Stay</v>
      </c>
      <c r="L1982" t="s">
        <v>56</v>
      </c>
      <c r="M1982" s="10" t="str">
        <f t="shared" si="151"/>
        <v>Suite</v>
      </c>
      <c r="N1982" t="s">
        <v>26</v>
      </c>
      <c r="O1982" t="s">
        <v>58</v>
      </c>
      <c r="P1982">
        <f>IFERROR(VLOOKUP(TRIM(M1982),Room!D:H,5,FALSE),5000)</f>
        <v>12500</v>
      </c>
      <c r="Q1982">
        <f t="shared" si="152"/>
        <v>175000</v>
      </c>
      <c r="R1982" s="11" t="str">
        <f t="shared" si="153"/>
        <v>Business</v>
      </c>
      <c r="S1982" s="11">
        <f t="shared" si="154"/>
        <v>5</v>
      </c>
    </row>
    <row r="1983" spans="1:19">
      <c r="A1983" t="s">
        <v>10236</v>
      </c>
      <c r="B1983" t="s">
        <v>10237</v>
      </c>
      <c r="C1983" t="s">
        <v>1014</v>
      </c>
      <c r="D1983" t="s">
        <v>10238</v>
      </c>
      <c r="E1983" t="s">
        <v>10239</v>
      </c>
      <c r="F1983" t="s">
        <v>10240</v>
      </c>
      <c r="G1983" s="4">
        <v>45314</v>
      </c>
      <c r="H1983" s="4">
        <v>45771</v>
      </c>
      <c r="I1983" s="4">
        <v>45773</v>
      </c>
      <c r="J1983">
        <f t="shared" si="150"/>
        <v>2</v>
      </c>
      <c r="K1983" t="str">
        <f t="array" ref="K1983">_xlfn.IFS(J1983=1,"Day Use",J1983&lt;=3,"Short Stay",J1983&lt;=7,"Extended Stay",J1983&gt;=8,"Long Stay")</f>
        <v>Short Stay</v>
      </c>
      <c r="L1983" t="s">
        <v>84</v>
      </c>
      <c r="M1983" s="10" t="str">
        <f t="shared" si="151"/>
        <v>Standard</v>
      </c>
      <c r="N1983" t="s">
        <v>26</v>
      </c>
      <c r="O1983" t="s">
        <v>71</v>
      </c>
      <c r="P1983">
        <f>IFERROR(VLOOKUP(TRIM(M1983),Room!D:H,5,FALSE),5000)</f>
        <v>3200</v>
      </c>
      <c r="Q1983">
        <f t="shared" si="152"/>
        <v>6400</v>
      </c>
      <c r="R1983" s="11" t="str">
        <f t="shared" si="153"/>
        <v>Other</v>
      </c>
      <c r="S1983" s="11">
        <f t="shared" si="154"/>
        <v>2</v>
      </c>
    </row>
    <row r="1984" spans="1:19">
      <c r="A1984" t="s">
        <v>10241</v>
      </c>
      <c r="B1984" t="s">
        <v>10242</v>
      </c>
      <c r="C1984" t="s">
        <v>853</v>
      </c>
      <c r="D1984" t="s">
        <v>10243</v>
      </c>
      <c r="E1984" t="s">
        <v>10244</v>
      </c>
      <c r="F1984" t="s">
        <v>10245</v>
      </c>
      <c r="G1984" s="4">
        <v>45392</v>
      </c>
      <c r="H1984" s="4">
        <v>45613</v>
      </c>
      <c r="I1984" s="4">
        <v>45621</v>
      </c>
      <c r="J1984">
        <f t="shared" si="150"/>
        <v>8</v>
      </c>
      <c r="K1984" t="str">
        <f t="array" ref="K1984">_xlfn.IFS(J1984=1,"Day Use",J1984&lt;=3,"Short Stay",J1984&lt;=7,"Extended Stay",J1984&gt;=8,"Long Stay")</f>
        <v>Long Stay</v>
      </c>
      <c r="L1984" t="s">
        <v>196</v>
      </c>
      <c r="M1984" s="10" t="str">
        <f t="shared" si="151"/>
        <v>Premium</v>
      </c>
      <c r="N1984" t="s">
        <v>26</v>
      </c>
      <c r="O1984" t="s">
        <v>35</v>
      </c>
      <c r="P1984">
        <f>IFERROR(VLOOKUP(TRIM(M1984),Room!D:H,5,FALSE),5000)</f>
        <v>9500</v>
      </c>
      <c r="Q1984">
        <f t="shared" si="152"/>
        <v>76000</v>
      </c>
      <c r="R1984" s="11" t="str">
        <f t="shared" si="153"/>
        <v>Conference</v>
      </c>
      <c r="S1984" s="11">
        <f t="shared" si="154"/>
        <v>4</v>
      </c>
    </row>
    <row r="1985" spans="1:19">
      <c r="A1985" t="s">
        <v>10246</v>
      </c>
      <c r="B1985" t="s">
        <v>10247</v>
      </c>
      <c r="C1985" t="s">
        <v>2196</v>
      </c>
      <c r="D1985" t="s">
        <v>10248</v>
      </c>
      <c r="E1985" t="s">
        <v>10249</v>
      </c>
      <c r="F1985" t="s">
        <v>10250</v>
      </c>
      <c r="G1985" s="4">
        <v>45314</v>
      </c>
      <c r="H1985" s="4">
        <v>45315</v>
      </c>
      <c r="I1985" s="4">
        <v>45321</v>
      </c>
      <c r="J1985">
        <f t="shared" si="150"/>
        <v>6</v>
      </c>
      <c r="K1985" t="str">
        <f t="array" ref="K1985">_xlfn.IFS(J1985=1,"Day Use",J1985&lt;=3,"Short Stay",J1985&lt;=7,"Extended Stay",J1985&gt;=8,"Long Stay")</f>
        <v>Extended Stay</v>
      </c>
      <c r="L1985" t="s">
        <v>91</v>
      </c>
      <c r="M1985" s="10" t="str">
        <f t="shared" si="151"/>
        <v>Deluxe</v>
      </c>
      <c r="N1985" t="s">
        <v>26</v>
      </c>
      <c r="O1985" t="s">
        <v>27</v>
      </c>
      <c r="P1985">
        <f>IFERROR(VLOOKUP(TRIM(M1985),Room!D:H,5,FALSE),5000)</f>
        <v>5400</v>
      </c>
      <c r="Q1985">
        <f t="shared" si="152"/>
        <v>32400</v>
      </c>
      <c r="R1985" s="11" t="str">
        <f t="shared" si="153"/>
        <v>Conference</v>
      </c>
      <c r="S1985" s="11">
        <f t="shared" si="154"/>
        <v>3</v>
      </c>
    </row>
    <row r="1986" spans="1:19">
      <c r="A1986" t="s">
        <v>10251</v>
      </c>
      <c r="B1986" t="s">
        <v>10252</v>
      </c>
      <c r="C1986" t="s">
        <v>1361</v>
      </c>
      <c r="D1986" t="s">
        <v>10253</v>
      </c>
      <c r="E1986" t="s">
        <v>10254</v>
      </c>
      <c r="F1986" t="s">
        <v>10255</v>
      </c>
      <c r="G1986" s="4">
        <v>45321</v>
      </c>
      <c r="H1986" s="4">
        <v>45333</v>
      </c>
      <c r="I1986" s="4">
        <v>45339</v>
      </c>
      <c r="J1986">
        <f t="shared" ref="J1986:J2001" si="155">I1986-H1986</f>
        <v>6</v>
      </c>
      <c r="K1986" t="str">
        <f t="array" ref="K1986">_xlfn.IFS(J1986=1,"Day Use",J1986&lt;=3,"Short Stay",J1986&lt;=7,"Extended Stay",J1986&gt;=8,"Long Stay")</f>
        <v>Extended Stay</v>
      </c>
      <c r="L1986" t="s">
        <v>196</v>
      </c>
      <c r="M1986" s="10" t="str">
        <f t="shared" ref="M1986:M2001" si="156">IF($J1986&lt;=3,"Standard",IF($J1986&lt;=6,"Deluxe",IF($J1986&lt;=10,"Premium","Suite")))</f>
        <v>Deluxe</v>
      </c>
      <c r="N1986" t="s">
        <v>26</v>
      </c>
      <c r="O1986" t="s">
        <v>35</v>
      </c>
      <c r="P1986">
        <f>IFERROR(VLOOKUP(TRIM(M1986),Room!D:H,5,FALSE),5000)</f>
        <v>5400</v>
      </c>
      <c r="Q1986">
        <f t="shared" si="152"/>
        <v>32400</v>
      </c>
      <c r="R1986" s="11" t="str">
        <f t="shared" si="153"/>
        <v>Conference</v>
      </c>
      <c r="S1986" s="11">
        <f t="shared" si="154"/>
        <v>3</v>
      </c>
    </row>
    <row r="1987" spans="1:19">
      <c r="A1987" t="s">
        <v>10256</v>
      </c>
      <c r="B1987" t="s">
        <v>10257</v>
      </c>
      <c r="C1987" t="s">
        <v>118</v>
      </c>
      <c r="D1987" t="s">
        <v>10258</v>
      </c>
      <c r="E1987" t="s">
        <v>10259</v>
      </c>
      <c r="F1987" t="s">
        <v>10260</v>
      </c>
      <c r="G1987" s="4">
        <v>45363</v>
      </c>
      <c r="H1987" s="4">
        <v>45443</v>
      </c>
      <c r="I1987" s="4">
        <v>45448</v>
      </c>
      <c r="J1987">
        <f t="shared" si="155"/>
        <v>5</v>
      </c>
      <c r="K1987" t="str">
        <f t="array" ref="K1987">_xlfn.IFS(J1987=1,"Day Use",J1987&lt;=3,"Short Stay",J1987&lt;=7,"Extended Stay",J1987&gt;=8,"Long Stay")</f>
        <v>Extended Stay</v>
      </c>
      <c r="L1987" t="s">
        <v>91</v>
      </c>
      <c r="M1987" s="10" t="str">
        <f t="shared" si="156"/>
        <v>Deluxe</v>
      </c>
      <c r="N1987" t="s">
        <v>26</v>
      </c>
      <c r="O1987" t="s">
        <v>27</v>
      </c>
      <c r="P1987">
        <f>IFERROR(VLOOKUP(TRIM(M1987),Room!D:H,5,FALSE),5000)</f>
        <v>5400</v>
      </c>
      <c r="Q1987">
        <f t="shared" ref="Q1987:Q2001" si="157">P1987*J1987</f>
        <v>27000</v>
      </c>
      <c r="R1987" s="11" t="str">
        <f t="shared" ref="R1987:R2001" si="158">IF(ISNUMBER(SEARCH("Suite",D1987)),"Honeymoon",IF(P1987&gt;10000,"Business",IF(P1987&gt;5000,"Conference",IF(J1987&gt;=8,"Family Vacation","Other"))))</f>
        <v>Conference</v>
      </c>
      <c r="S1987" s="11">
        <f t="shared" ref="S1987:S2001" si="159">IF(M1987="Suite",5,IF(M1987="Premium",IF(Q1987&gt;20000,4,3),IF(M1987="Deluxe",IF(Q1987&gt;=10000,3,2),IF(M1987="Standard",IF(Q1987&gt;=5000,2,1),1))))</f>
        <v>3</v>
      </c>
    </row>
    <row r="1988" spans="1:19">
      <c r="A1988" t="s">
        <v>10261</v>
      </c>
      <c r="B1988" t="s">
        <v>10262</v>
      </c>
      <c r="C1988" t="s">
        <v>3118</v>
      </c>
      <c r="D1988" t="s">
        <v>10263</v>
      </c>
      <c r="E1988" t="s">
        <v>10264</v>
      </c>
      <c r="F1988" t="s">
        <v>10265</v>
      </c>
      <c r="G1988" s="4">
        <v>45254</v>
      </c>
      <c r="H1988" s="4">
        <v>45314</v>
      </c>
      <c r="I1988" s="4">
        <v>45323</v>
      </c>
      <c r="J1988">
        <f t="shared" si="155"/>
        <v>9</v>
      </c>
      <c r="K1988" t="str">
        <f t="array" ref="K1988">_xlfn.IFS(J1988=1,"Day Use",J1988&lt;=3,"Short Stay",J1988&lt;=7,"Extended Stay",J1988&gt;=8,"Long Stay")</f>
        <v>Long Stay</v>
      </c>
      <c r="L1988" t="s">
        <v>34</v>
      </c>
      <c r="M1988" s="10" t="str">
        <f t="shared" si="156"/>
        <v>Premium</v>
      </c>
      <c r="N1988" t="s">
        <v>26</v>
      </c>
      <c r="O1988" t="s">
        <v>27</v>
      </c>
      <c r="P1988">
        <f>IFERROR(VLOOKUP(TRIM(M1988),Room!D:H,5,FALSE),5000)</f>
        <v>9500</v>
      </c>
      <c r="Q1988">
        <f t="shared" si="157"/>
        <v>85500</v>
      </c>
      <c r="R1988" s="11" t="str">
        <f t="shared" si="158"/>
        <v>Conference</v>
      </c>
      <c r="S1988" s="11">
        <f t="shared" si="159"/>
        <v>4</v>
      </c>
    </row>
    <row r="1989" spans="1:19">
      <c r="A1989" t="s">
        <v>10266</v>
      </c>
      <c r="B1989" t="s">
        <v>10267</v>
      </c>
      <c r="C1989" t="s">
        <v>294</v>
      </c>
      <c r="D1989" t="s">
        <v>10268</v>
      </c>
      <c r="E1989" t="s">
        <v>10269</v>
      </c>
      <c r="F1989" t="s">
        <v>10270</v>
      </c>
      <c r="G1989" s="4">
        <v>45318</v>
      </c>
      <c r="H1989" s="4">
        <v>45429</v>
      </c>
      <c r="I1989" s="4">
        <v>45430</v>
      </c>
      <c r="J1989">
        <f t="shared" si="155"/>
        <v>1</v>
      </c>
      <c r="K1989" t="str">
        <f t="array" ref="K1989">_xlfn.IFS(J1989=1,"Day Use",J1989&lt;=3,"Short Stay",J1989&lt;=7,"Extended Stay",J1989&gt;=8,"Long Stay")</f>
        <v>Day Use</v>
      </c>
      <c r="L1989" t="s">
        <v>91</v>
      </c>
      <c r="M1989" s="10" t="str">
        <f t="shared" si="156"/>
        <v>Standard</v>
      </c>
      <c r="N1989" t="s">
        <v>26</v>
      </c>
      <c r="O1989" t="s">
        <v>58</v>
      </c>
      <c r="P1989">
        <f>IFERROR(VLOOKUP(TRIM(M1989),Room!D:H,5,FALSE),5000)</f>
        <v>3200</v>
      </c>
      <c r="Q1989">
        <f t="shared" si="157"/>
        <v>3200</v>
      </c>
      <c r="R1989" s="11" t="str">
        <f t="shared" si="158"/>
        <v>Other</v>
      </c>
      <c r="S1989" s="11">
        <f t="shared" si="159"/>
        <v>1</v>
      </c>
    </row>
    <row r="1990" spans="1:19">
      <c r="A1990" t="s">
        <v>10271</v>
      </c>
      <c r="B1990" t="s">
        <v>10272</v>
      </c>
      <c r="C1990" t="s">
        <v>2474</v>
      </c>
      <c r="D1990" t="s">
        <v>10273</v>
      </c>
      <c r="E1990" t="s">
        <v>10274</v>
      </c>
      <c r="F1990" t="s">
        <v>10275</v>
      </c>
      <c r="G1990" s="4">
        <v>45454</v>
      </c>
      <c r="H1990" s="4">
        <v>45468</v>
      </c>
      <c r="I1990" s="4">
        <v>45478</v>
      </c>
      <c r="J1990">
        <f t="shared" si="155"/>
        <v>10</v>
      </c>
      <c r="K1990" t="str">
        <f t="array" ref="K1990">_xlfn.IFS(J1990=1,"Day Use",J1990&lt;=3,"Short Stay",J1990&lt;=7,"Extended Stay",J1990&gt;=8,"Long Stay")</f>
        <v>Long Stay</v>
      </c>
      <c r="L1990" t="s">
        <v>91</v>
      </c>
      <c r="M1990" s="10" t="str">
        <f t="shared" si="156"/>
        <v>Premium</v>
      </c>
      <c r="N1990" t="s">
        <v>26</v>
      </c>
      <c r="O1990" t="s">
        <v>58</v>
      </c>
      <c r="P1990">
        <f>IFERROR(VLOOKUP(TRIM(M1990),Room!D:H,5,FALSE),5000)</f>
        <v>9500</v>
      </c>
      <c r="Q1990">
        <f t="shared" si="157"/>
        <v>95000</v>
      </c>
      <c r="R1990" s="11" t="str">
        <f t="shared" si="158"/>
        <v>Conference</v>
      </c>
      <c r="S1990" s="11">
        <f t="shared" si="159"/>
        <v>4</v>
      </c>
    </row>
    <row r="1991" spans="1:19">
      <c r="A1991" t="s">
        <v>10276</v>
      </c>
      <c r="B1991" t="s">
        <v>10277</v>
      </c>
      <c r="C1991" t="s">
        <v>4081</v>
      </c>
      <c r="D1991" t="s">
        <v>10278</v>
      </c>
      <c r="E1991" t="s">
        <v>10279</v>
      </c>
      <c r="F1991" t="s">
        <v>10280</v>
      </c>
      <c r="G1991" s="4">
        <v>45556</v>
      </c>
      <c r="H1991" s="4">
        <v>45576</v>
      </c>
      <c r="I1991" s="4">
        <v>45584</v>
      </c>
      <c r="J1991">
        <f t="shared" si="155"/>
        <v>8</v>
      </c>
      <c r="K1991" t="str">
        <f t="array" ref="K1991">_xlfn.IFS(J1991=1,"Day Use",J1991&lt;=3,"Short Stay",J1991&lt;=7,"Extended Stay",J1991&gt;=8,"Long Stay")</f>
        <v>Long Stay</v>
      </c>
      <c r="L1991" t="s">
        <v>34</v>
      </c>
      <c r="M1991" s="10" t="str">
        <f t="shared" si="156"/>
        <v>Premium</v>
      </c>
      <c r="N1991" t="s">
        <v>26</v>
      </c>
      <c r="O1991" t="s">
        <v>42</v>
      </c>
      <c r="P1991">
        <f>IFERROR(VLOOKUP(TRIM(M1991),Room!D:H,5,FALSE),5000)</f>
        <v>9500</v>
      </c>
      <c r="Q1991">
        <f t="shared" si="157"/>
        <v>76000</v>
      </c>
      <c r="R1991" s="11" t="str">
        <f t="shared" si="158"/>
        <v>Conference</v>
      </c>
      <c r="S1991" s="11">
        <f t="shared" si="159"/>
        <v>4</v>
      </c>
    </row>
    <row r="1992" spans="1:19">
      <c r="A1992" t="s">
        <v>10281</v>
      </c>
      <c r="B1992" t="s">
        <v>10282</v>
      </c>
      <c r="C1992" t="s">
        <v>253</v>
      </c>
      <c r="D1992" t="s">
        <v>10283</v>
      </c>
      <c r="E1992" t="s">
        <v>10284</v>
      </c>
      <c r="F1992" t="s">
        <v>10285</v>
      </c>
      <c r="G1992" s="4">
        <v>45702</v>
      </c>
      <c r="H1992" s="4">
        <v>45719</v>
      </c>
      <c r="I1992" s="4">
        <v>45720</v>
      </c>
      <c r="J1992">
        <f t="shared" si="155"/>
        <v>1</v>
      </c>
      <c r="K1992" t="str">
        <f t="array" ref="K1992">_xlfn.IFS(J1992=1,"Day Use",J1992&lt;=3,"Short Stay",J1992&lt;=7,"Extended Stay",J1992&gt;=8,"Long Stay")</f>
        <v>Day Use</v>
      </c>
      <c r="L1992" t="s">
        <v>141</v>
      </c>
      <c r="M1992" s="10" t="str">
        <f t="shared" si="156"/>
        <v>Standard</v>
      </c>
      <c r="N1992" t="s">
        <v>26</v>
      </c>
      <c r="O1992" t="s">
        <v>35</v>
      </c>
      <c r="P1992">
        <f>IFERROR(VLOOKUP(TRIM(M1992),Room!D:H,5,FALSE),5000)</f>
        <v>3200</v>
      </c>
      <c r="Q1992">
        <f t="shared" si="157"/>
        <v>3200</v>
      </c>
      <c r="R1992" s="11" t="str">
        <f t="shared" si="158"/>
        <v>Other</v>
      </c>
      <c r="S1992" s="11">
        <f t="shared" si="159"/>
        <v>1</v>
      </c>
    </row>
    <row r="1993" spans="1:19">
      <c r="A1993" t="s">
        <v>10286</v>
      </c>
      <c r="B1993" t="s">
        <v>10287</v>
      </c>
      <c r="C1993" t="s">
        <v>2196</v>
      </c>
      <c r="D1993" t="s">
        <v>10288</v>
      </c>
      <c r="E1993" t="s">
        <v>10289</v>
      </c>
      <c r="F1993" t="s">
        <v>10290</v>
      </c>
      <c r="G1993" s="4">
        <v>45540</v>
      </c>
      <c r="H1993" s="4">
        <v>45595</v>
      </c>
      <c r="I1993" s="4">
        <v>45609</v>
      </c>
      <c r="J1993">
        <f t="shared" si="155"/>
        <v>14</v>
      </c>
      <c r="K1993" t="str">
        <f t="array" ref="K1993">_xlfn.IFS(J1993=1,"Day Use",J1993&lt;=3,"Short Stay",J1993&lt;=7,"Extended Stay",J1993&gt;=8,"Long Stay")</f>
        <v>Long Stay</v>
      </c>
      <c r="L1993" t="s">
        <v>49</v>
      </c>
      <c r="M1993" s="10" t="str">
        <f t="shared" si="156"/>
        <v>Suite</v>
      </c>
      <c r="N1993" t="s">
        <v>26</v>
      </c>
      <c r="O1993" t="s">
        <v>27</v>
      </c>
      <c r="P1993">
        <f>IFERROR(VLOOKUP(TRIM(M1993),Room!D:H,5,FALSE),5000)</f>
        <v>12500</v>
      </c>
      <c r="Q1993">
        <f t="shared" si="157"/>
        <v>175000</v>
      </c>
      <c r="R1993" s="11" t="str">
        <f t="shared" si="158"/>
        <v>Business</v>
      </c>
      <c r="S1993" s="11">
        <f t="shared" si="159"/>
        <v>5</v>
      </c>
    </row>
    <row r="1994" spans="1:19">
      <c r="A1994" t="s">
        <v>10291</v>
      </c>
      <c r="B1994" t="s">
        <v>10292</v>
      </c>
      <c r="C1994" t="s">
        <v>661</v>
      </c>
      <c r="D1994" t="s">
        <v>10293</v>
      </c>
      <c r="E1994" t="s">
        <v>10294</v>
      </c>
      <c r="F1994" t="s">
        <v>10295</v>
      </c>
      <c r="G1994" s="4">
        <v>45732</v>
      </c>
      <c r="H1994" s="4">
        <v>45960</v>
      </c>
      <c r="I1994" s="4">
        <v>45965</v>
      </c>
      <c r="J1994">
        <f t="shared" si="155"/>
        <v>5</v>
      </c>
      <c r="K1994" t="str">
        <f t="array" ref="K1994">_xlfn.IFS(J1994=1,"Day Use",J1994&lt;=3,"Short Stay",J1994&lt;=7,"Extended Stay",J1994&gt;=8,"Long Stay")</f>
        <v>Extended Stay</v>
      </c>
      <c r="L1994" t="s">
        <v>25</v>
      </c>
      <c r="M1994" s="10" t="str">
        <f t="shared" si="156"/>
        <v>Deluxe</v>
      </c>
      <c r="N1994" t="s">
        <v>148</v>
      </c>
      <c r="O1994" t="s">
        <v>27</v>
      </c>
      <c r="P1994">
        <f>IFERROR(VLOOKUP(TRIM(M1994),Room!D:H,5,FALSE),5000)</f>
        <v>5400</v>
      </c>
      <c r="Q1994">
        <f t="shared" si="157"/>
        <v>27000</v>
      </c>
      <c r="R1994" s="11" t="str">
        <f t="shared" si="158"/>
        <v>Conference</v>
      </c>
      <c r="S1994" s="11">
        <f t="shared" si="159"/>
        <v>3</v>
      </c>
    </row>
    <row r="1995" spans="1:19">
      <c r="A1995" t="s">
        <v>10296</v>
      </c>
      <c r="B1995" t="s">
        <v>10297</v>
      </c>
      <c r="C1995" t="s">
        <v>751</v>
      </c>
      <c r="D1995" t="s">
        <v>10298</v>
      </c>
      <c r="E1995" t="s">
        <v>10299</v>
      </c>
      <c r="F1995" t="s">
        <v>10300</v>
      </c>
      <c r="G1995" s="4">
        <v>45436</v>
      </c>
      <c r="H1995" s="4">
        <v>45595</v>
      </c>
      <c r="I1995" s="4">
        <v>45599</v>
      </c>
      <c r="J1995">
        <f t="shared" si="155"/>
        <v>4</v>
      </c>
      <c r="K1995" t="str">
        <f t="array" ref="K1995">_xlfn.IFS(J1995=1,"Day Use",J1995&lt;=3,"Short Stay",J1995&lt;=7,"Extended Stay",J1995&gt;=8,"Long Stay")</f>
        <v>Extended Stay</v>
      </c>
      <c r="L1995" t="s">
        <v>91</v>
      </c>
      <c r="M1995" s="10" t="str">
        <f t="shared" si="156"/>
        <v>Deluxe</v>
      </c>
      <c r="N1995" t="s">
        <v>57</v>
      </c>
      <c r="O1995" t="s">
        <v>27</v>
      </c>
      <c r="P1995">
        <f>IFERROR(VLOOKUP(TRIM(M1995),Room!D:H,5,FALSE),5000)</f>
        <v>5400</v>
      </c>
      <c r="Q1995">
        <f t="shared" si="157"/>
        <v>21600</v>
      </c>
      <c r="R1995" s="11" t="str">
        <f t="shared" si="158"/>
        <v>Conference</v>
      </c>
      <c r="S1995" s="11">
        <f t="shared" si="159"/>
        <v>3</v>
      </c>
    </row>
    <row r="1996" spans="1:19">
      <c r="A1996" t="s">
        <v>10301</v>
      </c>
      <c r="B1996" t="s">
        <v>10302</v>
      </c>
      <c r="C1996" t="s">
        <v>1539</v>
      </c>
      <c r="D1996" t="s">
        <v>10303</v>
      </c>
      <c r="E1996" t="s">
        <v>10304</v>
      </c>
      <c r="F1996" t="s">
        <v>10305</v>
      </c>
      <c r="G1996" s="4">
        <v>45564</v>
      </c>
      <c r="H1996" s="4">
        <v>45625</v>
      </c>
      <c r="I1996" s="4">
        <v>45638</v>
      </c>
      <c r="J1996">
        <f t="shared" si="155"/>
        <v>13</v>
      </c>
      <c r="K1996" t="str">
        <f t="array" ref="K1996">_xlfn.IFS(J1996=1,"Day Use",J1996&lt;=3,"Short Stay",J1996&lt;=7,"Extended Stay",J1996&gt;=8,"Long Stay")</f>
        <v>Long Stay</v>
      </c>
      <c r="L1996" t="s">
        <v>91</v>
      </c>
      <c r="M1996" s="10" t="str">
        <f t="shared" si="156"/>
        <v>Suite</v>
      </c>
      <c r="N1996" t="s">
        <v>26</v>
      </c>
      <c r="O1996" t="s">
        <v>71</v>
      </c>
      <c r="P1996">
        <f>IFERROR(VLOOKUP(TRIM(M1996),Room!D:H,5,FALSE),5000)</f>
        <v>12500</v>
      </c>
      <c r="Q1996">
        <f t="shared" si="157"/>
        <v>162500</v>
      </c>
      <c r="R1996" s="11" t="str">
        <f t="shared" si="158"/>
        <v>Business</v>
      </c>
      <c r="S1996" s="11">
        <f t="shared" si="159"/>
        <v>5</v>
      </c>
    </row>
    <row r="1997" spans="1:19">
      <c r="A1997" t="s">
        <v>10306</v>
      </c>
      <c r="B1997" t="s">
        <v>10307</v>
      </c>
      <c r="C1997" t="s">
        <v>192</v>
      </c>
      <c r="D1997" t="s">
        <v>10308</v>
      </c>
      <c r="E1997" t="s">
        <v>10309</v>
      </c>
      <c r="F1997" t="s">
        <v>10310</v>
      </c>
      <c r="G1997" s="4">
        <v>45545</v>
      </c>
      <c r="H1997" s="4">
        <v>45572</v>
      </c>
      <c r="I1997" s="4">
        <v>45577</v>
      </c>
      <c r="J1997">
        <f t="shared" si="155"/>
        <v>5</v>
      </c>
      <c r="K1997" t="str">
        <f t="array" ref="K1997">_xlfn.IFS(J1997=1,"Day Use",J1997&lt;=3,"Short Stay",J1997&lt;=7,"Extended Stay",J1997&gt;=8,"Long Stay")</f>
        <v>Extended Stay</v>
      </c>
      <c r="L1997" t="s">
        <v>196</v>
      </c>
      <c r="M1997" s="10" t="str">
        <f t="shared" si="156"/>
        <v>Deluxe</v>
      </c>
      <c r="N1997" t="s">
        <v>26</v>
      </c>
      <c r="O1997" t="s">
        <v>35</v>
      </c>
      <c r="P1997">
        <f>IFERROR(VLOOKUP(TRIM(M1997),Room!D:H,5,FALSE),5000)</f>
        <v>5400</v>
      </c>
      <c r="Q1997">
        <f t="shared" si="157"/>
        <v>27000</v>
      </c>
      <c r="R1997" s="11" t="str">
        <f t="shared" si="158"/>
        <v>Conference</v>
      </c>
      <c r="S1997" s="11">
        <f t="shared" si="159"/>
        <v>3</v>
      </c>
    </row>
    <row r="1998" spans="1:19">
      <c r="A1998" t="s">
        <v>10311</v>
      </c>
      <c r="B1998" t="s">
        <v>10312</v>
      </c>
      <c r="C1998" t="s">
        <v>8657</v>
      </c>
      <c r="D1998" t="s">
        <v>10313</v>
      </c>
      <c r="E1998" t="s">
        <v>10314</v>
      </c>
      <c r="F1998" t="s">
        <v>10315</v>
      </c>
      <c r="G1998" s="4">
        <v>45435</v>
      </c>
      <c r="H1998" s="4">
        <v>45451</v>
      </c>
      <c r="I1998" s="4">
        <v>45462</v>
      </c>
      <c r="J1998">
        <f t="shared" si="155"/>
        <v>11</v>
      </c>
      <c r="K1998" t="str">
        <f t="array" ref="K1998">_xlfn.IFS(J1998=1,"Day Use",J1998&lt;=3,"Short Stay",J1998&lt;=7,"Extended Stay",J1998&gt;=8,"Long Stay")</f>
        <v>Long Stay</v>
      </c>
      <c r="L1998" t="s">
        <v>25</v>
      </c>
      <c r="M1998" s="10" t="str">
        <f t="shared" si="156"/>
        <v>Suite</v>
      </c>
      <c r="N1998" t="s">
        <v>26</v>
      </c>
      <c r="O1998" t="s">
        <v>42</v>
      </c>
      <c r="P1998">
        <f>IFERROR(VLOOKUP(TRIM(M1998),Room!D:H,5,FALSE),5000)</f>
        <v>12500</v>
      </c>
      <c r="Q1998">
        <f t="shared" si="157"/>
        <v>137500</v>
      </c>
      <c r="R1998" s="11" t="str">
        <f t="shared" si="158"/>
        <v>Business</v>
      </c>
      <c r="S1998" s="11">
        <f t="shared" si="159"/>
        <v>5</v>
      </c>
    </row>
    <row r="1999" spans="1:19">
      <c r="A1999" t="s">
        <v>10316</v>
      </c>
      <c r="B1999" t="s">
        <v>10317</v>
      </c>
      <c r="C1999" t="s">
        <v>627</v>
      </c>
      <c r="D1999" t="s">
        <v>10318</v>
      </c>
      <c r="E1999" t="s">
        <v>10319</v>
      </c>
      <c r="F1999" t="s">
        <v>10320</v>
      </c>
      <c r="G1999" s="4">
        <v>45231</v>
      </c>
      <c r="H1999" s="4">
        <v>45828</v>
      </c>
      <c r="I1999" s="4">
        <v>45833</v>
      </c>
      <c r="J1999">
        <f t="shared" si="155"/>
        <v>5</v>
      </c>
      <c r="K1999" t="str">
        <f t="array" ref="K1999">_xlfn.IFS(J1999=1,"Day Use",J1999&lt;=3,"Short Stay",J1999&lt;=7,"Extended Stay",J1999&gt;=8,"Long Stay")</f>
        <v>Extended Stay</v>
      </c>
      <c r="L1999" t="s">
        <v>141</v>
      </c>
      <c r="M1999" s="10" t="str">
        <f t="shared" si="156"/>
        <v>Deluxe</v>
      </c>
      <c r="N1999" t="s">
        <v>372</v>
      </c>
      <c r="O1999" t="s">
        <v>71</v>
      </c>
      <c r="P1999">
        <f>IFERROR(VLOOKUP(TRIM(M1999),Room!D:H,5,FALSE),5000)</f>
        <v>5400</v>
      </c>
      <c r="Q1999">
        <f t="shared" si="157"/>
        <v>27000</v>
      </c>
      <c r="R1999" s="11" t="str">
        <f t="shared" si="158"/>
        <v>Conference</v>
      </c>
      <c r="S1999" s="11">
        <f t="shared" si="159"/>
        <v>3</v>
      </c>
    </row>
    <row r="2000" spans="1:19">
      <c r="A2000" t="s">
        <v>10321</v>
      </c>
      <c r="B2000" t="s">
        <v>10322</v>
      </c>
      <c r="C2000" t="s">
        <v>1330</v>
      </c>
      <c r="D2000" t="s">
        <v>10323</v>
      </c>
      <c r="E2000" t="s">
        <v>10324</v>
      </c>
      <c r="F2000" t="s">
        <v>10325</v>
      </c>
      <c r="G2000" s="4">
        <v>45695</v>
      </c>
      <c r="H2000" s="4">
        <v>45773</v>
      </c>
      <c r="I2000" s="4">
        <v>45777</v>
      </c>
      <c r="J2000">
        <f t="shared" si="155"/>
        <v>4</v>
      </c>
      <c r="K2000" t="str">
        <f t="array" ref="K2000">_xlfn.IFS(J2000=1,"Day Use",J2000&lt;=3,"Short Stay",J2000&lt;=7,"Extended Stay",J2000&gt;=8,"Long Stay")</f>
        <v>Extended Stay</v>
      </c>
      <c r="L2000" t="s">
        <v>84</v>
      </c>
      <c r="M2000" s="10" t="str">
        <f t="shared" si="156"/>
        <v>Deluxe</v>
      </c>
      <c r="N2000" t="s">
        <v>26</v>
      </c>
      <c r="O2000" t="s">
        <v>27</v>
      </c>
      <c r="P2000">
        <f>IFERROR(VLOOKUP(TRIM(M2000),Room!D:H,5,FALSE),5000)</f>
        <v>5400</v>
      </c>
      <c r="Q2000">
        <f t="shared" si="157"/>
        <v>21600</v>
      </c>
      <c r="R2000" s="11" t="str">
        <f t="shared" si="158"/>
        <v>Conference</v>
      </c>
      <c r="S2000" s="11">
        <f t="shared" si="159"/>
        <v>3</v>
      </c>
    </row>
    <row r="2001" spans="1:19">
      <c r="A2001" t="s">
        <v>10326</v>
      </c>
      <c r="B2001" t="s">
        <v>10327</v>
      </c>
      <c r="C2001" t="s">
        <v>933</v>
      </c>
      <c r="D2001" t="s">
        <v>10328</v>
      </c>
      <c r="E2001" t="s">
        <v>10329</v>
      </c>
      <c r="F2001" t="s">
        <v>10330</v>
      </c>
      <c r="G2001" s="4">
        <v>45508</v>
      </c>
      <c r="H2001" s="4">
        <v>45520</v>
      </c>
      <c r="I2001" s="4">
        <v>45530</v>
      </c>
      <c r="J2001">
        <f t="shared" si="155"/>
        <v>10</v>
      </c>
      <c r="K2001" t="str">
        <f t="array" ref="K2001">_xlfn.IFS(J2001=1,"Day Use",J2001&lt;=3,"Short Stay",J2001&lt;=7,"Extended Stay",J2001&gt;=8,"Long Stay")</f>
        <v>Long Stay</v>
      </c>
      <c r="L2001" t="s">
        <v>141</v>
      </c>
      <c r="M2001" s="10" t="str">
        <f t="shared" si="156"/>
        <v>Premium</v>
      </c>
      <c r="N2001" t="s">
        <v>134</v>
      </c>
      <c r="O2001" t="s">
        <v>58</v>
      </c>
      <c r="P2001">
        <f>IFERROR(VLOOKUP(TRIM(M2001),Room!D:H,5,FALSE),5000)</f>
        <v>9500</v>
      </c>
      <c r="Q2001">
        <f t="shared" si="157"/>
        <v>95000</v>
      </c>
      <c r="R2001" s="11" t="str">
        <f t="shared" si="158"/>
        <v>Conference</v>
      </c>
      <c r="S2001" s="11">
        <f t="shared" si="159"/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I2" sqref="I2"/>
    </sheetView>
  </sheetViews>
  <sheetFormatPr defaultColWidth="9" defaultRowHeight="14.4"/>
  <cols>
    <col min="1" max="1" width="9.44444444444444" customWidth="1"/>
    <col min="2" max="2" width="10.4444444444444" customWidth="1"/>
    <col min="3" max="3" width="15.1111111111111" customWidth="1"/>
    <col min="4" max="4" width="11.4444444444444" customWidth="1"/>
    <col min="5" max="5" width="5.88888888888889" customWidth="1"/>
    <col min="6" max="6" width="16.1111111111111" customWidth="1"/>
    <col min="7" max="7" width="8.88888888888889" customWidth="1"/>
    <col min="8" max="8" width="20.2222222222222" customWidth="1"/>
    <col min="9" max="9" width="5.33333333333333" customWidth="1"/>
  </cols>
  <sheetData>
    <row r="1" spans="1:9">
      <c r="A1" s="6" t="s">
        <v>4</v>
      </c>
      <c r="B1" s="6" t="s">
        <v>3</v>
      </c>
      <c r="C1" s="6" t="s">
        <v>10331</v>
      </c>
      <c r="D1" s="6" t="s">
        <v>10332</v>
      </c>
      <c r="E1" s="6" t="s">
        <v>10333</v>
      </c>
      <c r="F1" s="6" t="s">
        <v>10334</v>
      </c>
      <c r="G1" s="6" t="s">
        <v>10335</v>
      </c>
      <c r="H1" s="6" t="s">
        <v>10336</v>
      </c>
      <c r="I1" s="6" t="s">
        <v>10337</v>
      </c>
    </row>
    <row r="2" spans="1:9">
      <c r="A2" t="s">
        <v>23</v>
      </c>
      <c r="B2" t="s">
        <v>22</v>
      </c>
      <c r="C2">
        <v>551</v>
      </c>
      <c r="D2" t="s">
        <v>10338</v>
      </c>
      <c r="E2">
        <v>7</v>
      </c>
      <c r="F2" t="str">
        <f>IF(D2="Suite","Premium",IF(D2="Premium","Upper Mid-range",IF(D2="Executive","Mid-range",IF(D2="Deluxe","Economy",IF(D2="Standard","Budget")))))</f>
        <v>Budget</v>
      </c>
      <c r="G2">
        <v>4</v>
      </c>
      <c r="H2">
        <v>3200</v>
      </c>
      <c r="I2" s="7" t="str">
        <f>IF(H2&gt;=5000,"Yes","No")</f>
        <v>No</v>
      </c>
    </row>
    <row r="3" spans="1:9">
      <c r="A3" t="s">
        <v>32</v>
      </c>
      <c r="B3" t="s">
        <v>31</v>
      </c>
      <c r="C3">
        <v>309</v>
      </c>
      <c r="D3" t="s">
        <v>10339</v>
      </c>
      <c r="E3">
        <v>7</v>
      </c>
      <c r="F3" t="str">
        <f t="shared" ref="F3:F21" si="0">IF(D3="Suite","Premium",IF(D3="Premium","Upper Mid-range",IF(D3="Executive","Mid-range",IF(D3="Deluxe","Economy",IF(D3="Standard","Budget")))))</f>
        <v>Upper Mid-range</v>
      </c>
      <c r="G3">
        <v>4</v>
      </c>
      <c r="H3">
        <v>9500</v>
      </c>
      <c r="I3" s="7" t="str">
        <f t="shared" ref="I3:I21" si="1">IF(H3&gt;=5000,"Yes","No")</f>
        <v>Yes</v>
      </c>
    </row>
    <row r="4" spans="1:9">
      <c r="A4" t="s">
        <v>40</v>
      </c>
      <c r="B4" t="s">
        <v>39</v>
      </c>
      <c r="C4">
        <v>756</v>
      </c>
      <c r="D4" t="s">
        <v>10340</v>
      </c>
      <c r="E4">
        <v>9</v>
      </c>
      <c r="F4" t="str">
        <f t="shared" si="0"/>
        <v>Mid-range</v>
      </c>
      <c r="G4">
        <v>4</v>
      </c>
      <c r="H4">
        <v>7200</v>
      </c>
      <c r="I4" s="7" t="str">
        <f t="shared" si="1"/>
        <v>Yes</v>
      </c>
    </row>
    <row r="5" spans="1:9">
      <c r="A5" t="s">
        <v>47</v>
      </c>
      <c r="B5" t="s">
        <v>46</v>
      </c>
      <c r="C5">
        <v>767</v>
      </c>
      <c r="D5" t="s">
        <v>10341</v>
      </c>
      <c r="E5">
        <v>5</v>
      </c>
      <c r="F5" t="str">
        <f t="shared" si="0"/>
        <v>Premium</v>
      </c>
      <c r="G5">
        <v>4</v>
      </c>
      <c r="H5">
        <v>12500</v>
      </c>
      <c r="I5" s="7" t="str">
        <f t="shared" si="1"/>
        <v>Yes</v>
      </c>
    </row>
    <row r="6" spans="1:9">
      <c r="A6" t="s">
        <v>54</v>
      </c>
      <c r="B6" t="s">
        <v>53</v>
      </c>
      <c r="C6">
        <v>690</v>
      </c>
      <c r="D6" t="s">
        <v>10342</v>
      </c>
      <c r="E6">
        <v>4</v>
      </c>
      <c r="F6" t="str">
        <f t="shared" si="0"/>
        <v>Economy</v>
      </c>
      <c r="G6">
        <v>1</v>
      </c>
      <c r="H6">
        <v>5400</v>
      </c>
      <c r="I6" s="7" t="str">
        <f t="shared" si="1"/>
        <v>Yes</v>
      </c>
    </row>
    <row r="7" spans="1:9">
      <c r="A7" t="s">
        <v>63</v>
      </c>
      <c r="B7" t="s">
        <v>62</v>
      </c>
      <c r="C7">
        <v>162</v>
      </c>
      <c r="D7" t="s">
        <v>10339</v>
      </c>
      <c r="E7">
        <v>7</v>
      </c>
      <c r="F7" t="str">
        <f t="shared" si="0"/>
        <v>Upper Mid-range</v>
      </c>
      <c r="G7">
        <v>2</v>
      </c>
      <c r="H7">
        <v>9500</v>
      </c>
      <c r="I7" s="7" t="str">
        <f t="shared" si="1"/>
        <v>Yes</v>
      </c>
    </row>
    <row r="8" spans="1:9">
      <c r="A8" t="s">
        <v>69</v>
      </c>
      <c r="B8" t="s">
        <v>68</v>
      </c>
      <c r="C8">
        <v>353</v>
      </c>
      <c r="D8" t="s">
        <v>10339</v>
      </c>
      <c r="E8">
        <v>6</v>
      </c>
      <c r="F8" t="str">
        <f t="shared" si="0"/>
        <v>Upper Mid-range</v>
      </c>
      <c r="G8">
        <v>1</v>
      </c>
      <c r="H8">
        <v>9500</v>
      </c>
      <c r="I8" s="7" t="str">
        <f t="shared" si="1"/>
        <v>Yes</v>
      </c>
    </row>
    <row r="9" spans="1:9">
      <c r="A9" t="s">
        <v>76</v>
      </c>
      <c r="B9" t="s">
        <v>75</v>
      </c>
      <c r="C9">
        <v>137</v>
      </c>
      <c r="D9" t="s">
        <v>10342</v>
      </c>
      <c r="E9">
        <v>1</v>
      </c>
      <c r="F9" t="str">
        <f t="shared" si="0"/>
        <v>Economy</v>
      </c>
      <c r="G9">
        <v>1</v>
      </c>
      <c r="H9">
        <v>5400</v>
      </c>
      <c r="I9" s="7" t="str">
        <f t="shared" si="1"/>
        <v>Yes</v>
      </c>
    </row>
    <row r="10" spans="1:9">
      <c r="A10" t="s">
        <v>82</v>
      </c>
      <c r="B10" t="s">
        <v>81</v>
      </c>
      <c r="C10">
        <v>499</v>
      </c>
      <c r="D10" t="s">
        <v>10341</v>
      </c>
      <c r="E10">
        <v>5</v>
      </c>
      <c r="F10" t="str">
        <f t="shared" si="0"/>
        <v>Premium</v>
      </c>
      <c r="G10">
        <v>2</v>
      </c>
      <c r="H10">
        <v>12500</v>
      </c>
      <c r="I10" s="7" t="str">
        <f t="shared" si="1"/>
        <v>Yes</v>
      </c>
    </row>
    <row r="11" spans="1:9">
      <c r="A11" t="s">
        <v>89</v>
      </c>
      <c r="B11" t="s">
        <v>88</v>
      </c>
      <c r="C11">
        <v>397</v>
      </c>
      <c r="D11" t="s">
        <v>10341</v>
      </c>
      <c r="E11">
        <v>2</v>
      </c>
      <c r="F11" t="str">
        <f t="shared" si="0"/>
        <v>Premium</v>
      </c>
      <c r="G11">
        <v>2</v>
      </c>
      <c r="H11">
        <v>12500</v>
      </c>
      <c r="I11" s="7" t="str">
        <f t="shared" si="1"/>
        <v>Yes</v>
      </c>
    </row>
    <row r="12" spans="1:9">
      <c r="A12" t="s">
        <v>96</v>
      </c>
      <c r="B12" t="s">
        <v>95</v>
      </c>
      <c r="C12">
        <v>548</v>
      </c>
      <c r="D12" t="s">
        <v>10339</v>
      </c>
      <c r="E12">
        <v>2</v>
      </c>
      <c r="F12" t="str">
        <f t="shared" si="0"/>
        <v>Upper Mid-range</v>
      </c>
      <c r="G12">
        <v>1</v>
      </c>
      <c r="H12">
        <v>9500</v>
      </c>
      <c r="I12" s="7" t="str">
        <f t="shared" si="1"/>
        <v>Yes</v>
      </c>
    </row>
    <row r="13" spans="1:9">
      <c r="A13" t="s">
        <v>102</v>
      </c>
      <c r="B13" t="s">
        <v>101</v>
      </c>
      <c r="C13">
        <v>685</v>
      </c>
      <c r="D13" t="s">
        <v>10339</v>
      </c>
      <c r="E13">
        <v>5</v>
      </c>
      <c r="F13" t="str">
        <f t="shared" si="0"/>
        <v>Upper Mid-range</v>
      </c>
      <c r="G13">
        <v>4</v>
      </c>
      <c r="H13">
        <v>9500</v>
      </c>
      <c r="I13" s="7" t="str">
        <f t="shared" si="1"/>
        <v>Yes</v>
      </c>
    </row>
    <row r="14" spans="1:9">
      <c r="A14" t="s">
        <v>108</v>
      </c>
      <c r="B14" t="s">
        <v>107</v>
      </c>
      <c r="C14">
        <v>469</v>
      </c>
      <c r="D14" t="s">
        <v>10341</v>
      </c>
      <c r="E14">
        <v>1</v>
      </c>
      <c r="F14" t="str">
        <f t="shared" si="0"/>
        <v>Premium</v>
      </c>
      <c r="G14">
        <v>3</v>
      </c>
      <c r="H14">
        <v>12500</v>
      </c>
      <c r="I14" s="7" t="str">
        <f t="shared" si="1"/>
        <v>Yes</v>
      </c>
    </row>
    <row r="15" spans="1:9">
      <c r="A15" t="s">
        <v>114</v>
      </c>
      <c r="B15" t="s">
        <v>113</v>
      </c>
      <c r="C15">
        <v>611</v>
      </c>
      <c r="D15" t="s">
        <v>10342</v>
      </c>
      <c r="E15">
        <v>9</v>
      </c>
      <c r="F15" t="str">
        <f t="shared" si="0"/>
        <v>Economy</v>
      </c>
      <c r="G15">
        <v>1</v>
      </c>
      <c r="H15">
        <v>5400</v>
      </c>
      <c r="I15" s="7" t="str">
        <f t="shared" si="1"/>
        <v>Yes</v>
      </c>
    </row>
    <row r="16" spans="1:9">
      <c r="A16" t="s">
        <v>120</v>
      </c>
      <c r="B16" t="s">
        <v>119</v>
      </c>
      <c r="C16">
        <v>502</v>
      </c>
      <c r="D16" t="s">
        <v>10338</v>
      </c>
      <c r="E16">
        <v>4</v>
      </c>
      <c r="F16" t="str">
        <f t="shared" si="0"/>
        <v>Budget</v>
      </c>
      <c r="G16">
        <v>2</v>
      </c>
      <c r="H16">
        <v>3200</v>
      </c>
      <c r="I16" s="7" t="str">
        <f t="shared" si="1"/>
        <v>No</v>
      </c>
    </row>
    <row r="17" spans="1:9">
      <c r="A17" t="s">
        <v>126</v>
      </c>
      <c r="B17" t="s">
        <v>125</v>
      </c>
      <c r="C17">
        <v>197</v>
      </c>
      <c r="D17" t="s">
        <v>10342</v>
      </c>
      <c r="E17">
        <v>9</v>
      </c>
      <c r="F17" t="str">
        <f t="shared" si="0"/>
        <v>Economy</v>
      </c>
      <c r="G17">
        <v>1</v>
      </c>
      <c r="H17">
        <v>5400</v>
      </c>
      <c r="I17" s="7" t="str">
        <f t="shared" si="1"/>
        <v>Yes</v>
      </c>
    </row>
    <row r="18" spans="1:9">
      <c r="A18" t="s">
        <v>132</v>
      </c>
      <c r="B18" t="s">
        <v>131</v>
      </c>
      <c r="C18">
        <v>648</v>
      </c>
      <c r="D18" t="s">
        <v>10340</v>
      </c>
      <c r="E18">
        <v>8</v>
      </c>
      <c r="F18" t="str">
        <f t="shared" si="0"/>
        <v>Mid-range</v>
      </c>
      <c r="G18">
        <v>2</v>
      </c>
      <c r="H18">
        <v>7200</v>
      </c>
      <c r="I18" s="7" t="str">
        <f t="shared" si="1"/>
        <v>Yes</v>
      </c>
    </row>
    <row r="19" spans="1:9">
      <c r="A19" t="s">
        <v>139</v>
      </c>
      <c r="B19" t="s">
        <v>138</v>
      </c>
      <c r="C19">
        <v>969</v>
      </c>
      <c r="D19" t="s">
        <v>10340</v>
      </c>
      <c r="E19">
        <v>1</v>
      </c>
      <c r="F19" t="str">
        <f t="shared" si="0"/>
        <v>Mid-range</v>
      </c>
      <c r="G19">
        <v>3</v>
      </c>
      <c r="H19">
        <v>7200</v>
      </c>
      <c r="I19" s="7" t="str">
        <f t="shared" si="1"/>
        <v>Yes</v>
      </c>
    </row>
    <row r="20" spans="1:9">
      <c r="A20" t="s">
        <v>146</v>
      </c>
      <c r="B20" t="s">
        <v>145</v>
      </c>
      <c r="C20">
        <v>484</v>
      </c>
      <c r="D20" t="s">
        <v>10340</v>
      </c>
      <c r="E20">
        <v>4</v>
      </c>
      <c r="F20" t="str">
        <f t="shared" si="0"/>
        <v>Mid-range</v>
      </c>
      <c r="G20">
        <v>1</v>
      </c>
      <c r="H20">
        <v>7200</v>
      </c>
      <c r="I20" s="7" t="str">
        <f t="shared" si="1"/>
        <v>Yes</v>
      </c>
    </row>
    <row r="21" spans="1:9">
      <c r="A21" t="s">
        <v>153</v>
      </c>
      <c r="B21" t="s">
        <v>152</v>
      </c>
      <c r="C21">
        <v>315</v>
      </c>
      <c r="D21" t="s">
        <v>10338</v>
      </c>
      <c r="E21">
        <v>5</v>
      </c>
      <c r="F21" t="str">
        <f t="shared" si="0"/>
        <v>Budget</v>
      </c>
      <c r="G21">
        <v>3</v>
      </c>
      <c r="H21">
        <v>3200</v>
      </c>
      <c r="I21" s="7" t="str">
        <f t="shared" si="1"/>
        <v>No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1"/>
  <sheetViews>
    <sheetView workbookViewId="0">
      <selection activeCell="A1" sqref="A1"/>
    </sheetView>
  </sheetViews>
  <sheetFormatPr defaultColWidth="9" defaultRowHeight="14.4" outlineLevelCol="7"/>
  <cols>
    <col min="1" max="1" width="8.33333333333333" customWidth="1"/>
    <col min="2" max="2" width="11.1111111111111" style="4" customWidth="1"/>
    <col min="3" max="3" width="5.66666666666667" customWidth="1"/>
    <col min="4" max="4" width="7.44444444444444" customWidth="1"/>
    <col min="5" max="5" width="4.88888888888889" customWidth="1"/>
    <col min="6" max="6" width="11.2222222222222" customWidth="1"/>
    <col min="7" max="7" width="12.2222222222222" customWidth="1"/>
    <col min="8" max="8" width="8.11111111111111" customWidth="1"/>
  </cols>
  <sheetData>
    <row r="1" spans="1:8">
      <c r="A1" s="1" t="s">
        <v>5</v>
      </c>
      <c r="B1" s="5" t="s">
        <v>10343</v>
      </c>
      <c r="C1" s="1" t="s">
        <v>10344</v>
      </c>
      <c r="D1" s="1" t="s">
        <v>10345</v>
      </c>
      <c r="E1" s="1" t="s">
        <v>10346</v>
      </c>
      <c r="F1" s="1" t="s">
        <v>10347</v>
      </c>
      <c r="G1" s="1" t="s">
        <v>10348</v>
      </c>
      <c r="H1" s="1" t="s">
        <v>10349</v>
      </c>
    </row>
    <row r="2" spans="1:8">
      <c r="A2" t="s">
        <v>24</v>
      </c>
      <c r="B2" s="4">
        <v>45946</v>
      </c>
      <c r="C2">
        <v>2025</v>
      </c>
      <c r="D2">
        <v>10</v>
      </c>
      <c r="E2">
        <v>16</v>
      </c>
      <c r="F2" t="s">
        <v>10350</v>
      </c>
      <c r="G2" t="b">
        <v>0</v>
      </c>
      <c r="H2">
        <v>4</v>
      </c>
    </row>
    <row r="3" spans="1:8">
      <c r="A3" t="s">
        <v>33</v>
      </c>
      <c r="B3" s="4">
        <v>45406</v>
      </c>
      <c r="C3">
        <v>2024</v>
      </c>
      <c r="D3">
        <v>4</v>
      </c>
      <c r="E3">
        <v>24</v>
      </c>
      <c r="F3" t="s">
        <v>10351</v>
      </c>
      <c r="G3" t="b">
        <v>0</v>
      </c>
      <c r="H3">
        <v>2</v>
      </c>
    </row>
    <row r="4" spans="1:8">
      <c r="A4" t="s">
        <v>41</v>
      </c>
      <c r="B4" s="4">
        <v>45317</v>
      </c>
      <c r="C4">
        <v>2024</v>
      </c>
      <c r="D4">
        <v>1</v>
      </c>
      <c r="E4">
        <v>26</v>
      </c>
      <c r="F4" t="s">
        <v>10352</v>
      </c>
      <c r="G4" t="b">
        <v>0</v>
      </c>
      <c r="H4">
        <v>1</v>
      </c>
    </row>
    <row r="5" spans="1:8">
      <c r="A5" t="s">
        <v>48</v>
      </c>
      <c r="B5" s="4">
        <v>45573</v>
      </c>
      <c r="C5">
        <v>2024</v>
      </c>
      <c r="D5">
        <v>10</v>
      </c>
      <c r="E5">
        <v>8</v>
      </c>
      <c r="F5" t="s">
        <v>10353</v>
      </c>
      <c r="G5" t="b">
        <v>0</v>
      </c>
      <c r="H5">
        <v>4</v>
      </c>
    </row>
    <row r="6" spans="1:8">
      <c r="A6" t="s">
        <v>55</v>
      </c>
      <c r="B6" s="4">
        <v>45542</v>
      </c>
      <c r="C6">
        <v>2024</v>
      </c>
      <c r="D6">
        <v>9</v>
      </c>
      <c r="E6">
        <v>7</v>
      </c>
      <c r="F6" t="s">
        <v>10354</v>
      </c>
      <c r="G6" t="b">
        <v>1</v>
      </c>
      <c r="H6">
        <v>3</v>
      </c>
    </row>
    <row r="7" spans="1:8">
      <c r="A7" t="s">
        <v>64</v>
      </c>
      <c r="B7" s="4">
        <v>45520</v>
      </c>
      <c r="C7">
        <v>2024</v>
      </c>
      <c r="D7">
        <v>8</v>
      </c>
      <c r="E7">
        <v>16</v>
      </c>
      <c r="F7" t="s">
        <v>10352</v>
      </c>
      <c r="G7" t="b">
        <v>0</v>
      </c>
      <c r="H7">
        <v>3</v>
      </c>
    </row>
    <row r="8" spans="1:8">
      <c r="A8" t="s">
        <v>70</v>
      </c>
      <c r="B8" s="4">
        <v>45434</v>
      </c>
      <c r="C8">
        <v>2024</v>
      </c>
      <c r="D8">
        <v>5</v>
      </c>
      <c r="E8">
        <v>22</v>
      </c>
      <c r="F8" t="s">
        <v>10351</v>
      </c>
      <c r="G8" t="b">
        <v>0</v>
      </c>
      <c r="H8">
        <v>2</v>
      </c>
    </row>
    <row r="9" spans="1:8">
      <c r="A9" t="s">
        <v>77</v>
      </c>
      <c r="B9" s="4">
        <v>45396</v>
      </c>
      <c r="C9">
        <v>2024</v>
      </c>
      <c r="D9">
        <v>4</v>
      </c>
      <c r="E9">
        <v>14</v>
      </c>
      <c r="F9" t="s">
        <v>10355</v>
      </c>
      <c r="G9" t="b">
        <v>1</v>
      </c>
      <c r="H9">
        <v>2</v>
      </c>
    </row>
    <row r="10" spans="1:8">
      <c r="A10" t="s">
        <v>83</v>
      </c>
      <c r="B10" s="4">
        <v>45984</v>
      </c>
      <c r="C10">
        <v>2025</v>
      </c>
      <c r="D10">
        <v>11</v>
      </c>
      <c r="E10">
        <v>23</v>
      </c>
      <c r="F10" t="s">
        <v>10355</v>
      </c>
      <c r="G10" t="b">
        <v>1</v>
      </c>
      <c r="H10">
        <v>4</v>
      </c>
    </row>
    <row r="11" spans="1:8">
      <c r="A11" t="s">
        <v>90</v>
      </c>
      <c r="B11" s="4">
        <v>45850</v>
      </c>
      <c r="C11">
        <v>2025</v>
      </c>
      <c r="D11">
        <v>7</v>
      </c>
      <c r="E11">
        <v>12</v>
      </c>
      <c r="F11" t="s">
        <v>10354</v>
      </c>
      <c r="G11" t="b">
        <v>1</v>
      </c>
      <c r="H11">
        <v>3</v>
      </c>
    </row>
    <row r="12" spans="1:8">
      <c r="A12" t="s">
        <v>97</v>
      </c>
      <c r="B12" s="4">
        <v>45381</v>
      </c>
      <c r="C12">
        <v>2024</v>
      </c>
      <c r="D12">
        <v>3</v>
      </c>
      <c r="E12">
        <v>30</v>
      </c>
      <c r="F12" t="s">
        <v>10354</v>
      </c>
      <c r="G12" t="b">
        <v>1</v>
      </c>
      <c r="H12">
        <v>1</v>
      </c>
    </row>
    <row r="13" spans="1:8">
      <c r="A13" t="s">
        <v>103</v>
      </c>
      <c r="B13" s="4">
        <v>45896</v>
      </c>
      <c r="C13">
        <v>2025</v>
      </c>
      <c r="D13">
        <v>8</v>
      </c>
      <c r="E13">
        <v>27</v>
      </c>
      <c r="F13" t="s">
        <v>10351</v>
      </c>
      <c r="G13" t="b">
        <v>0</v>
      </c>
      <c r="H13">
        <v>3</v>
      </c>
    </row>
    <row r="14" spans="1:8">
      <c r="A14" t="s">
        <v>109</v>
      </c>
      <c r="B14" s="4">
        <v>45724</v>
      </c>
      <c r="C14">
        <v>2025</v>
      </c>
      <c r="D14">
        <v>3</v>
      </c>
      <c r="E14">
        <v>8</v>
      </c>
      <c r="F14" t="s">
        <v>10354</v>
      </c>
      <c r="G14" t="b">
        <v>1</v>
      </c>
      <c r="H14">
        <v>1</v>
      </c>
    </row>
    <row r="15" spans="1:8">
      <c r="A15" t="s">
        <v>115</v>
      </c>
      <c r="B15" s="4">
        <v>45324</v>
      </c>
      <c r="C15">
        <v>2024</v>
      </c>
      <c r="D15">
        <v>2</v>
      </c>
      <c r="E15">
        <v>2</v>
      </c>
      <c r="F15" t="s">
        <v>10352</v>
      </c>
      <c r="G15" t="b">
        <v>0</v>
      </c>
      <c r="H15">
        <v>1</v>
      </c>
    </row>
    <row r="16" spans="1:8">
      <c r="A16" t="s">
        <v>121</v>
      </c>
      <c r="B16" s="4">
        <v>45322</v>
      </c>
      <c r="C16">
        <v>2024</v>
      </c>
      <c r="D16">
        <v>1</v>
      </c>
      <c r="E16">
        <v>31</v>
      </c>
      <c r="F16" t="s">
        <v>10351</v>
      </c>
      <c r="G16" t="b">
        <v>0</v>
      </c>
      <c r="H16">
        <v>1</v>
      </c>
    </row>
    <row r="17" spans="1:8">
      <c r="A17" t="s">
        <v>127</v>
      </c>
      <c r="B17" s="4">
        <v>45387</v>
      </c>
      <c r="C17">
        <v>2024</v>
      </c>
      <c r="D17">
        <v>4</v>
      </c>
      <c r="E17">
        <v>5</v>
      </c>
      <c r="F17" t="s">
        <v>10352</v>
      </c>
      <c r="G17" t="b">
        <v>0</v>
      </c>
      <c r="H17">
        <v>2</v>
      </c>
    </row>
    <row r="18" spans="1:8">
      <c r="A18" t="s">
        <v>133</v>
      </c>
      <c r="B18" s="4">
        <v>45515</v>
      </c>
      <c r="C18">
        <v>2024</v>
      </c>
      <c r="D18">
        <v>8</v>
      </c>
      <c r="E18">
        <v>11</v>
      </c>
      <c r="F18" t="s">
        <v>10355</v>
      </c>
      <c r="G18" t="b">
        <v>1</v>
      </c>
      <c r="H18">
        <v>3</v>
      </c>
    </row>
    <row r="19" spans="1:8">
      <c r="A19" t="s">
        <v>140</v>
      </c>
      <c r="B19" s="4">
        <v>45530</v>
      </c>
      <c r="C19">
        <v>2024</v>
      </c>
      <c r="D19">
        <v>8</v>
      </c>
      <c r="E19">
        <v>26</v>
      </c>
      <c r="F19" t="s">
        <v>10356</v>
      </c>
      <c r="G19" t="b">
        <v>0</v>
      </c>
      <c r="H19">
        <v>3</v>
      </c>
    </row>
    <row r="20" spans="1:8">
      <c r="A20" t="s">
        <v>147</v>
      </c>
      <c r="B20" s="4">
        <v>45809</v>
      </c>
      <c r="C20">
        <v>2025</v>
      </c>
      <c r="D20">
        <v>6</v>
      </c>
      <c r="E20">
        <v>1</v>
      </c>
      <c r="F20" t="s">
        <v>10355</v>
      </c>
      <c r="G20" t="b">
        <v>1</v>
      </c>
      <c r="H20">
        <v>2</v>
      </c>
    </row>
    <row r="21" spans="1:8">
      <c r="A21" t="s">
        <v>154</v>
      </c>
      <c r="B21" s="4">
        <v>45908</v>
      </c>
      <c r="C21">
        <v>2025</v>
      </c>
      <c r="D21">
        <v>9</v>
      </c>
      <c r="E21">
        <v>8</v>
      </c>
      <c r="F21" t="s">
        <v>10356</v>
      </c>
      <c r="G21" t="b">
        <v>0</v>
      </c>
      <c r="H21">
        <v>3</v>
      </c>
    </row>
    <row r="22" spans="1:8">
      <c r="A22" t="s">
        <v>160</v>
      </c>
      <c r="B22" s="4">
        <v>45319</v>
      </c>
      <c r="C22">
        <v>2024</v>
      </c>
      <c r="D22">
        <v>1</v>
      </c>
      <c r="E22">
        <v>28</v>
      </c>
      <c r="F22" t="s">
        <v>10355</v>
      </c>
      <c r="G22" t="b">
        <v>1</v>
      </c>
      <c r="H22">
        <v>1</v>
      </c>
    </row>
    <row r="23" spans="1:8">
      <c r="A23" t="s">
        <v>166</v>
      </c>
      <c r="B23" s="4">
        <v>45866</v>
      </c>
      <c r="C23">
        <v>2025</v>
      </c>
      <c r="D23">
        <v>7</v>
      </c>
      <c r="E23">
        <v>28</v>
      </c>
      <c r="F23" t="s">
        <v>10356</v>
      </c>
      <c r="G23" t="b">
        <v>0</v>
      </c>
      <c r="H23">
        <v>3</v>
      </c>
    </row>
    <row r="24" spans="1:8">
      <c r="A24" t="s">
        <v>171</v>
      </c>
      <c r="B24" s="4">
        <v>45495</v>
      </c>
      <c r="C24">
        <v>2024</v>
      </c>
      <c r="D24">
        <v>7</v>
      </c>
      <c r="E24">
        <v>22</v>
      </c>
      <c r="F24" t="s">
        <v>10356</v>
      </c>
      <c r="G24" t="b">
        <v>0</v>
      </c>
      <c r="H24">
        <v>3</v>
      </c>
    </row>
    <row r="25" spans="1:8">
      <c r="A25" t="s">
        <v>177</v>
      </c>
      <c r="B25" s="4">
        <v>45957</v>
      </c>
      <c r="C25">
        <v>2025</v>
      </c>
      <c r="D25">
        <v>10</v>
      </c>
      <c r="E25">
        <v>27</v>
      </c>
      <c r="F25" t="s">
        <v>10356</v>
      </c>
      <c r="G25" t="b">
        <v>0</v>
      </c>
      <c r="H25">
        <v>4</v>
      </c>
    </row>
    <row r="26" spans="1:8">
      <c r="A26" t="s">
        <v>183</v>
      </c>
      <c r="B26" s="4">
        <v>46010</v>
      </c>
      <c r="C26">
        <v>2025</v>
      </c>
      <c r="D26">
        <v>12</v>
      </c>
      <c r="E26">
        <v>19</v>
      </c>
      <c r="F26" t="s">
        <v>10352</v>
      </c>
      <c r="G26" t="b">
        <v>0</v>
      </c>
      <c r="H26">
        <v>4</v>
      </c>
    </row>
    <row r="27" spans="1:8">
      <c r="A27" t="s">
        <v>189</v>
      </c>
      <c r="B27" s="4">
        <v>45850</v>
      </c>
      <c r="C27">
        <v>2025</v>
      </c>
      <c r="D27">
        <v>7</v>
      </c>
      <c r="E27">
        <v>12</v>
      </c>
      <c r="F27" t="s">
        <v>10354</v>
      </c>
      <c r="G27" t="b">
        <v>1</v>
      </c>
      <c r="H27">
        <v>3</v>
      </c>
    </row>
    <row r="28" spans="1:8">
      <c r="A28" t="s">
        <v>195</v>
      </c>
      <c r="B28" s="4">
        <v>45721</v>
      </c>
      <c r="C28">
        <v>2025</v>
      </c>
      <c r="D28">
        <v>3</v>
      </c>
      <c r="E28">
        <v>5</v>
      </c>
      <c r="F28" t="s">
        <v>10351</v>
      </c>
      <c r="G28" t="b">
        <v>0</v>
      </c>
      <c r="H28">
        <v>1</v>
      </c>
    </row>
    <row r="29" spans="1:8">
      <c r="A29" t="s">
        <v>202</v>
      </c>
      <c r="B29" s="4">
        <v>45517</v>
      </c>
      <c r="C29">
        <v>2024</v>
      </c>
      <c r="D29">
        <v>8</v>
      </c>
      <c r="E29">
        <v>13</v>
      </c>
      <c r="F29" t="s">
        <v>10353</v>
      </c>
      <c r="G29" t="b">
        <v>0</v>
      </c>
      <c r="H29">
        <v>3</v>
      </c>
    </row>
    <row r="30" spans="1:8">
      <c r="A30" t="s">
        <v>208</v>
      </c>
      <c r="B30" s="4">
        <v>45751</v>
      </c>
      <c r="C30">
        <v>2025</v>
      </c>
      <c r="D30">
        <v>4</v>
      </c>
      <c r="E30">
        <v>4</v>
      </c>
      <c r="F30" t="s">
        <v>10352</v>
      </c>
      <c r="G30" t="b">
        <v>0</v>
      </c>
      <c r="H30">
        <v>2</v>
      </c>
    </row>
    <row r="31" spans="1:8">
      <c r="A31" t="s">
        <v>214</v>
      </c>
      <c r="B31" s="4">
        <v>45895</v>
      </c>
      <c r="C31">
        <v>2025</v>
      </c>
      <c r="D31">
        <v>8</v>
      </c>
      <c r="E31">
        <v>26</v>
      </c>
      <c r="F31" t="s">
        <v>10353</v>
      </c>
      <c r="G31" t="b">
        <v>0</v>
      </c>
      <c r="H31">
        <v>3</v>
      </c>
    </row>
    <row r="32" spans="1:8">
      <c r="A32" t="s">
        <v>220</v>
      </c>
      <c r="B32" s="4">
        <v>45576</v>
      </c>
      <c r="C32">
        <v>2024</v>
      </c>
      <c r="D32">
        <v>10</v>
      </c>
      <c r="E32">
        <v>11</v>
      </c>
      <c r="F32" t="s">
        <v>10352</v>
      </c>
      <c r="G32" t="b">
        <v>0</v>
      </c>
      <c r="H32">
        <v>4</v>
      </c>
    </row>
    <row r="33" spans="1:8">
      <c r="A33" t="s">
        <v>226</v>
      </c>
      <c r="B33" s="4">
        <v>45298</v>
      </c>
      <c r="C33">
        <v>2024</v>
      </c>
      <c r="D33">
        <v>1</v>
      </c>
      <c r="E33">
        <v>7</v>
      </c>
      <c r="F33" t="s">
        <v>10355</v>
      </c>
      <c r="G33" t="b">
        <v>1</v>
      </c>
      <c r="H33">
        <v>1</v>
      </c>
    </row>
    <row r="34" spans="1:8">
      <c r="A34" t="s">
        <v>232</v>
      </c>
      <c r="B34" s="4">
        <v>45455</v>
      </c>
      <c r="C34">
        <v>2024</v>
      </c>
      <c r="D34">
        <v>6</v>
      </c>
      <c r="E34">
        <v>12</v>
      </c>
      <c r="F34" t="s">
        <v>10351</v>
      </c>
      <c r="G34" t="b">
        <v>0</v>
      </c>
      <c r="H34">
        <v>2</v>
      </c>
    </row>
    <row r="35" spans="1:8">
      <c r="A35" t="s">
        <v>238</v>
      </c>
      <c r="B35" s="4">
        <v>46006</v>
      </c>
      <c r="C35">
        <v>2025</v>
      </c>
      <c r="D35">
        <v>12</v>
      </c>
      <c r="E35">
        <v>15</v>
      </c>
      <c r="F35" t="s">
        <v>10356</v>
      </c>
      <c r="G35" t="b">
        <v>0</v>
      </c>
      <c r="H35">
        <v>4</v>
      </c>
    </row>
    <row r="36" spans="1:8">
      <c r="A36" t="s">
        <v>244</v>
      </c>
      <c r="B36" s="4">
        <v>45724</v>
      </c>
      <c r="C36">
        <v>2025</v>
      </c>
      <c r="D36">
        <v>3</v>
      </c>
      <c r="E36">
        <v>8</v>
      </c>
      <c r="F36" t="s">
        <v>10354</v>
      </c>
      <c r="G36" t="b">
        <v>1</v>
      </c>
      <c r="H36">
        <v>1</v>
      </c>
    </row>
    <row r="37" spans="1:8">
      <c r="A37" t="s">
        <v>250</v>
      </c>
      <c r="B37" s="4">
        <v>45640</v>
      </c>
      <c r="C37">
        <v>2024</v>
      </c>
      <c r="D37">
        <v>12</v>
      </c>
      <c r="E37">
        <v>14</v>
      </c>
      <c r="F37" t="s">
        <v>10354</v>
      </c>
      <c r="G37" t="b">
        <v>1</v>
      </c>
      <c r="H37">
        <v>4</v>
      </c>
    </row>
    <row r="38" spans="1:8">
      <c r="A38" t="s">
        <v>256</v>
      </c>
      <c r="B38" s="4">
        <v>45576</v>
      </c>
      <c r="C38">
        <v>2024</v>
      </c>
      <c r="D38">
        <v>10</v>
      </c>
      <c r="E38">
        <v>11</v>
      </c>
      <c r="F38" t="s">
        <v>10352</v>
      </c>
      <c r="G38" t="b">
        <v>0</v>
      </c>
      <c r="H38">
        <v>4</v>
      </c>
    </row>
    <row r="39" spans="1:8">
      <c r="A39" t="s">
        <v>262</v>
      </c>
      <c r="B39" s="4">
        <v>45451</v>
      </c>
      <c r="C39">
        <v>2024</v>
      </c>
      <c r="D39">
        <v>6</v>
      </c>
      <c r="E39">
        <v>8</v>
      </c>
      <c r="F39" t="s">
        <v>10354</v>
      </c>
      <c r="G39" t="b">
        <v>1</v>
      </c>
      <c r="H39">
        <v>2</v>
      </c>
    </row>
    <row r="40" spans="1:8">
      <c r="A40" t="s">
        <v>268</v>
      </c>
      <c r="B40" s="4">
        <v>45512</v>
      </c>
      <c r="C40">
        <v>2024</v>
      </c>
      <c r="D40">
        <v>8</v>
      </c>
      <c r="E40">
        <v>8</v>
      </c>
      <c r="F40" t="s">
        <v>10350</v>
      </c>
      <c r="G40" t="b">
        <v>0</v>
      </c>
      <c r="H40">
        <v>3</v>
      </c>
    </row>
    <row r="41" spans="1:8">
      <c r="A41" t="s">
        <v>274</v>
      </c>
      <c r="B41" s="4">
        <v>45636</v>
      </c>
      <c r="C41">
        <v>2024</v>
      </c>
      <c r="D41">
        <v>12</v>
      </c>
      <c r="E41">
        <v>10</v>
      </c>
      <c r="F41" t="s">
        <v>10353</v>
      </c>
      <c r="G41" t="b">
        <v>0</v>
      </c>
      <c r="H41">
        <v>4</v>
      </c>
    </row>
    <row r="42" spans="1:8">
      <c r="A42" t="s">
        <v>279</v>
      </c>
      <c r="B42" s="4">
        <v>45396</v>
      </c>
      <c r="C42">
        <v>2024</v>
      </c>
      <c r="D42">
        <v>4</v>
      </c>
      <c r="E42">
        <v>14</v>
      </c>
      <c r="F42" t="s">
        <v>10355</v>
      </c>
      <c r="G42" t="b">
        <v>1</v>
      </c>
      <c r="H42">
        <v>2</v>
      </c>
    </row>
    <row r="43" spans="1:8">
      <c r="A43" t="s">
        <v>285</v>
      </c>
      <c r="B43" s="4">
        <v>45386</v>
      </c>
      <c r="C43">
        <v>2024</v>
      </c>
      <c r="D43">
        <v>4</v>
      </c>
      <c r="E43">
        <v>4</v>
      </c>
      <c r="F43" t="s">
        <v>10350</v>
      </c>
      <c r="G43" t="b">
        <v>0</v>
      </c>
      <c r="H43">
        <v>2</v>
      </c>
    </row>
    <row r="44" spans="1:8">
      <c r="A44" t="s">
        <v>291</v>
      </c>
      <c r="B44" s="4">
        <v>45681</v>
      </c>
      <c r="C44">
        <v>2025</v>
      </c>
      <c r="D44">
        <v>1</v>
      </c>
      <c r="E44">
        <v>24</v>
      </c>
      <c r="F44" t="s">
        <v>10352</v>
      </c>
      <c r="G44" t="b">
        <v>0</v>
      </c>
      <c r="H44">
        <v>1</v>
      </c>
    </row>
    <row r="45" spans="1:8">
      <c r="A45" t="s">
        <v>297</v>
      </c>
      <c r="B45" s="4">
        <v>45391</v>
      </c>
      <c r="C45">
        <v>2024</v>
      </c>
      <c r="D45">
        <v>4</v>
      </c>
      <c r="E45">
        <v>9</v>
      </c>
      <c r="F45" t="s">
        <v>10353</v>
      </c>
      <c r="G45" t="b">
        <v>0</v>
      </c>
      <c r="H45">
        <v>2</v>
      </c>
    </row>
    <row r="46" spans="1:8">
      <c r="A46" t="s">
        <v>303</v>
      </c>
      <c r="B46" s="4">
        <v>45659</v>
      </c>
      <c r="C46">
        <v>2025</v>
      </c>
      <c r="D46">
        <v>1</v>
      </c>
      <c r="E46">
        <v>2</v>
      </c>
      <c r="F46" t="s">
        <v>10350</v>
      </c>
      <c r="G46" t="b">
        <v>0</v>
      </c>
      <c r="H46">
        <v>1</v>
      </c>
    </row>
    <row r="47" spans="1:8">
      <c r="A47" t="s">
        <v>308</v>
      </c>
      <c r="B47" s="4">
        <v>45644</v>
      </c>
      <c r="C47">
        <v>2024</v>
      </c>
      <c r="D47">
        <v>12</v>
      </c>
      <c r="E47">
        <v>18</v>
      </c>
      <c r="F47" t="s">
        <v>10351</v>
      </c>
      <c r="G47" t="b">
        <v>0</v>
      </c>
      <c r="H47">
        <v>4</v>
      </c>
    </row>
    <row r="48" spans="1:8">
      <c r="A48" t="s">
        <v>314</v>
      </c>
      <c r="B48" s="4">
        <v>45910</v>
      </c>
      <c r="C48">
        <v>2025</v>
      </c>
      <c r="D48">
        <v>9</v>
      </c>
      <c r="E48">
        <v>10</v>
      </c>
      <c r="F48" t="s">
        <v>10351</v>
      </c>
      <c r="G48" t="b">
        <v>0</v>
      </c>
      <c r="H48">
        <v>3</v>
      </c>
    </row>
    <row r="49" spans="1:8">
      <c r="A49" t="s">
        <v>319</v>
      </c>
      <c r="B49" s="4">
        <v>45562</v>
      </c>
      <c r="C49">
        <v>2024</v>
      </c>
      <c r="D49">
        <v>9</v>
      </c>
      <c r="E49">
        <v>27</v>
      </c>
      <c r="F49" t="s">
        <v>10352</v>
      </c>
      <c r="G49" t="b">
        <v>0</v>
      </c>
      <c r="H49">
        <v>3</v>
      </c>
    </row>
    <row r="50" spans="1:8">
      <c r="A50" t="s">
        <v>324</v>
      </c>
      <c r="B50" s="4">
        <v>45336</v>
      </c>
      <c r="C50">
        <v>2024</v>
      </c>
      <c r="D50">
        <v>2</v>
      </c>
      <c r="E50">
        <v>14</v>
      </c>
      <c r="F50" t="s">
        <v>10351</v>
      </c>
      <c r="G50" t="b">
        <v>0</v>
      </c>
      <c r="H50">
        <v>1</v>
      </c>
    </row>
    <row r="51" spans="1:8">
      <c r="A51" t="s">
        <v>330</v>
      </c>
      <c r="B51" s="4">
        <v>45762</v>
      </c>
      <c r="C51">
        <v>2025</v>
      </c>
      <c r="D51">
        <v>4</v>
      </c>
      <c r="E51">
        <v>15</v>
      </c>
      <c r="F51" t="s">
        <v>10353</v>
      </c>
      <c r="G51" t="b">
        <v>0</v>
      </c>
      <c r="H51">
        <v>2</v>
      </c>
    </row>
    <row r="52" spans="1:8">
      <c r="A52" t="s">
        <v>336</v>
      </c>
      <c r="B52" s="4">
        <v>45841</v>
      </c>
      <c r="C52">
        <v>2025</v>
      </c>
      <c r="D52">
        <v>7</v>
      </c>
      <c r="E52">
        <v>3</v>
      </c>
      <c r="F52" t="s">
        <v>10350</v>
      </c>
      <c r="G52" t="b">
        <v>0</v>
      </c>
      <c r="H52">
        <v>3</v>
      </c>
    </row>
    <row r="53" spans="1:8">
      <c r="A53" t="s">
        <v>342</v>
      </c>
      <c r="B53" s="4">
        <v>45419</v>
      </c>
      <c r="C53">
        <v>2024</v>
      </c>
      <c r="D53">
        <v>5</v>
      </c>
      <c r="E53">
        <v>7</v>
      </c>
      <c r="F53" t="s">
        <v>10353</v>
      </c>
      <c r="G53" t="b">
        <v>0</v>
      </c>
      <c r="H53">
        <v>2</v>
      </c>
    </row>
    <row r="54" spans="1:8">
      <c r="A54" t="s">
        <v>348</v>
      </c>
      <c r="B54" s="4">
        <v>45679</v>
      </c>
      <c r="C54">
        <v>2025</v>
      </c>
      <c r="D54">
        <v>1</v>
      </c>
      <c r="E54">
        <v>22</v>
      </c>
      <c r="F54" t="s">
        <v>10351</v>
      </c>
      <c r="G54" t="b">
        <v>0</v>
      </c>
      <c r="H54">
        <v>1</v>
      </c>
    </row>
    <row r="55" spans="1:8">
      <c r="A55" t="s">
        <v>354</v>
      </c>
      <c r="B55" s="4">
        <v>45372</v>
      </c>
      <c r="C55">
        <v>2024</v>
      </c>
      <c r="D55">
        <v>3</v>
      </c>
      <c r="E55">
        <v>21</v>
      </c>
      <c r="F55" t="s">
        <v>10350</v>
      </c>
      <c r="G55" t="b">
        <v>0</v>
      </c>
      <c r="H55">
        <v>1</v>
      </c>
    </row>
    <row r="56" spans="1:8">
      <c r="A56" t="s">
        <v>360</v>
      </c>
      <c r="B56" s="4">
        <v>45857</v>
      </c>
      <c r="C56">
        <v>2025</v>
      </c>
      <c r="D56">
        <v>7</v>
      </c>
      <c r="E56">
        <v>19</v>
      </c>
      <c r="F56" t="s">
        <v>10354</v>
      </c>
      <c r="G56" t="b">
        <v>1</v>
      </c>
      <c r="H56">
        <v>3</v>
      </c>
    </row>
    <row r="57" spans="1:8">
      <c r="A57" t="s">
        <v>366</v>
      </c>
      <c r="B57" s="4">
        <v>45592</v>
      </c>
      <c r="C57">
        <v>2024</v>
      </c>
      <c r="D57">
        <v>10</v>
      </c>
      <c r="E57">
        <v>27</v>
      </c>
      <c r="F57" t="s">
        <v>10355</v>
      </c>
      <c r="G57" t="b">
        <v>1</v>
      </c>
      <c r="H57">
        <v>4</v>
      </c>
    </row>
    <row r="58" spans="1:8">
      <c r="A58" t="s">
        <v>371</v>
      </c>
      <c r="B58" s="4">
        <v>45935</v>
      </c>
      <c r="C58">
        <v>2025</v>
      </c>
      <c r="D58">
        <v>10</v>
      </c>
      <c r="E58">
        <v>5</v>
      </c>
      <c r="F58" t="s">
        <v>10355</v>
      </c>
      <c r="G58" t="b">
        <v>1</v>
      </c>
      <c r="H58">
        <v>4</v>
      </c>
    </row>
    <row r="59" spans="1:8">
      <c r="A59" t="s">
        <v>378</v>
      </c>
      <c r="B59" s="4">
        <v>45925</v>
      </c>
      <c r="C59">
        <v>2025</v>
      </c>
      <c r="D59">
        <v>9</v>
      </c>
      <c r="E59">
        <v>25</v>
      </c>
      <c r="F59" t="s">
        <v>10350</v>
      </c>
      <c r="G59" t="b">
        <v>0</v>
      </c>
      <c r="H59">
        <v>3</v>
      </c>
    </row>
    <row r="60" spans="1:8">
      <c r="A60" t="s">
        <v>383</v>
      </c>
      <c r="B60" s="4">
        <v>45662</v>
      </c>
      <c r="C60">
        <v>2025</v>
      </c>
      <c r="D60">
        <v>1</v>
      </c>
      <c r="E60">
        <v>5</v>
      </c>
      <c r="F60" t="s">
        <v>10355</v>
      </c>
      <c r="G60" t="b">
        <v>1</v>
      </c>
      <c r="H60">
        <v>1</v>
      </c>
    </row>
    <row r="61" spans="1:8">
      <c r="A61" t="s">
        <v>389</v>
      </c>
      <c r="B61" s="4">
        <v>45883</v>
      </c>
      <c r="C61">
        <v>2025</v>
      </c>
      <c r="D61">
        <v>8</v>
      </c>
      <c r="E61">
        <v>14</v>
      </c>
      <c r="F61" t="s">
        <v>10350</v>
      </c>
      <c r="G61" t="b">
        <v>0</v>
      </c>
      <c r="H61">
        <v>3</v>
      </c>
    </row>
    <row r="62" spans="1:8">
      <c r="A62" t="s">
        <v>395</v>
      </c>
      <c r="B62" s="4">
        <v>45488</v>
      </c>
      <c r="C62">
        <v>2024</v>
      </c>
      <c r="D62">
        <v>7</v>
      </c>
      <c r="E62">
        <v>15</v>
      </c>
      <c r="F62" t="s">
        <v>10356</v>
      </c>
      <c r="G62" t="b">
        <v>0</v>
      </c>
      <c r="H62">
        <v>3</v>
      </c>
    </row>
    <row r="63" spans="1:8">
      <c r="A63" t="s">
        <v>401</v>
      </c>
      <c r="B63" s="4">
        <v>46013</v>
      </c>
      <c r="C63">
        <v>2025</v>
      </c>
      <c r="D63">
        <v>12</v>
      </c>
      <c r="E63">
        <v>22</v>
      </c>
      <c r="F63" t="s">
        <v>10356</v>
      </c>
      <c r="G63" t="b">
        <v>0</v>
      </c>
      <c r="H63">
        <v>4</v>
      </c>
    </row>
    <row r="64" spans="1:8">
      <c r="A64" t="s">
        <v>407</v>
      </c>
      <c r="B64" s="4">
        <v>45363</v>
      </c>
      <c r="C64">
        <v>2024</v>
      </c>
      <c r="D64">
        <v>3</v>
      </c>
      <c r="E64">
        <v>12</v>
      </c>
      <c r="F64" t="s">
        <v>10353</v>
      </c>
      <c r="G64" t="b">
        <v>0</v>
      </c>
      <c r="H64">
        <v>1</v>
      </c>
    </row>
    <row r="65" spans="1:8">
      <c r="A65" t="s">
        <v>412</v>
      </c>
      <c r="B65" s="4">
        <v>45338</v>
      </c>
      <c r="C65">
        <v>2024</v>
      </c>
      <c r="D65">
        <v>2</v>
      </c>
      <c r="E65">
        <v>16</v>
      </c>
      <c r="F65" t="s">
        <v>10352</v>
      </c>
      <c r="G65" t="b">
        <v>0</v>
      </c>
      <c r="H65">
        <v>1</v>
      </c>
    </row>
    <row r="66" spans="1:8">
      <c r="A66" t="s">
        <v>418</v>
      </c>
      <c r="B66" s="4">
        <v>45969</v>
      </c>
      <c r="C66">
        <v>2025</v>
      </c>
      <c r="D66">
        <v>11</v>
      </c>
      <c r="E66">
        <v>8</v>
      </c>
      <c r="F66" t="s">
        <v>10354</v>
      </c>
      <c r="G66" t="b">
        <v>1</v>
      </c>
      <c r="H66">
        <v>4</v>
      </c>
    </row>
    <row r="67" spans="1:8">
      <c r="A67" t="s">
        <v>424</v>
      </c>
      <c r="B67" s="4">
        <v>45525</v>
      </c>
      <c r="C67">
        <v>2024</v>
      </c>
      <c r="D67">
        <v>8</v>
      </c>
      <c r="E67">
        <v>21</v>
      </c>
      <c r="F67" t="s">
        <v>10351</v>
      </c>
      <c r="G67" t="b">
        <v>0</v>
      </c>
      <c r="H67">
        <v>3</v>
      </c>
    </row>
    <row r="68" spans="1:8">
      <c r="A68" t="s">
        <v>429</v>
      </c>
      <c r="B68" s="4">
        <v>45588</v>
      </c>
      <c r="C68">
        <v>2024</v>
      </c>
      <c r="D68">
        <v>10</v>
      </c>
      <c r="E68">
        <v>23</v>
      </c>
      <c r="F68" t="s">
        <v>10351</v>
      </c>
      <c r="G68" t="b">
        <v>0</v>
      </c>
      <c r="H68">
        <v>4</v>
      </c>
    </row>
    <row r="69" spans="1:8">
      <c r="A69" t="s">
        <v>435</v>
      </c>
      <c r="B69" s="4">
        <v>45373</v>
      </c>
      <c r="C69">
        <v>2024</v>
      </c>
      <c r="D69">
        <v>3</v>
      </c>
      <c r="E69">
        <v>22</v>
      </c>
      <c r="F69" t="s">
        <v>10352</v>
      </c>
      <c r="G69" t="b">
        <v>0</v>
      </c>
      <c r="H69">
        <v>1</v>
      </c>
    </row>
    <row r="70" spans="1:8">
      <c r="A70" t="s">
        <v>440</v>
      </c>
      <c r="B70" s="4">
        <v>45530</v>
      </c>
      <c r="C70">
        <v>2024</v>
      </c>
      <c r="D70">
        <v>8</v>
      </c>
      <c r="E70">
        <v>26</v>
      </c>
      <c r="F70" t="s">
        <v>10356</v>
      </c>
      <c r="G70" t="b">
        <v>0</v>
      </c>
      <c r="H70">
        <v>3</v>
      </c>
    </row>
    <row r="71" spans="1:8">
      <c r="A71" t="s">
        <v>446</v>
      </c>
      <c r="B71" s="4">
        <v>45395</v>
      </c>
      <c r="C71">
        <v>2024</v>
      </c>
      <c r="D71">
        <v>4</v>
      </c>
      <c r="E71">
        <v>13</v>
      </c>
      <c r="F71" t="s">
        <v>10354</v>
      </c>
      <c r="G71" t="b">
        <v>1</v>
      </c>
      <c r="H71">
        <v>2</v>
      </c>
    </row>
    <row r="72" spans="1:8">
      <c r="A72" t="s">
        <v>452</v>
      </c>
      <c r="B72" s="4">
        <v>45681</v>
      </c>
      <c r="C72">
        <v>2025</v>
      </c>
      <c r="D72">
        <v>1</v>
      </c>
      <c r="E72">
        <v>24</v>
      </c>
      <c r="F72" t="s">
        <v>10352</v>
      </c>
      <c r="G72" t="b">
        <v>0</v>
      </c>
      <c r="H72">
        <v>1</v>
      </c>
    </row>
    <row r="73" spans="1:8">
      <c r="A73" t="s">
        <v>457</v>
      </c>
      <c r="B73" s="4">
        <v>45576</v>
      </c>
      <c r="C73">
        <v>2024</v>
      </c>
      <c r="D73">
        <v>10</v>
      </c>
      <c r="E73">
        <v>11</v>
      </c>
      <c r="F73" t="s">
        <v>10352</v>
      </c>
      <c r="G73" t="b">
        <v>0</v>
      </c>
      <c r="H73">
        <v>4</v>
      </c>
    </row>
    <row r="74" spans="1:8">
      <c r="A74" t="s">
        <v>463</v>
      </c>
      <c r="B74" s="4">
        <v>45756</v>
      </c>
      <c r="C74">
        <v>2025</v>
      </c>
      <c r="D74">
        <v>4</v>
      </c>
      <c r="E74">
        <v>9</v>
      </c>
      <c r="F74" t="s">
        <v>10351</v>
      </c>
      <c r="G74" t="b">
        <v>0</v>
      </c>
      <c r="H74">
        <v>2</v>
      </c>
    </row>
    <row r="75" spans="1:8">
      <c r="A75" t="s">
        <v>469</v>
      </c>
      <c r="B75" s="4">
        <v>45942</v>
      </c>
      <c r="C75">
        <v>2025</v>
      </c>
      <c r="D75">
        <v>10</v>
      </c>
      <c r="E75">
        <v>12</v>
      </c>
      <c r="F75" t="s">
        <v>10355</v>
      </c>
      <c r="G75" t="b">
        <v>1</v>
      </c>
      <c r="H75">
        <v>4</v>
      </c>
    </row>
    <row r="76" spans="1:8">
      <c r="A76" t="s">
        <v>475</v>
      </c>
      <c r="B76" s="4">
        <v>45665</v>
      </c>
      <c r="C76">
        <v>2025</v>
      </c>
      <c r="D76">
        <v>1</v>
      </c>
      <c r="E76">
        <v>8</v>
      </c>
      <c r="F76" t="s">
        <v>10351</v>
      </c>
      <c r="G76" t="b">
        <v>0</v>
      </c>
      <c r="H76">
        <v>1</v>
      </c>
    </row>
    <row r="77" spans="1:8">
      <c r="A77" t="s">
        <v>481</v>
      </c>
      <c r="B77" s="4">
        <v>45458</v>
      </c>
      <c r="C77">
        <v>2024</v>
      </c>
      <c r="D77">
        <v>6</v>
      </c>
      <c r="E77">
        <v>15</v>
      </c>
      <c r="F77" t="s">
        <v>10354</v>
      </c>
      <c r="G77" t="b">
        <v>1</v>
      </c>
      <c r="H77">
        <v>2</v>
      </c>
    </row>
    <row r="78" spans="1:8">
      <c r="A78" t="s">
        <v>487</v>
      </c>
      <c r="B78" s="4">
        <v>45671</v>
      </c>
      <c r="C78">
        <v>2025</v>
      </c>
      <c r="D78">
        <v>1</v>
      </c>
      <c r="E78">
        <v>14</v>
      </c>
      <c r="F78" t="s">
        <v>10353</v>
      </c>
      <c r="G78" t="b">
        <v>0</v>
      </c>
      <c r="H78">
        <v>1</v>
      </c>
    </row>
    <row r="79" spans="1:8">
      <c r="A79" t="s">
        <v>492</v>
      </c>
      <c r="B79" s="4">
        <v>45655</v>
      </c>
      <c r="C79">
        <v>2024</v>
      </c>
      <c r="D79">
        <v>12</v>
      </c>
      <c r="E79">
        <v>29</v>
      </c>
      <c r="F79" t="s">
        <v>10355</v>
      </c>
      <c r="G79" t="b">
        <v>1</v>
      </c>
      <c r="H79">
        <v>4</v>
      </c>
    </row>
    <row r="80" spans="1:8">
      <c r="A80" t="s">
        <v>497</v>
      </c>
      <c r="B80" s="4">
        <v>45506</v>
      </c>
      <c r="C80">
        <v>2024</v>
      </c>
      <c r="D80">
        <v>8</v>
      </c>
      <c r="E80">
        <v>2</v>
      </c>
      <c r="F80" t="s">
        <v>10352</v>
      </c>
      <c r="G80" t="b">
        <v>0</v>
      </c>
      <c r="H80">
        <v>3</v>
      </c>
    </row>
    <row r="81" spans="1:8">
      <c r="A81" t="s">
        <v>503</v>
      </c>
      <c r="B81" s="4">
        <v>45978</v>
      </c>
      <c r="C81">
        <v>2025</v>
      </c>
      <c r="D81">
        <v>11</v>
      </c>
      <c r="E81">
        <v>17</v>
      </c>
      <c r="F81" t="s">
        <v>10356</v>
      </c>
      <c r="G81" t="b">
        <v>0</v>
      </c>
      <c r="H81">
        <v>4</v>
      </c>
    </row>
    <row r="82" spans="1:8">
      <c r="A82" t="s">
        <v>509</v>
      </c>
      <c r="B82" s="4">
        <v>45565</v>
      </c>
      <c r="C82">
        <v>2024</v>
      </c>
      <c r="D82">
        <v>9</v>
      </c>
      <c r="E82">
        <v>30</v>
      </c>
      <c r="F82" t="s">
        <v>10356</v>
      </c>
      <c r="G82" t="b">
        <v>0</v>
      </c>
      <c r="H82">
        <v>3</v>
      </c>
    </row>
    <row r="83" spans="1:8">
      <c r="A83" t="s">
        <v>515</v>
      </c>
      <c r="B83" s="4">
        <v>46010</v>
      </c>
      <c r="C83">
        <v>2025</v>
      </c>
      <c r="D83">
        <v>12</v>
      </c>
      <c r="E83">
        <v>19</v>
      </c>
      <c r="F83" t="s">
        <v>10352</v>
      </c>
      <c r="G83" t="b">
        <v>0</v>
      </c>
      <c r="H83">
        <v>4</v>
      </c>
    </row>
    <row r="84" spans="1:8">
      <c r="A84" t="s">
        <v>521</v>
      </c>
      <c r="B84" s="4">
        <v>45991</v>
      </c>
      <c r="C84">
        <v>2025</v>
      </c>
      <c r="D84">
        <v>11</v>
      </c>
      <c r="E84">
        <v>30</v>
      </c>
      <c r="F84" t="s">
        <v>10355</v>
      </c>
      <c r="G84" t="b">
        <v>1</v>
      </c>
      <c r="H84">
        <v>4</v>
      </c>
    </row>
    <row r="85" spans="1:8">
      <c r="A85" t="s">
        <v>527</v>
      </c>
      <c r="B85" s="4">
        <v>45955</v>
      </c>
      <c r="C85">
        <v>2025</v>
      </c>
      <c r="D85">
        <v>10</v>
      </c>
      <c r="E85">
        <v>25</v>
      </c>
      <c r="F85" t="s">
        <v>10354</v>
      </c>
      <c r="G85" t="b">
        <v>1</v>
      </c>
      <c r="H85">
        <v>4</v>
      </c>
    </row>
    <row r="86" spans="1:8">
      <c r="A86" t="s">
        <v>533</v>
      </c>
      <c r="B86" s="4">
        <v>45365</v>
      </c>
      <c r="C86">
        <v>2024</v>
      </c>
      <c r="D86">
        <v>3</v>
      </c>
      <c r="E86">
        <v>14</v>
      </c>
      <c r="F86" t="s">
        <v>10350</v>
      </c>
      <c r="G86" t="b">
        <v>0</v>
      </c>
      <c r="H86">
        <v>1</v>
      </c>
    </row>
    <row r="87" spans="1:8">
      <c r="A87" t="s">
        <v>539</v>
      </c>
      <c r="B87" s="4">
        <v>45915</v>
      </c>
      <c r="C87">
        <v>2025</v>
      </c>
      <c r="D87">
        <v>9</v>
      </c>
      <c r="E87">
        <v>15</v>
      </c>
      <c r="F87" t="s">
        <v>10356</v>
      </c>
      <c r="G87" t="b">
        <v>0</v>
      </c>
      <c r="H87">
        <v>3</v>
      </c>
    </row>
    <row r="88" spans="1:8">
      <c r="A88" t="s">
        <v>544</v>
      </c>
      <c r="B88" s="4">
        <v>45942</v>
      </c>
      <c r="C88">
        <v>2025</v>
      </c>
      <c r="D88">
        <v>10</v>
      </c>
      <c r="E88">
        <v>12</v>
      </c>
      <c r="F88" t="s">
        <v>10355</v>
      </c>
      <c r="G88" t="b">
        <v>1</v>
      </c>
      <c r="H88">
        <v>4</v>
      </c>
    </row>
    <row r="89" spans="1:8">
      <c r="A89" t="s">
        <v>550</v>
      </c>
      <c r="B89" s="4">
        <v>45467</v>
      </c>
      <c r="C89">
        <v>2024</v>
      </c>
      <c r="D89">
        <v>6</v>
      </c>
      <c r="E89">
        <v>24</v>
      </c>
      <c r="F89" t="s">
        <v>10356</v>
      </c>
      <c r="G89" t="b">
        <v>0</v>
      </c>
      <c r="H89">
        <v>2</v>
      </c>
    </row>
    <row r="90" spans="1:8">
      <c r="A90" t="s">
        <v>555</v>
      </c>
      <c r="B90" s="4">
        <v>45838</v>
      </c>
      <c r="C90">
        <v>2025</v>
      </c>
      <c r="D90">
        <v>6</v>
      </c>
      <c r="E90">
        <v>30</v>
      </c>
      <c r="F90" t="s">
        <v>10356</v>
      </c>
      <c r="G90" t="b">
        <v>0</v>
      </c>
      <c r="H90">
        <v>2</v>
      </c>
    </row>
    <row r="91" spans="1:8">
      <c r="A91" t="s">
        <v>561</v>
      </c>
      <c r="B91" s="4">
        <v>45542</v>
      </c>
      <c r="C91">
        <v>2024</v>
      </c>
      <c r="D91">
        <v>9</v>
      </c>
      <c r="E91">
        <v>7</v>
      </c>
      <c r="F91" t="s">
        <v>10354</v>
      </c>
      <c r="G91" t="b">
        <v>1</v>
      </c>
      <c r="H91">
        <v>3</v>
      </c>
    </row>
    <row r="92" spans="1:8">
      <c r="A92" t="s">
        <v>567</v>
      </c>
      <c r="B92" s="4">
        <v>45459</v>
      </c>
      <c r="C92">
        <v>2024</v>
      </c>
      <c r="D92">
        <v>6</v>
      </c>
      <c r="E92">
        <v>16</v>
      </c>
      <c r="F92" t="s">
        <v>10355</v>
      </c>
      <c r="G92" t="b">
        <v>1</v>
      </c>
      <c r="H92">
        <v>2</v>
      </c>
    </row>
    <row r="93" spans="1:8">
      <c r="A93" t="s">
        <v>572</v>
      </c>
      <c r="B93" s="4">
        <v>45765</v>
      </c>
      <c r="C93">
        <v>2025</v>
      </c>
      <c r="D93">
        <v>4</v>
      </c>
      <c r="E93">
        <v>18</v>
      </c>
      <c r="F93" t="s">
        <v>10352</v>
      </c>
      <c r="G93" t="b">
        <v>0</v>
      </c>
      <c r="H93">
        <v>2</v>
      </c>
    </row>
    <row r="94" spans="1:8">
      <c r="A94" t="s">
        <v>578</v>
      </c>
      <c r="B94" s="4">
        <v>45680</v>
      </c>
      <c r="C94">
        <v>2025</v>
      </c>
      <c r="D94">
        <v>1</v>
      </c>
      <c r="E94">
        <v>23</v>
      </c>
      <c r="F94" t="s">
        <v>10350</v>
      </c>
      <c r="G94" t="b">
        <v>0</v>
      </c>
      <c r="H94">
        <v>1</v>
      </c>
    </row>
    <row r="95" spans="1:8">
      <c r="A95" t="s">
        <v>584</v>
      </c>
      <c r="B95" s="4">
        <v>45568</v>
      </c>
      <c r="C95">
        <v>2024</v>
      </c>
      <c r="D95">
        <v>10</v>
      </c>
      <c r="E95">
        <v>3</v>
      </c>
      <c r="F95" t="s">
        <v>10350</v>
      </c>
      <c r="G95" t="b">
        <v>0</v>
      </c>
      <c r="H95">
        <v>4</v>
      </c>
    </row>
    <row r="96" spans="1:8">
      <c r="A96" t="s">
        <v>590</v>
      </c>
      <c r="B96" s="4">
        <v>45947</v>
      </c>
      <c r="C96">
        <v>2025</v>
      </c>
      <c r="D96">
        <v>10</v>
      </c>
      <c r="E96">
        <v>17</v>
      </c>
      <c r="F96" t="s">
        <v>10352</v>
      </c>
      <c r="G96" t="b">
        <v>0</v>
      </c>
      <c r="H96">
        <v>4</v>
      </c>
    </row>
    <row r="97" spans="1:8">
      <c r="A97" t="s">
        <v>596</v>
      </c>
      <c r="B97" s="4">
        <v>45996</v>
      </c>
      <c r="C97">
        <v>2025</v>
      </c>
      <c r="D97">
        <v>12</v>
      </c>
      <c r="E97">
        <v>5</v>
      </c>
      <c r="F97" t="s">
        <v>10352</v>
      </c>
      <c r="G97" t="b">
        <v>0</v>
      </c>
      <c r="H97">
        <v>4</v>
      </c>
    </row>
    <row r="98" spans="1:8">
      <c r="A98" t="s">
        <v>601</v>
      </c>
      <c r="B98" s="4">
        <v>45862</v>
      </c>
      <c r="C98">
        <v>2025</v>
      </c>
      <c r="D98">
        <v>7</v>
      </c>
      <c r="E98">
        <v>24</v>
      </c>
      <c r="F98" t="s">
        <v>10350</v>
      </c>
      <c r="G98" t="b">
        <v>0</v>
      </c>
      <c r="H98">
        <v>3</v>
      </c>
    </row>
    <row r="99" spans="1:8">
      <c r="A99" t="s">
        <v>607</v>
      </c>
      <c r="B99" s="4">
        <v>45516</v>
      </c>
      <c r="C99">
        <v>2024</v>
      </c>
      <c r="D99">
        <v>8</v>
      </c>
      <c r="E99">
        <v>12</v>
      </c>
      <c r="F99" t="s">
        <v>10356</v>
      </c>
      <c r="G99" t="b">
        <v>0</v>
      </c>
      <c r="H99">
        <v>3</v>
      </c>
    </row>
    <row r="100" spans="1:8">
      <c r="A100" t="s">
        <v>613</v>
      </c>
      <c r="B100" s="4">
        <v>45993</v>
      </c>
      <c r="C100">
        <v>2025</v>
      </c>
      <c r="D100">
        <v>12</v>
      </c>
      <c r="E100">
        <v>2</v>
      </c>
      <c r="F100" t="s">
        <v>10353</v>
      </c>
      <c r="G100" t="b">
        <v>0</v>
      </c>
      <c r="H100">
        <v>4</v>
      </c>
    </row>
    <row r="101" spans="1:8">
      <c r="A101" t="s">
        <v>618</v>
      </c>
      <c r="B101" s="4">
        <v>45624</v>
      </c>
      <c r="C101">
        <v>2024</v>
      </c>
      <c r="D101">
        <v>11</v>
      </c>
      <c r="E101">
        <v>28</v>
      </c>
      <c r="F101" t="s">
        <v>10350</v>
      </c>
      <c r="G101" t="b">
        <v>0</v>
      </c>
      <c r="H101">
        <v>4</v>
      </c>
    </row>
    <row r="102" spans="1:8">
      <c r="A102" t="s">
        <v>624</v>
      </c>
      <c r="B102" s="4">
        <v>45349</v>
      </c>
      <c r="C102">
        <v>2024</v>
      </c>
      <c r="D102">
        <v>2</v>
      </c>
      <c r="E102">
        <v>27</v>
      </c>
      <c r="F102" t="s">
        <v>10353</v>
      </c>
      <c r="G102" t="b">
        <v>0</v>
      </c>
      <c r="H102">
        <v>1</v>
      </c>
    </row>
    <row r="103" spans="1:8">
      <c r="A103" t="s">
        <v>630</v>
      </c>
      <c r="B103" s="4">
        <v>45526</v>
      </c>
      <c r="C103">
        <v>2024</v>
      </c>
      <c r="D103">
        <v>8</v>
      </c>
      <c r="E103">
        <v>22</v>
      </c>
      <c r="F103" t="s">
        <v>10350</v>
      </c>
      <c r="G103" t="b">
        <v>0</v>
      </c>
      <c r="H103">
        <v>3</v>
      </c>
    </row>
    <row r="104" spans="1:8">
      <c r="A104" t="s">
        <v>636</v>
      </c>
      <c r="B104" s="4">
        <v>45324</v>
      </c>
      <c r="C104">
        <v>2024</v>
      </c>
      <c r="D104">
        <v>2</v>
      </c>
      <c r="E104">
        <v>2</v>
      </c>
      <c r="F104" t="s">
        <v>10352</v>
      </c>
      <c r="G104" t="b">
        <v>0</v>
      </c>
      <c r="H104">
        <v>1</v>
      </c>
    </row>
    <row r="105" spans="1:8">
      <c r="A105" t="s">
        <v>642</v>
      </c>
      <c r="B105" s="4">
        <v>45615</v>
      </c>
      <c r="C105">
        <v>2024</v>
      </c>
      <c r="D105">
        <v>11</v>
      </c>
      <c r="E105">
        <v>19</v>
      </c>
      <c r="F105" t="s">
        <v>10353</v>
      </c>
      <c r="G105" t="b">
        <v>0</v>
      </c>
      <c r="H105">
        <v>4</v>
      </c>
    </row>
    <row r="106" spans="1:8">
      <c r="A106" t="s">
        <v>647</v>
      </c>
      <c r="B106" s="4">
        <v>45702</v>
      </c>
      <c r="C106">
        <v>2025</v>
      </c>
      <c r="D106">
        <v>2</v>
      </c>
      <c r="E106">
        <v>14</v>
      </c>
      <c r="F106" t="s">
        <v>10352</v>
      </c>
      <c r="G106" t="b">
        <v>0</v>
      </c>
      <c r="H106">
        <v>1</v>
      </c>
    </row>
    <row r="107" spans="1:8">
      <c r="A107" t="s">
        <v>652</v>
      </c>
      <c r="B107" s="4">
        <v>45566</v>
      </c>
      <c r="C107">
        <v>2024</v>
      </c>
      <c r="D107">
        <v>10</v>
      </c>
      <c r="E107">
        <v>1</v>
      </c>
      <c r="F107" t="s">
        <v>10353</v>
      </c>
      <c r="G107" t="b">
        <v>0</v>
      </c>
      <c r="H107">
        <v>4</v>
      </c>
    </row>
    <row r="108" spans="1:8">
      <c r="A108" t="s">
        <v>658</v>
      </c>
      <c r="B108" s="4">
        <v>45359</v>
      </c>
      <c r="C108">
        <v>2024</v>
      </c>
      <c r="D108">
        <v>3</v>
      </c>
      <c r="E108">
        <v>8</v>
      </c>
      <c r="F108" t="s">
        <v>10352</v>
      </c>
      <c r="G108" t="b">
        <v>0</v>
      </c>
      <c r="H108">
        <v>1</v>
      </c>
    </row>
    <row r="109" spans="1:8">
      <c r="A109" t="s">
        <v>664</v>
      </c>
      <c r="B109" s="4">
        <v>45508</v>
      </c>
      <c r="C109">
        <v>2024</v>
      </c>
      <c r="D109">
        <v>8</v>
      </c>
      <c r="E109">
        <v>4</v>
      </c>
      <c r="F109" t="s">
        <v>10355</v>
      </c>
      <c r="G109" t="b">
        <v>1</v>
      </c>
      <c r="H109">
        <v>3</v>
      </c>
    </row>
    <row r="110" spans="1:8">
      <c r="A110" t="s">
        <v>670</v>
      </c>
      <c r="B110" s="4">
        <v>45872</v>
      </c>
      <c r="C110">
        <v>2025</v>
      </c>
      <c r="D110">
        <v>8</v>
      </c>
      <c r="E110">
        <v>3</v>
      </c>
      <c r="F110" t="s">
        <v>10355</v>
      </c>
      <c r="G110" t="b">
        <v>1</v>
      </c>
      <c r="H110">
        <v>3</v>
      </c>
    </row>
    <row r="111" spans="1:8">
      <c r="A111" t="s">
        <v>676</v>
      </c>
      <c r="B111" s="4">
        <v>45614</v>
      </c>
      <c r="C111">
        <v>2024</v>
      </c>
      <c r="D111">
        <v>11</v>
      </c>
      <c r="E111">
        <v>18</v>
      </c>
      <c r="F111" t="s">
        <v>10356</v>
      </c>
      <c r="G111" t="b">
        <v>0</v>
      </c>
      <c r="H111">
        <v>4</v>
      </c>
    </row>
    <row r="112" spans="1:8">
      <c r="A112" t="s">
        <v>682</v>
      </c>
      <c r="B112" s="4">
        <v>45509</v>
      </c>
      <c r="C112">
        <v>2024</v>
      </c>
      <c r="D112">
        <v>8</v>
      </c>
      <c r="E112">
        <v>5</v>
      </c>
      <c r="F112" t="s">
        <v>10356</v>
      </c>
      <c r="G112" t="b">
        <v>0</v>
      </c>
      <c r="H112">
        <v>3</v>
      </c>
    </row>
    <row r="113" spans="1:8">
      <c r="A113" t="s">
        <v>688</v>
      </c>
      <c r="B113" s="4">
        <v>45963</v>
      </c>
      <c r="C113">
        <v>2025</v>
      </c>
      <c r="D113">
        <v>11</v>
      </c>
      <c r="E113">
        <v>2</v>
      </c>
      <c r="F113" t="s">
        <v>10355</v>
      </c>
      <c r="G113" t="b">
        <v>1</v>
      </c>
      <c r="H113">
        <v>4</v>
      </c>
    </row>
    <row r="114" spans="1:8">
      <c r="A114" t="s">
        <v>694</v>
      </c>
      <c r="B114" s="4">
        <v>45803</v>
      </c>
      <c r="C114">
        <v>2025</v>
      </c>
      <c r="D114">
        <v>5</v>
      </c>
      <c r="E114">
        <v>26</v>
      </c>
      <c r="F114" t="s">
        <v>10356</v>
      </c>
      <c r="G114" t="b">
        <v>0</v>
      </c>
      <c r="H114">
        <v>2</v>
      </c>
    </row>
    <row r="115" spans="1:8">
      <c r="A115" t="s">
        <v>700</v>
      </c>
      <c r="B115" s="4">
        <v>45697</v>
      </c>
      <c r="C115">
        <v>2025</v>
      </c>
      <c r="D115">
        <v>2</v>
      </c>
      <c r="E115">
        <v>9</v>
      </c>
      <c r="F115" t="s">
        <v>10355</v>
      </c>
      <c r="G115" t="b">
        <v>1</v>
      </c>
      <c r="H115">
        <v>1</v>
      </c>
    </row>
    <row r="116" spans="1:8">
      <c r="A116" t="s">
        <v>705</v>
      </c>
      <c r="B116" s="4">
        <v>45950</v>
      </c>
      <c r="C116">
        <v>2025</v>
      </c>
      <c r="D116">
        <v>10</v>
      </c>
      <c r="E116">
        <v>20</v>
      </c>
      <c r="F116" t="s">
        <v>10356</v>
      </c>
      <c r="G116" t="b">
        <v>0</v>
      </c>
      <c r="H116">
        <v>4</v>
      </c>
    </row>
    <row r="117" spans="1:8">
      <c r="A117" t="s">
        <v>711</v>
      </c>
      <c r="B117" s="4">
        <v>45761</v>
      </c>
      <c r="C117">
        <v>2025</v>
      </c>
      <c r="D117">
        <v>4</v>
      </c>
      <c r="E117">
        <v>14</v>
      </c>
      <c r="F117" t="s">
        <v>10356</v>
      </c>
      <c r="G117" t="b">
        <v>0</v>
      </c>
      <c r="H117">
        <v>2</v>
      </c>
    </row>
    <row r="118" spans="1:8">
      <c r="A118" t="s">
        <v>716</v>
      </c>
      <c r="B118" s="4">
        <v>45438</v>
      </c>
      <c r="C118">
        <v>2024</v>
      </c>
      <c r="D118">
        <v>5</v>
      </c>
      <c r="E118">
        <v>26</v>
      </c>
      <c r="F118" t="s">
        <v>10355</v>
      </c>
      <c r="G118" t="b">
        <v>1</v>
      </c>
      <c r="H118">
        <v>2</v>
      </c>
    </row>
    <row r="119" spans="1:8">
      <c r="A119" t="s">
        <v>721</v>
      </c>
      <c r="B119" s="4">
        <v>45563</v>
      </c>
      <c r="C119">
        <v>2024</v>
      </c>
      <c r="D119">
        <v>9</v>
      </c>
      <c r="E119">
        <v>28</v>
      </c>
      <c r="F119" t="s">
        <v>10354</v>
      </c>
      <c r="G119" t="b">
        <v>1</v>
      </c>
      <c r="H119">
        <v>3</v>
      </c>
    </row>
    <row r="120" spans="1:8">
      <c r="A120" t="s">
        <v>726</v>
      </c>
      <c r="B120" s="4">
        <v>45434</v>
      </c>
      <c r="C120">
        <v>2024</v>
      </c>
      <c r="D120">
        <v>5</v>
      </c>
      <c r="E120">
        <v>22</v>
      </c>
      <c r="F120" t="s">
        <v>10351</v>
      </c>
      <c r="G120" t="b">
        <v>0</v>
      </c>
      <c r="H120">
        <v>2</v>
      </c>
    </row>
    <row r="121" spans="1:8">
      <c r="A121" t="s">
        <v>732</v>
      </c>
      <c r="B121" s="4">
        <v>45544</v>
      </c>
      <c r="C121">
        <v>2024</v>
      </c>
      <c r="D121">
        <v>9</v>
      </c>
      <c r="E121">
        <v>9</v>
      </c>
      <c r="F121" t="s">
        <v>10356</v>
      </c>
      <c r="G121" t="b">
        <v>0</v>
      </c>
      <c r="H121">
        <v>3</v>
      </c>
    </row>
    <row r="122" spans="1:8">
      <c r="A122" t="s">
        <v>737</v>
      </c>
      <c r="B122" s="4">
        <v>45866</v>
      </c>
      <c r="C122">
        <v>2025</v>
      </c>
      <c r="D122">
        <v>7</v>
      </c>
      <c r="E122">
        <v>28</v>
      </c>
      <c r="F122" t="s">
        <v>10356</v>
      </c>
      <c r="G122" t="b">
        <v>0</v>
      </c>
      <c r="H122">
        <v>3</v>
      </c>
    </row>
    <row r="123" spans="1:8">
      <c r="A123" t="s">
        <v>743</v>
      </c>
      <c r="B123" s="4">
        <v>45843</v>
      </c>
      <c r="C123">
        <v>2025</v>
      </c>
      <c r="D123">
        <v>7</v>
      </c>
      <c r="E123">
        <v>5</v>
      </c>
      <c r="F123" t="s">
        <v>10354</v>
      </c>
      <c r="G123" t="b">
        <v>1</v>
      </c>
      <c r="H123">
        <v>3</v>
      </c>
    </row>
    <row r="124" spans="1:8">
      <c r="A124" t="s">
        <v>748</v>
      </c>
      <c r="B124" s="4">
        <v>45561</v>
      </c>
      <c r="C124">
        <v>2024</v>
      </c>
      <c r="D124">
        <v>9</v>
      </c>
      <c r="E124">
        <v>26</v>
      </c>
      <c r="F124" t="s">
        <v>10350</v>
      </c>
      <c r="G124" t="b">
        <v>0</v>
      </c>
      <c r="H124">
        <v>3</v>
      </c>
    </row>
    <row r="125" spans="1:8">
      <c r="A125" t="s">
        <v>754</v>
      </c>
      <c r="B125" s="4">
        <v>45890</v>
      </c>
      <c r="C125">
        <v>2025</v>
      </c>
      <c r="D125">
        <v>8</v>
      </c>
      <c r="E125">
        <v>21</v>
      </c>
      <c r="F125" t="s">
        <v>10350</v>
      </c>
      <c r="G125" t="b">
        <v>0</v>
      </c>
      <c r="H125">
        <v>3</v>
      </c>
    </row>
    <row r="126" spans="1:8">
      <c r="A126" t="s">
        <v>759</v>
      </c>
      <c r="B126" s="4">
        <v>45730</v>
      </c>
      <c r="C126">
        <v>2025</v>
      </c>
      <c r="D126">
        <v>3</v>
      </c>
      <c r="E126">
        <v>14</v>
      </c>
      <c r="F126" t="s">
        <v>10352</v>
      </c>
      <c r="G126" t="b">
        <v>0</v>
      </c>
      <c r="H126">
        <v>1</v>
      </c>
    </row>
    <row r="127" spans="1:8">
      <c r="A127" t="s">
        <v>765</v>
      </c>
      <c r="B127" s="4">
        <v>45889</v>
      </c>
      <c r="C127">
        <v>2025</v>
      </c>
      <c r="D127">
        <v>8</v>
      </c>
      <c r="E127">
        <v>20</v>
      </c>
      <c r="F127" t="s">
        <v>10351</v>
      </c>
      <c r="G127" t="b">
        <v>0</v>
      </c>
      <c r="H127">
        <v>3</v>
      </c>
    </row>
    <row r="128" spans="1:8">
      <c r="A128" t="s">
        <v>771</v>
      </c>
      <c r="B128" s="4">
        <v>45700</v>
      </c>
      <c r="C128">
        <v>2025</v>
      </c>
      <c r="D128">
        <v>2</v>
      </c>
      <c r="E128">
        <v>12</v>
      </c>
      <c r="F128" t="s">
        <v>10351</v>
      </c>
      <c r="G128" t="b">
        <v>0</v>
      </c>
      <c r="H128">
        <v>1</v>
      </c>
    </row>
    <row r="129" spans="1:8">
      <c r="A129" t="s">
        <v>777</v>
      </c>
      <c r="B129" s="4">
        <v>45662</v>
      </c>
      <c r="C129">
        <v>2025</v>
      </c>
      <c r="D129">
        <v>1</v>
      </c>
      <c r="E129">
        <v>5</v>
      </c>
      <c r="F129" t="s">
        <v>10355</v>
      </c>
      <c r="G129" t="b">
        <v>1</v>
      </c>
      <c r="H129">
        <v>1</v>
      </c>
    </row>
    <row r="130" spans="1:8">
      <c r="A130" t="s">
        <v>783</v>
      </c>
      <c r="B130" s="4">
        <v>45516</v>
      </c>
      <c r="C130">
        <v>2024</v>
      </c>
      <c r="D130">
        <v>8</v>
      </c>
      <c r="E130">
        <v>12</v>
      </c>
      <c r="F130" t="s">
        <v>10356</v>
      </c>
      <c r="G130" t="b">
        <v>0</v>
      </c>
      <c r="H130">
        <v>3</v>
      </c>
    </row>
    <row r="131" spans="1:8">
      <c r="A131" t="s">
        <v>789</v>
      </c>
      <c r="B131" s="4">
        <v>45433</v>
      </c>
      <c r="C131">
        <v>2024</v>
      </c>
      <c r="D131">
        <v>5</v>
      </c>
      <c r="E131">
        <v>21</v>
      </c>
      <c r="F131" t="s">
        <v>10353</v>
      </c>
      <c r="G131" t="b">
        <v>0</v>
      </c>
      <c r="H131">
        <v>2</v>
      </c>
    </row>
    <row r="132" spans="1:8">
      <c r="A132" t="s">
        <v>794</v>
      </c>
      <c r="B132" s="4">
        <v>45813</v>
      </c>
      <c r="C132">
        <v>2025</v>
      </c>
      <c r="D132">
        <v>6</v>
      </c>
      <c r="E132">
        <v>5</v>
      </c>
      <c r="F132" t="s">
        <v>10350</v>
      </c>
      <c r="G132" t="b">
        <v>0</v>
      </c>
      <c r="H132">
        <v>2</v>
      </c>
    </row>
    <row r="133" spans="1:8">
      <c r="A133" t="s">
        <v>799</v>
      </c>
      <c r="B133" s="4">
        <v>45797</v>
      </c>
      <c r="C133">
        <v>2025</v>
      </c>
      <c r="D133">
        <v>5</v>
      </c>
      <c r="E133">
        <v>20</v>
      </c>
      <c r="F133" t="s">
        <v>10353</v>
      </c>
      <c r="G133" t="b">
        <v>0</v>
      </c>
      <c r="H133">
        <v>2</v>
      </c>
    </row>
    <row r="134" spans="1:8">
      <c r="A134" t="s">
        <v>805</v>
      </c>
      <c r="B134" s="4">
        <v>45385</v>
      </c>
      <c r="C134">
        <v>2024</v>
      </c>
      <c r="D134">
        <v>4</v>
      </c>
      <c r="E134">
        <v>3</v>
      </c>
      <c r="F134" t="s">
        <v>10351</v>
      </c>
      <c r="G134" t="b">
        <v>0</v>
      </c>
      <c r="H134">
        <v>2</v>
      </c>
    </row>
    <row r="135" spans="1:8">
      <c r="A135" t="s">
        <v>810</v>
      </c>
      <c r="B135" s="4">
        <v>45340</v>
      </c>
      <c r="C135">
        <v>2024</v>
      </c>
      <c r="D135">
        <v>2</v>
      </c>
      <c r="E135">
        <v>18</v>
      </c>
      <c r="F135" t="s">
        <v>10355</v>
      </c>
      <c r="G135" t="b">
        <v>1</v>
      </c>
      <c r="H135">
        <v>1</v>
      </c>
    </row>
    <row r="136" spans="1:8">
      <c r="A136" t="s">
        <v>815</v>
      </c>
      <c r="B136" s="4">
        <v>45404</v>
      </c>
      <c r="C136">
        <v>2024</v>
      </c>
      <c r="D136">
        <v>4</v>
      </c>
      <c r="E136">
        <v>22</v>
      </c>
      <c r="F136" t="s">
        <v>10356</v>
      </c>
      <c r="G136" t="b">
        <v>0</v>
      </c>
      <c r="H136">
        <v>2</v>
      </c>
    </row>
    <row r="137" spans="1:8">
      <c r="A137" t="s">
        <v>820</v>
      </c>
      <c r="B137" s="4">
        <v>45448</v>
      </c>
      <c r="C137">
        <v>2024</v>
      </c>
      <c r="D137">
        <v>6</v>
      </c>
      <c r="E137">
        <v>5</v>
      </c>
      <c r="F137" t="s">
        <v>10351</v>
      </c>
      <c r="G137" t="b">
        <v>0</v>
      </c>
      <c r="H137">
        <v>2</v>
      </c>
    </row>
    <row r="138" spans="1:8">
      <c r="A138" t="s">
        <v>826</v>
      </c>
      <c r="B138" s="4">
        <v>45934</v>
      </c>
      <c r="C138">
        <v>2025</v>
      </c>
      <c r="D138">
        <v>10</v>
      </c>
      <c r="E138">
        <v>4</v>
      </c>
      <c r="F138" t="s">
        <v>10354</v>
      </c>
      <c r="G138" t="b">
        <v>1</v>
      </c>
      <c r="H138">
        <v>4</v>
      </c>
    </row>
    <row r="139" spans="1:8">
      <c r="A139" t="s">
        <v>832</v>
      </c>
      <c r="B139" s="4">
        <v>45455</v>
      </c>
      <c r="C139">
        <v>2024</v>
      </c>
      <c r="D139">
        <v>6</v>
      </c>
      <c r="E139">
        <v>12</v>
      </c>
      <c r="F139" t="s">
        <v>10351</v>
      </c>
      <c r="G139" t="b">
        <v>0</v>
      </c>
      <c r="H139">
        <v>2</v>
      </c>
    </row>
    <row r="140" spans="1:8">
      <c r="A140" t="s">
        <v>838</v>
      </c>
      <c r="B140" s="4">
        <v>45988</v>
      </c>
      <c r="C140">
        <v>2025</v>
      </c>
      <c r="D140">
        <v>11</v>
      </c>
      <c r="E140">
        <v>27</v>
      </c>
      <c r="F140" t="s">
        <v>10350</v>
      </c>
      <c r="G140" t="b">
        <v>0</v>
      </c>
      <c r="H140">
        <v>4</v>
      </c>
    </row>
    <row r="141" spans="1:8">
      <c r="A141" t="s">
        <v>844</v>
      </c>
      <c r="B141" s="4">
        <v>45724</v>
      </c>
      <c r="C141">
        <v>2025</v>
      </c>
      <c r="D141">
        <v>3</v>
      </c>
      <c r="E141">
        <v>8</v>
      </c>
      <c r="F141" t="s">
        <v>10354</v>
      </c>
      <c r="G141" t="b">
        <v>1</v>
      </c>
      <c r="H141">
        <v>1</v>
      </c>
    </row>
    <row r="142" spans="1:8">
      <c r="A142" t="s">
        <v>850</v>
      </c>
      <c r="B142" s="4">
        <v>45902</v>
      </c>
      <c r="C142">
        <v>2025</v>
      </c>
      <c r="D142">
        <v>9</v>
      </c>
      <c r="E142">
        <v>2</v>
      </c>
      <c r="F142" t="s">
        <v>10353</v>
      </c>
      <c r="G142" t="b">
        <v>0</v>
      </c>
      <c r="H142">
        <v>3</v>
      </c>
    </row>
    <row r="143" spans="1:8">
      <c r="A143" t="s">
        <v>856</v>
      </c>
      <c r="B143" s="4">
        <v>45357</v>
      </c>
      <c r="C143">
        <v>2024</v>
      </c>
      <c r="D143">
        <v>3</v>
      </c>
      <c r="E143">
        <v>6</v>
      </c>
      <c r="F143" t="s">
        <v>10351</v>
      </c>
      <c r="G143" t="b">
        <v>0</v>
      </c>
      <c r="H143">
        <v>1</v>
      </c>
    </row>
    <row r="144" spans="1:8">
      <c r="A144" t="s">
        <v>862</v>
      </c>
      <c r="B144" s="4">
        <v>45686</v>
      </c>
      <c r="C144">
        <v>2025</v>
      </c>
      <c r="D144">
        <v>1</v>
      </c>
      <c r="E144">
        <v>29</v>
      </c>
      <c r="F144" t="s">
        <v>10351</v>
      </c>
      <c r="G144" t="b">
        <v>0</v>
      </c>
      <c r="H144">
        <v>1</v>
      </c>
    </row>
    <row r="145" spans="1:8">
      <c r="A145" t="s">
        <v>868</v>
      </c>
      <c r="B145" s="4">
        <v>45682</v>
      </c>
      <c r="C145">
        <v>2025</v>
      </c>
      <c r="D145">
        <v>1</v>
      </c>
      <c r="E145">
        <v>25</v>
      </c>
      <c r="F145" t="s">
        <v>10354</v>
      </c>
      <c r="G145" t="b">
        <v>1</v>
      </c>
      <c r="H145">
        <v>1</v>
      </c>
    </row>
    <row r="146" spans="1:8">
      <c r="A146" t="s">
        <v>874</v>
      </c>
      <c r="B146" s="4">
        <v>45902</v>
      </c>
      <c r="C146">
        <v>2025</v>
      </c>
      <c r="D146">
        <v>9</v>
      </c>
      <c r="E146">
        <v>2</v>
      </c>
      <c r="F146" t="s">
        <v>10353</v>
      </c>
      <c r="G146" t="b">
        <v>0</v>
      </c>
      <c r="H146">
        <v>3</v>
      </c>
    </row>
    <row r="147" spans="1:8">
      <c r="A147" t="s">
        <v>879</v>
      </c>
      <c r="B147" s="4">
        <v>45771</v>
      </c>
      <c r="C147">
        <v>2025</v>
      </c>
      <c r="D147">
        <v>4</v>
      </c>
      <c r="E147">
        <v>24</v>
      </c>
      <c r="F147" t="s">
        <v>10350</v>
      </c>
      <c r="G147" t="b">
        <v>0</v>
      </c>
      <c r="H147">
        <v>2</v>
      </c>
    </row>
    <row r="148" spans="1:8">
      <c r="A148" t="s">
        <v>885</v>
      </c>
      <c r="B148" s="4">
        <v>45833</v>
      </c>
      <c r="C148">
        <v>2025</v>
      </c>
      <c r="D148">
        <v>6</v>
      </c>
      <c r="E148">
        <v>25</v>
      </c>
      <c r="F148" t="s">
        <v>10351</v>
      </c>
      <c r="G148" t="b">
        <v>0</v>
      </c>
      <c r="H148">
        <v>2</v>
      </c>
    </row>
    <row r="149" spans="1:8">
      <c r="A149" t="s">
        <v>890</v>
      </c>
      <c r="B149" s="4">
        <v>45549</v>
      </c>
      <c r="C149">
        <v>2024</v>
      </c>
      <c r="D149">
        <v>9</v>
      </c>
      <c r="E149">
        <v>14</v>
      </c>
      <c r="F149" t="s">
        <v>10354</v>
      </c>
      <c r="G149" t="b">
        <v>1</v>
      </c>
      <c r="H149">
        <v>3</v>
      </c>
    </row>
    <row r="150" spans="1:8">
      <c r="A150" t="s">
        <v>896</v>
      </c>
      <c r="B150" s="4">
        <v>45858</v>
      </c>
      <c r="C150">
        <v>2025</v>
      </c>
      <c r="D150">
        <v>7</v>
      </c>
      <c r="E150">
        <v>20</v>
      </c>
      <c r="F150" t="s">
        <v>10355</v>
      </c>
      <c r="G150" t="b">
        <v>1</v>
      </c>
      <c r="H150">
        <v>3</v>
      </c>
    </row>
    <row r="151" spans="1:8">
      <c r="A151" t="s">
        <v>902</v>
      </c>
      <c r="B151" s="4">
        <v>45303</v>
      </c>
      <c r="C151">
        <v>2024</v>
      </c>
      <c r="D151">
        <v>1</v>
      </c>
      <c r="E151">
        <v>12</v>
      </c>
      <c r="F151" t="s">
        <v>10352</v>
      </c>
      <c r="G151" t="b">
        <v>0</v>
      </c>
      <c r="H151">
        <v>1</v>
      </c>
    </row>
    <row r="152" spans="1:8">
      <c r="A152" t="s">
        <v>907</v>
      </c>
      <c r="B152" s="4">
        <v>45988</v>
      </c>
      <c r="C152">
        <v>2025</v>
      </c>
      <c r="D152">
        <v>11</v>
      </c>
      <c r="E152">
        <v>27</v>
      </c>
      <c r="F152" t="s">
        <v>10350</v>
      </c>
      <c r="G152" t="b">
        <v>0</v>
      </c>
      <c r="H152">
        <v>4</v>
      </c>
    </row>
    <row r="153" spans="1:8">
      <c r="A153" t="s">
        <v>913</v>
      </c>
      <c r="B153" s="4">
        <v>45409</v>
      </c>
      <c r="C153">
        <v>2024</v>
      </c>
      <c r="D153">
        <v>4</v>
      </c>
      <c r="E153">
        <v>27</v>
      </c>
      <c r="F153" t="s">
        <v>10354</v>
      </c>
      <c r="G153" t="b">
        <v>1</v>
      </c>
      <c r="H153">
        <v>2</v>
      </c>
    </row>
    <row r="154" spans="1:8">
      <c r="A154" t="s">
        <v>919</v>
      </c>
      <c r="B154" s="4">
        <v>45990</v>
      </c>
      <c r="C154">
        <v>2025</v>
      </c>
      <c r="D154">
        <v>11</v>
      </c>
      <c r="E154">
        <v>29</v>
      </c>
      <c r="F154" t="s">
        <v>10354</v>
      </c>
      <c r="G154" t="b">
        <v>1</v>
      </c>
      <c r="H154">
        <v>4</v>
      </c>
    </row>
    <row r="155" spans="1:8">
      <c r="A155" t="s">
        <v>924</v>
      </c>
      <c r="B155" s="4">
        <v>45841</v>
      </c>
      <c r="C155">
        <v>2025</v>
      </c>
      <c r="D155">
        <v>7</v>
      </c>
      <c r="E155">
        <v>3</v>
      </c>
      <c r="F155" t="s">
        <v>10350</v>
      </c>
      <c r="G155" t="b">
        <v>0</v>
      </c>
      <c r="H155">
        <v>3</v>
      </c>
    </row>
    <row r="156" spans="1:8">
      <c r="A156" t="s">
        <v>930</v>
      </c>
      <c r="B156" s="4">
        <v>45565</v>
      </c>
      <c r="C156">
        <v>2024</v>
      </c>
      <c r="D156">
        <v>9</v>
      </c>
      <c r="E156">
        <v>30</v>
      </c>
      <c r="F156" t="s">
        <v>10356</v>
      </c>
      <c r="G156" t="b">
        <v>0</v>
      </c>
      <c r="H156">
        <v>3</v>
      </c>
    </row>
    <row r="157" spans="1:8">
      <c r="A157" t="s">
        <v>936</v>
      </c>
      <c r="B157" s="4">
        <v>45948</v>
      </c>
      <c r="C157">
        <v>2025</v>
      </c>
      <c r="D157">
        <v>10</v>
      </c>
      <c r="E157">
        <v>18</v>
      </c>
      <c r="F157" t="s">
        <v>10354</v>
      </c>
      <c r="G157" t="b">
        <v>1</v>
      </c>
      <c r="H157">
        <v>4</v>
      </c>
    </row>
    <row r="158" spans="1:8">
      <c r="A158" t="s">
        <v>942</v>
      </c>
      <c r="B158" s="4">
        <v>45640</v>
      </c>
      <c r="C158">
        <v>2024</v>
      </c>
      <c r="D158">
        <v>12</v>
      </c>
      <c r="E158">
        <v>14</v>
      </c>
      <c r="F158" t="s">
        <v>10354</v>
      </c>
      <c r="G158" t="b">
        <v>1</v>
      </c>
      <c r="H158">
        <v>4</v>
      </c>
    </row>
    <row r="159" spans="1:8">
      <c r="A159" t="s">
        <v>947</v>
      </c>
      <c r="B159" s="4">
        <v>45406</v>
      </c>
      <c r="C159">
        <v>2024</v>
      </c>
      <c r="D159">
        <v>4</v>
      </c>
      <c r="E159">
        <v>24</v>
      </c>
      <c r="F159" t="s">
        <v>10351</v>
      </c>
      <c r="G159" t="b">
        <v>0</v>
      </c>
      <c r="H159">
        <v>2</v>
      </c>
    </row>
    <row r="160" spans="1:8">
      <c r="A160" t="s">
        <v>952</v>
      </c>
      <c r="B160" s="4">
        <v>45592</v>
      </c>
      <c r="C160">
        <v>2024</v>
      </c>
      <c r="D160">
        <v>10</v>
      </c>
      <c r="E160">
        <v>27</v>
      </c>
      <c r="F160" t="s">
        <v>10355</v>
      </c>
      <c r="G160" t="b">
        <v>1</v>
      </c>
      <c r="H160">
        <v>4</v>
      </c>
    </row>
    <row r="161" spans="1:8">
      <c r="A161" t="s">
        <v>958</v>
      </c>
      <c r="B161" s="4">
        <v>45737</v>
      </c>
      <c r="C161">
        <v>2025</v>
      </c>
      <c r="D161">
        <v>3</v>
      </c>
      <c r="E161">
        <v>21</v>
      </c>
      <c r="F161" t="s">
        <v>10352</v>
      </c>
      <c r="G161" t="b">
        <v>0</v>
      </c>
      <c r="H161">
        <v>1</v>
      </c>
    </row>
    <row r="162" spans="1:8">
      <c r="A162" t="s">
        <v>964</v>
      </c>
      <c r="B162" s="4">
        <v>45453</v>
      </c>
      <c r="C162">
        <v>2024</v>
      </c>
      <c r="D162">
        <v>6</v>
      </c>
      <c r="E162">
        <v>10</v>
      </c>
      <c r="F162" t="s">
        <v>10356</v>
      </c>
      <c r="G162" t="b">
        <v>0</v>
      </c>
      <c r="H162">
        <v>2</v>
      </c>
    </row>
    <row r="163" spans="1:8">
      <c r="A163" t="s">
        <v>969</v>
      </c>
      <c r="B163" s="4">
        <v>45756</v>
      </c>
      <c r="C163">
        <v>2025</v>
      </c>
      <c r="D163">
        <v>4</v>
      </c>
      <c r="E163">
        <v>9</v>
      </c>
      <c r="F163" t="s">
        <v>10351</v>
      </c>
      <c r="G163" t="b">
        <v>0</v>
      </c>
      <c r="H163">
        <v>2</v>
      </c>
    </row>
    <row r="164" spans="1:8">
      <c r="A164" t="s">
        <v>974</v>
      </c>
      <c r="B164" s="4">
        <v>45295</v>
      </c>
      <c r="C164">
        <v>2024</v>
      </c>
      <c r="D164">
        <v>1</v>
      </c>
      <c r="E164">
        <v>4</v>
      </c>
      <c r="F164" t="s">
        <v>10350</v>
      </c>
      <c r="G164" t="b">
        <v>0</v>
      </c>
      <c r="H164">
        <v>1</v>
      </c>
    </row>
    <row r="165" spans="1:8">
      <c r="A165" t="s">
        <v>979</v>
      </c>
      <c r="B165" s="4">
        <v>45561</v>
      </c>
      <c r="C165">
        <v>2024</v>
      </c>
      <c r="D165">
        <v>9</v>
      </c>
      <c r="E165">
        <v>26</v>
      </c>
      <c r="F165" t="s">
        <v>10350</v>
      </c>
      <c r="G165" t="b">
        <v>0</v>
      </c>
      <c r="H165">
        <v>3</v>
      </c>
    </row>
    <row r="166" spans="1:8">
      <c r="A166" t="s">
        <v>985</v>
      </c>
      <c r="B166" s="4">
        <v>45804</v>
      </c>
      <c r="C166">
        <v>2025</v>
      </c>
      <c r="D166">
        <v>5</v>
      </c>
      <c r="E166">
        <v>27</v>
      </c>
      <c r="F166" t="s">
        <v>10353</v>
      </c>
      <c r="G166" t="b">
        <v>0</v>
      </c>
      <c r="H166">
        <v>2</v>
      </c>
    </row>
    <row r="167" spans="1:8">
      <c r="A167" t="s">
        <v>990</v>
      </c>
      <c r="B167" s="4">
        <v>45474</v>
      </c>
      <c r="C167">
        <v>2024</v>
      </c>
      <c r="D167">
        <v>7</v>
      </c>
      <c r="E167">
        <v>1</v>
      </c>
      <c r="F167" t="s">
        <v>10356</v>
      </c>
      <c r="G167" t="b">
        <v>0</v>
      </c>
      <c r="H167">
        <v>3</v>
      </c>
    </row>
    <row r="168" spans="1:8">
      <c r="A168" t="s">
        <v>995</v>
      </c>
      <c r="B168" s="4">
        <v>45811</v>
      </c>
      <c r="C168">
        <v>2025</v>
      </c>
      <c r="D168">
        <v>6</v>
      </c>
      <c r="E168">
        <v>3</v>
      </c>
      <c r="F168" t="s">
        <v>10353</v>
      </c>
      <c r="G168" t="b">
        <v>0</v>
      </c>
      <c r="H168">
        <v>2</v>
      </c>
    </row>
    <row r="169" spans="1:8">
      <c r="A169" t="s">
        <v>1000</v>
      </c>
      <c r="B169" s="4">
        <v>45400</v>
      </c>
      <c r="C169">
        <v>2024</v>
      </c>
      <c r="D169">
        <v>4</v>
      </c>
      <c r="E169">
        <v>18</v>
      </c>
      <c r="F169" t="s">
        <v>10350</v>
      </c>
      <c r="G169" t="b">
        <v>0</v>
      </c>
      <c r="H169">
        <v>2</v>
      </c>
    </row>
    <row r="170" spans="1:8">
      <c r="A170" t="s">
        <v>1005</v>
      </c>
      <c r="B170" s="4">
        <v>45932</v>
      </c>
      <c r="C170">
        <v>2025</v>
      </c>
      <c r="D170">
        <v>10</v>
      </c>
      <c r="E170">
        <v>2</v>
      </c>
      <c r="F170" t="s">
        <v>10350</v>
      </c>
      <c r="G170" t="b">
        <v>0</v>
      </c>
      <c r="H170">
        <v>4</v>
      </c>
    </row>
    <row r="171" spans="1:8">
      <c r="A171" t="s">
        <v>1011</v>
      </c>
      <c r="B171" s="4">
        <v>45597</v>
      </c>
      <c r="C171">
        <v>2024</v>
      </c>
      <c r="D171">
        <v>11</v>
      </c>
      <c r="E171">
        <v>1</v>
      </c>
      <c r="F171" t="s">
        <v>10352</v>
      </c>
      <c r="G171" t="b">
        <v>0</v>
      </c>
      <c r="H171">
        <v>4</v>
      </c>
    </row>
    <row r="172" spans="1:8">
      <c r="A172" t="s">
        <v>1017</v>
      </c>
      <c r="B172" s="4">
        <v>45946</v>
      </c>
      <c r="C172">
        <v>2025</v>
      </c>
      <c r="D172">
        <v>10</v>
      </c>
      <c r="E172">
        <v>16</v>
      </c>
      <c r="F172" t="s">
        <v>10350</v>
      </c>
      <c r="G172" t="b">
        <v>0</v>
      </c>
      <c r="H172">
        <v>4</v>
      </c>
    </row>
    <row r="173" spans="1:8">
      <c r="A173" t="s">
        <v>1022</v>
      </c>
      <c r="B173" s="4">
        <v>45811</v>
      </c>
      <c r="C173">
        <v>2025</v>
      </c>
      <c r="D173">
        <v>6</v>
      </c>
      <c r="E173">
        <v>3</v>
      </c>
      <c r="F173" t="s">
        <v>10353</v>
      </c>
      <c r="G173" t="b">
        <v>0</v>
      </c>
      <c r="H173">
        <v>2</v>
      </c>
    </row>
    <row r="174" spans="1:8">
      <c r="A174" t="s">
        <v>1027</v>
      </c>
      <c r="B174" s="4">
        <v>45915</v>
      </c>
      <c r="C174">
        <v>2025</v>
      </c>
      <c r="D174">
        <v>9</v>
      </c>
      <c r="E174">
        <v>15</v>
      </c>
      <c r="F174" t="s">
        <v>10356</v>
      </c>
      <c r="G174" t="b">
        <v>0</v>
      </c>
      <c r="H174">
        <v>3</v>
      </c>
    </row>
    <row r="175" spans="1:8">
      <c r="A175" t="s">
        <v>1033</v>
      </c>
      <c r="B175" s="4">
        <v>45495</v>
      </c>
      <c r="C175">
        <v>2024</v>
      </c>
      <c r="D175">
        <v>7</v>
      </c>
      <c r="E175">
        <v>22</v>
      </c>
      <c r="F175" t="s">
        <v>10356</v>
      </c>
      <c r="G175" t="b">
        <v>0</v>
      </c>
      <c r="H175">
        <v>3</v>
      </c>
    </row>
    <row r="176" spans="1:8">
      <c r="A176" t="s">
        <v>1039</v>
      </c>
      <c r="B176" s="4">
        <v>45448</v>
      </c>
      <c r="C176">
        <v>2024</v>
      </c>
      <c r="D176">
        <v>6</v>
      </c>
      <c r="E176">
        <v>5</v>
      </c>
      <c r="F176" t="s">
        <v>10351</v>
      </c>
      <c r="G176" t="b">
        <v>0</v>
      </c>
      <c r="H176">
        <v>2</v>
      </c>
    </row>
    <row r="177" spans="1:8">
      <c r="A177" t="s">
        <v>1044</v>
      </c>
      <c r="B177" s="4">
        <v>45674</v>
      </c>
      <c r="C177">
        <v>2025</v>
      </c>
      <c r="D177">
        <v>1</v>
      </c>
      <c r="E177">
        <v>17</v>
      </c>
      <c r="F177" t="s">
        <v>10352</v>
      </c>
      <c r="G177" t="b">
        <v>0</v>
      </c>
      <c r="H177">
        <v>1</v>
      </c>
    </row>
    <row r="178" spans="1:8">
      <c r="A178" t="s">
        <v>1049</v>
      </c>
      <c r="B178" s="4">
        <v>45457</v>
      </c>
      <c r="C178">
        <v>2024</v>
      </c>
      <c r="D178">
        <v>6</v>
      </c>
      <c r="E178">
        <v>14</v>
      </c>
      <c r="F178" t="s">
        <v>10352</v>
      </c>
      <c r="G178" t="b">
        <v>0</v>
      </c>
      <c r="H178">
        <v>2</v>
      </c>
    </row>
    <row r="179" spans="1:8">
      <c r="A179" t="s">
        <v>1055</v>
      </c>
      <c r="B179" s="4">
        <v>45844</v>
      </c>
      <c r="C179">
        <v>2025</v>
      </c>
      <c r="D179">
        <v>7</v>
      </c>
      <c r="E179">
        <v>6</v>
      </c>
      <c r="F179" t="s">
        <v>10355</v>
      </c>
      <c r="G179" t="b">
        <v>1</v>
      </c>
      <c r="H179">
        <v>3</v>
      </c>
    </row>
    <row r="180" spans="1:8">
      <c r="A180" t="s">
        <v>1060</v>
      </c>
      <c r="B180" s="4">
        <v>45835</v>
      </c>
      <c r="C180">
        <v>2025</v>
      </c>
      <c r="D180">
        <v>6</v>
      </c>
      <c r="E180">
        <v>27</v>
      </c>
      <c r="F180" t="s">
        <v>10352</v>
      </c>
      <c r="G180" t="b">
        <v>0</v>
      </c>
      <c r="H180">
        <v>2</v>
      </c>
    </row>
    <row r="181" spans="1:8">
      <c r="A181" t="s">
        <v>1065</v>
      </c>
      <c r="B181" s="4">
        <v>45292</v>
      </c>
      <c r="C181">
        <v>2024</v>
      </c>
      <c r="D181">
        <v>1</v>
      </c>
      <c r="E181">
        <v>1</v>
      </c>
      <c r="F181" t="s">
        <v>10356</v>
      </c>
      <c r="G181" t="b">
        <v>0</v>
      </c>
      <c r="H181">
        <v>1</v>
      </c>
    </row>
    <row r="182" spans="1:8">
      <c r="A182" t="s">
        <v>1071</v>
      </c>
      <c r="B182" s="4">
        <v>45905</v>
      </c>
      <c r="C182">
        <v>2025</v>
      </c>
      <c r="D182">
        <v>9</v>
      </c>
      <c r="E182">
        <v>5</v>
      </c>
      <c r="F182" t="s">
        <v>10352</v>
      </c>
      <c r="G182" t="b">
        <v>0</v>
      </c>
      <c r="H182">
        <v>3</v>
      </c>
    </row>
    <row r="183" spans="1:8">
      <c r="A183" t="s">
        <v>1077</v>
      </c>
      <c r="B183" s="4">
        <v>45623</v>
      </c>
      <c r="C183">
        <v>2024</v>
      </c>
      <c r="D183">
        <v>11</v>
      </c>
      <c r="E183">
        <v>27</v>
      </c>
      <c r="F183" t="s">
        <v>10351</v>
      </c>
      <c r="G183" t="b">
        <v>0</v>
      </c>
      <c r="H183">
        <v>4</v>
      </c>
    </row>
    <row r="184" spans="1:8">
      <c r="A184" t="s">
        <v>1082</v>
      </c>
      <c r="B184" s="4">
        <v>45792</v>
      </c>
      <c r="C184">
        <v>2025</v>
      </c>
      <c r="D184">
        <v>5</v>
      </c>
      <c r="E184">
        <v>15</v>
      </c>
      <c r="F184" t="s">
        <v>10350</v>
      </c>
      <c r="G184" t="b">
        <v>0</v>
      </c>
      <c r="H184">
        <v>2</v>
      </c>
    </row>
    <row r="185" spans="1:8">
      <c r="A185" t="s">
        <v>1087</v>
      </c>
      <c r="B185" s="4">
        <v>45311</v>
      </c>
      <c r="C185">
        <v>2024</v>
      </c>
      <c r="D185">
        <v>1</v>
      </c>
      <c r="E185">
        <v>20</v>
      </c>
      <c r="F185" t="s">
        <v>10354</v>
      </c>
      <c r="G185" t="b">
        <v>1</v>
      </c>
      <c r="H185">
        <v>1</v>
      </c>
    </row>
    <row r="186" spans="1:8">
      <c r="A186" t="s">
        <v>1093</v>
      </c>
      <c r="B186" s="4">
        <v>45406</v>
      </c>
      <c r="C186">
        <v>2024</v>
      </c>
      <c r="D186">
        <v>4</v>
      </c>
      <c r="E186">
        <v>24</v>
      </c>
      <c r="F186" t="s">
        <v>10351</v>
      </c>
      <c r="G186" t="b">
        <v>0</v>
      </c>
      <c r="H186">
        <v>2</v>
      </c>
    </row>
    <row r="187" spans="1:8">
      <c r="A187" t="s">
        <v>1099</v>
      </c>
      <c r="B187" s="4">
        <v>45663</v>
      </c>
      <c r="C187">
        <v>2025</v>
      </c>
      <c r="D187">
        <v>1</v>
      </c>
      <c r="E187">
        <v>6</v>
      </c>
      <c r="F187" t="s">
        <v>10356</v>
      </c>
      <c r="G187" t="b">
        <v>0</v>
      </c>
      <c r="H187">
        <v>1</v>
      </c>
    </row>
    <row r="188" spans="1:8">
      <c r="A188" t="s">
        <v>1105</v>
      </c>
      <c r="B188" s="4">
        <v>45606</v>
      </c>
      <c r="C188">
        <v>2024</v>
      </c>
      <c r="D188">
        <v>11</v>
      </c>
      <c r="E188">
        <v>10</v>
      </c>
      <c r="F188" t="s">
        <v>10355</v>
      </c>
      <c r="G188" t="b">
        <v>1</v>
      </c>
      <c r="H188">
        <v>4</v>
      </c>
    </row>
    <row r="189" spans="1:8">
      <c r="A189" t="s">
        <v>1111</v>
      </c>
      <c r="B189" s="4">
        <v>45537</v>
      </c>
      <c r="C189">
        <v>2024</v>
      </c>
      <c r="D189">
        <v>9</v>
      </c>
      <c r="E189">
        <v>2</v>
      </c>
      <c r="F189" t="s">
        <v>10356</v>
      </c>
      <c r="G189" t="b">
        <v>0</v>
      </c>
      <c r="H189">
        <v>3</v>
      </c>
    </row>
    <row r="190" spans="1:8">
      <c r="A190" t="s">
        <v>1117</v>
      </c>
      <c r="B190" s="4">
        <v>45351</v>
      </c>
      <c r="C190">
        <v>2024</v>
      </c>
      <c r="D190">
        <v>2</v>
      </c>
      <c r="E190">
        <v>29</v>
      </c>
      <c r="F190" t="s">
        <v>10350</v>
      </c>
      <c r="G190" t="b">
        <v>0</v>
      </c>
      <c r="H190">
        <v>1</v>
      </c>
    </row>
    <row r="191" spans="1:8">
      <c r="A191" t="s">
        <v>1122</v>
      </c>
      <c r="B191" s="4">
        <v>45538</v>
      </c>
      <c r="C191">
        <v>2024</v>
      </c>
      <c r="D191">
        <v>9</v>
      </c>
      <c r="E191">
        <v>3</v>
      </c>
      <c r="F191" t="s">
        <v>10353</v>
      </c>
      <c r="G191" t="b">
        <v>0</v>
      </c>
      <c r="H191">
        <v>3</v>
      </c>
    </row>
    <row r="192" spans="1:8">
      <c r="A192" t="s">
        <v>1127</v>
      </c>
      <c r="B192" s="4">
        <v>45872</v>
      </c>
      <c r="C192">
        <v>2025</v>
      </c>
      <c r="D192">
        <v>8</v>
      </c>
      <c r="E192">
        <v>3</v>
      </c>
      <c r="F192" t="s">
        <v>10355</v>
      </c>
      <c r="G192" t="b">
        <v>1</v>
      </c>
      <c r="H192">
        <v>3</v>
      </c>
    </row>
    <row r="193" spans="1:8">
      <c r="A193" t="s">
        <v>1132</v>
      </c>
      <c r="B193" s="4">
        <v>45372</v>
      </c>
      <c r="C193">
        <v>2024</v>
      </c>
      <c r="D193">
        <v>3</v>
      </c>
      <c r="E193">
        <v>21</v>
      </c>
      <c r="F193" t="s">
        <v>10350</v>
      </c>
      <c r="G193" t="b">
        <v>0</v>
      </c>
      <c r="H193">
        <v>1</v>
      </c>
    </row>
    <row r="194" spans="1:8">
      <c r="A194" t="s">
        <v>1137</v>
      </c>
      <c r="B194" s="4">
        <v>45379</v>
      </c>
      <c r="C194">
        <v>2024</v>
      </c>
      <c r="D194">
        <v>3</v>
      </c>
      <c r="E194">
        <v>28</v>
      </c>
      <c r="F194" t="s">
        <v>10350</v>
      </c>
      <c r="G194" t="b">
        <v>0</v>
      </c>
      <c r="H194">
        <v>1</v>
      </c>
    </row>
    <row r="195" spans="1:8">
      <c r="A195" t="s">
        <v>1143</v>
      </c>
      <c r="B195" s="4">
        <v>45789</v>
      </c>
      <c r="C195">
        <v>2025</v>
      </c>
      <c r="D195">
        <v>5</v>
      </c>
      <c r="E195">
        <v>12</v>
      </c>
      <c r="F195" t="s">
        <v>10356</v>
      </c>
      <c r="G195" t="b">
        <v>0</v>
      </c>
      <c r="H195">
        <v>2</v>
      </c>
    </row>
    <row r="196" spans="1:8">
      <c r="A196" t="s">
        <v>1149</v>
      </c>
      <c r="B196" s="4">
        <v>45362</v>
      </c>
      <c r="C196">
        <v>2024</v>
      </c>
      <c r="D196">
        <v>3</v>
      </c>
      <c r="E196">
        <v>11</v>
      </c>
      <c r="F196" t="s">
        <v>10356</v>
      </c>
      <c r="G196" t="b">
        <v>0</v>
      </c>
      <c r="H196">
        <v>1</v>
      </c>
    </row>
    <row r="197" spans="1:8">
      <c r="A197" t="s">
        <v>1155</v>
      </c>
      <c r="B197" s="4">
        <v>45837</v>
      </c>
      <c r="C197">
        <v>2025</v>
      </c>
      <c r="D197">
        <v>6</v>
      </c>
      <c r="E197">
        <v>29</v>
      </c>
      <c r="F197" t="s">
        <v>10355</v>
      </c>
      <c r="G197" t="b">
        <v>1</v>
      </c>
      <c r="H197">
        <v>2</v>
      </c>
    </row>
    <row r="198" spans="1:8">
      <c r="A198" t="s">
        <v>1161</v>
      </c>
      <c r="B198" s="4">
        <v>45420</v>
      </c>
      <c r="C198">
        <v>2024</v>
      </c>
      <c r="D198">
        <v>5</v>
      </c>
      <c r="E198">
        <v>8</v>
      </c>
      <c r="F198" t="s">
        <v>10351</v>
      </c>
      <c r="G198" t="b">
        <v>0</v>
      </c>
      <c r="H198">
        <v>2</v>
      </c>
    </row>
    <row r="199" spans="1:8">
      <c r="A199" t="s">
        <v>1167</v>
      </c>
      <c r="B199" s="4">
        <v>45423</v>
      </c>
      <c r="C199">
        <v>2024</v>
      </c>
      <c r="D199">
        <v>5</v>
      </c>
      <c r="E199">
        <v>11</v>
      </c>
      <c r="F199" t="s">
        <v>10354</v>
      </c>
      <c r="G199" t="b">
        <v>1</v>
      </c>
      <c r="H199">
        <v>2</v>
      </c>
    </row>
    <row r="200" spans="1:8">
      <c r="A200" t="s">
        <v>1172</v>
      </c>
      <c r="B200" s="4">
        <v>45967</v>
      </c>
      <c r="C200">
        <v>2025</v>
      </c>
      <c r="D200">
        <v>11</v>
      </c>
      <c r="E200">
        <v>6</v>
      </c>
      <c r="F200" t="s">
        <v>10350</v>
      </c>
      <c r="G200" t="b">
        <v>0</v>
      </c>
      <c r="H200">
        <v>4</v>
      </c>
    </row>
    <row r="201" spans="1:8">
      <c r="A201" t="s">
        <v>1178</v>
      </c>
      <c r="B201" s="4">
        <v>45778</v>
      </c>
      <c r="C201">
        <v>2025</v>
      </c>
      <c r="D201">
        <v>5</v>
      </c>
      <c r="E201">
        <v>1</v>
      </c>
      <c r="F201" t="s">
        <v>10350</v>
      </c>
      <c r="G201" t="b">
        <v>0</v>
      </c>
      <c r="H201">
        <v>2</v>
      </c>
    </row>
    <row r="202" spans="1:8">
      <c r="A202" t="s">
        <v>1183</v>
      </c>
      <c r="B202" s="4">
        <v>45854</v>
      </c>
      <c r="C202">
        <v>2025</v>
      </c>
      <c r="D202">
        <v>7</v>
      </c>
      <c r="E202">
        <v>16</v>
      </c>
      <c r="F202" t="s">
        <v>10351</v>
      </c>
      <c r="G202" t="b">
        <v>0</v>
      </c>
      <c r="H202">
        <v>3</v>
      </c>
    </row>
    <row r="203" spans="1:8">
      <c r="A203" t="s">
        <v>1189</v>
      </c>
      <c r="B203" s="4">
        <v>45461</v>
      </c>
      <c r="C203">
        <v>2024</v>
      </c>
      <c r="D203">
        <v>6</v>
      </c>
      <c r="E203">
        <v>18</v>
      </c>
      <c r="F203" t="s">
        <v>10353</v>
      </c>
      <c r="G203" t="b">
        <v>0</v>
      </c>
      <c r="H203">
        <v>2</v>
      </c>
    </row>
    <row r="204" spans="1:8">
      <c r="A204" t="s">
        <v>1194</v>
      </c>
      <c r="B204" s="4">
        <v>45563</v>
      </c>
      <c r="C204">
        <v>2024</v>
      </c>
      <c r="D204">
        <v>9</v>
      </c>
      <c r="E204">
        <v>28</v>
      </c>
      <c r="F204" t="s">
        <v>10354</v>
      </c>
      <c r="G204" t="b">
        <v>1</v>
      </c>
      <c r="H204">
        <v>3</v>
      </c>
    </row>
    <row r="205" spans="1:8">
      <c r="A205" t="s">
        <v>1199</v>
      </c>
      <c r="B205" s="4">
        <v>45832</v>
      </c>
      <c r="C205">
        <v>2025</v>
      </c>
      <c r="D205">
        <v>6</v>
      </c>
      <c r="E205">
        <v>24</v>
      </c>
      <c r="F205" t="s">
        <v>10353</v>
      </c>
      <c r="G205" t="b">
        <v>0</v>
      </c>
      <c r="H205">
        <v>2</v>
      </c>
    </row>
    <row r="206" spans="1:8">
      <c r="A206" t="s">
        <v>1204</v>
      </c>
      <c r="B206" s="4">
        <v>45913</v>
      </c>
      <c r="C206">
        <v>2025</v>
      </c>
      <c r="D206">
        <v>9</v>
      </c>
      <c r="E206">
        <v>13</v>
      </c>
      <c r="F206" t="s">
        <v>10354</v>
      </c>
      <c r="G206" t="b">
        <v>1</v>
      </c>
      <c r="H206">
        <v>3</v>
      </c>
    </row>
    <row r="207" spans="1:8">
      <c r="A207" t="s">
        <v>1210</v>
      </c>
      <c r="B207" s="4">
        <v>45725</v>
      </c>
      <c r="C207">
        <v>2025</v>
      </c>
      <c r="D207">
        <v>3</v>
      </c>
      <c r="E207">
        <v>9</v>
      </c>
      <c r="F207" t="s">
        <v>10355</v>
      </c>
      <c r="G207" t="b">
        <v>1</v>
      </c>
      <c r="H207">
        <v>1</v>
      </c>
    </row>
    <row r="208" spans="1:8">
      <c r="A208" t="s">
        <v>1216</v>
      </c>
      <c r="B208" s="4">
        <v>45508</v>
      </c>
      <c r="C208">
        <v>2024</v>
      </c>
      <c r="D208">
        <v>8</v>
      </c>
      <c r="E208">
        <v>4</v>
      </c>
      <c r="F208" t="s">
        <v>10355</v>
      </c>
      <c r="G208" t="b">
        <v>1</v>
      </c>
      <c r="H208">
        <v>3</v>
      </c>
    </row>
    <row r="209" spans="1:8">
      <c r="A209" t="s">
        <v>1221</v>
      </c>
      <c r="B209" s="4">
        <v>45844</v>
      </c>
      <c r="C209">
        <v>2025</v>
      </c>
      <c r="D209">
        <v>7</v>
      </c>
      <c r="E209">
        <v>6</v>
      </c>
      <c r="F209" t="s">
        <v>10355</v>
      </c>
      <c r="G209" t="b">
        <v>1</v>
      </c>
      <c r="H209">
        <v>3</v>
      </c>
    </row>
    <row r="210" spans="1:8">
      <c r="A210" t="s">
        <v>1226</v>
      </c>
      <c r="B210" s="4">
        <v>45998</v>
      </c>
      <c r="C210">
        <v>2025</v>
      </c>
      <c r="D210">
        <v>12</v>
      </c>
      <c r="E210">
        <v>7</v>
      </c>
      <c r="F210" t="s">
        <v>10355</v>
      </c>
      <c r="G210" t="b">
        <v>1</v>
      </c>
      <c r="H210">
        <v>4</v>
      </c>
    </row>
    <row r="211" spans="1:8">
      <c r="A211" t="s">
        <v>1232</v>
      </c>
      <c r="B211" s="4">
        <v>45497</v>
      </c>
      <c r="C211">
        <v>2024</v>
      </c>
      <c r="D211">
        <v>7</v>
      </c>
      <c r="E211">
        <v>24</v>
      </c>
      <c r="F211" t="s">
        <v>10351</v>
      </c>
      <c r="G211" t="b">
        <v>0</v>
      </c>
      <c r="H211">
        <v>3</v>
      </c>
    </row>
    <row r="212" spans="1:8">
      <c r="A212" t="s">
        <v>1237</v>
      </c>
      <c r="B212" s="4">
        <v>46022</v>
      </c>
      <c r="C212">
        <v>2025</v>
      </c>
      <c r="D212">
        <v>12</v>
      </c>
      <c r="E212">
        <v>31</v>
      </c>
      <c r="F212" t="s">
        <v>10351</v>
      </c>
      <c r="G212" t="b">
        <v>0</v>
      </c>
      <c r="H212">
        <v>4</v>
      </c>
    </row>
    <row r="213" spans="1:8">
      <c r="A213" t="s">
        <v>1242</v>
      </c>
      <c r="B213" s="4">
        <v>45611</v>
      </c>
      <c r="C213">
        <v>2024</v>
      </c>
      <c r="D213">
        <v>11</v>
      </c>
      <c r="E213">
        <v>15</v>
      </c>
      <c r="F213" t="s">
        <v>10352</v>
      </c>
      <c r="G213" t="b">
        <v>0</v>
      </c>
      <c r="H213">
        <v>4</v>
      </c>
    </row>
    <row r="214" spans="1:8">
      <c r="A214" t="s">
        <v>1247</v>
      </c>
      <c r="B214" s="4">
        <v>45700</v>
      </c>
      <c r="C214">
        <v>2025</v>
      </c>
      <c r="D214">
        <v>2</v>
      </c>
      <c r="E214">
        <v>12</v>
      </c>
      <c r="F214" t="s">
        <v>10351</v>
      </c>
      <c r="G214" t="b">
        <v>0</v>
      </c>
      <c r="H214">
        <v>1</v>
      </c>
    </row>
    <row r="215" spans="1:8">
      <c r="A215" t="s">
        <v>1253</v>
      </c>
      <c r="B215" s="4">
        <v>45979</v>
      </c>
      <c r="C215">
        <v>2025</v>
      </c>
      <c r="D215">
        <v>11</v>
      </c>
      <c r="E215">
        <v>18</v>
      </c>
      <c r="F215" t="s">
        <v>10353</v>
      </c>
      <c r="G215" t="b">
        <v>0</v>
      </c>
      <c r="H215">
        <v>4</v>
      </c>
    </row>
    <row r="216" spans="1:8">
      <c r="A216" t="s">
        <v>1258</v>
      </c>
      <c r="B216" s="4">
        <v>45957</v>
      </c>
      <c r="C216">
        <v>2025</v>
      </c>
      <c r="D216">
        <v>10</v>
      </c>
      <c r="E216">
        <v>27</v>
      </c>
      <c r="F216" t="s">
        <v>10356</v>
      </c>
      <c r="G216" t="b">
        <v>0</v>
      </c>
      <c r="H216">
        <v>4</v>
      </c>
    </row>
    <row r="217" spans="1:8">
      <c r="A217" t="s">
        <v>1263</v>
      </c>
      <c r="B217" s="4">
        <v>45674</v>
      </c>
      <c r="C217">
        <v>2025</v>
      </c>
      <c r="D217">
        <v>1</v>
      </c>
      <c r="E217">
        <v>17</v>
      </c>
      <c r="F217" t="s">
        <v>10352</v>
      </c>
      <c r="G217" t="b">
        <v>0</v>
      </c>
      <c r="H217">
        <v>1</v>
      </c>
    </row>
    <row r="218" spans="1:8">
      <c r="A218" t="s">
        <v>1268</v>
      </c>
      <c r="B218" s="4">
        <v>45740</v>
      </c>
      <c r="C218">
        <v>2025</v>
      </c>
      <c r="D218">
        <v>3</v>
      </c>
      <c r="E218">
        <v>24</v>
      </c>
      <c r="F218" t="s">
        <v>10356</v>
      </c>
      <c r="G218" t="b">
        <v>0</v>
      </c>
      <c r="H218">
        <v>1</v>
      </c>
    </row>
    <row r="219" spans="1:8">
      <c r="A219" t="s">
        <v>1274</v>
      </c>
      <c r="B219" s="4">
        <v>45821</v>
      </c>
      <c r="C219">
        <v>2025</v>
      </c>
      <c r="D219">
        <v>6</v>
      </c>
      <c r="E219">
        <v>13</v>
      </c>
      <c r="F219" t="s">
        <v>10352</v>
      </c>
      <c r="G219" t="b">
        <v>0</v>
      </c>
      <c r="H219">
        <v>2</v>
      </c>
    </row>
    <row r="220" spans="1:8">
      <c r="A220" t="s">
        <v>1279</v>
      </c>
      <c r="B220" s="4">
        <v>45754</v>
      </c>
      <c r="C220">
        <v>2025</v>
      </c>
      <c r="D220">
        <v>4</v>
      </c>
      <c r="E220">
        <v>7</v>
      </c>
      <c r="F220" t="s">
        <v>10356</v>
      </c>
      <c r="G220" t="b">
        <v>0</v>
      </c>
      <c r="H220">
        <v>2</v>
      </c>
    </row>
    <row r="221" spans="1:8">
      <c r="A221" t="s">
        <v>1285</v>
      </c>
      <c r="B221" s="4">
        <v>45415</v>
      </c>
      <c r="C221">
        <v>2024</v>
      </c>
      <c r="D221">
        <v>5</v>
      </c>
      <c r="E221">
        <v>3</v>
      </c>
      <c r="F221" t="s">
        <v>10352</v>
      </c>
      <c r="G221" t="b">
        <v>0</v>
      </c>
      <c r="H221">
        <v>2</v>
      </c>
    </row>
    <row r="222" spans="1:8">
      <c r="A222" t="s">
        <v>1291</v>
      </c>
      <c r="B222" s="4">
        <v>45545</v>
      </c>
      <c r="C222">
        <v>2024</v>
      </c>
      <c r="D222">
        <v>9</v>
      </c>
      <c r="E222">
        <v>10</v>
      </c>
      <c r="F222" t="s">
        <v>10353</v>
      </c>
      <c r="G222" t="b">
        <v>0</v>
      </c>
      <c r="H222">
        <v>3</v>
      </c>
    </row>
    <row r="223" spans="1:8">
      <c r="A223" t="s">
        <v>1296</v>
      </c>
      <c r="B223" s="4">
        <v>45522</v>
      </c>
      <c r="C223">
        <v>2024</v>
      </c>
      <c r="D223">
        <v>8</v>
      </c>
      <c r="E223">
        <v>18</v>
      </c>
      <c r="F223" t="s">
        <v>10355</v>
      </c>
      <c r="G223" t="b">
        <v>1</v>
      </c>
      <c r="H223">
        <v>3</v>
      </c>
    </row>
    <row r="224" spans="1:8">
      <c r="A224" t="s">
        <v>1301</v>
      </c>
      <c r="B224" s="4">
        <v>45357</v>
      </c>
      <c r="C224">
        <v>2024</v>
      </c>
      <c r="D224">
        <v>3</v>
      </c>
      <c r="E224">
        <v>6</v>
      </c>
      <c r="F224" t="s">
        <v>10351</v>
      </c>
      <c r="G224" t="b">
        <v>0</v>
      </c>
      <c r="H224">
        <v>1</v>
      </c>
    </row>
    <row r="225" spans="1:8">
      <c r="A225" t="s">
        <v>1306</v>
      </c>
      <c r="B225" s="4">
        <v>45638</v>
      </c>
      <c r="C225">
        <v>2024</v>
      </c>
      <c r="D225">
        <v>12</v>
      </c>
      <c r="E225">
        <v>12</v>
      </c>
      <c r="F225" t="s">
        <v>10350</v>
      </c>
      <c r="G225" t="b">
        <v>0</v>
      </c>
      <c r="H225">
        <v>4</v>
      </c>
    </row>
    <row r="226" spans="1:8">
      <c r="A226" t="s">
        <v>1311</v>
      </c>
      <c r="B226" s="4">
        <v>45313</v>
      </c>
      <c r="C226">
        <v>2024</v>
      </c>
      <c r="D226">
        <v>1</v>
      </c>
      <c r="E226">
        <v>22</v>
      </c>
      <c r="F226" t="s">
        <v>10356</v>
      </c>
      <c r="G226" t="b">
        <v>0</v>
      </c>
      <c r="H226">
        <v>1</v>
      </c>
    </row>
    <row r="227" spans="1:8">
      <c r="A227" t="s">
        <v>1316</v>
      </c>
      <c r="B227" s="4">
        <v>45894</v>
      </c>
      <c r="C227">
        <v>2025</v>
      </c>
      <c r="D227">
        <v>8</v>
      </c>
      <c r="E227">
        <v>25</v>
      </c>
      <c r="F227" t="s">
        <v>10356</v>
      </c>
      <c r="G227" t="b">
        <v>0</v>
      </c>
      <c r="H227">
        <v>3</v>
      </c>
    </row>
    <row r="228" spans="1:8">
      <c r="A228" t="s">
        <v>1321</v>
      </c>
      <c r="B228" s="4">
        <v>45859</v>
      </c>
      <c r="C228">
        <v>2025</v>
      </c>
      <c r="D228">
        <v>7</v>
      </c>
      <c r="E228">
        <v>21</v>
      </c>
      <c r="F228" t="s">
        <v>10356</v>
      </c>
      <c r="G228" t="b">
        <v>0</v>
      </c>
      <c r="H228">
        <v>3</v>
      </c>
    </row>
    <row r="229" spans="1:8">
      <c r="A229" t="s">
        <v>1327</v>
      </c>
      <c r="B229" s="4">
        <v>45527</v>
      </c>
      <c r="C229">
        <v>2024</v>
      </c>
      <c r="D229">
        <v>8</v>
      </c>
      <c r="E229">
        <v>23</v>
      </c>
      <c r="F229" t="s">
        <v>10352</v>
      </c>
      <c r="G229" t="b">
        <v>0</v>
      </c>
      <c r="H229">
        <v>3</v>
      </c>
    </row>
    <row r="230" spans="1:8">
      <c r="A230" t="s">
        <v>1333</v>
      </c>
      <c r="B230" s="4">
        <v>45894</v>
      </c>
      <c r="C230">
        <v>2025</v>
      </c>
      <c r="D230">
        <v>8</v>
      </c>
      <c r="E230">
        <v>25</v>
      </c>
      <c r="F230" t="s">
        <v>10356</v>
      </c>
      <c r="G230" t="b">
        <v>0</v>
      </c>
      <c r="H230">
        <v>3</v>
      </c>
    </row>
    <row r="231" spans="1:8">
      <c r="A231" t="s">
        <v>1338</v>
      </c>
      <c r="B231" s="4">
        <v>45517</v>
      </c>
      <c r="C231">
        <v>2024</v>
      </c>
      <c r="D231">
        <v>8</v>
      </c>
      <c r="E231">
        <v>13</v>
      </c>
      <c r="F231" t="s">
        <v>10353</v>
      </c>
      <c r="G231" t="b">
        <v>0</v>
      </c>
      <c r="H231">
        <v>3</v>
      </c>
    </row>
    <row r="232" spans="1:8">
      <c r="A232" t="s">
        <v>1343</v>
      </c>
      <c r="B232" s="4">
        <v>45299</v>
      </c>
      <c r="C232">
        <v>2024</v>
      </c>
      <c r="D232">
        <v>1</v>
      </c>
      <c r="E232">
        <v>8</v>
      </c>
      <c r="F232" t="s">
        <v>10356</v>
      </c>
      <c r="G232" t="b">
        <v>0</v>
      </c>
      <c r="H232">
        <v>1</v>
      </c>
    </row>
    <row r="233" spans="1:8">
      <c r="A233" t="s">
        <v>1348</v>
      </c>
      <c r="B233" s="4">
        <v>45364</v>
      </c>
      <c r="C233">
        <v>2024</v>
      </c>
      <c r="D233">
        <v>3</v>
      </c>
      <c r="E233">
        <v>13</v>
      </c>
      <c r="F233" t="s">
        <v>10351</v>
      </c>
      <c r="G233" t="b">
        <v>0</v>
      </c>
      <c r="H233">
        <v>1</v>
      </c>
    </row>
    <row r="234" spans="1:8">
      <c r="A234" t="s">
        <v>1353</v>
      </c>
      <c r="B234" s="4">
        <v>46016</v>
      </c>
      <c r="C234">
        <v>2025</v>
      </c>
      <c r="D234">
        <v>12</v>
      </c>
      <c r="E234">
        <v>25</v>
      </c>
      <c r="F234" t="s">
        <v>10350</v>
      </c>
      <c r="G234" t="b">
        <v>0</v>
      </c>
      <c r="H234">
        <v>4</v>
      </c>
    </row>
    <row r="235" spans="1:8">
      <c r="A235" t="s">
        <v>1358</v>
      </c>
      <c r="B235" s="4">
        <v>45938</v>
      </c>
      <c r="C235">
        <v>2025</v>
      </c>
      <c r="D235">
        <v>10</v>
      </c>
      <c r="E235">
        <v>8</v>
      </c>
      <c r="F235" t="s">
        <v>10351</v>
      </c>
      <c r="G235" t="b">
        <v>0</v>
      </c>
      <c r="H235">
        <v>4</v>
      </c>
    </row>
    <row r="236" spans="1:8">
      <c r="A236" t="s">
        <v>1364</v>
      </c>
      <c r="B236" s="4">
        <v>45352</v>
      </c>
      <c r="C236">
        <v>2024</v>
      </c>
      <c r="D236">
        <v>3</v>
      </c>
      <c r="E236">
        <v>1</v>
      </c>
      <c r="F236" t="s">
        <v>10352</v>
      </c>
      <c r="G236" t="b">
        <v>0</v>
      </c>
      <c r="H236">
        <v>1</v>
      </c>
    </row>
    <row r="237" spans="1:8">
      <c r="A237" t="s">
        <v>1370</v>
      </c>
      <c r="B237" s="4">
        <v>45526</v>
      </c>
      <c r="C237">
        <v>2024</v>
      </c>
      <c r="D237">
        <v>8</v>
      </c>
      <c r="E237">
        <v>22</v>
      </c>
      <c r="F237" t="s">
        <v>10350</v>
      </c>
      <c r="G237" t="b">
        <v>0</v>
      </c>
      <c r="H237">
        <v>3</v>
      </c>
    </row>
    <row r="238" spans="1:8">
      <c r="A238" t="s">
        <v>1375</v>
      </c>
      <c r="B238" s="4">
        <v>45361</v>
      </c>
      <c r="C238">
        <v>2024</v>
      </c>
      <c r="D238">
        <v>3</v>
      </c>
      <c r="E238">
        <v>10</v>
      </c>
      <c r="F238" t="s">
        <v>10355</v>
      </c>
      <c r="G238" t="b">
        <v>1</v>
      </c>
      <c r="H238">
        <v>1</v>
      </c>
    </row>
    <row r="239" spans="1:8">
      <c r="A239" t="s">
        <v>1380</v>
      </c>
      <c r="B239" s="4">
        <v>45324</v>
      </c>
      <c r="C239">
        <v>2024</v>
      </c>
      <c r="D239">
        <v>2</v>
      </c>
      <c r="E239">
        <v>2</v>
      </c>
      <c r="F239" t="s">
        <v>10352</v>
      </c>
      <c r="G239" t="b">
        <v>0</v>
      </c>
      <c r="H239">
        <v>1</v>
      </c>
    </row>
    <row r="240" spans="1:8">
      <c r="A240" t="s">
        <v>1386</v>
      </c>
      <c r="B240" s="4">
        <v>45630</v>
      </c>
      <c r="C240">
        <v>2024</v>
      </c>
      <c r="D240">
        <v>12</v>
      </c>
      <c r="E240">
        <v>4</v>
      </c>
      <c r="F240" t="s">
        <v>10351</v>
      </c>
      <c r="G240" t="b">
        <v>0</v>
      </c>
      <c r="H240">
        <v>4</v>
      </c>
    </row>
    <row r="241" spans="1:8">
      <c r="A241" t="s">
        <v>1391</v>
      </c>
      <c r="B241" s="4">
        <v>45364</v>
      </c>
      <c r="C241">
        <v>2024</v>
      </c>
      <c r="D241">
        <v>3</v>
      </c>
      <c r="E241">
        <v>13</v>
      </c>
      <c r="F241" t="s">
        <v>10351</v>
      </c>
      <c r="G241" t="b">
        <v>0</v>
      </c>
      <c r="H241">
        <v>1</v>
      </c>
    </row>
    <row r="242" spans="1:8">
      <c r="A242" t="s">
        <v>1396</v>
      </c>
      <c r="B242" s="4">
        <v>45818</v>
      </c>
      <c r="C242">
        <v>2025</v>
      </c>
      <c r="D242">
        <v>6</v>
      </c>
      <c r="E242">
        <v>10</v>
      </c>
      <c r="F242" t="s">
        <v>10353</v>
      </c>
      <c r="G242" t="b">
        <v>0</v>
      </c>
      <c r="H242">
        <v>2</v>
      </c>
    </row>
    <row r="243" spans="1:8">
      <c r="A243" t="s">
        <v>1402</v>
      </c>
      <c r="B243" s="4">
        <v>45535</v>
      </c>
      <c r="C243">
        <v>2024</v>
      </c>
      <c r="D243">
        <v>8</v>
      </c>
      <c r="E243">
        <v>31</v>
      </c>
      <c r="F243" t="s">
        <v>10354</v>
      </c>
      <c r="G243" t="b">
        <v>1</v>
      </c>
      <c r="H243">
        <v>3</v>
      </c>
    </row>
    <row r="244" spans="1:8">
      <c r="A244" t="s">
        <v>1407</v>
      </c>
      <c r="B244" s="4">
        <v>45577</v>
      </c>
      <c r="C244">
        <v>2024</v>
      </c>
      <c r="D244">
        <v>10</v>
      </c>
      <c r="E244">
        <v>12</v>
      </c>
      <c r="F244" t="s">
        <v>10354</v>
      </c>
      <c r="G244" t="b">
        <v>1</v>
      </c>
      <c r="H244">
        <v>4</v>
      </c>
    </row>
    <row r="245" spans="1:8">
      <c r="A245" t="s">
        <v>1412</v>
      </c>
      <c r="B245" s="4">
        <v>45977</v>
      </c>
      <c r="C245">
        <v>2025</v>
      </c>
      <c r="D245">
        <v>11</v>
      </c>
      <c r="E245">
        <v>16</v>
      </c>
      <c r="F245" t="s">
        <v>10355</v>
      </c>
      <c r="G245" t="b">
        <v>1</v>
      </c>
      <c r="H245">
        <v>4</v>
      </c>
    </row>
    <row r="246" spans="1:8">
      <c r="A246" t="s">
        <v>1417</v>
      </c>
      <c r="B246" s="4">
        <v>45789</v>
      </c>
      <c r="C246">
        <v>2025</v>
      </c>
      <c r="D246">
        <v>5</v>
      </c>
      <c r="E246">
        <v>12</v>
      </c>
      <c r="F246" t="s">
        <v>10356</v>
      </c>
      <c r="G246" t="b">
        <v>0</v>
      </c>
      <c r="H246">
        <v>2</v>
      </c>
    </row>
    <row r="247" spans="1:8">
      <c r="A247" t="s">
        <v>1423</v>
      </c>
      <c r="B247" s="4">
        <v>45511</v>
      </c>
      <c r="C247">
        <v>2024</v>
      </c>
      <c r="D247">
        <v>8</v>
      </c>
      <c r="E247">
        <v>7</v>
      </c>
      <c r="F247" t="s">
        <v>10351</v>
      </c>
      <c r="G247" t="b">
        <v>0</v>
      </c>
      <c r="H247">
        <v>3</v>
      </c>
    </row>
    <row r="248" spans="1:8">
      <c r="A248" t="s">
        <v>1428</v>
      </c>
      <c r="B248" s="4">
        <v>45844</v>
      </c>
      <c r="C248">
        <v>2025</v>
      </c>
      <c r="D248">
        <v>7</v>
      </c>
      <c r="E248">
        <v>6</v>
      </c>
      <c r="F248" t="s">
        <v>10355</v>
      </c>
      <c r="G248" t="b">
        <v>1</v>
      </c>
      <c r="H248">
        <v>3</v>
      </c>
    </row>
    <row r="249" spans="1:8">
      <c r="A249" t="s">
        <v>1434</v>
      </c>
      <c r="B249" s="4">
        <v>45427</v>
      </c>
      <c r="C249">
        <v>2024</v>
      </c>
      <c r="D249">
        <v>5</v>
      </c>
      <c r="E249">
        <v>15</v>
      </c>
      <c r="F249" t="s">
        <v>10351</v>
      </c>
      <c r="G249" t="b">
        <v>0</v>
      </c>
      <c r="H249">
        <v>2</v>
      </c>
    </row>
    <row r="250" spans="1:8">
      <c r="A250" t="s">
        <v>1439</v>
      </c>
      <c r="B250" s="4">
        <v>45876</v>
      </c>
      <c r="C250">
        <v>2025</v>
      </c>
      <c r="D250">
        <v>8</v>
      </c>
      <c r="E250">
        <v>7</v>
      </c>
      <c r="F250" t="s">
        <v>10350</v>
      </c>
      <c r="G250" t="b">
        <v>0</v>
      </c>
      <c r="H250">
        <v>3</v>
      </c>
    </row>
    <row r="251" spans="1:8">
      <c r="A251" t="s">
        <v>1444</v>
      </c>
      <c r="B251" s="4">
        <v>45882</v>
      </c>
      <c r="C251">
        <v>2025</v>
      </c>
      <c r="D251">
        <v>8</v>
      </c>
      <c r="E251">
        <v>13</v>
      </c>
      <c r="F251" t="s">
        <v>10351</v>
      </c>
      <c r="G251" t="b">
        <v>0</v>
      </c>
      <c r="H251">
        <v>3</v>
      </c>
    </row>
    <row r="252" spans="1:8">
      <c r="A252" t="s">
        <v>1450</v>
      </c>
      <c r="B252" s="4">
        <v>45776</v>
      </c>
      <c r="C252">
        <v>2025</v>
      </c>
      <c r="D252">
        <v>4</v>
      </c>
      <c r="E252">
        <v>29</v>
      </c>
      <c r="F252" t="s">
        <v>10353</v>
      </c>
      <c r="G252" t="b">
        <v>0</v>
      </c>
      <c r="H252">
        <v>2</v>
      </c>
    </row>
    <row r="253" spans="1:8">
      <c r="A253" t="s">
        <v>1456</v>
      </c>
      <c r="B253" s="4">
        <v>45540</v>
      </c>
      <c r="C253">
        <v>2024</v>
      </c>
      <c r="D253">
        <v>9</v>
      </c>
      <c r="E253">
        <v>5</v>
      </c>
      <c r="F253" t="s">
        <v>10350</v>
      </c>
      <c r="G253" t="b">
        <v>0</v>
      </c>
      <c r="H253">
        <v>3</v>
      </c>
    </row>
    <row r="254" spans="1:8">
      <c r="A254" t="s">
        <v>1461</v>
      </c>
      <c r="B254" s="4">
        <v>45776</v>
      </c>
      <c r="C254">
        <v>2025</v>
      </c>
      <c r="D254">
        <v>4</v>
      </c>
      <c r="E254">
        <v>29</v>
      </c>
      <c r="F254" t="s">
        <v>10353</v>
      </c>
      <c r="G254" t="b">
        <v>0</v>
      </c>
      <c r="H254">
        <v>2</v>
      </c>
    </row>
    <row r="255" spans="1:8">
      <c r="A255" t="s">
        <v>1467</v>
      </c>
      <c r="B255" s="4">
        <v>45708</v>
      </c>
      <c r="C255">
        <v>2025</v>
      </c>
      <c r="D255">
        <v>2</v>
      </c>
      <c r="E255">
        <v>20</v>
      </c>
      <c r="F255" t="s">
        <v>10350</v>
      </c>
      <c r="G255" t="b">
        <v>0</v>
      </c>
      <c r="H255">
        <v>1</v>
      </c>
    </row>
    <row r="256" spans="1:8">
      <c r="A256" t="s">
        <v>1473</v>
      </c>
      <c r="B256" s="4">
        <v>45486</v>
      </c>
      <c r="C256">
        <v>2024</v>
      </c>
      <c r="D256">
        <v>7</v>
      </c>
      <c r="E256">
        <v>13</v>
      </c>
      <c r="F256" t="s">
        <v>10354</v>
      </c>
      <c r="G256" t="b">
        <v>1</v>
      </c>
      <c r="H256">
        <v>3</v>
      </c>
    </row>
    <row r="257" spans="1:8">
      <c r="A257" t="s">
        <v>1479</v>
      </c>
      <c r="B257" s="4">
        <v>45388</v>
      </c>
      <c r="C257">
        <v>2024</v>
      </c>
      <c r="D257">
        <v>4</v>
      </c>
      <c r="E257">
        <v>6</v>
      </c>
      <c r="F257" t="s">
        <v>10354</v>
      </c>
      <c r="G257" t="b">
        <v>1</v>
      </c>
      <c r="H257">
        <v>2</v>
      </c>
    </row>
    <row r="258" spans="1:8">
      <c r="A258" t="s">
        <v>1485</v>
      </c>
      <c r="B258" s="4">
        <v>45391</v>
      </c>
      <c r="C258">
        <v>2024</v>
      </c>
      <c r="D258">
        <v>4</v>
      </c>
      <c r="E258">
        <v>9</v>
      </c>
      <c r="F258" t="s">
        <v>10353</v>
      </c>
      <c r="G258" t="b">
        <v>0</v>
      </c>
      <c r="H258">
        <v>2</v>
      </c>
    </row>
    <row r="259" spans="1:8">
      <c r="A259" t="s">
        <v>1490</v>
      </c>
      <c r="B259" s="4">
        <v>45966</v>
      </c>
      <c r="C259">
        <v>2025</v>
      </c>
      <c r="D259">
        <v>11</v>
      </c>
      <c r="E259">
        <v>5</v>
      </c>
      <c r="F259" t="s">
        <v>10351</v>
      </c>
      <c r="G259" t="b">
        <v>0</v>
      </c>
      <c r="H259">
        <v>4</v>
      </c>
    </row>
    <row r="260" spans="1:8">
      <c r="A260" t="s">
        <v>1495</v>
      </c>
      <c r="B260" s="4">
        <v>45733</v>
      </c>
      <c r="C260">
        <v>2025</v>
      </c>
      <c r="D260">
        <v>3</v>
      </c>
      <c r="E260">
        <v>17</v>
      </c>
      <c r="F260" t="s">
        <v>10356</v>
      </c>
      <c r="G260" t="b">
        <v>0</v>
      </c>
      <c r="H260">
        <v>1</v>
      </c>
    </row>
    <row r="261" spans="1:8">
      <c r="A261" t="s">
        <v>1501</v>
      </c>
      <c r="B261" s="4">
        <v>45654</v>
      </c>
      <c r="C261">
        <v>2024</v>
      </c>
      <c r="D261">
        <v>12</v>
      </c>
      <c r="E261">
        <v>28</v>
      </c>
      <c r="F261" t="s">
        <v>10354</v>
      </c>
      <c r="G261" t="b">
        <v>1</v>
      </c>
      <c r="H261">
        <v>4</v>
      </c>
    </row>
    <row r="262" spans="1:8">
      <c r="A262" t="s">
        <v>1506</v>
      </c>
      <c r="B262" s="4">
        <v>45725</v>
      </c>
      <c r="C262">
        <v>2025</v>
      </c>
      <c r="D262">
        <v>3</v>
      </c>
      <c r="E262">
        <v>9</v>
      </c>
      <c r="F262" t="s">
        <v>10355</v>
      </c>
      <c r="G262" t="b">
        <v>1</v>
      </c>
      <c r="H262">
        <v>1</v>
      </c>
    </row>
    <row r="263" spans="1:8">
      <c r="A263" t="s">
        <v>1511</v>
      </c>
      <c r="B263" s="4">
        <v>45712</v>
      </c>
      <c r="C263">
        <v>2025</v>
      </c>
      <c r="D263">
        <v>2</v>
      </c>
      <c r="E263">
        <v>24</v>
      </c>
      <c r="F263" t="s">
        <v>10356</v>
      </c>
      <c r="G263" t="b">
        <v>0</v>
      </c>
      <c r="H263">
        <v>1</v>
      </c>
    </row>
    <row r="264" spans="1:8">
      <c r="A264" t="s">
        <v>1516</v>
      </c>
      <c r="B264" s="4">
        <v>45770</v>
      </c>
      <c r="C264">
        <v>2025</v>
      </c>
      <c r="D264">
        <v>4</v>
      </c>
      <c r="E264">
        <v>23</v>
      </c>
      <c r="F264" t="s">
        <v>10351</v>
      </c>
      <c r="G264" t="b">
        <v>0</v>
      </c>
      <c r="H264">
        <v>2</v>
      </c>
    </row>
    <row r="265" spans="1:8">
      <c r="A265" t="s">
        <v>1521</v>
      </c>
      <c r="B265" s="4">
        <v>45347</v>
      </c>
      <c r="C265">
        <v>2024</v>
      </c>
      <c r="D265">
        <v>2</v>
      </c>
      <c r="E265">
        <v>25</v>
      </c>
      <c r="F265" t="s">
        <v>10355</v>
      </c>
      <c r="G265" t="b">
        <v>1</v>
      </c>
      <c r="H265">
        <v>1</v>
      </c>
    </row>
    <row r="266" spans="1:8">
      <c r="A266" t="s">
        <v>1526</v>
      </c>
      <c r="B266" s="4">
        <v>45981</v>
      </c>
      <c r="C266">
        <v>2025</v>
      </c>
      <c r="D266">
        <v>11</v>
      </c>
      <c r="E266">
        <v>20</v>
      </c>
      <c r="F266" t="s">
        <v>10350</v>
      </c>
      <c r="G266" t="b">
        <v>0</v>
      </c>
      <c r="H266">
        <v>4</v>
      </c>
    </row>
    <row r="267" spans="1:8">
      <c r="A267" t="s">
        <v>1531</v>
      </c>
      <c r="B267" s="4">
        <v>45961</v>
      </c>
      <c r="C267">
        <v>2025</v>
      </c>
      <c r="D267">
        <v>10</v>
      </c>
      <c r="E267">
        <v>31</v>
      </c>
      <c r="F267" t="s">
        <v>10352</v>
      </c>
      <c r="G267" t="b">
        <v>0</v>
      </c>
      <c r="H267">
        <v>4</v>
      </c>
    </row>
    <row r="268" spans="1:8">
      <c r="A268" t="s">
        <v>1536</v>
      </c>
      <c r="B268" s="4">
        <v>45953</v>
      </c>
      <c r="C268">
        <v>2025</v>
      </c>
      <c r="D268">
        <v>10</v>
      </c>
      <c r="E268">
        <v>23</v>
      </c>
      <c r="F268" t="s">
        <v>10350</v>
      </c>
      <c r="G268" t="b">
        <v>0</v>
      </c>
      <c r="H268">
        <v>4</v>
      </c>
    </row>
    <row r="269" spans="1:8">
      <c r="A269" t="s">
        <v>1542</v>
      </c>
      <c r="B269" s="4">
        <v>45392</v>
      </c>
      <c r="C269">
        <v>2024</v>
      </c>
      <c r="D269">
        <v>4</v>
      </c>
      <c r="E269">
        <v>10</v>
      </c>
      <c r="F269" t="s">
        <v>10351</v>
      </c>
      <c r="G269" t="b">
        <v>0</v>
      </c>
      <c r="H269">
        <v>2</v>
      </c>
    </row>
    <row r="270" spans="1:8">
      <c r="A270" t="s">
        <v>1548</v>
      </c>
      <c r="B270" s="4">
        <v>45354</v>
      </c>
      <c r="C270">
        <v>2024</v>
      </c>
      <c r="D270">
        <v>3</v>
      </c>
      <c r="E270">
        <v>3</v>
      </c>
      <c r="F270" t="s">
        <v>10355</v>
      </c>
      <c r="G270" t="b">
        <v>1</v>
      </c>
      <c r="H270">
        <v>1</v>
      </c>
    </row>
    <row r="271" spans="1:8">
      <c r="A271" t="s">
        <v>1554</v>
      </c>
      <c r="B271" s="4">
        <v>45704</v>
      </c>
      <c r="C271">
        <v>2025</v>
      </c>
      <c r="D271">
        <v>2</v>
      </c>
      <c r="E271">
        <v>16</v>
      </c>
      <c r="F271" t="s">
        <v>10355</v>
      </c>
      <c r="G271" t="b">
        <v>1</v>
      </c>
      <c r="H271">
        <v>1</v>
      </c>
    </row>
    <row r="272" spans="1:8">
      <c r="A272" t="s">
        <v>1560</v>
      </c>
      <c r="B272" s="4">
        <v>45639</v>
      </c>
      <c r="C272">
        <v>2024</v>
      </c>
      <c r="D272">
        <v>12</v>
      </c>
      <c r="E272">
        <v>13</v>
      </c>
      <c r="F272" t="s">
        <v>10352</v>
      </c>
      <c r="G272" t="b">
        <v>0</v>
      </c>
      <c r="H272">
        <v>4</v>
      </c>
    </row>
    <row r="273" spans="1:8">
      <c r="A273" t="s">
        <v>1565</v>
      </c>
      <c r="B273" s="4">
        <v>45403</v>
      </c>
      <c r="C273">
        <v>2024</v>
      </c>
      <c r="D273">
        <v>4</v>
      </c>
      <c r="E273">
        <v>21</v>
      </c>
      <c r="F273" t="s">
        <v>10355</v>
      </c>
      <c r="G273" t="b">
        <v>1</v>
      </c>
      <c r="H273">
        <v>2</v>
      </c>
    </row>
    <row r="274" spans="1:8">
      <c r="A274" t="s">
        <v>1571</v>
      </c>
      <c r="B274" s="4">
        <v>45546</v>
      </c>
      <c r="C274">
        <v>2024</v>
      </c>
      <c r="D274">
        <v>9</v>
      </c>
      <c r="E274">
        <v>11</v>
      </c>
      <c r="F274" t="s">
        <v>10351</v>
      </c>
      <c r="G274" t="b">
        <v>0</v>
      </c>
      <c r="H274">
        <v>3</v>
      </c>
    </row>
    <row r="275" spans="1:8">
      <c r="A275" t="s">
        <v>1576</v>
      </c>
      <c r="B275" s="4">
        <v>45488</v>
      </c>
      <c r="C275">
        <v>2024</v>
      </c>
      <c r="D275">
        <v>7</v>
      </c>
      <c r="E275">
        <v>15</v>
      </c>
      <c r="F275" t="s">
        <v>10356</v>
      </c>
      <c r="G275" t="b">
        <v>0</v>
      </c>
      <c r="H275">
        <v>3</v>
      </c>
    </row>
    <row r="276" spans="1:8">
      <c r="A276" t="s">
        <v>1581</v>
      </c>
      <c r="B276" s="4">
        <v>45486</v>
      </c>
      <c r="C276">
        <v>2024</v>
      </c>
      <c r="D276">
        <v>7</v>
      </c>
      <c r="E276">
        <v>13</v>
      </c>
      <c r="F276" t="s">
        <v>10354</v>
      </c>
      <c r="G276" t="b">
        <v>1</v>
      </c>
      <c r="H276">
        <v>3</v>
      </c>
    </row>
    <row r="277" spans="1:8">
      <c r="A277" t="s">
        <v>1586</v>
      </c>
      <c r="B277" s="4">
        <v>45841</v>
      </c>
      <c r="C277">
        <v>2025</v>
      </c>
      <c r="D277">
        <v>7</v>
      </c>
      <c r="E277">
        <v>3</v>
      </c>
      <c r="F277" t="s">
        <v>10350</v>
      </c>
      <c r="G277" t="b">
        <v>0</v>
      </c>
      <c r="H277">
        <v>3</v>
      </c>
    </row>
    <row r="278" spans="1:8">
      <c r="A278" t="s">
        <v>1591</v>
      </c>
      <c r="B278" s="4">
        <v>45751</v>
      </c>
      <c r="C278">
        <v>2025</v>
      </c>
      <c r="D278">
        <v>4</v>
      </c>
      <c r="E278">
        <v>4</v>
      </c>
      <c r="F278" t="s">
        <v>10352</v>
      </c>
      <c r="G278" t="b">
        <v>0</v>
      </c>
      <c r="H278">
        <v>2</v>
      </c>
    </row>
    <row r="279" spans="1:8">
      <c r="A279" t="s">
        <v>1597</v>
      </c>
      <c r="B279" s="4">
        <v>45435</v>
      </c>
      <c r="C279">
        <v>2024</v>
      </c>
      <c r="D279">
        <v>5</v>
      </c>
      <c r="E279">
        <v>23</v>
      </c>
      <c r="F279" t="s">
        <v>10350</v>
      </c>
      <c r="G279" t="b">
        <v>0</v>
      </c>
      <c r="H279">
        <v>2</v>
      </c>
    </row>
    <row r="280" spans="1:8">
      <c r="A280" t="s">
        <v>1602</v>
      </c>
      <c r="B280" s="4">
        <v>45724</v>
      </c>
      <c r="C280">
        <v>2025</v>
      </c>
      <c r="D280">
        <v>3</v>
      </c>
      <c r="E280">
        <v>8</v>
      </c>
      <c r="F280" t="s">
        <v>10354</v>
      </c>
      <c r="G280" t="b">
        <v>1</v>
      </c>
      <c r="H280">
        <v>1</v>
      </c>
    </row>
    <row r="281" spans="1:8">
      <c r="A281" t="s">
        <v>1607</v>
      </c>
      <c r="B281" s="4">
        <v>45479</v>
      </c>
      <c r="C281">
        <v>2024</v>
      </c>
      <c r="D281">
        <v>7</v>
      </c>
      <c r="E281">
        <v>6</v>
      </c>
      <c r="F281" t="s">
        <v>10354</v>
      </c>
      <c r="G281" t="b">
        <v>1</v>
      </c>
      <c r="H281">
        <v>3</v>
      </c>
    </row>
    <row r="282" spans="1:8">
      <c r="A282" t="s">
        <v>1613</v>
      </c>
      <c r="B282" s="4">
        <v>45577</v>
      </c>
      <c r="C282">
        <v>2024</v>
      </c>
      <c r="D282">
        <v>10</v>
      </c>
      <c r="E282">
        <v>12</v>
      </c>
      <c r="F282" t="s">
        <v>10354</v>
      </c>
      <c r="G282" t="b">
        <v>1</v>
      </c>
      <c r="H282">
        <v>4</v>
      </c>
    </row>
    <row r="283" spans="1:8">
      <c r="A283" t="s">
        <v>1618</v>
      </c>
      <c r="B283" s="4">
        <v>45765</v>
      </c>
      <c r="C283">
        <v>2025</v>
      </c>
      <c r="D283">
        <v>4</v>
      </c>
      <c r="E283">
        <v>18</v>
      </c>
      <c r="F283" t="s">
        <v>10352</v>
      </c>
      <c r="G283" t="b">
        <v>0</v>
      </c>
      <c r="H283">
        <v>2</v>
      </c>
    </row>
    <row r="284" spans="1:8">
      <c r="A284" t="s">
        <v>1623</v>
      </c>
      <c r="B284" s="4">
        <v>45547</v>
      </c>
      <c r="C284">
        <v>2024</v>
      </c>
      <c r="D284">
        <v>9</v>
      </c>
      <c r="E284">
        <v>12</v>
      </c>
      <c r="F284" t="s">
        <v>10350</v>
      </c>
      <c r="G284" t="b">
        <v>0</v>
      </c>
      <c r="H284">
        <v>3</v>
      </c>
    </row>
    <row r="285" spans="1:8">
      <c r="A285" t="s">
        <v>1629</v>
      </c>
      <c r="B285" s="4">
        <v>45369</v>
      </c>
      <c r="C285">
        <v>2024</v>
      </c>
      <c r="D285">
        <v>3</v>
      </c>
      <c r="E285">
        <v>18</v>
      </c>
      <c r="F285" t="s">
        <v>10356</v>
      </c>
      <c r="G285" t="b">
        <v>0</v>
      </c>
      <c r="H285">
        <v>1</v>
      </c>
    </row>
    <row r="286" spans="1:8">
      <c r="A286" t="s">
        <v>1634</v>
      </c>
      <c r="B286" s="4">
        <v>45745</v>
      </c>
      <c r="C286">
        <v>2025</v>
      </c>
      <c r="D286">
        <v>3</v>
      </c>
      <c r="E286">
        <v>29</v>
      </c>
      <c r="F286" t="s">
        <v>10354</v>
      </c>
      <c r="G286" t="b">
        <v>1</v>
      </c>
      <c r="H286">
        <v>1</v>
      </c>
    </row>
    <row r="287" spans="1:8">
      <c r="A287" t="s">
        <v>1640</v>
      </c>
      <c r="B287" s="4">
        <v>45855</v>
      </c>
      <c r="C287">
        <v>2025</v>
      </c>
      <c r="D287">
        <v>7</v>
      </c>
      <c r="E287">
        <v>17</v>
      </c>
      <c r="F287" t="s">
        <v>10350</v>
      </c>
      <c r="G287" t="b">
        <v>0</v>
      </c>
      <c r="H287">
        <v>3</v>
      </c>
    </row>
    <row r="288" spans="1:8">
      <c r="A288" t="s">
        <v>1646</v>
      </c>
      <c r="B288" s="4">
        <v>45392</v>
      </c>
      <c r="C288">
        <v>2024</v>
      </c>
      <c r="D288">
        <v>4</v>
      </c>
      <c r="E288">
        <v>10</v>
      </c>
      <c r="F288" t="s">
        <v>10351</v>
      </c>
      <c r="G288" t="b">
        <v>0</v>
      </c>
      <c r="H288">
        <v>2</v>
      </c>
    </row>
    <row r="289" spans="1:8">
      <c r="A289" t="s">
        <v>1652</v>
      </c>
      <c r="B289" s="4">
        <v>45343</v>
      </c>
      <c r="C289">
        <v>2024</v>
      </c>
      <c r="D289">
        <v>2</v>
      </c>
      <c r="E289">
        <v>21</v>
      </c>
      <c r="F289" t="s">
        <v>10351</v>
      </c>
      <c r="G289" t="b">
        <v>0</v>
      </c>
      <c r="H289">
        <v>1</v>
      </c>
    </row>
    <row r="290" spans="1:8">
      <c r="A290" t="s">
        <v>1657</v>
      </c>
      <c r="B290" s="4">
        <v>45959</v>
      </c>
      <c r="C290">
        <v>2025</v>
      </c>
      <c r="D290">
        <v>10</v>
      </c>
      <c r="E290">
        <v>29</v>
      </c>
      <c r="F290" t="s">
        <v>10351</v>
      </c>
      <c r="G290" t="b">
        <v>0</v>
      </c>
      <c r="H290">
        <v>4</v>
      </c>
    </row>
    <row r="291" spans="1:8">
      <c r="A291" t="s">
        <v>1663</v>
      </c>
      <c r="B291" s="4">
        <v>45845</v>
      </c>
      <c r="C291">
        <v>2025</v>
      </c>
      <c r="D291">
        <v>7</v>
      </c>
      <c r="E291">
        <v>7</v>
      </c>
      <c r="F291" t="s">
        <v>10356</v>
      </c>
      <c r="G291" t="b">
        <v>0</v>
      </c>
      <c r="H291">
        <v>3</v>
      </c>
    </row>
    <row r="292" spans="1:8">
      <c r="A292" t="s">
        <v>1669</v>
      </c>
      <c r="B292" s="4">
        <v>45307</v>
      </c>
      <c r="C292">
        <v>2024</v>
      </c>
      <c r="D292">
        <v>1</v>
      </c>
      <c r="E292">
        <v>16</v>
      </c>
      <c r="F292" t="s">
        <v>10353</v>
      </c>
      <c r="G292" t="b">
        <v>0</v>
      </c>
      <c r="H292">
        <v>1</v>
      </c>
    </row>
    <row r="293" spans="1:8">
      <c r="A293" t="s">
        <v>1674</v>
      </c>
      <c r="B293" s="4">
        <v>45387</v>
      </c>
      <c r="C293">
        <v>2024</v>
      </c>
      <c r="D293">
        <v>4</v>
      </c>
      <c r="E293">
        <v>5</v>
      </c>
      <c r="F293" t="s">
        <v>10352</v>
      </c>
      <c r="G293" t="b">
        <v>0</v>
      </c>
      <c r="H293">
        <v>2</v>
      </c>
    </row>
    <row r="294" spans="1:8">
      <c r="A294" t="s">
        <v>1679</v>
      </c>
      <c r="B294" s="4">
        <v>45534</v>
      </c>
      <c r="C294">
        <v>2024</v>
      </c>
      <c r="D294">
        <v>8</v>
      </c>
      <c r="E294">
        <v>30</v>
      </c>
      <c r="F294" t="s">
        <v>10352</v>
      </c>
      <c r="G294" t="b">
        <v>0</v>
      </c>
      <c r="H294">
        <v>3</v>
      </c>
    </row>
    <row r="295" spans="1:8">
      <c r="A295" t="s">
        <v>1685</v>
      </c>
      <c r="B295" s="4">
        <v>45462</v>
      </c>
      <c r="C295">
        <v>2024</v>
      </c>
      <c r="D295">
        <v>6</v>
      </c>
      <c r="E295">
        <v>19</v>
      </c>
      <c r="F295" t="s">
        <v>10351</v>
      </c>
      <c r="G295" t="b">
        <v>0</v>
      </c>
      <c r="H295">
        <v>2</v>
      </c>
    </row>
    <row r="296" spans="1:8">
      <c r="A296" t="s">
        <v>1690</v>
      </c>
      <c r="B296" s="4">
        <v>45708</v>
      </c>
      <c r="C296">
        <v>2025</v>
      </c>
      <c r="D296">
        <v>2</v>
      </c>
      <c r="E296">
        <v>20</v>
      </c>
      <c r="F296" t="s">
        <v>10350</v>
      </c>
      <c r="G296" t="b">
        <v>0</v>
      </c>
      <c r="H296">
        <v>1</v>
      </c>
    </row>
    <row r="297" spans="1:8">
      <c r="A297" t="s">
        <v>1696</v>
      </c>
      <c r="B297" s="4">
        <v>45789</v>
      </c>
      <c r="C297">
        <v>2025</v>
      </c>
      <c r="D297">
        <v>5</v>
      </c>
      <c r="E297">
        <v>12</v>
      </c>
      <c r="F297" t="s">
        <v>10356</v>
      </c>
      <c r="G297" t="b">
        <v>0</v>
      </c>
      <c r="H297">
        <v>2</v>
      </c>
    </row>
    <row r="298" spans="1:8">
      <c r="A298" t="s">
        <v>1702</v>
      </c>
      <c r="B298" s="4">
        <v>45784</v>
      </c>
      <c r="C298">
        <v>2025</v>
      </c>
      <c r="D298">
        <v>5</v>
      </c>
      <c r="E298">
        <v>7</v>
      </c>
      <c r="F298" t="s">
        <v>10351</v>
      </c>
      <c r="G298" t="b">
        <v>0</v>
      </c>
      <c r="H298">
        <v>2</v>
      </c>
    </row>
    <row r="299" spans="1:8">
      <c r="A299" t="s">
        <v>1707</v>
      </c>
      <c r="B299" s="4">
        <v>45510</v>
      </c>
      <c r="C299">
        <v>2024</v>
      </c>
      <c r="D299">
        <v>8</v>
      </c>
      <c r="E299">
        <v>6</v>
      </c>
      <c r="F299" t="s">
        <v>10353</v>
      </c>
      <c r="G299" t="b">
        <v>0</v>
      </c>
      <c r="H299">
        <v>3</v>
      </c>
    </row>
    <row r="300" spans="1:8">
      <c r="A300" t="s">
        <v>1713</v>
      </c>
      <c r="B300" s="4">
        <v>45702</v>
      </c>
      <c r="C300">
        <v>2025</v>
      </c>
      <c r="D300">
        <v>2</v>
      </c>
      <c r="E300">
        <v>14</v>
      </c>
      <c r="F300" t="s">
        <v>10352</v>
      </c>
      <c r="G300" t="b">
        <v>0</v>
      </c>
      <c r="H300">
        <v>1</v>
      </c>
    </row>
    <row r="301" spans="1:8">
      <c r="A301" t="s">
        <v>1718</v>
      </c>
      <c r="B301" s="4">
        <v>45352</v>
      </c>
      <c r="C301">
        <v>2024</v>
      </c>
      <c r="D301">
        <v>3</v>
      </c>
      <c r="E301">
        <v>1</v>
      </c>
      <c r="F301" t="s">
        <v>10352</v>
      </c>
      <c r="G301" t="b">
        <v>0</v>
      </c>
      <c r="H301">
        <v>1</v>
      </c>
    </row>
    <row r="302" spans="1:8">
      <c r="A302" t="s">
        <v>1723</v>
      </c>
      <c r="B302" s="4">
        <v>45460</v>
      </c>
      <c r="C302">
        <v>2024</v>
      </c>
      <c r="D302">
        <v>6</v>
      </c>
      <c r="E302">
        <v>17</v>
      </c>
      <c r="F302" t="s">
        <v>10356</v>
      </c>
      <c r="G302" t="b">
        <v>0</v>
      </c>
      <c r="H302">
        <v>2</v>
      </c>
    </row>
    <row r="303" spans="1:8">
      <c r="A303" t="s">
        <v>1728</v>
      </c>
      <c r="B303" s="4">
        <v>45680</v>
      </c>
      <c r="C303">
        <v>2025</v>
      </c>
      <c r="D303">
        <v>1</v>
      </c>
      <c r="E303">
        <v>23</v>
      </c>
      <c r="F303" t="s">
        <v>10350</v>
      </c>
      <c r="G303" t="b">
        <v>0</v>
      </c>
      <c r="H303">
        <v>1</v>
      </c>
    </row>
    <row r="304" spans="1:8">
      <c r="A304" t="s">
        <v>1733</v>
      </c>
      <c r="B304" s="4">
        <v>45294</v>
      </c>
      <c r="C304">
        <v>2024</v>
      </c>
      <c r="D304">
        <v>1</v>
      </c>
      <c r="E304">
        <v>3</v>
      </c>
      <c r="F304" t="s">
        <v>10351</v>
      </c>
      <c r="G304" t="b">
        <v>0</v>
      </c>
      <c r="H304">
        <v>1</v>
      </c>
    </row>
    <row r="305" spans="1:8">
      <c r="A305" t="s">
        <v>1738</v>
      </c>
      <c r="B305" s="4">
        <v>45691</v>
      </c>
      <c r="C305">
        <v>2025</v>
      </c>
      <c r="D305">
        <v>2</v>
      </c>
      <c r="E305">
        <v>3</v>
      </c>
      <c r="F305" t="s">
        <v>10356</v>
      </c>
      <c r="G305" t="b">
        <v>0</v>
      </c>
      <c r="H305">
        <v>1</v>
      </c>
    </row>
    <row r="306" spans="1:8">
      <c r="A306" t="s">
        <v>1743</v>
      </c>
      <c r="B306" s="4">
        <v>45563</v>
      </c>
      <c r="C306">
        <v>2024</v>
      </c>
      <c r="D306">
        <v>9</v>
      </c>
      <c r="E306">
        <v>28</v>
      </c>
      <c r="F306" t="s">
        <v>10354</v>
      </c>
      <c r="G306" t="b">
        <v>1</v>
      </c>
      <c r="H306">
        <v>3</v>
      </c>
    </row>
    <row r="307" spans="1:8">
      <c r="A307" t="s">
        <v>1748</v>
      </c>
      <c r="B307" s="4">
        <v>45757</v>
      </c>
      <c r="C307">
        <v>2025</v>
      </c>
      <c r="D307">
        <v>4</v>
      </c>
      <c r="E307">
        <v>10</v>
      </c>
      <c r="F307" t="s">
        <v>10350</v>
      </c>
      <c r="G307" t="b">
        <v>0</v>
      </c>
      <c r="H307">
        <v>2</v>
      </c>
    </row>
    <row r="308" spans="1:8">
      <c r="A308" t="s">
        <v>1754</v>
      </c>
      <c r="B308" s="4">
        <v>45584</v>
      </c>
      <c r="C308">
        <v>2024</v>
      </c>
      <c r="D308">
        <v>10</v>
      </c>
      <c r="E308">
        <v>19</v>
      </c>
      <c r="F308" t="s">
        <v>10354</v>
      </c>
      <c r="G308" t="b">
        <v>1</v>
      </c>
      <c r="H308">
        <v>4</v>
      </c>
    </row>
    <row r="309" spans="1:8">
      <c r="A309" t="s">
        <v>1760</v>
      </c>
      <c r="B309" s="4">
        <v>45725</v>
      </c>
      <c r="C309">
        <v>2025</v>
      </c>
      <c r="D309">
        <v>3</v>
      </c>
      <c r="E309">
        <v>9</v>
      </c>
      <c r="F309" t="s">
        <v>10355</v>
      </c>
      <c r="G309" t="b">
        <v>1</v>
      </c>
      <c r="H309">
        <v>1</v>
      </c>
    </row>
    <row r="310" spans="1:8">
      <c r="A310" t="s">
        <v>1766</v>
      </c>
      <c r="B310" s="4">
        <v>46005</v>
      </c>
      <c r="C310">
        <v>2025</v>
      </c>
      <c r="D310">
        <v>12</v>
      </c>
      <c r="E310">
        <v>14</v>
      </c>
      <c r="F310" t="s">
        <v>10355</v>
      </c>
      <c r="G310" t="b">
        <v>1</v>
      </c>
      <c r="H310">
        <v>4</v>
      </c>
    </row>
    <row r="311" spans="1:8">
      <c r="A311" t="s">
        <v>1771</v>
      </c>
      <c r="B311" s="4">
        <v>45861</v>
      </c>
      <c r="C311">
        <v>2025</v>
      </c>
      <c r="D311">
        <v>7</v>
      </c>
      <c r="E311">
        <v>23</v>
      </c>
      <c r="F311" t="s">
        <v>10351</v>
      </c>
      <c r="G311" t="b">
        <v>0</v>
      </c>
      <c r="H311">
        <v>3</v>
      </c>
    </row>
    <row r="312" spans="1:8">
      <c r="A312" t="s">
        <v>1776</v>
      </c>
      <c r="B312" s="4">
        <v>45969</v>
      </c>
      <c r="C312">
        <v>2025</v>
      </c>
      <c r="D312">
        <v>11</v>
      </c>
      <c r="E312">
        <v>8</v>
      </c>
      <c r="F312" t="s">
        <v>10354</v>
      </c>
      <c r="G312" t="b">
        <v>1</v>
      </c>
      <c r="H312">
        <v>4</v>
      </c>
    </row>
    <row r="313" spans="1:8">
      <c r="A313" t="s">
        <v>1781</v>
      </c>
      <c r="B313" s="4">
        <v>45790</v>
      </c>
      <c r="C313">
        <v>2025</v>
      </c>
      <c r="D313">
        <v>5</v>
      </c>
      <c r="E313">
        <v>13</v>
      </c>
      <c r="F313" t="s">
        <v>10353</v>
      </c>
      <c r="G313" t="b">
        <v>0</v>
      </c>
      <c r="H313">
        <v>2</v>
      </c>
    </row>
    <row r="314" spans="1:8">
      <c r="A314" t="s">
        <v>1786</v>
      </c>
      <c r="B314" s="4">
        <v>45450</v>
      </c>
      <c r="C314">
        <v>2024</v>
      </c>
      <c r="D314">
        <v>6</v>
      </c>
      <c r="E314">
        <v>7</v>
      </c>
      <c r="F314" t="s">
        <v>10352</v>
      </c>
      <c r="G314" t="b">
        <v>0</v>
      </c>
      <c r="H314">
        <v>2</v>
      </c>
    </row>
    <row r="315" spans="1:8">
      <c r="A315" t="s">
        <v>1791</v>
      </c>
      <c r="B315" s="4">
        <v>45486</v>
      </c>
      <c r="C315">
        <v>2024</v>
      </c>
      <c r="D315">
        <v>7</v>
      </c>
      <c r="E315">
        <v>13</v>
      </c>
      <c r="F315" t="s">
        <v>10354</v>
      </c>
      <c r="G315" t="b">
        <v>1</v>
      </c>
      <c r="H315">
        <v>3</v>
      </c>
    </row>
    <row r="316" spans="1:8">
      <c r="A316" t="s">
        <v>1797</v>
      </c>
      <c r="B316" s="4">
        <v>45595</v>
      </c>
      <c r="C316">
        <v>2024</v>
      </c>
      <c r="D316">
        <v>10</v>
      </c>
      <c r="E316">
        <v>30</v>
      </c>
      <c r="F316" t="s">
        <v>10351</v>
      </c>
      <c r="G316" t="b">
        <v>0</v>
      </c>
      <c r="H316">
        <v>4</v>
      </c>
    </row>
    <row r="317" spans="1:8">
      <c r="A317" t="s">
        <v>1802</v>
      </c>
      <c r="B317" s="4">
        <v>45514</v>
      </c>
      <c r="C317">
        <v>2024</v>
      </c>
      <c r="D317">
        <v>8</v>
      </c>
      <c r="E317">
        <v>10</v>
      </c>
      <c r="F317" t="s">
        <v>10354</v>
      </c>
      <c r="G317" t="b">
        <v>1</v>
      </c>
      <c r="H317">
        <v>3</v>
      </c>
    </row>
    <row r="318" spans="1:8">
      <c r="A318" t="s">
        <v>1807</v>
      </c>
      <c r="B318" s="4">
        <v>45351</v>
      </c>
      <c r="C318">
        <v>2024</v>
      </c>
      <c r="D318">
        <v>2</v>
      </c>
      <c r="E318">
        <v>29</v>
      </c>
      <c r="F318" t="s">
        <v>10350</v>
      </c>
      <c r="G318" t="b">
        <v>0</v>
      </c>
      <c r="H318">
        <v>1</v>
      </c>
    </row>
    <row r="319" spans="1:8">
      <c r="A319" t="s">
        <v>1813</v>
      </c>
      <c r="B319" s="4">
        <v>45885</v>
      </c>
      <c r="C319">
        <v>2025</v>
      </c>
      <c r="D319">
        <v>8</v>
      </c>
      <c r="E319">
        <v>16</v>
      </c>
      <c r="F319" t="s">
        <v>10354</v>
      </c>
      <c r="G319" t="b">
        <v>1</v>
      </c>
      <c r="H319">
        <v>3</v>
      </c>
    </row>
    <row r="320" spans="1:8">
      <c r="A320" t="s">
        <v>1818</v>
      </c>
      <c r="B320" s="4">
        <v>45847</v>
      </c>
      <c r="C320">
        <v>2025</v>
      </c>
      <c r="D320">
        <v>7</v>
      </c>
      <c r="E320">
        <v>9</v>
      </c>
      <c r="F320" t="s">
        <v>10351</v>
      </c>
      <c r="G320" t="b">
        <v>0</v>
      </c>
      <c r="H320">
        <v>3</v>
      </c>
    </row>
    <row r="321" spans="1:8">
      <c r="A321" t="s">
        <v>1823</v>
      </c>
      <c r="B321" s="4">
        <v>45354</v>
      </c>
      <c r="C321">
        <v>2024</v>
      </c>
      <c r="D321">
        <v>3</v>
      </c>
      <c r="E321">
        <v>3</v>
      </c>
      <c r="F321" t="s">
        <v>10355</v>
      </c>
      <c r="G321" t="b">
        <v>1</v>
      </c>
      <c r="H321">
        <v>1</v>
      </c>
    </row>
    <row r="322" spans="1:8">
      <c r="A322" t="s">
        <v>1829</v>
      </c>
      <c r="B322" s="4">
        <v>45613</v>
      </c>
      <c r="C322">
        <v>2024</v>
      </c>
      <c r="D322">
        <v>11</v>
      </c>
      <c r="E322">
        <v>17</v>
      </c>
      <c r="F322" t="s">
        <v>10355</v>
      </c>
      <c r="G322" t="b">
        <v>1</v>
      </c>
      <c r="H322">
        <v>4</v>
      </c>
    </row>
    <row r="323" spans="1:8">
      <c r="A323" t="s">
        <v>1834</v>
      </c>
      <c r="B323" s="4">
        <v>45350</v>
      </c>
      <c r="C323">
        <v>2024</v>
      </c>
      <c r="D323">
        <v>2</v>
      </c>
      <c r="E323">
        <v>28</v>
      </c>
      <c r="F323" t="s">
        <v>10351</v>
      </c>
      <c r="G323" t="b">
        <v>0</v>
      </c>
      <c r="H323">
        <v>1</v>
      </c>
    </row>
    <row r="324" spans="1:8">
      <c r="A324" t="s">
        <v>1839</v>
      </c>
      <c r="B324" s="4">
        <v>45343</v>
      </c>
      <c r="C324">
        <v>2024</v>
      </c>
      <c r="D324">
        <v>2</v>
      </c>
      <c r="E324">
        <v>21</v>
      </c>
      <c r="F324" t="s">
        <v>10351</v>
      </c>
      <c r="G324" t="b">
        <v>0</v>
      </c>
      <c r="H324">
        <v>1</v>
      </c>
    </row>
    <row r="325" spans="1:8">
      <c r="A325" t="s">
        <v>1844</v>
      </c>
      <c r="B325" s="4">
        <v>45890</v>
      </c>
      <c r="C325">
        <v>2025</v>
      </c>
      <c r="D325">
        <v>8</v>
      </c>
      <c r="E325">
        <v>21</v>
      </c>
      <c r="F325" t="s">
        <v>10350</v>
      </c>
      <c r="G325" t="b">
        <v>0</v>
      </c>
      <c r="H325">
        <v>3</v>
      </c>
    </row>
    <row r="326" spans="1:8">
      <c r="A326" t="s">
        <v>1849</v>
      </c>
      <c r="B326" s="4">
        <v>45780</v>
      </c>
      <c r="C326">
        <v>2025</v>
      </c>
      <c r="D326">
        <v>5</v>
      </c>
      <c r="E326">
        <v>3</v>
      </c>
      <c r="F326" t="s">
        <v>10354</v>
      </c>
      <c r="G326" t="b">
        <v>1</v>
      </c>
      <c r="H326">
        <v>2</v>
      </c>
    </row>
    <row r="327" spans="1:8">
      <c r="A327" t="s">
        <v>1854</v>
      </c>
      <c r="B327" s="4">
        <v>45806</v>
      </c>
      <c r="C327">
        <v>2025</v>
      </c>
      <c r="D327">
        <v>5</v>
      </c>
      <c r="E327">
        <v>29</v>
      </c>
      <c r="F327" t="s">
        <v>10350</v>
      </c>
      <c r="G327" t="b">
        <v>0</v>
      </c>
      <c r="H327">
        <v>2</v>
      </c>
    </row>
    <row r="328" spans="1:8">
      <c r="A328" t="s">
        <v>1859</v>
      </c>
      <c r="B328" s="4">
        <v>45835</v>
      </c>
      <c r="C328">
        <v>2025</v>
      </c>
      <c r="D328">
        <v>6</v>
      </c>
      <c r="E328">
        <v>27</v>
      </c>
      <c r="F328" t="s">
        <v>10352</v>
      </c>
      <c r="G328" t="b">
        <v>0</v>
      </c>
      <c r="H328">
        <v>2</v>
      </c>
    </row>
    <row r="329" spans="1:8">
      <c r="A329" t="s">
        <v>1864</v>
      </c>
      <c r="B329" s="4">
        <v>45453</v>
      </c>
      <c r="C329">
        <v>2024</v>
      </c>
      <c r="D329">
        <v>6</v>
      </c>
      <c r="E329">
        <v>10</v>
      </c>
      <c r="F329" t="s">
        <v>10356</v>
      </c>
      <c r="G329" t="b">
        <v>0</v>
      </c>
      <c r="H329">
        <v>2</v>
      </c>
    </row>
    <row r="330" spans="1:8">
      <c r="A330" t="s">
        <v>1869</v>
      </c>
      <c r="B330" s="4">
        <v>45350</v>
      </c>
      <c r="C330">
        <v>2024</v>
      </c>
      <c r="D330">
        <v>2</v>
      </c>
      <c r="E330">
        <v>28</v>
      </c>
      <c r="F330" t="s">
        <v>10351</v>
      </c>
      <c r="G330" t="b">
        <v>0</v>
      </c>
      <c r="H330">
        <v>1</v>
      </c>
    </row>
    <row r="331" spans="1:8">
      <c r="A331" t="s">
        <v>1874</v>
      </c>
      <c r="B331" s="4">
        <v>45812</v>
      </c>
      <c r="C331">
        <v>2025</v>
      </c>
      <c r="D331">
        <v>6</v>
      </c>
      <c r="E331">
        <v>4</v>
      </c>
      <c r="F331" t="s">
        <v>10351</v>
      </c>
      <c r="G331" t="b">
        <v>0</v>
      </c>
      <c r="H331">
        <v>2</v>
      </c>
    </row>
    <row r="332" spans="1:8">
      <c r="A332" t="s">
        <v>1879</v>
      </c>
      <c r="B332" s="4">
        <v>45374</v>
      </c>
      <c r="C332">
        <v>2024</v>
      </c>
      <c r="D332">
        <v>3</v>
      </c>
      <c r="E332">
        <v>23</v>
      </c>
      <c r="F332" t="s">
        <v>10354</v>
      </c>
      <c r="G332" t="b">
        <v>1</v>
      </c>
      <c r="H332">
        <v>1</v>
      </c>
    </row>
    <row r="333" spans="1:8">
      <c r="A333" t="s">
        <v>1884</v>
      </c>
      <c r="B333" s="4">
        <v>45482</v>
      </c>
      <c r="C333">
        <v>2024</v>
      </c>
      <c r="D333">
        <v>7</v>
      </c>
      <c r="E333">
        <v>9</v>
      </c>
      <c r="F333" t="s">
        <v>10353</v>
      </c>
      <c r="G333" t="b">
        <v>0</v>
      </c>
      <c r="H333">
        <v>3</v>
      </c>
    </row>
    <row r="334" spans="1:8">
      <c r="A334" t="s">
        <v>1889</v>
      </c>
      <c r="B334" s="4">
        <v>45362</v>
      </c>
      <c r="C334">
        <v>2024</v>
      </c>
      <c r="D334">
        <v>3</v>
      </c>
      <c r="E334">
        <v>11</v>
      </c>
      <c r="F334" t="s">
        <v>10356</v>
      </c>
      <c r="G334" t="b">
        <v>0</v>
      </c>
      <c r="H334">
        <v>1</v>
      </c>
    </row>
    <row r="335" spans="1:8">
      <c r="A335" t="s">
        <v>1894</v>
      </c>
      <c r="B335" s="4">
        <v>45901</v>
      </c>
      <c r="C335">
        <v>2025</v>
      </c>
      <c r="D335">
        <v>9</v>
      </c>
      <c r="E335">
        <v>1</v>
      </c>
      <c r="F335" t="s">
        <v>10356</v>
      </c>
      <c r="G335" t="b">
        <v>0</v>
      </c>
      <c r="H335">
        <v>3</v>
      </c>
    </row>
    <row r="336" spans="1:8">
      <c r="A336" t="s">
        <v>1899</v>
      </c>
      <c r="B336" s="4">
        <v>45361</v>
      </c>
      <c r="C336">
        <v>2024</v>
      </c>
      <c r="D336">
        <v>3</v>
      </c>
      <c r="E336">
        <v>10</v>
      </c>
      <c r="F336" t="s">
        <v>10355</v>
      </c>
      <c r="G336" t="b">
        <v>1</v>
      </c>
      <c r="H336">
        <v>1</v>
      </c>
    </row>
    <row r="337" spans="1:8">
      <c r="A337" t="s">
        <v>1904</v>
      </c>
      <c r="B337" s="4">
        <v>45983</v>
      </c>
      <c r="C337">
        <v>2025</v>
      </c>
      <c r="D337">
        <v>11</v>
      </c>
      <c r="E337">
        <v>22</v>
      </c>
      <c r="F337" t="s">
        <v>10354</v>
      </c>
      <c r="G337" t="b">
        <v>1</v>
      </c>
      <c r="H337">
        <v>4</v>
      </c>
    </row>
    <row r="338" spans="1:8">
      <c r="A338" t="s">
        <v>1909</v>
      </c>
      <c r="B338" s="4">
        <v>45532</v>
      </c>
      <c r="C338">
        <v>2024</v>
      </c>
      <c r="D338">
        <v>8</v>
      </c>
      <c r="E338">
        <v>28</v>
      </c>
      <c r="F338" t="s">
        <v>10351</v>
      </c>
      <c r="G338" t="b">
        <v>0</v>
      </c>
      <c r="H338">
        <v>3</v>
      </c>
    </row>
    <row r="339" spans="1:8">
      <c r="A339" t="s">
        <v>1914</v>
      </c>
      <c r="B339" s="4">
        <v>45705</v>
      </c>
      <c r="C339">
        <v>2025</v>
      </c>
      <c r="D339">
        <v>2</v>
      </c>
      <c r="E339">
        <v>17</v>
      </c>
      <c r="F339" t="s">
        <v>10356</v>
      </c>
      <c r="G339" t="b">
        <v>0</v>
      </c>
      <c r="H339">
        <v>1</v>
      </c>
    </row>
    <row r="340" spans="1:8">
      <c r="A340" t="s">
        <v>1919</v>
      </c>
      <c r="B340" s="4">
        <v>45414</v>
      </c>
      <c r="C340">
        <v>2024</v>
      </c>
      <c r="D340">
        <v>5</v>
      </c>
      <c r="E340">
        <v>2</v>
      </c>
      <c r="F340" t="s">
        <v>10350</v>
      </c>
      <c r="G340" t="b">
        <v>0</v>
      </c>
      <c r="H340">
        <v>2</v>
      </c>
    </row>
    <row r="341" spans="1:8">
      <c r="A341" t="s">
        <v>1924</v>
      </c>
      <c r="B341" s="4">
        <v>45875</v>
      </c>
      <c r="C341">
        <v>2025</v>
      </c>
      <c r="D341">
        <v>8</v>
      </c>
      <c r="E341">
        <v>6</v>
      </c>
      <c r="F341" t="s">
        <v>10351</v>
      </c>
      <c r="G341" t="b">
        <v>0</v>
      </c>
      <c r="H341">
        <v>3</v>
      </c>
    </row>
    <row r="342" spans="1:8">
      <c r="A342" t="s">
        <v>1929</v>
      </c>
      <c r="B342" s="4">
        <v>45544</v>
      </c>
      <c r="C342">
        <v>2024</v>
      </c>
      <c r="D342">
        <v>9</v>
      </c>
      <c r="E342">
        <v>9</v>
      </c>
      <c r="F342" t="s">
        <v>10356</v>
      </c>
      <c r="G342" t="b">
        <v>0</v>
      </c>
      <c r="H342">
        <v>3</v>
      </c>
    </row>
    <row r="343" spans="1:8">
      <c r="A343" t="s">
        <v>1934</v>
      </c>
      <c r="B343" s="4">
        <v>45884</v>
      </c>
      <c r="C343">
        <v>2025</v>
      </c>
      <c r="D343">
        <v>8</v>
      </c>
      <c r="E343">
        <v>15</v>
      </c>
      <c r="F343" t="s">
        <v>10352</v>
      </c>
      <c r="G343" t="b">
        <v>0</v>
      </c>
      <c r="H343">
        <v>3</v>
      </c>
    </row>
    <row r="344" spans="1:8">
      <c r="A344" t="s">
        <v>1939</v>
      </c>
      <c r="B344" s="4">
        <v>45900</v>
      </c>
      <c r="C344">
        <v>2025</v>
      </c>
      <c r="D344">
        <v>8</v>
      </c>
      <c r="E344">
        <v>31</v>
      </c>
      <c r="F344" t="s">
        <v>10355</v>
      </c>
      <c r="G344" t="b">
        <v>1</v>
      </c>
      <c r="H344">
        <v>3</v>
      </c>
    </row>
    <row r="345" spans="1:8">
      <c r="A345" t="s">
        <v>1944</v>
      </c>
      <c r="B345" s="4">
        <v>45332</v>
      </c>
      <c r="C345">
        <v>2024</v>
      </c>
      <c r="D345">
        <v>2</v>
      </c>
      <c r="E345">
        <v>10</v>
      </c>
      <c r="F345" t="s">
        <v>10354</v>
      </c>
      <c r="G345" t="b">
        <v>1</v>
      </c>
      <c r="H345">
        <v>1</v>
      </c>
    </row>
    <row r="346" spans="1:8">
      <c r="A346" t="s">
        <v>1949</v>
      </c>
      <c r="B346" s="4">
        <v>45926</v>
      </c>
      <c r="C346">
        <v>2025</v>
      </c>
      <c r="D346">
        <v>9</v>
      </c>
      <c r="E346">
        <v>26</v>
      </c>
      <c r="F346" t="s">
        <v>10352</v>
      </c>
      <c r="G346" t="b">
        <v>0</v>
      </c>
      <c r="H346">
        <v>3</v>
      </c>
    </row>
    <row r="347" spans="1:8">
      <c r="A347" t="s">
        <v>1954</v>
      </c>
      <c r="B347" s="4">
        <v>45375</v>
      </c>
      <c r="C347">
        <v>2024</v>
      </c>
      <c r="D347">
        <v>3</v>
      </c>
      <c r="E347">
        <v>24</v>
      </c>
      <c r="F347" t="s">
        <v>10355</v>
      </c>
      <c r="G347" t="b">
        <v>1</v>
      </c>
      <c r="H347">
        <v>1</v>
      </c>
    </row>
    <row r="348" spans="1:8">
      <c r="A348" t="s">
        <v>1959</v>
      </c>
      <c r="B348" s="4">
        <v>45721</v>
      </c>
      <c r="C348">
        <v>2025</v>
      </c>
      <c r="D348">
        <v>3</v>
      </c>
      <c r="E348">
        <v>5</v>
      </c>
      <c r="F348" t="s">
        <v>10351</v>
      </c>
      <c r="G348" t="b">
        <v>0</v>
      </c>
      <c r="H348">
        <v>1</v>
      </c>
    </row>
    <row r="349" spans="1:8">
      <c r="A349" t="s">
        <v>1964</v>
      </c>
      <c r="B349" s="4">
        <v>45965</v>
      </c>
      <c r="C349">
        <v>2025</v>
      </c>
      <c r="D349">
        <v>11</v>
      </c>
      <c r="E349">
        <v>4</v>
      </c>
      <c r="F349" t="s">
        <v>10353</v>
      </c>
      <c r="G349" t="b">
        <v>0</v>
      </c>
      <c r="H349">
        <v>4</v>
      </c>
    </row>
    <row r="350" spans="1:8">
      <c r="A350" t="s">
        <v>1969</v>
      </c>
      <c r="B350" s="4">
        <v>45889</v>
      </c>
      <c r="C350">
        <v>2025</v>
      </c>
      <c r="D350">
        <v>8</v>
      </c>
      <c r="E350">
        <v>20</v>
      </c>
      <c r="F350" t="s">
        <v>10351</v>
      </c>
      <c r="G350" t="b">
        <v>0</v>
      </c>
      <c r="H350">
        <v>3</v>
      </c>
    </row>
    <row r="351" spans="1:8">
      <c r="A351" t="s">
        <v>1975</v>
      </c>
      <c r="B351" s="4">
        <v>45870</v>
      </c>
      <c r="C351">
        <v>2025</v>
      </c>
      <c r="D351">
        <v>8</v>
      </c>
      <c r="E351">
        <v>1</v>
      </c>
      <c r="F351" t="s">
        <v>10352</v>
      </c>
      <c r="G351" t="b">
        <v>0</v>
      </c>
      <c r="H351">
        <v>3</v>
      </c>
    </row>
    <row r="352" spans="1:8">
      <c r="A352" t="s">
        <v>1980</v>
      </c>
      <c r="B352" s="4">
        <v>45827</v>
      </c>
      <c r="C352">
        <v>2025</v>
      </c>
      <c r="D352">
        <v>6</v>
      </c>
      <c r="E352">
        <v>19</v>
      </c>
      <c r="F352" t="s">
        <v>10350</v>
      </c>
      <c r="G352" t="b">
        <v>0</v>
      </c>
      <c r="H352">
        <v>2</v>
      </c>
    </row>
    <row r="353" spans="1:8">
      <c r="A353" t="s">
        <v>1986</v>
      </c>
      <c r="B353" s="4">
        <v>45615</v>
      </c>
      <c r="C353">
        <v>2024</v>
      </c>
      <c r="D353">
        <v>11</v>
      </c>
      <c r="E353">
        <v>19</v>
      </c>
      <c r="F353" t="s">
        <v>10353</v>
      </c>
      <c r="G353" t="b">
        <v>0</v>
      </c>
      <c r="H353">
        <v>4</v>
      </c>
    </row>
    <row r="354" spans="1:8">
      <c r="A354" t="s">
        <v>1991</v>
      </c>
      <c r="B354" s="4">
        <v>45559</v>
      </c>
      <c r="C354">
        <v>2024</v>
      </c>
      <c r="D354">
        <v>9</v>
      </c>
      <c r="E354">
        <v>24</v>
      </c>
      <c r="F354" t="s">
        <v>10353</v>
      </c>
      <c r="G354" t="b">
        <v>0</v>
      </c>
      <c r="H354">
        <v>3</v>
      </c>
    </row>
    <row r="355" spans="1:8">
      <c r="A355" t="s">
        <v>1996</v>
      </c>
      <c r="B355" s="4">
        <v>45501</v>
      </c>
      <c r="C355">
        <v>2024</v>
      </c>
      <c r="D355">
        <v>7</v>
      </c>
      <c r="E355">
        <v>28</v>
      </c>
      <c r="F355" t="s">
        <v>10355</v>
      </c>
      <c r="G355" t="b">
        <v>1</v>
      </c>
      <c r="H355">
        <v>3</v>
      </c>
    </row>
    <row r="356" spans="1:8">
      <c r="A356" t="s">
        <v>2001</v>
      </c>
      <c r="B356" s="4">
        <v>45977</v>
      </c>
      <c r="C356">
        <v>2025</v>
      </c>
      <c r="D356">
        <v>11</v>
      </c>
      <c r="E356">
        <v>16</v>
      </c>
      <c r="F356" t="s">
        <v>10355</v>
      </c>
      <c r="G356" t="b">
        <v>1</v>
      </c>
      <c r="H356">
        <v>4</v>
      </c>
    </row>
    <row r="357" spans="1:8">
      <c r="A357" t="s">
        <v>2006</v>
      </c>
      <c r="B357" s="4">
        <v>45613</v>
      </c>
      <c r="C357">
        <v>2024</v>
      </c>
      <c r="D357">
        <v>11</v>
      </c>
      <c r="E357">
        <v>17</v>
      </c>
      <c r="F357" t="s">
        <v>10355</v>
      </c>
      <c r="G357" t="b">
        <v>1</v>
      </c>
      <c r="H357">
        <v>4</v>
      </c>
    </row>
    <row r="358" spans="1:8">
      <c r="A358" t="s">
        <v>2011</v>
      </c>
      <c r="B358" s="4">
        <v>45536</v>
      </c>
      <c r="C358">
        <v>2024</v>
      </c>
      <c r="D358">
        <v>9</v>
      </c>
      <c r="E358">
        <v>1</v>
      </c>
      <c r="F358" t="s">
        <v>10355</v>
      </c>
      <c r="G358" t="b">
        <v>1</v>
      </c>
      <c r="H358">
        <v>3</v>
      </c>
    </row>
    <row r="359" spans="1:8">
      <c r="A359" t="s">
        <v>2016</v>
      </c>
      <c r="B359" s="4">
        <v>45563</v>
      </c>
      <c r="C359">
        <v>2024</v>
      </c>
      <c r="D359">
        <v>9</v>
      </c>
      <c r="E359">
        <v>28</v>
      </c>
      <c r="F359" t="s">
        <v>10354</v>
      </c>
      <c r="G359" t="b">
        <v>1</v>
      </c>
      <c r="H359">
        <v>3</v>
      </c>
    </row>
    <row r="360" spans="1:8">
      <c r="A360" t="s">
        <v>2022</v>
      </c>
      <c r="B360" s="4">
        <v>45697</v>
      </c>
      <c r="C360">
        <v>2025</v>
      </c>
      <c r="D360">
        <v>2</v>
      </c>
      <c r="E360">
        <v>9</v>
      </c>
      <c r="F360" t="s">
        <v>10355</v>
      </c>
      <c r="G360" t="b">
        <v>1</v>
      </c>
      <c r="H360">
        <v>1</v>
      </c>
    </row>
    <row r="361" spans="1:8">
      <c r="A361" t="s">
        <v>2027</v>
      </c>
      <c r="B361" s="4">
        <v>45426</v>
      </c>
      <c r="C361">
        <v>2024</v>
      </c>
      <c r="D361">
        <v>5</v>
      </c>
      <c r="E361">
        <v>14</v>
      </c>
      <c r="F361" t="s">
        <v>10353</v>
      </c>
      <c r="G361" t="b">
        <v>0</v>
      </c>
      <c r="H361">
        <v>2</v>
      </c>
    </row>
    <row r="362" spans="1:8">
      <c r="A362" t="s">
        <v>2032</v>
      </c>
      <c r="B362" s="4">
        <v>45979</v>
      </c>
      <c r="C362">
        <v>2025</v>
      </c>
      <c r="D362">
        <v>11</v>
      </c>
      <c r="E362">
        <v>18</v>
      </c>
      <c r="F362" t="s">
        <v>10353</v>
      </c>
      <c r="G362" t="b">
        <v>0</v>
      </c>
      <c r="H362">
        <v>4</v>
      </c>
    </row>
    <row r="363" spans="1:8">
      <c r="A363" t="s">
        <v>2038</v>
      </c>
      <c r="B363" s="4">
        <v>45952</v>
      </c>
      <c r="C363">
        <v>2025</v>
      </c>
      <c r="D363">
        <v>10</v>
      </c>
      <c r="E363">
        <v>22</v>
      </c>
      <c r="F363" t="s">
        <v>10351</v>
      </c>
      <c r="G363" t="b">
        <v>0</v>
      </c>
      <c r="H363">
        <v>4</v>
      </c>
    </row>
    <row r="364" spans="1:8">
      <c r="A364" t="s">
        <v>2044</v>
      </c>
      <c r="B364" s="4">
        <v>45599</v>
      </c>
      <c r="C364">
        <v>2024</v>
      </c>
      <c r="D364">
        <v>11</v>
      </c>
      <c r="E364">
        <v>3</v>
      </c>
      <c r="F364" t="s">
        <v>10355</v>
      </c>
      <c r="G364" t="b">
        <v>1</v>
      </c>
      <c r="H364">
        <v>4</v>
      </c>
    </row>
    <row r="365" spans="1:8">
      <c r="A365" t="s">
        <v>2049</v>
      </c>
      <c r="B365" s="4">
        <v>45760</v>
      </c>
      <c r="C365">
        <v>2025</v>
      </c>
      <c r="D365">
        <v>4</v>
      </c>
      <c r="E365">
        <v>13</v>
      </c>
      <c r="F365" t="s">
        <v>10355</v>
      </c>
      <c r="G365" t="b">
        <v>1</v>
      </c>
      <c r="H365">
        <v>2</v>
      </c>
    </row>
    <row r="366" spans="1:8">
      <c r="A366" t="s">
        <v>2054</v>
      </c>
      <c r="B366" s="4">
        <v>45615</v>
      </c>
      <c r="C366">
        <v>2024</v>
      </c>
      <c r="D366">
        <v>11</v>
      </c>
      <c r="E366">
        <v>19</v>
      </c>
      <c r="F366" t="s">
        <v>10353</v>
      </c>
      <c r="G366" t="b">
        <v>0</v>
      </c>
      <c r="H366">
        <v>4</v>
      </c>
    </row>
    <row r="367" spans="1:8">
      <c r="A367" t="s">
        <v>2059</v>
      </c>
      <c r="B367" s="4">
        <v>45366</v>
      </c>
      <c r="C367">
        <v>2024</v>
      </c>
      <c r="D367">
        <v>3</v>
      </c>
      <c r="E367">
        <v>15</v>
      </c>
      <c r="F367" t="s">
        <v>10352</v>
      </c>
      <c r="G367" t="b">
        <v>0</v>
      </c>
      <c r="H367">
        <v>1</v>
      </c>
    </row>
    <row r="368" spans="1:8">
      <c r="A368" t="s">
        <v>2065</v>
      </c>
      <c r="B368" s="4">
        <v>45301</v>
      </c>
      <c r="C368">
        <v>2024</v>
      </c>
      <c r="D368">
        <v>1</v>
      </c>
      <c r="E368">
        <v>10</v>
      </c>
      <c r="F368" t="s">
        <v>10351</v>
      </c>
      <c r="G368" t="b">
        <v>0</v>
      </c>
      <c r="H368">
        <v>1</v>
      </c>
    </row>
    <row r="369" spans="1:8">
      <c r="A369" t="s">
        <v>2070</v>
      </c>
      <c r="B369" s="4">
        <v>45761</v>
      </c>
      <c r="C369">
        <v>2025</v>
      </c>
      <c r="D369">
        <v>4</v>
      </c>
      <c r="E369">
        <v>14</v>
      </c>
      <c r="F369" t="s">
        <v>10356</v>
      </c>
      <c r="G369" t="b">
        <v>0</v>
      </c>
      <c r="H369">
        <v>2</v>
      </c>
    </row>
    <row r="370" spans="1:8">
      <c r="A370" t="s">
        <v>2076</v>
      </c>
      <c r="B370" s="4">
        <v>45928</v>
      </c>
      <c r="C370">
        <v>2025</v>
      </c>
      <c r="D370">
        <v>9</v>
      </c>
      <c r="E370">
        <v>28</v>
      </c>
      <c r="F370" t="s">
        <v>10355</v>
      </c>
      <c r="G370" t="b">
        <v>1</v>
      </c>
      <c r="H370">
        <v>3</v>
      </c>
    </row>
    <row r="371" spans="1:8">
      <c r="A371" t="s">
        <v>2082</v>
      </c>
      <c r="B371" s="4">
        <v>45868</v>
      </c>
      <c r="C371">
        <v>2025</v>
      </c>
      <c r="D371">
        <v>7</v>
      </c>
      <c r="E371">
        <v>30</v>
      </c>
      <c r="F371" t="s">
        <v>10351</v>
      </c>
      <c r="G371" t="b">
        <v>0</v>
      </c>
      <c r="H371">
        <v>3</v>
      </c>
    </row>
    <row r="372" spans="1:8">
      <c r="A372" t="s">
        <v>2088</v>
      </c>
      <c r="B372" s="4">
        <v>45394</v>
      </c>
      <c r="C372">
        <v>2024</v>
      </c>
      <c r="D372">
        <v>4</v>
      </c>
      <c r="E372">
        <v>12</v>
      </c>
      <c r="F372" t="s">
        <v>10352</v>
      </c>
      <c r="G372" t="b">
        <v>0</v>
      </c>
      <c r="H372">
        <v>2</v>
      </c>
    </row>
    <row r="373" spans="1:8">
      <c r="A373" t="s">
        <v>2093</v>
      </c>
      <c r="B373" s="4">
        <v>45367</v>
      </c>
      <c r="C373">
        <v>2024</v>
      </c>
      <c r="D373">
        <v>3</v>
      </c>
      <c r="E373">
        <v>16</v>
      </c>
      <c r="F373" t="s">
        <v>10354</v>
      </c>
      <c r="G373" t="b">
        <v>1</v>
      </c>
      <c r="H373">
        <v>1</v>
      </c>
    </row>
    <row r="374" spans="1:8">
      <c r="A374" t="s">
        <v>2098</v>
      </c>
      <c r="B374" s="4">
        <v>45842</v>
      </c>
      <c r="C374">
        <v>2025</v>
      </c>
      <c r="D374">
        <v>7</v>
      </c>
      <c r="E374">
        <v>4</v>
      </c>
      <c r="F374" t="s">
        <v>10352</v>
      </c>
      <c r="G374" t="b">
        <v>0</v>
      </c>
      <c r="H374">
        <v>3</v>
      </c>
    </row>
    <row r="375" spans="1:8">
      <c r="A375" t="s">
        <v>2104</v>
      </c>
      <c r="B375" s="4">
        <v>45510</v>
      </c>
      <c r="C375">
        <v>2024</v>
      </c>
      <c r="D375">
        <v>8</v>
      </c>
      <c r="E375">
        <v>6</v>
      </c>
      <c r="F375" t="s">
        <v>10353</v>
      </c>
      <c r="G375" t="b">
        <v>0</v>
      </c>
      <c r="H375">
        <v>3</v>
      </c>
    </row>
    <row r="376" spans="1:8">
      <c r="A376" t="s">
        <v>2109</v>
      </c>
      <c r="B376" s="4">
        <v>45810</v>
      </c>
      <c r="C376">
        <v>2025</v>
      </c>
      <c r="D376">
        <v>6</v>
      </c>
      <c r="E376">
        <v>2</v>
      </c>
      <c r="F376" t="s">
        <v>10356</v>
      </c>
      <c r="G376" t="b">
        <v>0</v>
      </c>
      <c r="H376">
        <v>2</v>
      </c>
    </row>
    <row r="377" spans="1:8">
      <c r="A377" t="s">
        <v>2115</v>
      </c>
      <c r="B377" s="4">
        <v>45563</v>
      </c>
      <c r="C377">
        <v>2024</v>
      </c>
      <c r="D377">
        <v>9</v>
      </c>
      <c r="E377">
        <v>28</v>
      </c>
      <c r="F377" t="s">
        <v>10354</v>
      </c>
      <c r="G377" t="b">
        <v>1</v>
      </c>
      <c r="H377">
        <v>3</v>
      </c>
    </row>
    <row r="378" spans="1:8">
      <c r="A378" t="s">
        <v>2120</v>
      </c>
      <c r="B378" s="4">
        <v>45427</v>
      </c>
      <c r="C378">
        <v>2024</v>
      </c>
      <c r="D378">
        <v>5</v>
      </c>
      <c r="E378">
        <v>15</v>
      </c>
      <c r="F378" t="s">
        <v>10351</v>
      </c>
      <c r="G378" t="b">
        <v>0</v>
      </c>
      <c r="H378">
        <v>2</v>
      </c>
    </row>
    <row r="379" spans="1:8">
      <c r="A379" t="s">
        <v>2125</v>
      </c>
      <c r="B379" s="4">
        <v>45649</v>
      </c>
      <c r="C379">
        <v>2024</v>
      </c>
      <c r="D379">
        <v>12</v>
      </c>
      <c r="E379">
        <v>23</v>
      </c>
      <c r="F379" t="s">
        <v>10356</v>
      </c>
      <c r="G379" t="b">
        <v>0</v>
      </c>
      <c r="H379">
        <v>4</v>
      </c>
    </row>
    <row r="380" spans="1:8">
      <c r="A380" t="s">
        <v>2130</v>
      </c>
      <c r="B380" s="4">
        <v>45362</v>
      </c>
      <c r="C380">
        <v>2024</v>
      </c>
      <c r="D380">
        <v>3</v>
      </c>
      <c r="E380">
        <v>11</v>
      </c>
      <c r="F380" t="s">
        <v>10356</v>
      </c>
      <c r="G380" t="b">
        <v>0</v>
      </c>
      <c r="H380">
        <v>1</v>
      </c>
    </row>
    <row r="381" spans="1:8">
      <c r="A381" t="s">
        <v>2135</v>
      </c>
      <c r="B381" s="4">
        <v>45542</v>
      </c>
      <c r="C381">
        <v>2024</v>
      </c>
      <c r="D381">
        <v>9</v>
      </c>
      <c r="E381">
        <v>7</v>
      </c>
      <c r="F381" t="s">
        <v>10354</v>
      </c>
      <c r="G381" t="b">
        <v>1</v>
      </c>
      <c r="H381">
        <v>3</v>
      </c>
    </row>
    <row r="382" spans="1:8">
      <c r="A382" t="s">
        <v>2140</v>
      </c>
      <c r="B382" s="4">
        <v>45670</v>
      </c>
      <c r="C382">
        <v>2025</v>
      </c>
      <c r="D382">
        <v>1</v>
      </c>
      <c r="E382">
        <v>13</v>
      </c>
      <c r="F382" t="s">
        <v>10356</v>
      </c>
      <c r="G382" t="b">
        <v>0</v>
      </c>
      <c r="H382">
        <v>1</v>
      </c>
    </row>
    <row r="383" spans="1:8">
      <c r="A383" t="s">
        <v>2146</v>
      </c>
      <c r="B383" s="4">
        <v>45583</v>
      </c>
      <c r="C383">
        <v>2024</v>
      </c>
      <c r="D383">
        <v>10</v>
      </c>
      <c r="E383">
        <v>18</v>
      </c>
      <c r="F383" t="s">
        <v>10352</v>
      </c>
      <c r="G383" t="b">
        <v>0</v>
      </c>
      <c r="H383">
        <v>4</v>
      </c>
    </row>
    <row r="384" spans="1:8">
      <c r="A384" t="s">
        <v>2151</v>
      </c>
      <c r="B384" s="4">
        <v>45453</v>
      </c>
      <c r="C384">
        <v>2024</v>
      </c>
      <c r="D384">
        <v>6</v>
      </c>
      <c r="E384">
        <v>10</v>
      </c>
      <c r="F384" t="s">
        <v>10356</v>
      </c>
      <c r="G384" t="b">
        <v>0</v>
      </c>
      <c r="H384">
        <v>2</v>
      </c>
    </row>
    <row r="385" spans="1:8">
      <c r="A385" t="s">
        <v>2157</v>
      </c>
      <c r="B385" s="4">
        <v>45740</v>
      </c>
      <c r="C385">
        <v>2025</v>
      </c>
      <c r="D385">
        <v>3</v>
      </c>
      <c r="E385">
        <v>24</v>
      </c>
      <c r="F385" t="s">
        <v>10356</v>
      </c>
      <c r="G385" t="b">
        <v>0</v>
      </c>
      <c r="H385">
        <v>1</v>
      </c>
    </row>
    <row r="386" spans="1:8">
      <c r="A386" t="s">
        <v>2162</v>
      </c>
      <c r="B386" s="4">
        <v>45848</v>
      </c>
      <c r="C386">
        <v>2025</v>
      </c>
      <c r="D386">
        <v>7</v>
      </c>
      <c r="E386">
        <v>10</v>
      </c>
      <c r="F386" t="s">
        <v>10350</v>
      </c>
      <c r="G386" t="b">
        <v>0</v>
      </c>
      <c r="H386">
        <v>3</v>
      </c>
    </row>
    <row r="387" spans="1:8">
      <c r="A387" t="s">
        <v>2167</v>
      </c>
      <c r="B387" s="4">
        <v>46012</v>
      </c>
      <c r="C387">
        <v>2025</v>
      </c>
      <c r="D387">
        <v>12</v>
      </c>
      <c r="E387">
        <v>21</v>
      </c>
      <c r="F387" t="s">
        <v>10355</v>
      </c>
      <c r="G387" t="b">
        <v>1</v>
      </c>
      <c r="H387">
        <v>4</v>
      </c>
    </row>
    <row r="388" spans="1:8">
      <c r="A388" t="s">
        <v>2172</v>
      </c>
      <c r="B388" s="4">
        <v>45601</v>
      </c>
      <c r="C388">
        <v>2024</v>
      </c>
      <c r="D388">
        <v>11</v>
      </c>
      <c r="E388">
        <v>5</v>
      </c>
      <c r="F388" t="s">
        <v>10353</v>
      </c>
      <c r="G388" t="b">
        <v>0</v>
      </c>
      <c r="H388">
        <v>4</v>
      </c>
    </row>
    <row r="389" spans="1:8">
      <c r="A389" t="s">
        <v>2178</v>
      </c>
      <c r="B389" s="4">
        <v>45918</v>
      </c>
      <c r="C389">
        <v>2025</v>
      </c>
      <c r="D389">
        <v>9</v>
      </c>
      <c r="E389">
        <v>18</v>
      </c>
      <c r="F389" t="s">
        <v>10350</v>
      </c>
      <c r="G389" t="b">
        <v>0</v>
      </c>
      <c r="H389">
        <v>3</v>
      </c>
    </row>
    <row r="390" spans="1:8">
      <c r="A390" t="s">
        <v>2183</v>
      </c>
      <c r="B390" s="4">
        <v>45961</v>
      </c>
      <c r="C390">
        <v>2025</v>
      </c>
      <c r="D390">
        <v>10</v>
      </c>
      <c r="E390">
        <v>31</v>
      </c>
      <c r="F390" t="s">
        <v>10352</v>
      </c>
      <c r="G390" t="b">
        <v>0</v>
      </c>
      <c r="H390">
        <v>4</v>
      </c>
    </row>
    <row r="391" spans="1:8">
      <c r="A391" t="s">
        <v>2188</v>
      </c>
      <c r="B391" s="4">
        <v>45833</v>
      </c>
      <c r="C391">
        <v>2025</v>
      </c>
      <c r="D391">
        <v>6</v>
      </c>
      <c r="E391">
        <v>25</v>
      </c>
      <c r="F391" t="s">
        <v>10351</v>
      </c>
      <c r="G391" t="b">
        <v>0</v>
      </c>
      <c r="H391">
        <v>2</v>
      </c>
    </row>
    <row r="392" spans="1:8">
      <c r="A392" t="s">
        <v>2193</v>
      </c>
      <c r="B392" s="4">
        <v>45300</v>
      </c>
      <c r="C392">
        <v>2024</v>
      </c>
      <c r="D392">
        <v>1</v>
      </c>
      <c r="E392">
        <v>9</v>
      </c>
      <c r="F392" t="s">
        <v>10353</v>
      </c>
      <c r="G392" t="b">
        <v>0</v>
      </c>
      <c r="H392">
        <v>1</v>
      </c>
    </row>
    <row r="393" spans="1:8">
      <c r="A393" t="s">
        <v>2199</v>
      </c>
      <c r="B393" s="4">
        <v>45975</v>
      </c>
      <c r="C393">
        <v>2025</v>
      </c>
      <c r="D393">
        <v>11</v>
      </c>
      <c r="E393">
        <v>14</v>
      </c>
      <c r="F393" t="s">
        <v>10352</v>
      </c>
      <c r="G393" t="b">
        <v>0</v>
      </c>
      <c r="H393">
        <v>4</v>
      </c>
    </row>
    <row r="394" spans="1:8">
      <c r="A394" t="s">
        <v>2205</v>
      </c>
      <c r="B394" s="4">
        <v>45859</v>
      </c>
      <c r="C394">
        <v>2025</v>
      </c>
      <c r="D394">
        <v>7</v>
      </c>
      <c r="E394">
        <v>21</v>
      </c>
      <c r="F394" t="s">
        <v>10356</v>
      </c>
      <c r="G394" t="b">
        <v>0</v>
      </c>
      <c r="H394">
        <v>3</v>
      </c>
    </row>
    <row r="395" spans="1:8">
      <c r="A395" t="s">
        <v>2210</v>
      </c>
      <c r="B395" s="4">
        <v>45598</v>
      </c>
      <c r="C395">
        <v>2024</v>
      </c>
      <c r="D395">
        <v>11</v>
      </c>
      <c r="E395">
        <v>2</v>
      </c>
      <c r="F395" t="s">
        <v>10354</v>
      </c>
      <c r="G395" t="b">
        <v>1</v>
      </c>
      <c r="H395">
        <v>4</v>
      </c>
    </row>
    <row r="396" spans="1:8">
      <c r="A396" t="s">
        <v>2215</v>
      </c>
      <c r="B396" s="4">
        <v>45971</v>
      </c>
      <c r="C396">
        <v>2025</v>
      </c>
      <c r="D396">
        <v>11</v>
      </c>
      <c r="E396">
        <v>10</v>
      </c>
      <c r="F396" t="s">
        <v>10356</v>
      </c>
      <c r="G396" t="b">
        <v>0</v>
      </c>
      <c r="H396">
        <v>4</v>
      </c>
    </row>
    <row r="397" spans="1:8">
      <c r="A397" t="s">
        <v>2220</v>
      </c>
      <c r="B397" s="4">
        <v>45398</v>
      </c>
      <c r="C397">
        <v>2024</v>
      </c>
      <c r="D397">
        <v>4</v>
      </c>
      <c r="E397">
        <v>16</v>
      </c>
      <c r="F397" t="s">
        <v>10353</v>
      </c>
      <c r="G397" t="b">
        <v>0</v>
      </c>
      <c r="H397">
        <v>2</v>
      </c>
    </row>
    <row r="398" spans="1:8">
      <c r="A398" t="s">
        <v>2225</v>
      </c>
      <c r="B398" s="4">
        <v>45429</v>
      </c>
      <c r="C398">
        <v>2024</v>
      </c>
      <c r="D398">
        <v>5</v>
      </c>
      <c r="E398">
        <v>17</v>
      </c>
      <c r="F398" t="s">
        <v>10352</v>
      </c>
      <c r="G398" t="b">
        <v>0</v>
      </c>
      <c r="H398">
        <v>2</v>
      </c>
    </row>
    <row r="399" spans="1:8">
      <c r="A399" t="s">
        <v>2230</v>
      </c>
      <c r="B399" s="4">
        <v>45562</v>
      </c>
      <c r="C399">
        <v>2024</v>
      </c>
      <c r="D399">
        <v>9</v>
      </c>
      <c r="E399">
        <v>27</v>
      </c>
      <c r="F399" t="s">
        <v>10352</v>
      </c>
      <c r="G399" t="b">
        <v>0</v>
      </c>
      <c r="H399">
        <v>3</v>
      </c>
    </row>
    <row r="400" spans="1:8">
      <c r="A400" t="s">
        <v>2236</v>
      </c>
      <c r="B400" s="4">
        <v>45410</v>
      </c>
      <c r="C400">
        <v>2024</v>
      </c>
      <c r="D400">
        <v>4</v>
      </c>
      <c r="E400">
        <v>28</v>
      </c>
      <c r="F400" t="s">
        <v>10355</v>
      </c>
      <c r="G400" t="b">
        <v>1</v>
      </c>
      <c r="H400">
        <v>2</v>
      </c>
    </row>
    <row r="401" spans="1:8">
      <c r="A401" t="s">
        <v>2241</v>
      </c>
      <c r="B401" s="4">
        <v>45401</v>
      </c>
      <c r="C401">
        <v>2024</v>
      </c>
      <c r="D401">
        <v>4</v>
      </c>
      <c r="E401">
        <v>19</v>
      </c>
      <c r="F401" t="s">
        <v>10352</v>
      </c>
      <c r="G401" t="b">
        <v>0</v>
      </c>
      <c r="H401">
        <v>2</v>
      </c>
    </row>
    <row r="402" spans="1:8">
      <c r="A402" t="s">
        <v>2247</v>
      </c>
      <c r="B402" s="4">
        <v>45858</v>
      </c>
      <c r="C402">
        <v>2025</v>
      </c>
      <c r="D402">
        <v>7</v>
      </c>
      <c r="E402">
        <v>20</v>
      </c>
      <c r="F402" t="s">
        <v>10355</v>
      </c>
      <c r="G402" t="b">
        <v>1</v>
      </c>
      <c r="H402">
        <v>3</v>
      </c>
    </row>
    <row r="403" spans="1:8">
      <c r="A403" t="s">
        <v>2252</v>
      </c>
      <c r="B403" s="4">
        <v>45451</v>
      </c>
      <c r="C403">
        <v>2024</v>
      </c>
      <c r="D403">
        <v>6</v>
      </c>
      <c r="E403">
        <v>8</v>
      </c>
      <c r="F403" t="s">
        <v>10354</v>
      </c>
      <c r="G403" t="b">
        <v>1</v>
      </c>
      <c r="H403">
        <v>2</v>
      </c>
    </row>
    <row r="404" spans="1:8">
      <c r="A404" t="s">
        <v>2257</v>
      </c>
      <c r="B404" s="4">
        <v>45570</v>
      </c>
      <c r="C404">
        <v>2024</v>
      </c>
      <c r="D404">
        <v>10</v>
      </c>
      <c r="E404">
        <v>5</v>
      </c>
      <c r="F404" t="s">
        <v>10354</v>
      </c>
      <c r="G404" t="b">
        <v>1</v>
      </c>
      <c r="H404">
        <v>4</v>
      </c>
    </row>
    <row r="405" spans="1:8">
      <c r="A405" t="s">
        <v>2262</v>
      </c>
      <c r="B405" s="4">
        <v>45580</v>
      </c>
      <c r="C405">
        <v>2024</v>
      </c>
      <c r="D405">
        <v>10</v>
      </c>
      <c r="E405">
        <v>15</v>
      </c>
      <c r="F405" t="s">
        <v>10353</v>
      </c>
      <c r="G405" t="b">
        <v>0</v>
      </c>
      <c r="H405">
        <v>4</v>
      </c>
    </row>
    <row r="406" spans="1:8">
      <c r="A406" t="s">
        <v>2267</v>
      </c>
      <c r="B406" s="4">
        <v>45911</v>
      </c>
      <c r="C406">
        <v>2025</v>
      </c>
      <c r="D406">
        <v>9</v>
      </c>
      <c r="E406">
        <v>11</v>
      </c>
      <c r="F406" t="s">
        <v>10350</v>
      </c>
      <c r="G406" t="b">
        <v>0</v>
      </c>
      <c r="H406">
        <v>3</v>
      </c>
    </row>
    <row r="407" spans="1:8">
      <c r="A407" t="s">
        <v>2273</v>
      </c>
      <c r="B407" s="4">
        <v>45507</v>
      </c>
      <c r="C407">
        <v>2024</v>
      </c>
      <c r="D407">
        <v>8</v>
      </c>
      <c r="E407">
        <v>3</v>
      </c>
      <c r="F407" t="s">
        <v>10354</v>
      </c>
      <c r="G407" t="b">
        <v>1</v>
      </c>
      <c r="H407">
        <v>3</v>
      </c>
    </row>
    <row r="408" spans="1:8">
      <c r="A408" t="s">
        <v>2279</v>
      </c>
      <c r="B408" s="4">
        <v>45643</v>
      </c>
      <c r="C408">
        <v>2024</v>
      </c>
      <c r="D408">
        <v>12</v>
      </c>
      <c r="E408">
        <v>17</v>
      </c>
      <c r="F408" t="s">
        <v>10353</v>
      </c>
      <c r="G408" t="b">
        <v>0</v>
      </c>
      <c r="H408">
        <v>4</v>
      </c>
    </row>
    <row r="409" spans="1:8">
      <c r="A409" t="s">
        <v>2284</v>
      </c>
      <c r="B409" s="4">
        <v>45500</v>
      </c>
      <c r="C409">
        <v>2024</v>
      </c>
      <c r="D409">
        <v>7</v>
      </c>
      <c r="E409">
        <v>27</v>
      </c>
      <c r="F409" t="s">
        <v>10354</v>
      </c>
      <c r="G409" t="b">
        <v>1</v>
      </c>
      <c r="H409">
        <v>3</v>
      </c>
    </row>
    <row r="410" spans="1:8">
      <c r="A410" t="s">
        <v>2289</v>
      </c>
      <c r="B410" s="4">
        <v>45995</v>
      </c>
      <c r="C410">
        <v>2025</v>
      </c>
      <c r="D410">
        <v>12</v>
      </c>
      <c r="E410">
        <v>4</v>
      </c>
      <c r="F410" t="s">
        <v>10350</v>
      </c>
      <c r="G410" t="b">
        <v>0</v>
      </c>
      <c r="H410">
        <v>4</v>
      </c>
    </row>
    <row r="411" spans="1:8">
      <c r="A411" t="s">
        <v>2294</v>
      </c>
      <c r="B411" s="4">
        <v>45941</v>
      </c>
      <c r="C411">
        <v>2025</v>
      </c>
      <c r="D411">
        <v>10</v>
      </c>
      <c r="E411">
        <v>11</v>
      </c>
      <c r="F411" t="s">
        <v>10354</v>
      </c>
      <c r="G411" t="b">
        <v>1</v>
      </c>
      <c r="H411">
        <v>4</v>
      </c>
    </row>
    <row r="412" spans="1:8">
      <c r="A412" t="s">
        <v>2300</v>
      </c>
      <c r="B412" s="4">
        <v>45562</v>
      </c>
      <c r="C412">
        <v>2024</v>
      </c>
      <c r="D412">
        <v>9</v>
      </c>
      <c r="E412">
        <v>27</v>
      </c>
      <c r="F412" t="s">
        <v>10352</v>
      </c>
      <c r="G412" t="b">
        <v>0</v>
      </c>
      <c r="H412">
        <v>3</v>
      </c>
    </row>
    <row r="413" spans="1:8">
      <c r="A413" t="s">
        <v>2305</v>
      </c>
      <c r="B413" s="4">
        <v>45809</v>
      </c>
      <c r="C413">
        <v>2025</v>
      </c>
      <c r="D413">
        <v>6</v>
      </c>
      <c r="E413">
        <v>1</v>
      </c>
      <c r="F413" t="s">
        <v>10355</v>
      </c>
      <c r="G413" t="b">
        <v>1</v>
      </c>
      <c r="H413">
        <v>2</v>
      </c>
    </row>
    <row r="414" spans="1:8">
      <c r="A414" t="s">
        <v>2310</v>
      </c>
      <c r="B414" s="4">
        <v>45792</v>
      </c>
      <c r="C414">
        <v>2025</v>
      </c>
      <c r="D414">
        <v>5</v>
      </c>
      <c r="E414">
        <v>15</v>
      </c>
      <c r="F414" t="s">
        <v>10350</v>
      </c>
      <c r="G414" t="b">
        <v>0</v>
      </c>
      <c r="H414">
        <v>2</v>
      </c>
    </row>
    <row r="415" spans="1:8">
      <c r="A415" t="s">
        <v>2316</v>
      </c>
      <c r="B415" s="4">
        <v>45549</v>
      </c>
      <c r="C415">
        <v>2024</v>
      </c>
      <c r="D415">
        <v>9</v>
      </c>
      <c r="E415">
        <v>14</v>
      </c>
      <c r="F415" t="s">
        <v>10354</v>
      </c>
      <c r="G415" t="b">
        <v>1</v>
      </c>
      <c r="H415">
        <v>3</v>
      </c>
    </row>
    <row r="416" spans="1:8">
      <c r="A416" t="s">
        <v>2321</v>
      </c>
      <c r="B416" s="4">
        <v>45344</v>
      </c>
      <c r="C416">
        <v>2024</v>
      </c>
      <c r="D416">
        <v>2</v>
      </c>
      <c r="E416">
        <v>22</v>
      </c>
      <c r="F416" t="s">
        <v>10350</v>
      </c>
      <c r="G416" t="b">
        <v>0</v>
      </c>
      <c r="H416">
        <v>1</v>
      </c>
    </row>
    <row r="417" spans="1:8">
      <c r="A417" t="s">
        <v>2326</v>
      </c>
      <c r="B417" s="4">
        <v>45386</v>
      </c>
      <c r="C417">
        <v>2024</v>
      </c>
      <c r="D417">
        <v>4</v>
      </c>
      <c r="E417">
        <v>4</v>
      </c>
      <c r="F417" t="s">
        <v>10350</v>
      </c>
      <c r="G417" t="b">
        <v>0</v>
      </c>
      <c r="H417">
        <v>2</v>
      </c>
    </row>
    <row r="418" spans="1:8">
      <c r="A418" t="s">
        <v>2332</v>
      </c>
      <c r="B418" s="4">
        <v>45941</v>
      </c>
      <c r="C418">
        <v>2025</v>
      </c>
      <c r="D418">
        <v>10</v>
      </c>
      <c r="E418">
        <v>11</v>
      </c>
      <c r="F418" t="s">
        <v>10354</v>
      </c>
      <c r="G418" t="b">
        <v>1</v>
      </c>
      <c r="H418">
        <v>4</v>
      </c>
    </row>
    <row r="419" spans="1:8">
      <c r="A419" t="s">
        <v>2337</v>
      </c>
      <c r="B419" s="4">
        <v>45725</v>
      </c>
      <c r="C419">
        <v>2025</v>
      </c>
      <c r="D419">
        <v>3</v>
      </c>
      <c r="E419">
        <v>9</v>
      </c>
      <c r="F419" t="s">
        <v>10355</v>
      </c>
      <c r="G419" t="b">
        <v>1</v>
      </c>
      <c r="H419">
        <v>1</v>
      </c>
    </row>
    <row r="420" spans="1:8">
      <c r="A420" t="s">
        <v>2342</v>
      </c>
      <c r="B420" s="4">
        <v>45575</v>
      </c>
      <c r="C420">
        <v>2024</v>
      </c>
      <c r="D420">
        <v>10</v>
      </c>
      <c r="E420">
        <v>10</v>
      </c>
      <c r="F420" t="s">
        <v>10350</v>
      </c>
      <c r="G420" t="b">
        <v>0</v>
      </c>
      <c r="H420">
        <v>4</v>
      </c>
    </row>
    <row r="421" spans="1:8">
      <c r="A421" t="s">
        <v>2347</v>
      </c>
      <c r="B421" s="4">
        <v>45337</v>
      </c>
      <c r="C421">
        <v>2024</v>
      </c>
      <c r="D421">
        <v>2</v>
      </c>
      <c r="E421">
        <v>15</v>
      </c>
      <c r="F421" t="s">
        <v>10350</v>
      </c>
      <c r="G421" t="b">
        <v>0</v>
      </c>
      <c r="H421">
        <v>1</v>
      </c>
    </row>
    <row r="422" spans="1:8">
      <c r="A422" t="s">
        <v>2352</v>
      </c>
      <c r="B422" s="4">
        <v>45295</v>
      </c>
      <c r="C422">
        <v>2024</v>
      </c>
      <c r="D422">
        <v>1</v>
      </c>
      <c r="E422">
        <v>4</v>
      </c>
      <c r="F422" t="s">
        <v>10350</v>
      </c>
      <c r="G422" t="b">
        <v>0</v>
      </c>
      <c r="H422">
        <v>1</v>
      </c>
    </row>
    <row r="423" spans="1:8">
      <c r="A423" t="s">
        <v>2357</v>
      </c>
      <c r="B423" s="4">
        <v>45633</v>
      </c>
      <c r="C423">
        <v>2024</v>
      </c>
      <c r="D423">
        <v>12</v>
      </c>
      <c r="E423">
        <v>7</v>
      </c>
      <c r="F423" t="s">
        <v>10354</v>
      </c>
      <c r="G423" t="b">
        <v>1</v>
      </c>
      <c r="H423">
        <v>4</v>
      </c>
    </row>
    <row r="424" spans="1:8">
      <c r="A424" t="s">
        <v>2362</v>
      </c>
      <c r="B424" s="4">
        <v>45425</v>
      </c>
      <c r="C424">
        <v>2024</v>
      </c>
      <c r="D424">
        <v>5</v>
      </c>
      <c r="E424">
        <v>13</v>
      </c>
      <c r="F424" t="s">
        <v>10356</v>
      </c>
      <c r="G424" t="b">
        <v>0</v>
      </c>
      <c r="H424">
        <v>2</v>
      </c>
    </row>
    <row r="425" spans="1:8">
      <c r="A425" t="s">
        <v>2367</v>
      </c>
      <c r="B425" s="4">
        <v>45944</v>
      </c>
      <c r="C425">
        <v>2025</v>
      </c>
      <c r="D425">
        <v>10</v>
      </c>
      <c r="E425">
        <v>14</v>
      </c>
      <c r="F425" t="s">
        <v>10353</v>
      </c>
      <c r="G425" t="b">
        <v>0</v>
      </c>
      <c r="H425">
        <v>4</v>
      </c>
    </row>
    <row r="426" spans="1:8">
      <c r="A426" t="s">
        <v>2372</v>
      </c>
      <c r="B426" s="4">
        <v>45560</v>
      </c>
      <c r="C426">
        <v>2024</v>
      </c>
      <c r="D426">
        <v>9</v>
      </c>
      <c r="E426">
        <v>25</v>
      </c>
      <c r="F426" t="s">
        <v>10351</v>
      </c>
      <c r="G426" t="b">
        <v>0</v>
      </c>
      <c r="H426">
        <v>3</v>
      </c>
    </row>
    <row r="427" spans="1:8">
      <c r="A427" t="s">
        <v>2377</v>
      </c>
      <c r="B427" s="4">
        <v>45457</v>
      </c>
      <c r="C427">
        <v>2024</v>
      </c>
      <c r="D427">
        <v>6</v>
      </c>
      <c r="E427">
        <v>14</v>
      </c>
      <c r="F427" t="s">
        <v>10352</v>
      </c>
      <c r="G427" t="b">
        <v>0</v>
      </c>
      <c r="H427">
        <v>2</v>
      </c>
    </row>
    <row r="428" spans="1:8">
      <c r="A428" t="s">
        <v>2382</v>
      </c>
      <c r="B428" s="4">
        <v>45744</v>
      </c>
      <c r="C428">
        <v>2025</v>
      </c>
      <c r="D428">
        <v>3</v>
      </c>
      <c r="E428">
        <v>28</v>
      </c>
      <c r="F428" t="s">
        <v>10352</v>
      </c>
      <c r="G428" t="b">
        <v>0</v>
      </c>
      <c r="H428">
        <v>1</v>
      </c>
    </row>
    <row r="429" spans="1:8">
      <c r="A429" t="s">
        <v>2387</v>
      </c>
      <c r="B429" s="4">
        <v>45856</v>
      </c>
      <c r="C429">
        <v>2025</v>
      </c>
      <c r="D429">
        <v>7</v>
      </c>
      <c r="E429">
        <v>18</v>
      </c>
      <c r="F429" t="s">
        <v>10352</v>
      </c>
      <c r="G429" t="b">
        <v>0</v>
      </c>
      <c r="H429">
        <v>3</v>
      </c>
    </row>
    <row r="430" spans="1:8">
      <c r="A430" t="s">
        <v>2392</v>
      </c>
      <c r="B430" s="4">
        <v>46014</v>
      </c>
      <c r="C430">
        <v>2025</v>
      </c>
      <c r="D430">
        <v>12</v>
      </c>
      <c r="E430">
        <v>23</v>
      </c>
      <c r="F430" t="s">
        <v>10353</v>
      </c>
      <c r="G430" t="b">
        <v>0</v>
      </c>
      <c r="H430">
        <v>4</v>
      </c>
    </row>
    <row r="431" spans="1:8">
      <c r="A431" t="s">
        <v>2397</v>
      </c>
      <c r="B431" s="4">
        <v>45729</v>
      </c>
      <c r="C431">
        <v>2025</v>
      </c>
      <c r="D431">
        <v>3</v>
      </c>
      <c r="E431">
        <v>13</v>
      </c>
      <c r="F431" t="s">
        <v>10350</v>
      </c>
      <c r="G431" t="b">
        <v>0</v>
      </c>
      <c r="H431">
        <v>1</v>
      </c>
    </row>
    <row r="432" spans="1:8">
      <c r="A432" t="s">
        <v>2402</v>
      </c>
      <c r="B432" s="4">
        <v>45866</v>
      </c>
      <c r="C432">
        <v>2025</v>
      </c>
      <c r="D432">
        <v>7</v>
      </c>
      <c r="E432">
        <v>28</v>
      </c>
      <c r="F432" t="s">
        <v>10356</v>
      </c>
      <c r="G432" t="b">
        <v>0</v>
      </c>
      <c r="H432">
        <v>3</v>
      </c>
    </row>
    <row r="433" spans="1:8">
      <c r="A433" t="s">
        <v>2407</v>
      </c>
      <c r="B433" s="4">
        <v>45301</v>
      </c>
      <c r="C433">
        <v>2024</v>
      </c>
      <c r="D433">
        <v>1</v>
      </c>
      <c r="E433">
        <v>10</v>
      </c>
      <c r="F433" t="s">
        <v>10351</v>
      </c>
      <c r="G433" t="b">
        <v>0</v>
      </c>
      <c r="H433">
        <v>1</v>
      </c>
    </row>
    <row r="434" spans="1:8">
      <c r="A434" t="s">
        <v>2412</v>
      </c>
      <c r="B434" s="4">
        <v>45406</v>
      </c>
      <c r="C434">
        <v>2024</v>
      </c>
      <c r="D434">
        <v>4</v>
      </c>
      <c r="E434">
        <v>24</v>
      </c>
      <c r="F434" t="s">
        <v>10351</v>
      </c>
      <c r="G434" t="b">
        <v>0</v>
      </c>
      <c r="H434">
        <v>2</v>
      </c>
    </row>
    <row r="435" spans="1:8">
      <c r="A435" t="s">
        <v>2417</v>
      </c>
      <c r="B435" s="4">
        <v>45369</v>
      </c>
      <c r="C435">
        <v>2024</v>
      </c>
      <c r="D435">
        <v>3</v>
      </c>
      <c r="E435">
        <v>18</v>
      </c>
      <c r="F435" t="s">
        <v>10356</v>
      </c>
      <c r="G435" t="b">
        <v>0</v>
      </c>
      <c r="H435">
        <v>1</v>
      </c>
    </row>
    <row r="436" spans="1:8">
      <c r="A436" t="s">
        <v>2423</v>
      </c>
      <c r="B436" s="4">
        <v>45999</v>
      </c>
      <c r="C436">
        <v>2025</v>
      </c>
      <c r="D436">
        <v>12</v>
      </c>
      <c r="E436">
        <v>8</v>
      </c>
      <c r="F436" t="s">
        <v>10356</v>
      </c>
      <c r="G436" t="b">
        <v>0</v>
      </c>
      <c r="H436">
        <v>4</v>
      </c>
    </row>
    <row r="437" spans="1:8">
      <c r="A437" t="s">
        <v>2428</v>
      </c>
      <c r="B437" s="4">
        <v>45444</v>
      </c>
      <c r="C437">
        <v>2024</v>
      </c>
      <c r="D437">
        <v>6</v>
      </c>
      <c r="E437">
        <v>1</v>
      </c>
      <c r="F437" t="s">
        <v>10354</v>
      </c>
      <c r="G437" t="b">
        <v>1</v>
      </c>
      <c r="H437">
        <v>2</v>
      </c>
    </row>
    <row r="438" spans="1:8">
      <c r="A438" t="s">
        <v>2433</v>
      </c>
      <c r="B438" s="4">
        <v>45850</v>
      </c>
      <c r="C438">
        <v>2025</v>
      </c>
      <c r="D438">
        <v>7</v>
      </c>
      <c r="E438">
        <v>12</v>
      </c>
      <c r="F438" t="s">
        <v>10354</v>
      </c>
      <c r="G438" t="b">
        <v>1</v>
      </c>
      <c r="H438">
        <v>3</v>
      </c>
    </row>
    <row r="439" spans="1:8">
      <c r="A439" t="s">
        <v>2438</v>
      </c>
      <c r="B439" s="4">
        <v>45328</v>
      </c>
      <c r="C439">
        <v>2024</v>
      </c>
      <c r="D439">
        <v>2</v>
      </c>
      <c r="E439">
        <v>6</v>
      </c>
      <c r="F439" t="s">
        <v>10353</v>
      </c>
      <c r="G439" t="b">
        <v>0</v>
      </c>
      <c r="H439">
        <v>1</v>
      </c>
    </row>
    <row r="440" spans="1:8">
      <c r="A440" t="s">
        <v>2443</v>
      </c>
      <c r="B440" s="4">
        <v>45670</v>
      </c>
      <c r="C440">
        <v>2025</v>
      </c>
      <c r="D440">
        <v>1</v>
      </c>
      <c r="E440">
        <v>13</v>
      </c>
      <c r="F440" t="s">
        <v>10356</v>
      </c>
      <c r="G440" t="b">
        <v>0</v>
      </c>
      <c r="H440">
        <v>1</v>
      </c>
    </row>
    <row r="441" spans="1:8">
      <c r="A441" t="s">
        <v>2448</v>
      </c>
      <c r="B441" s="4">
        <v>45888</v>
      </c>
      <c r="C441">
        <v>2025</v>
      </c>
      <c r="D441">
        <v>8</v>
      </c>
      <c r="E441">
        <v>19</v>
      </c>
      <c r="F441" t="s">
        <v>10353</v>
      </c>
      <c r="G441" t="b">
        <v>0</v>
      </c>
      <c r="H441">
        <v>3</v>
      </c>
    </row>
    <row r="442" spans="1:8">
      <c r="A442" t="s">
        <v>2454</v>
      </c>
      <c r="B442" s="4">
        <v>45857</v>
      </c>
      <c r="C442">
        <v>2025</v>
      </c>
      <c r="D442">
        <v>7</v>
      </c>
      <c r="E442">
        <v>19</v>
      </c>
      <c r="F442" t="s">
        <v>10354</v>
      </c>
      <c r="G442" t="b">
        <v>1</v>
      </c>
      <c r="H442">
        <v>3</v>
      </c>
    </row>
    <row r="443" spans="1:8">
      <c r="A443" t="s">
        <v>2460</v>
      </c>
      <c r="B443" s="4">
        <v>45443</v>
      </c>
      <c r="C443">
        <v>2024</v>
      </c>
      <c r="D443">
        <v>5</v>
      </c>
      <c r="E443">
        <v>31</v>
      </c>
      <c r="F443" t="s">
        <v>10352</v>
      </c>
      <c r="G443" t="b">
        <v>0</v>
      </c>
      <c r="H443">
        <v>2</v>
      </c>
    </row>
    <row r="444" spans="1:8">
      <c r="A444" t="s">
        <v>2466</v>
      </c>
      <c r="B444" s="4">
        <v>45732</v>
      </c>
      <c r="C444">
        <v>2025</v>
      </c>
      <c r="D444">
        <v>3</v>
      </c>
      <c r="E444">
        <v>16</v>
      </c>
      <c r="F444" t="s">
        <v>10355</v>
      </c>
      <c r="G444" t="b">
        <v>1</v>
      </c>
      <c r="H444">
        <v>1</v>
      </c>
    </row>
    <row r="445" spans="1:8">
      <c r="A445" t="s">
        <v>2471</v>
      </c>
      <c r="B445" s="4">
        <v>45422</v>
      </c>
      <c r="C445">
        <v>2024</v>
      </c>
      <c r="D445">
        <v>5</v>
      </c>
      <c r="E445">
        <v>10</v>
      </c>
      <c r="F445" t="s">
        <v>10352</v>
      </c>
      <c r="G445" t="b">
        <v>0</v>
      </c>
      <c r="H445">
        <v>2</v>
      </c>
    </row>
    <row r="446" spans="1:8">
      <c r="A446" t="s">
        <v>2477</v>
      </c>
      <c r="B446" s="4">
        <v>45334</v>
      </c>
      <c r="C446">
        <v>2024</v>
      </c>
      <c r="D446">
        <v>2</v>
      </c>
      <c r="E446">
        <v>12</v>
      </c>
      <c r="F446" t="s">
        <v>10356</v>
      </c>
      <c r="G446" t="b">
        <v>0</v>
      </c>
      <c r="H446">
        <v>1</v>
      </c>
    </row>
    <row r="447" spans="1:8">
      <c r="A447" t="s">
        <v>2482</v>
      </c>
      <c r="B447" s="4">
        <v>45607</v>
      </c>
      <c r="C447">
        <v>2024</v>
      </c>
      <c r="D447">
        <v>11</v>
      </c>
      <c r="E447">
        <v>11</v>
      </c>
      <c r="F447" t="s">
        <v>10356</v>
      </c>
      <c r="G447" t="b">
        <v>0</v>
      </c>
      <c r="H447">
        <v>4</v>
      </c>
    </row>
    <row r="448" spans="1:8">
      <c r="A448" t="s">
        <v>2487</v>
      </c>
      <c r="B448" s="4">
        <v>45665</v>
      </c>
      <c r="C448">
        <v>2025</v>
      </c>
      <c r="D448">
        <v>1</v>
      </c>
      <c r="E448">
        <v>8</v>
      </c>
      <c r="F448" t="s">
        <v>10351</v>
      </c>
      <c r="G448" t="b">
        <v>0</v>
      </c>
      <c r="H448">
        <v>1</v>
      </c>
    </row>
    <row r="449" spans="1:8">
      <c r="A449" t="s">
        <v>2492</v>
      </c>
      <c r="B449" s="4">
        <v>45332</v>
      </c>
      <c r="C449">
        <v>2024</v>
      </c>
      <c r="D449">
        <v>2</v>
      </c>
      <c r="E449">
        <v>10</v>
      </c>
      <c r="F449" t="s">
        <v>10354</v>
      </c>
      <c r="G449" t="b">
        <v>1</v>
      </c>
      <c r="H449">
        <v>1</v>
      </c>
    </row>
    <row r="450" spans="1:8">
      <c r="A450" t="s">
        <v>2497</v>
      </c>
      <c r="B450" s="4">
        <v>45658</v>
      </c>
      <c r="C450">
        <v>2025</v>
      </c>
      <c r="D450">
        <v>1</v>
      </c>
      <c r="E450">
        <v>1</v>
      </c>
      <c r="F450" t="s">
        <v>10351</v>
      </c>
      <c r="G450" t="b">
        <v>0</v>
      </c>
      <c r="H450">
        <v>1</v>
      </c>
    </row>
    <row r="451" spans="1:8">
      <c r="A451" t="s">
        <v>2502</v>
      </c>
      <c r="B451" s="4">
        <v>45507</v>
      </c>
      <c r="C451">
        <v>2024</v>
      </c>
      <c r="D451">
        <v>8</v>
      </c>
      <c r="E451">
        <v>3</v>
      </c>
      <c r="F451" t="s">
        <v>10354</v>
      </c>
      <c r="G451" t="b">
        <v>1</v>
      </c>
      <c r="H451">
        <v>3</v>
      </c>
    </row>
    <row r="452" spans="1:8">
      <c r="A452" t="s">
        <v>2507</v>
      </c>
      <c r="B452" s="4">
        <v>45990</v>
      </c>
      <c r="C452">
        <v>2025</v>
      </c>
      <c r="D452">
        <v>11</v>
      </c>
      <c r="E452">
        <v>29</v>
      </c>
      <c r="F452" t="s">
        <v>10354</v>
      </c>
      <c r="G452" t="b">
        <v>1</v>
      </c>
      <c r="H452">
        <v>4</v>
      </c>
    </row>
    <row r="453" spans="1:8">
      <c r="A453" t="s">
        <v>2513</v>
      </c>
      <c r="B453" s="4">
        <v>45547</v>
      </c>
      <c r="C453">
        <v>2024</v>
      </c>
      <c r="D453">
        <v>9</v>
      </c>
      <c r="E453">
        <v>12</v>
      </c>
      <c r="F453" t="s">
        <v>10350</v>
      </c>
      <c r="G453" t="b">
        <v>0</v>
      </c>
      <c r="H453">
        <v>3</v>
      </c>
    </row>
    <row r="454" spans="1:8">
      <c r="A454" t="s">
        <v>2518</v>
      </c>
      <c r="B454" s="4">
        <v>45974</v>
      </c>
      <c r="C454">
        <v>2025</v>
      </c>
      <c r="D454">
        <v>11</v>
      </c>
      <c r="E454">
        <v>13</v>
      </c>
      <c r="F454" t="s">
        <v>10350</v>
      </c>
      <c r="G454" t="b">
        <v>0</v>
      </c>
      <c r="H454">
        <v>4</v>
      </c>
    </row>
    <row r="455" spans="1:8">
      <c r="A455" t="s">
        <v>2523</v>
      </c>
      <c r="B455" s="4">
        <v>45397</v>
      </c>
      <c r="C455">
        <v>2024</v>
      </c>
      <c r="D455">
        <v>4</v>
      </c>
      <c r="E455">
        <v>15</v>
      </c>
      <c r="F455" t="s">
        <v>10356</v>
      </c>
      <c r="G455" t="b">
        <v>0</v>
      </c>
      <c r="H455">
        <v>2</v>
      </c>
    </row>
    <row r="456" spans="1:8">
      <c r="A456" t="s">
        <v>2528</v>
      </c>
      <c r="B456" s="4">
        <v>45654</v>
      </c>
      <c r="C456">
        <v>2024</v>
      </c>
      <c r="D456">
        <v>12</v>
      </c>
      <c r="E456">
        <v>28</v>
      </c>
      <c r="F456" t="s">
        <v>10354</v>
      </c>
      <c r="G456" t="b">
        <v>1</v>
      </c>
      <c r="H456">
        <v>4</v>
      </c>
    </row>
    <row r="457" spans="1:8">
      <c r="A457" t="s">
        <v>2533</v>
      </c>
      <c r="B457" s="4">
        <v>45865</v>
      </c>
      <c r="C457">
        <v>2025</v>
      </c>
      <c r="D457">
        <v>7</v>
      </c>
      <c r="E457">
        <v>27</v>
      </c>
      <c r="F457" t="s">
        <v>10355</v>
      </c>
      <c r="G457" t="b">
        <v>1</v>
      </c>
      <c r="H457">
        <v>3</v>
      </c>
    </row>
    <row r="458" spans="1:8">
      <c r="A458" t="s">
        <v>2538</v>
      </c>
      <c r="B458" s="4">
        <v>45708</v>
      </c>
      <c r="C458">
        <v>2025</v>
      </c>
      <c r="D458">
        <v>2</v>
      </c>
      <c r="E458">
        <v>20</v>
      </c>
      <c r="F458" t="s">
        <v>10350</v>
      </c>
      <c r="G458" t="b">
        <v>0</v>
      </c>
      <c r="H458">
        <v>1</v>
      </c>
    </row>
    <row r="459" spans="1:8">
      <c r="A459" t="s">
        <v>2543</v>
      </c>
      <c r="B459" s="4">
        <v>45927</v>
      </c>
      <c r="C459">
        <v>2025</v>
      </c>
      <c r="D459">
        <v>9</v>
      </c>
      <c r="E459">
        <v>27</v>
      </c>
      <c r="F459" t="s">
        <v>10354</v>
      </c>
      <c r="G459" t="b">
        <v>1</v>
      </c>
      <c r="H459">
        <v>3</v>
      </c>
    </row>
    <row r="460" spans="1:8">
      <c r="A460" t="s">
        <v>2548</v>
      </c>
      <c r="B460" s="4">
        <v>45450</v>
      </c>
      <c r="C460">
        <v>2024</v>
      </c>
      <c r="D460">
        <v>6</v>
      </c>
      <c r="E460">
        <v>7</v>
      </c>
      <c r="F460" t="s">
        <v>10352</v>
      </c>
      <c r="G460" t="b">
        <v>0</v>
      </c>
      <c r="H460">
        <v>2</v>
      </c>
    </row>
    <row r="461" spans="1:8">
      <c r="A461" t="s">
        <v>2553</v>
      </c>
      <c r="B461" s="4">
        <v>45534</v>
      </c>
      <c r="C461">
        <v>2024</v>
      </c>
      <c r="D461">
        <v>8</v>
      </c>
      <c r="E461">
        <v>30</v>
      </c>
      <c r="F461" t="s">
        <v>10352</v>
      </c>
      <c r="G461" t="b">
        <v>0</v>
      </c>
      <c r="H461">
        <v>3</v>
      </c>
    </row>
    <row r="462" spans="1:8">
      <c r="A462" t="s">
        <v>2558</v>
      </c>
      <c r="B462" s="4">
        <v>45458</v>
      </c>
      <c r="C462">
        <v>2024</v>
      </c>
      <c r="D462">
        <v>6</v>
      </c>
      <c r="E462">
        <v>15</v>
      </c>
      <c r="F462" t="s">
        <v>10354</v>
      </c>
      <c r="G462" t="b">
        <v>1</v>
      </c>
      <c r="H462">
        <v>2</v>
      </c>
    </row>
    <row r="463" spans="1:8">
      <c r="A463" t="s">
        <v>2563</v>
      </c>
      <c r="B463" s="4">
        <v>45473</v>
      </c>
      <c r="C463">
        <v>2024</v>
      </c>
      <c r="D463">
        <v>6</v>
      </c>
      <c r="E463">
        <v>30</v>
      </c>
      <c r="F463" t="s">
        <v>10355</v>
      </c>
      <c r="G463" t="b">
        <v>1</v>
      </c>
      <c r="H463">
        <v>2</v>
      </c>
    </row>
    <row r="464" spans="1:8">
      <c r="A464" t="s">
        <v>2568</v>
      </c>
      <c r="B464" s="4">
        <v>45714</v>
      </c>
      <c r="C464">
        <v>2025</v>
      </c>
      <c r="D464">
        <v>2</v>
      </c>
      <c r="E464">
        <v>26</v>
      </c>
      <c r="F464" t="s">
        <v>10351</v>
      </c>
      <c r="G464" t="b">
        <v>0</v>
      </c>
      <c r="H464">
        <v>1</v>
      </c>
    </row>
    <row r="465" spans="1:8">
      <c r="A465" t="s">
        <v>2573</v>
      </c>
      <c r="B465" s="4">
        <v>45317</v>
      </c>
      <c r="C465">
        <v>2024</v>
      </c>
      <c r="D465">
        <v>1</v>
      </c>
      <c r="E465">
        <v>26</v>
      </c>
      <c r="F465" t="s">
        <v>10352</v>
      </c>
      <c r="G465" t="b">
        <v>0</v>
      </c>
      <c r="H465">
        <v>1</v>
      </c>
    </row>
    <row r="466" spans="1:8">
      <c r="A466" t="s">
        <v>2578</v>
      </c>
      <c r="B466" s="4">
        <v>45475</v>
      </c>
      <c r="C466">
        <v>2024</v>
      </c>
      <c r="D466">
        <v>7</v>
      </c>
      <c r="E466">
        <v>2</v>
      </c>
      <c r="F466" t="s">
        <v>10353</v>
      </c>
      <c r="G466" t="b">
        <v>0</v>
      </c>
      <c r="H466">
        <v>3</v>
      </c>
    </row>
    <row r="467" spans="1:8">
      <c r="A467" t="s">
        <v>2583</v>
      </c>
      <c r="B467" s="4">
        <v>45632</v>
      </c>
      <c r="C467">
        <v>2024</v>
      </c>
      <c r="D467">
        <v>12</v>
      </c>
      <c r="E467">
        <v>6</v>
      </c>
      <c r="F467" t="s">
        <v>10352</v>
      </c>
      <c r="G467" t="b">
        <v>0</v>
      </c>
      <c r="H467">
        <v>4</v>
      </c>
    </row>
    <row r="468" spans="1:8">
      <c r="A468" t="s">
        <v>2588</v>
      </c>
      <c r="B468" s="4">
        <v>45713</v>
      </c>
      <c r="C468">
        <v>2025</v>
      </c>
      <c r="D468">
        <v>2</v>
      </c>
      <c r="E468">
        <v>25</v>
      </c>
      <c r="F468" t="s">
        <v>10353</v>
      </c>
      <c r="G468" t="b">
        <v>0</v>
      </c>
      <c r="H468">
        <v>1</v>
      </c>
    </row>
    <row r="469" spans="1:8">
      <c r="A469" t="s">
        <v>2593</v>
      </c>
      <c r="B469" s="4">
        <v>45977</v>
      </c>
      <c r="C469">
        <v>2025</v>
      </c>
      <c r="D469">
        <v>11</v>
      </c>
      <c r="E469">
        <v>16</v>
      </c>
      <c r="F469" t="s">
        <v>10355</v>
      </c>
      <c r="G469" t="b">
        <v>1</v>
      </c>
      <c r="H469">
        <v>4</v>
      </c>
    </row>
    <row r="470" spans="1:8">
      <c r="A470" t="s">
        <v>2598</v>
      </c>
      <c r="B470" s="4">
        <v>45546</v>
      </c>
      <c r="C470">
        <v>2024</v>
      </c>
      <c r="D470">
        <v>9</v>
      </c>
      <c r="E470">
        <v>11</v>
      </c>
      <c r="F470" t="s">
        <v>10351</v>
      </c>
      <c r="G470" t="b">
        <v>0</v>
      </c>
      <c r="H470">
        <v>3</v>
      </c>
    </row>
    <row r="471" spans="1:8">
      <c r="A471" t="s">
        <v>2603</v>
      </c>
      <c r="B471" s="4">
        <v>45565</v>
      </c>
      <c r="C471">
        <v>2024</v>
      </c>
      <c r="D471">
        <v>9</v>
      </c>
      <c r="E471">
        <v>30</v>
      </c>
      <c r="F471" t="s">
        <v>10356</v>
      </c>
      <c r="G471" t="b">
        <v>0</v>
      </c>
      <c r="H471">
        <v>3</v>
      </c>
    </row>
    <row r="472" spans="1:8">
      <c r="A472" t="s">
        <v>2608</v>
      </c>
      <c r="B472" s="4">
        <v>45455</v>
      </c>
      <c r="C472">
        <v>2024</v>
      </c>
      <c r="D472">
        <v>6</v>
      </c>
      <c r="E472">
        <v>12</v>
      </c>
      <c r="F472" t="s">
        <v>10351</v>
      </c>
      <c r="G472" t="b">
        <v>0</v>
      </c>
      <c r="H472">
        <v>2</v>
      </c>
    </row>
    <row r="473" spans="1:8">
      <c r="A473" t="s">
        <v>2613</v>
      </c>
      <c r="B473" s="4">
        <v>46010</v>
      </c>
      <c r="C473">
        <v>2025</v>
      </c>
      <c r="D473">
        <v>12</v>
      </c>
      <c r="E473">
        <v>19</v>
      </c>
      <c r="F473" t="s">
        <v>10352</v>
      </c>
      <c r="G473" t="b">
        <v>0</v>
      </c>
      <c r="H473">
        <v>4</v>
      </c>
    </row>
    <row r="474" spans="1:8">
      <c r="A474" t="s">
        <v>2618</v>
      </c>
      <c r="B474" s="4">
        <v>45402</v>
      </c>
      <c r="C474">
        <v>2024</v>
      </c>
      <c r="D474">
        <v>4</v>
      </c>
      <c r="E474">
        <v>20</v>
      </c>
      <c r="F474" t="s">
        <v>10354</v>
      </c>
      <c r="G474" t="b">
        <v>1</v>
      </c>
      <c r="H474">
        <v>2</v>
      </c>
    </row>
    <row r="475" spans="1:8">
      <c r="A475" t="s">
        <v>2623</v>
      </c>
      <c r="B475" s="4">
        <v>45683</v>
      </c>
      <c r="C475">
        <v>2025</v>
      </c>
      <c r="D475">
        <v>1</v>
      </c>
      <c r="E475">
        <v>26</v>
      </c>
      <c r="F475" t="s">
        <v>10355</v>
      </c>
      <c r="G475" t="b">
        <v>1</v>
      </c>
      <c r="H475">
        <v>1</v>
      </c>
    </row>
    <row r="476" spans="1:8">
      <c r="A476" t="s">
        <v>2628</v>
      </c>
      <c r="B476" s="4">
        <v>45331</v>
      </c>
      <c r="C476">
        <v>2024</v>
      </c>
      <c r="D476">
        <v>2</v>
      </c>
      <c r="E476">
        <v>9</v>
      </c>
      <c r="F476" t="s">
        <v>10352</v>
      </c>
      <c r="G476" t="b">
        <v>0</v>
      </c>
      <c r="H476">
        <v>1</v>
      </c>
    </row>
    <row r="477" spans="1:8">
      <c r="A477" t="s">
        <v>2633</v>
      </c>
      <c r="B477" s="4">
        <v>45773</v>
      </c>
      <c r="C477">
        <v>2025</v>
      </c>
      <c r="D477">
        <v>4</v>
      </c>
      <c r="E477">
        <v>26</v>
      </c>
      <c r="F477" t="s">
        <v>10354</v>
      </c>
      <c r="G477" t="b">
        <v>1</v>
      </c>
      <c r="H477">
        <v>2</v>
      </c>
    </row>
    <row r="478" spans="1:8">
      <c r="A478" t="s">
        <v>2639</v>
      </c>
      <c r="B478" s="4">
        <v>45519</v>
      </c>
      <c r="C478">
        <v>2024</v>
      </c>
      <c r="D478">
        <v>8</v>
      </c>
      <c r="E478">
        <v>15</v>
      </c>
      <c r="F478" t="s">
        <v>10350</v>
      </c>
      <c r="G478" t="b">
        <v>0</v>
      </c>
      <c r="H478">
        <v>3</v>
      </c>
    </row>
    <row r="479" spans="1:8">
      <c r="A479" t="s">
        <v>2645</v>
      </c>
      <c r="B479" s="4">
        <v>45496</v>
      </c>
      <c r="C479">
        <v>2024</v>
      </c>
      <c r="D479">
        <v>7</v>
      </c>
      <c r="E479">
        <v>23</v>
      </c>
      <c r="F479" t="s">
        <v>10353</v>
      </c>
      <c r="G479" t="b">
        <v>0</v>
      </c>
      <c r="H479">
        <v>3</v>
      </c>
    </row>
    <row r="480" spans="1:8">
      <c r="A480" t="s">
        <v>2650</v>
      </c>
      <c r="B480" s="4">
        <v>45763</v>
      </c>
      <c r="C480">
        <v>2025</v>
      </c>
      <c r="D480">
        <v>4</v>
      </c>
      <c r="E480">
        <v>16</v>
      </c>
      <c r="F480" t="s">
        <v>10351</v>
      </c>
      <c r="G480" t="b">
        <v>0</v>
      </c>
      <c r="H480">
        <v>2</v>
      </c>
    </row>
    <row r="481" spans="1:8">
      <c r="A481" t="s">
        <v>2655</v>
      </c>
      <c r="B481" s="4">
        <v>45650</v>
      </c>
      <c r="C481">
        <v>2024</v>
      </c>
      <c r="D481">
        <v>12</v>
      </c>
      <c r="E481">
        <v>24</v>
      </c>
      <c r="F481" t="s">
        <v>10353</v>
      </c>
      <c r="G481" t="b">
        <v>0</v>
      </c>
      <c r="H481">
        <v>4</v>
      </c>
    </row>
    <row r="482" spans="1:8">
      <c r="A482" t="s">
        <v>2660</v>
      </c>
      <c r="B482" s="4">
        <v>45604</v>
      </c>
      <c r="C482">
        <v>2024</v>
      </c>
      <c r="D482">
        <v>11</v>
      </c>
      <c r="E482">
        <v>8</v>
      </c>
      <c r="F482" t="s">
        <v>10352</v>
      </c>
      <c r="G482" t="b">
        <v>0</v>
      </c>
      <c r="H482">
        <v>4</v>
      </c>
    </row>
    <row r="483" spans="1:8">
      <c r="A483" t="s">
        <v>2666</v>
      </c>
      <c r="B483" s="4">
        <v>45525</v>
      </c>
      <c r="C483">
        <v>2024</v>
      </c>
      <c r="D483">
        <v>8</v>
      </c>
      <c r="E483">
        <v>21</v>
      </c>
      <c r="F483" t="s">
        <v>10351</v>
      </c>
      <c r="G483" t="b">
        <v>0</v>
      </c>
      <c r="H483">
        <v>3</v>
      </c>
    </row>
    <row r="484" spans="1:8">
      <c r="A484" t="s">
        <v>2671</v>
      </c>
      <c r="B484" s="4">
        <v>45520</v>
      </c>
      <c r="C484">
        <v>2024</v>
      </c>
      <c r="D484">
        <v>8</v>
      </c>
      <c r="E484">
        <v>16</v>
      </c>
      <c r="F484" t="s">
        <v>10352</v>
      </c>
      <c r="G484" t="b">
        <v>0</v>
      </c>
      <c r="H484">
        <v>3</v>
      </c>
    </row>
    <row r="485" spans="1:8">
      <c r="A485" t="s">
        <v>2676</v>
      </c>
      <c r="B485" s="4">
        <v>45316</v>
      </c>
      <c r="C485">
        <v>2024</v>
      </c>
      <c r="D485">
        <v>1</v>
      </c>
      <c r="E485">
        <v>25</v>
      </c>
      <c r="F485" t="s">
        <v>10350</v>
      </c>
      <c r="G485" t="b">
        <v>0</v>
      </c>
      <c r="H485">
        <v>1</v>
      </c>
    </row>
    <row r="486" spans="1:8">
      <c r="A486" t="s">
        <v>2681</v>
      </c>
      <c r="B486" s="4">
        <v>45967</v>
      </c>
      <c r="C486">
        <v>2025</v>
      </c>
      <c r="D486">
        <v>11</v>
      </c>
      <c r="E486">
        <v>6</v>
      </c>
      <c r="F486" t="s">
        <v>10350</v>
      </c>
      <c r="G486" t="b">
        <v>0</v>
      </c>
      <c r="H486">
        <v>4</v>
      </c>
    </row>
    <row r="487" spans="1:8">
      <c r="A487" t="s">
        <v>2686</v>
      </c>
      <c r="B487" s="4">
        <v>45489</v>
      </c>
      <c r="C487">
        <v>2024</v>
      </c>
      <c r="D487">
        <v>7</v>
      </c>
      <c r="E487">
        <v>16</v>
      </c>
      <c r="F487" t="s">
        <v>10353</v>
      </c>
      <c r="G487" t="b">
        <v>0</v>
      </c>
      <c r="H487">
        <v>3</v>
      </c>
    </row>
    <row r="488" spans="1:8">
      <c r="A488" t="s">
        <v>2692</v>
      </c>
      <c r="B488" s="4">
        <v>45700</v>
      </c>
      <c r="C488">
        <v>2025</v>
      </c>
      <c r="D488">
        <v>2</v>
      </c>
      <c r="E488">
        <v>12</v>
      </c>
      <c r="F488" t="s">
        <v>10351</v>
      </c>
      <c r="G488" t="b">
        <v>0</v>
      </c>
      <c r="H488">
        <v>1</v>
      </c>
    </row>
    <row r="489" spans="1:8">
      <c r="A489" t="s">
        <v>2697</v>
      </c>
      <c r="B489" s="4">
        <v>45628</v>
      </c>
      <c r="C489">
        <v>2024</v>
      </c>
      <c r="D489">
        <v>12</v>
      </c>
      <c r="E489">
        <v>2</v>
      </c>
      <c r="F489" t="s">
        <v>10356</v>
      </c>
      <c r="G489" t="b">
        <v>0</v>
      </c>
      <c r="H489">
        <v>4</v>
      </c>
    </row>
    <row r="490" spans="1:8">
      <c r="A490" t="s">
        <v>2702</v>
      </c>
      <c r="B490" s="4">
        <v>45577</v>
      </c>
      <c r="C490">
        <v>2024</v>
      </c>
      <c r="D490">
        <v>10</v>
      </c>
      <c r="E490">
        <v>12</v>
      </c>
      <c r="F490" t="s">
        <v>10354</v>
      </c>
      <c r="G490" t="b">
        <v>1</v>
      </c>
      <c r="H490">
        <v>4</v>
      </c>
    </row>
    <row r="491" spans="1:8">
      <c r="A491" t="s">
        <v>2707</v>
      </c>
      <c r="B491" s="4">
        <v>45363</v>
      </c>
      <c r="C491">
        <v>2024</v>
      </c>
      <c r="D491">
        <v>3</v>
      </c>
      <c r="E491">
        <v>12</v>
      </c>
      <c r="F491" t="s">
        <v>10353</v>
      </c>
      <c r="G491" t="b">
        <v>0</v>
      </c>
      <c r="H491">
        <v>1</v>
      </c>
    </row>
    <row r="492" spans="1:8">
      <c r="A492" t="s">
        <v>2712</v>
      </c>
      <c r="B492" s="4">
        <v>45577</v>
      </c>
      <c r="C492">
        <v>2024</v>
      </c>
      <c r="D492">
        <v>10</v>
      </c>
      <c r="E492">
        <v>12</v>
      </c>
      <c r="F492" t="s">
        <v>10354</v>
      </c>
      <c r="G492" t="b">
        <v>1</v>
      </c>
      <c r="H492">
        <v>4</v>
      </c>
    </row>
    <row r="493" spans="1:8">
      <c r="A493" t="s">
        <v>2717</v>
      </c>
      <c r="B493" s="4">
        <v>45651</v>
      </c>
      <c r="C493">
        <v>2024</v>
      </c>
      <c r="D493">
        <v>12</v>
      </c>
      <c r="E493">
        <v>25</v>
      </c>
      <c r="F493" t="s">
        <v>10351</v>
      </c>
      <c r="G493" t="b">
        <v>0</v>
      </c>
      <c r="H493">
        <v>4</v>
      </c>
    </row>
    <row r="494" spans="1:8">
      <c r="A494" t="s">
        <v>2723</v>
      </c>
      <c r="B494" s="4">
        <v>45948</v>
      </c>
      <c r="C494">
        <v>2025</v>
      </c>
      <c r="D494">
        <v>10</v>
      </c>
      <c r="E494">
        <v>18</v>
      </c>
      <c r="F494" t="s">
        <v>10354</v>
      </c>
      <c r="G494" t="b">
        <v>1</v>
      </c>
      <c r="H494">
        <v>4</v>
      </c>
    </row>
    <row r="495" spans="1:8">
      <c r="A495" t="s">
        <v>2729</v>
      </c>
      <c r="B495" s="4">
        <v>45813</v>
      </c>
      <c r="C495">
        <v>2025</v>
      </c>
      <c r="D495">
        <v>6</v>
      </c>
      <c r="E495">
        <v>5</v>
      </c>
      <c r="F495" t="s">
        <v>10350</v>
      </c>
      <c r="G495" t="b">
        <v>0</v>
      </c>
      <c r="H495">
        <v>2</v>
      </c>
    </row>
    <row r="496" spans="1:8">
      <c r="A496" t="s">
        <v>2734</v>
      </c>
      <c r="B496" s="4">
        <v>45701</v>
      </c>
      <c r="C496">
        <v>2025</v>
      </c>
      <c r="D496">
        <v>2</v>
      </c>
      <c r="E496">
        <v>13</v>
      </c>
      <c r="F496" t="s">
        <v>10350</v>
      </c>
      <c r="G496" t="b">
        <v>0</v>
      </c>
      <c r="H496">
        <v>1</v>
      </c>
    </row>
    <row r="497" spans="1:8">
      <c r="A497" t="s">
        <v>2739</v>
      </c>
      <c r="B497" s="4">
        <v>45987</v>
      </c>
      <c r="C497">
        <v>2025</v>
      </c>
      <c r="D497">
        <v>11</v>
      </c>
      <c r="E497">
        <v>26</v>
      </c>
      <c r="F497" t="s">
        <v>10351</v>
      </c>
      <c r="G497" t="b">
        <v>0</v>
      </c>
      <c r="H497">
        <v>4</v>
      </c>
    </row>
    <row r="498" spans="1:8">
      <c r="A498" t="s">
        <v>2745</v>
      </c>
      <c r="B498" s="4">
        <v>45841</v>
      </c>
      <c r="C498">
        <v>2025</v>
      </c>
      <c r="D498">
        <v>7</v>
      </c>
      <c r="E498">
        <v>3</v>
      </c>
      <c r="F498" t="s">
        <v>10350</v>
      </c>
      <c r="G498" t="b">
        <v>0</v>
      </c>
      <c r="H498">
        <v>3</v>
      </c>
    </row>
    <row r="499" spans="1:8">
      <c r="A499" t="s">
        <v>2750</v>
      </c>
      <c r="B499" s="4">
        <v>45631</v>
      </c>
      <c r="C499">
        <v>2024</v>
      </c>
      <c r="D499">
        <v>12</v>
      </c>
      <c r="E499">
        <v>5</v>
      </c>
      <c r="F499" t="s">
        <v>10350</v>
      </c>
      <c r="G499" t="b">
        <v>0</v>
      </c>
      <c r="H499">
        <v>4</v>
      </c>
    </row>
    <row r="500" spans="1:8">
      <c r="A500" t="s">
        <v>2755</v>
      </c>
      <c r="B500" s="4">
        <v>45320</v>
      </c>
      <c r="C500">
        <v>2024</v>
      </c>
      <c r="D500">
        <v>1</v>
      </c>
      <c r="E500">
        <v>29</v>
      </c>
      <c r="F500" t="s">
        <v>10356</v>
      </c>
      <c r="G500" t="b">
        <v>0</v>
      </c>
      <c r="H500">
        <v>1</v>
      </c>
    </row>
    <row r="501" spans="1:8">
      <c r="A501" t="s">
        <v>2760</v>
      </c>
      <c r="B501" s="4">
        <v>45410</v>
      </c>
      <c r="C501">
        <v>2024</v>
      </c>
      <c r="D501">
        <v>4</v>
      </c>
      <c r="E501">
        <v>28</v>
      </c>
      <c r="F501" t="s">
        <v>10355</v>
      </c>
      <c r="G501" t="b">
        <v>1</v>
      </c>
      <c r="H501">
        <v>2</v>
      </c>
    </row>
    <row r="502" spans="1:8">
      <c r="A502" t="s">
        <v>2765</v>
      </c>
      <c r="B502" s="4">
        <v>45559</v>
      </c>
      <c r="C502">
        <v>2024</v>
      </c>
      <c r="D502">
        <v>9</v>
      </c>
      <c r="E502">
        <v>24</v>
      </c>
      <c r="F502" t="s">
        <v>10353</v>
      </c>
      <c r="G502" t="b">
        <v>0</v>
      </c>
      <c r="H502">
        <v>3</v>
      </c>
    </row>
    <row r="503" spans="1:8">
      <c r="A503" t="s">
        <v>2770</v>
      </c>
      <c r="B503" s="4">
        <v>45474</v>
      </c>
      <c r="C503">
        <v>2024</v>
      </c>
      <c r="D503">
        <v>7</v>
      </c>
      <c r="E503">
        <v>1</v>
      </c>
      <c r="F503" t="s">
        <v>10356</v>
      </c>
      <c r="G503" t="b">
        <v>0</v>
      </c>
      <c r="H503">
        <v>3</v>
      </c>
    </row>
    <row r="504" spans="1:8">
      <c r="A504" t="s">
        <v>2775</v>
      </c>
      <c r="B504" s="4">
        <v>45886</v>
      </c>
      <c r="C504">
        <v>2025</v>
      </c>
      <c r="D504">
        <v>8</v>
      </c>
      <c r="E504">
        <v>17</v>
      </c>
      <c r="F504" t="s">
        <v>10355</v>
      </c>
      <c r="G504" t="b">
        <v>1</v>
      </c>
      <c r="H504">
        <v>3</v>
      </c>
    </row>
    <row r="505" spans="1:8">
      <c r="A505" t="s">
        <v>2781</v>
      </c>
      <c r="B505" s="4">
        <v>45563</v>
      </c>
      <c r="C505">
        <v>2024</v>
      </c>
      <c r="D505">
        <v>9</v>
      </c>
      <c r="E505">
        <v>28</v>
      </c>
      <c r="F505" t="s">
        <v>10354</v>
      </c>
      <c r="G505" t="b">
        <v>1</v>
      </c>
      <c r="H505">
        <v>3</v>
      </c>
    </row>
    <row r="506" spans="1:8">
      <c r="A506" t="s">
        <v>2786</v>
      </c>
      <c r="B506" s="4">
        <v>45331</v>
      </c>
      <c r="C506">
        <v>2024</v>
      </c>
      <c r="D506">
        <v>2</v>
      </c>
      <c r="E506">
        <v>9</v>
      </c>
      <c r="F506" t="s">
        <v>10352</v>
      </c>
      <c r="G506" t="b">
        <v>0</v>
      </c>
      <c r="H506">
        <v>1</v>
      </c>
    </row>
    <row r="507" spans="1:8">
      <c r="A507" t="s">
        <v>2791</v>
      </c>
      <c r="B507" s="4">
        <v>45403</v>
      </c>
      <c r="C507">
        <v>2024</v>
      </c>
      <c r="D507">
        <v>4</v>
      </c>
      <c r="E507">
        <v>21</v>
      </c>
      <c r="F507" t="s">
        <v>10355</v>
      </c>
      <c r="G507" t="b">
        <v>1</v>
      </c>
      <c r="H507">
        <v>2</v>
      </c>
    </row>
    <row r="508" spans="1:8">
      <c r="A508" t="s">
        <v>2796</v>
      </c>
      <c r="B508" s="4">
        <v>45902</v>
      </c>
      <c r="C508">
        <v>2025</v>
      </c>
      <c r="D508">
        <v>9</v>
      </c>
      <c r="E508">
        <v>2</v>
      </c>
      <c r="F508" t="s">
        <v>10353</v>
      </c>
      <c r="G508" t="b">
        <v>0</v>
      </c>
      <c r="H508">
        <v>3</v>
      </c>
    </row>
    <row r="509" spans="1:8">
      <c r="A509" t="s">
        <v>2801</v>
      </c>
      <c r="B509" s="4">
        <v>45736</v>
      </c>
      <c r="C509">
        <v>2025</v>
      </c>
      <c r="D509">
        <v>3</v>
      </c>
      <c r="E509">
        <v>20</v>
      </c>
      <c r="F509" t="s">
        <v>10350</v>
      </c>
      <c r="G509" t="b">
        <v>0</v>
      </c>
      <c r="H509">
        <v>1</v>
      </c>
    </row>
    <row r="510" spans="1:8">
      <c r="A510" t="s">
        <v>2807</v>
      </c>
      <c r="B510" s="4">
        <v>45645</v>
      </c>
      <c r="C510">
        <v>2024</v>
      </c>
      <c r="D510">
        <v>12</v>
      </c>
      <c r="E510">
        <v>19</v>
      </c>
      <c r="F510" t="s">
        <v>10350</v>
      </c>
      <c r="G510" t="b">
        <v>0</v>
      </c>
      <c r="H510">
        <v>4</v>
      </c>
    </row>
    <row r="511" spans="1:8">
      <c r="A511" t="s">
        <v>2812</v>
      </c>
      <c r="B511" s="4">
        <v>45613</v>
      </c>
      <c r="C511">
        <v>2024</v>
      </c>
      <c r="D511">
        <v>11</v>
      </c>
      <c r="E511">
        <v>17</v>
      </c>
      <c r="F511" t="s">
        <v>10355</v>
      </c>
      <c r="G511" t="b">
        <v>1</v>
      </c>
      <c r="H511">
        <v>4</v>
      </c>
    </row>
    <row r="512" spans="1:8">
      <c r="A512" t="s">
        <v>2818</v>
      </c>
      <c r="B512" s="4">
        <v>45738</v>
      </c>
      <c r="C512">
        <v>2025</v>
      </c>
      <c r="D512">
        <v>3</v>
      </c>
      <c r="E512">
        <v>22</v>
      </c>
      <c r="F512" t="s">
        <v>10354</v>
      </c>
      <c r="G512" t="b">
        <v>1</v>
      </c>
      <c r="H512">
        <v>1</v>
      </c>
    </row>
    <row r="513" spans="1:8">
      <c r="A513" t="s">
        <v>2823</v>
      </c>
      <c r="B513" s="4">
        <v>45912</v>
      </c>
      <c r="C513">
        <v>2025</v>
      </c>
      <c r="D513">
        <v>9</v>
      </c>
      <c r="E513">
        <v>12</v>
      </c>
      <c r="F513" t="s">
        <v>10352</v>
      </c>
      <c r="G513" t="b">
        <v>0</v>
      </c>
      <c r="H513">
        <v>3</v>
      </c>
    </row>
    <row r="514" spans="1:8">
      <c r="A514" t="s">
        <v>2828</v>
      </c>
      <c r="B514" s="4">
        <v>45815</v>
      </c>
      <c r="C514">
        <v>2025</v>
      </c>
      <c r="D514">
        <v>6</v>
      </c>
      <c r="E514">
        <v>7</v>
      </c>
      <c r="F514" t="s">
        <v>10354</v>
      </c>
      <c r="G514" t="b">
        <v>1</v>
      </c>
      <c r="H514">
        <v>2</v>
      </c>
    </row>
    <row r="515" spans="1:8">
      <c r="A515" t="s">
        <v>2834</v>
      </c>
      <c r="B515" s="4">
        <v>45410</v>
      </c>
      <c r="C515">
        <v>2024</v>
      </c>
      <c r="D515">
        <v>4</v>
      </c>
      <c r="E515">
        <v>28</v>
      </c>
      <c r="F515" t="s">
        <v>10355</v>
      </c>
      <c r="G515" t="b">
        <v>1</v>
      </c>
      <c r="H515">
        <v>2</v>
      </c>
    </row>
    <row r="516" spans="1:8">
      <c r="A516" t="s">
        <v>2840</v>
      </c>
      <c r="B516" s="4">
        <v>45686</v>
      </c>
      <c r="C516">
        <v>2025</v>
      </c>
      <c r="D516">
        <v>1</v>
      </c>
      <c r="E516">
        <v>29</v>
      </c>
      <c r="F516" t="s">
        <v>10351</v>
      </c>
      <c r="G516" t="b">
        <v>0</v>
      </c>
      <c r="H516">
        <v>1</v>
      </c>
    </row>
    <row r="517" spans="1:8">
      <c r="A517" t="s">
        <v>2845</v>
      </c>
      <c r="B517" s="4">
        <v>45882</v>
      </c>
      <c r="C517">
        <v>2025</v>
      </c>
      <c r="D517">
        <v>8</v>
      </c>
      <c r="E517">
        <v>13</v>
      </c>
      <c r="F517" t="s">
        <v>10351</v>
      </c>
      <c r="G517" t="b">
        <v>0</v>
      </c>
      <c r="H517">
        <v>3</v>
      </c>
    </row>
    <row r="518" spans="1:8">
      <c r="A518" t="s">
        <v>2850</v>
      </c>
      <c r="B518" s="4">
        <v>45486</v>
      </c>
      <c r="C518">
        <v>2024</v>
      </c>
      <c r="D518">
        <v>7</v>
      </c>
      <c r="E518">
        <v>13</v>
      </c>
      <c r="F518" t="s">
        <v>10354</v>
      </c>
      <c r="G518" t="b">
        <v>1</v>
      </c>
      <c r="H518">
        <v>3</v>
      </c>
    </row>
    <row r="519" spans="1:8">
      <c r="A519" t="s">
        <v>2855</v>
      </c>
      <c r="B519" s="4">
        <v>45552</v>
      </c>
      <c r="C519">
        <v>2024</v>
      </c>
      <c r="D519">
        <v>9</v>
      </c>
      <c r="E519">
        <v>17</v>
      </c>
      <c r="F519" t="s">
        <v>10353</v>
      </c>
      <c r="G519" t="b">
        <v>0</v>
      </c>
      <c r="H519">
        <v>3</v>
      </c>
    </row>
    <row r="520" spans="1:8">
      <c r="A520" t="s">
        <v>2860</v>
      </c>
      <c r="B520" s="4">
        <v>45337</v>
      </c>
      <c r="C520">
        <v>2024</v>
      </c>
      <c r="D520">
        <v>2</v>
      </c>
      <c r="E520">
        <v>15</v>
      </c>
      <c r="F520" t="s">
        <v>10350</v>
      </c>
      <c r="G520" t="b">
        <v>0</v>
      </c>
      <c r="H520">
        <v>1</v>
      </c>
    </row>
    <row r="521" spans="1:8">
      <c r="A521" t="s">
        <v>2866</v>
      </c>
      <c r="B521" s="4">
        <v>46017</v>
      </c>
      <c r="C521">
        <v>2025</v>
      </c>
      <c r="D521">
        <v>12</v>
      </c>
      <c r="E521">
        <v>26</v>
      </c>
      <c r="F521" t="s">
        <v>10352</v>
      </c>
      <c r="G521" t="b">
        <v>0</v>
      </c>
      <c r="H521">
        <v>4</v>
      </c>
    </row>
    <row r="522" spans="1:8">
      <c r="A522" t="s">
        <v>2871</v>
      </c>
      <c r="B522" s="4">
        <v>45738</v>
      </c>
      <c r="C522">
        <v>2025</v>
      </c>
      <c r="D522">
        <v>3</v>
      </c>
      <c r="E522">
        <v>22</v>
      </c>
      <c r="F522" t="s">
        <v>10354</v>
      </c>
      <c r="G522" t="b">
        <v>1</v>
      </c>
      <c r="H522">
        <v>1</v>
      </c>
    </row>
    <row r="523" spans="1:8">
      <c r="A523" t="s">
        <v>2876</v>
      </c>
      <c r="B523" s="4">
        <v>45293</v>
      </c>
      <c r="C523">
        <v>2024</v>
      </c>
      <c r="D523">
        <v>1</v>
      </c>
      <c r="E523">
        <v>2</v>
      </c>
      <c r="F523" t="s">
        <v>10353</v>
      </c>
      <c r="G523" t="b">
        <v>0</v>
      </c>
      <c r="H523">
        <v>1</v>
      </c>
    </row>
    <row r="524" spans="1:8">
      <c r="A524" t="s">
        <v>2881</v>
      </c>
      <c r="B524" s="4">
        <v>45824</v>
      </c>
      <c r="C524">
        <v>2025</v>
      </c>
      <c r="D524">
        <v>6</v>
      </c>
      <c r="E524">
        <v>16</v>
      </c>
      <c r="F524" t="s">
        <v>10356</v>
      </c>
      <c r="G524" t="b">
        <v>0</v>
      </c>
      <c r="H524">
        <v>2</v>
      </c>
    </row>
    <row r="525" spans="1:8">
      <c r="A525" t="s">
        <v>2886</v>
      </c>
      <c r="B525" s="4">
        <v>45843</v>
      </c>
      <c r="C525">
        <v>2025</v>
      </c>
      <c r="D525">
        <v>7</v>
      </c>
      <c r="E525">
        <v>5</v>
      </c>
      <c r="F525" t="s">
        <v>10354</v>
      </c>
      <c r="G525" t="b">
        <v>1</v>
      </c>
      <c r="H525">
        <v>3</v>
      </c>
    </row>
    <row r="526" spans="1:8">
      <c r="A526" t="s">
        <v>2891</v>
      </c>
      <c r="B526" s="4">
        <v>45995</v>
      </c>
      <c r="C526">
        <v>2025</v>
      </c>
      <c r="D526">
        <v>12</v>
      </c>
      <c r="E526">
        <v>4</v>
      </c>
      <c r="F526" t="s">
        <v>10350</v>
      </c>
      <c r="G526" t="b">
        <v>0</v>
      </c>
      <c r="H526">
        <v>4</v>
      </c>
    </row>
    <row r="527" spans="1:8">
      <c r="A527" t="s">
        <v>2896</v>
      </c>
      <c r="B527" s="4">
        <v>45978</v>
      </c>
      <c r="C527">
        <v>2025</v>
      </c>
      <c r="D527">
        <v>11</v>
      </c>
      <c r="E527">
        <v>17</v>
      </c>
      <c r="F527" t="s">
        <v>10356</v>
      </c>
      <c r="G527" t="b">
        <v>0</v>
      </c>
      <c r="H527">
        <v>4</v>
      </c>
    </row>
    <row r="528" spans="1:8">
      <c r="A528" t="s">
        <v>2901</v>
      </c>
      <c r="B528" s="4">
        <v>45493</v>
      </c>
      <c r="C528">
        <v>2024</v>
      </c>
      <c r="D528">
        <v>7</v>
      </c>
      <c r="E528">
        <v>20</v>
      </c>
      <c r="F528" t="s">
        <v>10354</v>
      </c>
      <c r="G528" t="b">
        <v>1</v>
      </c>
      <c r="H528">
        <v>3</v>
      </c>
    </row>
    <row r="529" spans="1:8">
      <c r="A529" t="s">
        <v>2906</v>
      </c>
      <c r="B529" s="4">
        <v>45664</v>
      </c>
      <c r="C529">
        <v>2025</v>
      </c>
      <c r="D529">
        <v>1</v>
      </c>
      <c r="E529">
        <v>7</v>
      </c>
      <c r="F529" t="s">
        <v>10353</v>
      </c>
      <c r="G529" t="b">
        <v>0</v>
      </c>
      <c r="H529">
        <v>1</v>
      </c>
    </row>
    <row r="530" spans="1:8">
      <c r="A530" t="s">
        <v>2911</v>
      </c>
      <c r="B530" s="4">
        <v>45733</v>
      </c>
      <c r="C530">
        <v>2025</v>
      </c>
      <c r="D530">
        <v>3</v>
      </c>
      <c r="E530">
        <v>17</v>
      </c>
      <c r="F530" t="s">
        <v>10356</v>
      </c>
      <c r="G530" t="b">
        <v>0</v>
      </c>
      <c r="H530">
        <v>1</v>
      </c>
    </row>
    <row r="531" spans="1:8">
      <c r="A531" t="s">
        <v>2916</v>
      </c>
      <c r="B531" s="4">
        <v>45363</v>
      </c>
      <c r="C531">
        <v>2024</v>
      </c>
      <c r="D531">
        <v>3</v>
      </c>
      <c r="E531">
        <v>12</v>
      </c>
      <c r="F531" t="s">
        <v>10353</v>
      </c>
      <c r="G531" t="b">
        <v>0</v>
      </c>
      <c r="H531">
        <v>1</v>
      </c>
    </row>
    <row r="532" spans="1:8">
      <c r="A532" t="s">
        <v>2921</v>
      </c>
      <c r="B532" s="4">
        <v>45972</v>
      </c>
      <c r="C532">
        <v>2025</v>
      </c>
      <c r="D532">
        <v>11</v>
      </c>
      <c r="E532">
        <v>11</v>
      </c>
      <c r="F532" t="s">
        <v>10353</v>
      </c>
      <c r="G532" t="b">
        <v>0</v>
      </c>
      <c r="H532">
        <v>4</v>
      </c>
    </row>
    <row r="533" spans="1:8">
      <c r="A533" t="s">
        <v>2927</v>
      </c>
      <c r="B533" s="4">
        <v>45630</v>
      </c>
      <c r="C533">
        <v>2024</v>
      </c>
      <c r="D533">
        <v>12</v>
      </c>
      <c r="E533">
        <v>4</v>
      </c>
      <c r="F533" t="s">
        <v>10351</v>
      </c>
      <c r="G533" t="b">
        <v>0</v>
      </c>
      <c r="H533">
        <v>4</v>
      </c>
    </row>
    <row r="534" spans="1:8">
      <c r="A534" t="s">
        <v>2932</v>
      </c>
      <c r="B534" s="4">
        <v>45930</v>
      </c>
      <c r="C534">
        <v>2025</v>
      </c>
      <c r="D534">
        <v>9</v>
      </c>
      <c r="E534">
        <v>30</v>
      </c>
      <c r="F534" t="s">
        <v>10353</v>
      </c>
      <c r="G534" t="b">
        <v>0</v>
      </c>
      <c r="H534">
        <v>3</v>
      </c>
    </row>
    <row r="535" spans="1:8">
      <c r="A535" t="s">
        <v>2937</v>
      </c>
      <c r="B535" s="4">
        <v>45613</v>
      </c>
      <c r="C535">
        <v>2024</v>
      </c>
      <c r="D535">
        <v>11</v>
      </c>
      <c r="E535">
        <v>17</v>
      </c>
      <c r="F535" t="s">
        <v>10355</v>
      </c>
      <c r="G535" t="b">
        <v>1</v>
      </c>
      <c r="H535">
        <v>4</v>
      </c>
    </row>
    <row r="536" spans="1:8">
      <c r="A536" t="s">
        <v>2942</v>
      </c>
      <c r="B536" s="4">
        <v>45971</v>
      </c>
      <c r="C536">
        <v>2025</v>
      </c>
      <c r="D536">
        <v>11</v>
      </c>
      <c r="E536">
        <v>10</v>
      </c>
      <c r="F536" t="s">
        <v>10356</v>
      </c>
      <c r="G536" t="b">
        <v>0</v>
      </c>
      <c r="H536">
        <v>4</v>
      </c>
    </row>
    <row r="537" spans="1:8">
      <c r="A537" t="s">
        <v>2948</v>
      </c>
      <c r="B537" s="4">
        <v>45419</v>
      </c>
      <c r="C537">
        <v>2024</v>
      </c>
      <c r="D537">
        <v>5</v>
      </c>
      <c r="E537">
        <v>7</v>
      </c>
      <c r="F537" t="s">
        <v>10353</v>
      </c>
      <c r="G537" t="b">
        <v>0</v>
      </c>
      <c r="H537">
        <v>2</v>
      </c>
    </row>
    <row r="538" spans="1:8">
      <c r="A538" t="s">
        <v>2953</v>
      </c>
      <c r="B538" s="4">
        <v>45599</v>
      </c>
      <c r="C538">
        <v>2024</v>
      </c>
      <c r="D538">
        <v>11</v>
      </c>
      <c r="E538">
        <v>3</v>
      </c>
      <c r="F538" t="s">
        <v>10355</v>
      </c>
      <c r="G538" t="b">
        <v>1</v>
      </c>
      <c r="H538">
        <v>4</v>
      </c>
    </row>
    <row r="539" spans="1:8">
      <c r="A539" t="s">
        <v>2958</v>
      </c>
      <c r="B539" s="4">
        <v>45811</v>
      </c>
      <c r="C539">
        <v>2025</v>
      </c>
      <c r="D539">
        <v>6</v>
      </c>
      <c r="E539">
        <v>3</v>
      </c>
      <c r="F539" t="s">
        <v>10353</v>
      </c>
      <c r="G539" t="b">
        <v>0</v>
      </c>
      <c r="H539">
        <v>2</v>
      </c>
    </row>
    <row r="540" spans="1:8">
      <c r="A540" t="s">
        <v>2963</v>
      </c>
      <c r="B540" s="4">
        <v>45608</v>
      </c>
      <c r="C540">
        <v>2024</v>
      </c>
      <c r="D540">
        <v>11</v>
      </c>
      <c r="E540">
        <v>12</v>
      </c>
      <c r="F540" t="s">
        <v>10353</v>
      </c>
      <c r="G540" t="b">
        <v>0</v>
      </c>
      <c r="H540">
        <v>4</v>
      </c>
    </row>
    <row r="541" spans="1:8">
      <c r="A541" t="s">
        <v>2968</v>
      </c>
      <c r="B541" s="4">
        <v>45974</v>
      </c>
      <c r="C541">
        <v>2025</v>
      </c>
      <c r="D541">
        <v>11</v>
      </c>
      <c r="E541">
        <v>13</v>
      </c>
      <c r="F541" t="s">
        <v>10350</v>
      </c>
      <c r="G541" t="b">
        <v>0</v>
      </c>
      <c r="H541">
        <v>4</v>
      </c>
    </row>
    <row r="542" spans="1:8">
      <c r="A542" t="s">
        <v>2973</v>
      </c>
      <c r="B542" s="4">
        <v>45710</v>
      </c>
      <c r="C542">
        <v>2025</v>
      </c>
      <c r="D542">
        <v>2</v>
      </c>
      <c r="E542">
        <v>22</v>
      </c>
      <c r="F542" t="s">
        <v>10354</v>
      </c>
      <c r="G542" t="b">
        <v>1</v>
      </c>
      <c r="H542">
        <v>1</v>
      </c>
    </row>
    <row r="543" spans="1:8">
      <c r="A543" t="s">
        <v>2978</v>
      </c>
      <c r="B543" s="4">
        <v>45626</v>
      </c>
      <c r="C543">
        <v>2024</v>
      </c>
      <c r="D543">
        <v>11</v>
      </c>
      <c r="E543">
        <v>30</v>
      </c>
      <c r="F543" t="s">
        <v>10354</v>
      </c>
      <c r="G543" t="b">
        <v>1</v>
      </c>
      <c r="H543">
        <v>4</v>
      </c>
    </row>
    <row r="544" spans="1:8">
      <c r="A544" t="s">
        <v>2983</v>
      </c>
      <c r="B544" s="4">
        <v>45704</v>
      </c>
      <c r="C544">
        <v>2025</v>
      </c>
      <c r="D544">
        <v>2</v>
      </c>
      <c r="E544">
        <v>16</v>
      </c>
      <c r="F544" t="s">
        <v>10355</v>
      </c>
      <c r="G544" t="b">
        <v>1</v>
      </c>
      <c r="H544">
        <v>1</v>
      </c>
    </row>
    <row r="545" spans="1:8">
      <c r="A545" t="s">
        <v>2988</v>
      </c>
      <c r="B545" s="4">
        <v>46005</v>
      </c>
      <c r="C545">
        <v>2025</v>
      </c>
      <c r="D545">
        <v>12</v>
      </c>
      <c r="E545">
        <v>14</v>
      </c>
      <c r="F545" t="s">
        <v>10355</v>
      </c>
      <c r="G545" t="b">
        <v>1</v>
      </c>
      <c r="H545">
        <v>4</v>
      </c>
    </row>
    <row r="546" spans="1:8">
      <c r="A546" t="s">
        <v>2993</v>
      </c>
      <c r="B546" s="4">
        <v>45594</v>
      </c>
      <c r="C546">
        <v>2024</v>
      </c>
      <c r="D546">
        <v>10</v>
      </c>
      <c r="E546">
        <v>29</v>
      </c>
      <c r="F546" t="s">
        <v>10353</v>
      </c>
      <c r="G546" t="b">
        <v>0</v>
      </c>
      <c r="H546">
        <v>4</v>
      </c>
    </row>
    <row r="547" spans="1:8">
      <c r="A547" t="s">
        <v>2998</v>
      </c>
      <c r="B547" s="4">
        <v>45859</v>
      </c>
      <c r="C547">
        <v>2025</v>
      </c>
      <c r="D547">
        <v>7</v>
      </c>
      <c r="E547">
        <v>21</v>
      </c>
      <c r="F547" t="s">
        <v>10356</v>
      </c>
      <c r="G547" t="b">
        <v>0</v>
      </c>
      <c r="H547">
        <v>3</v>
      </c>
    </row>
    <row r="548" spans="1:8">
      <c r="A548" t="s">
        <v>3003</v>
      </c>
      <c r="B548" s="4">
        <v>45422</v>
      </c>
      <c r="C548">
        <v>2024</v>
      </c>
      <c r="D548">
        <v>5</v>
      </c>
      <c r="E548">
        <v>10</v>
      </c>
      <c r="F548" t="s">
        <v>10352</v>
      </c>
      <c r="G548" t="b">
        <v>0</v>
      </c>
      <c r="H548">
        <v>2</v>
      </c>
    </row>
    <row r="549" spans="1:8">
      <c r="A549" t="s">
        <v>3008</v>
      </c>
      <c r="B549" s="4">
        <v>45488</v>
      </c>
      <c r="C549">
        <v>2024</v>
      </c>
      <c r="D549">
        <v>7</v>
      </c>
      <c r="E549">
        <v>15</v>
      </c>
      <c r="F549" t="s">
        <v>10356</v>
      </c>
      <c r="G549" t="b">
        <v>0</v>
      </c>
      <c r="H549">
        <v>3</v>
      </c>
    </row>
    <row r="550" spans="1:8">
      <c r="A550" t="s">
        <v>3013</v>
      </c>
      <c r="B550" s="4">
        <v>45722</v>
      </c>
      <c r="C550">
        <v>2025</v>
      </c>
      <c r="D550">
        <v>3</v>
      </c>
      <c r="E550">
        <v>6</v>
      </c>
      <c r="F550" t="s">
        <v>10350</v>
      </c>
      <c r="G550" t="b">
        <v>0</v>
      </c>
      <c r="H550">
        <v>1</v>
      </c>
    </row>
    <row r="551" spans="1:8">
      <c r="A551" t="s">
        <v>3018</v>
      </c>
      <c r="B551" s="4">
        <v>45972</v>
      </c>
      <c r="C551">
        <v>2025</v>
      </c>
      <c r="D551">
        <v>11</v>
      </c>
      <c r="E551">
        <v>11</v>
      </c>
      <c r="F551" t="s">
        <v>10353</v>
      </c>
      <c r="G551" t="b">
        <v>0</v>
      </c>
      <c r="H551">
        <v>4</v>
      </c>
    </row>
    <row r="552" spans="1:8">
      <c r="A552" t="s">
        <v>3023</v>
      </c>
      <c r="B552" s="4">
        <v>45680</v>
      </c>
      <c r="C552">
        <v>2025</v>
      </c>
      <c r="D552">
        <v>1</v>
      </c>
      <c r="E552">
        <v>23</v>
      </c>
      <c r="F552" t="s">
        <v>10350</v>
      </c>
      <c r="G552" t="b">
        <v>0</v>
      </c>
      <c r="H552">
        <v>1</v>
      </c>
    </row>
    <row r="553" spans="1:8">
      <c r="A553" t="s">
        <v>3028</v>
      </c>
      <c r="B553" s="4">
        <v>45985</v>
      </c>
      <c r="C553">
        <v>2025</v>
      </c>
      <c r="D553">
        <v>11</v>
      </c>
      <c r="E553">
        <v>24</v>
      </c>
      <c r="F553" t="s">
        <v>10356</v>
      </c>
      <c r="G553" t="b">
        <v>0</v>
      </c>
      <c r="H553">
        <v>4</v>
      </c>
    </row>
    <row r="554" spans="1:8">
      <c r="A554" t="s">
        <v>3033</v>
      </c>
      <c r="B554" s="4">
        <v>45470</v>
      </c>
      <c r="C554">
        <v>2024</v>
      </c>
      <c r="D554">
        <v>6</v>
      </c>
      <c r="E554">
        <v>27</v>
      </c>
      <c r="F554" t="s">
        <v>10350</v>
      </c>
      <c r="G554" t="b">
        <v>0</v>
      </c>
      <c r="H554">
        <v>2</v>
      </c>
    </row>
    <row r="555" spans="1:8">
      <c r="A555" t="s">
        <v>3038</v>
      </c>
      <c r="B555" s="4">
        <v>45922</v>
      </c>
      <c r="C555">
        <v>2025</v>
      </c>
      <c r="D555">
        <v>9</v>
      </c>
      <c r="E555">
        <v>22</v>
      </c>
      <c r="F555" t="s">
        <v>10356</v>
      </c>
      <c r="G555" t="b">
        <v>0</v>
      </c>
      <c r="H555">
        <v>3</v>
      </c>
    </row>
    <row r="556" spans="1:8">
      <c r="A556" t="s">
        <v>3043</v>
      </c>
      <c r="B556" s="4">
        <v>45874</v>
      </c>
      <c r="C556">
        <v>2025</v>
      </c>
      <c r="D556">
        <v>8</v>
      </c>
      <c r="E556">
        <v>5</v>
      </c>
      <c r="F556" t="s">
        <v>10353</v>
      </c>
      <c r="G556" t="b">
        <v>0</v>
      </c>
      <c r="H556">
        <v>3</v>
      </c>
    </row>
    <row r="557" spans="1:8">
      <c r="A557" t="s">
        <v>3048</v>
      </c>
      <c r="B557" s="4">
        <v>45600</v>
      </c>
      <c r="C557">
        <v>2024</v>
      </c>
      <c r="D557">
        <v>11</v>
      </c>
      <c r="E557">
        <v>4</v>
      </c>
      <c r="F557" t="s">
        <v>10356</v>
      </c>
      <c r="G557" t="b">
        <v>0</v>
      </c>
      <c r="H557">
        <v>4</v>
      </c>
    </row>
    <row r="558" spans="1:8">
      <c r="A558" t="s">
        <v>3053</v>
      </c>
      <c r="B558" s="4">
        <v>45707</v>
      </c>
      <c r="C558">
        <v>2025</v>
      </c>
      <c r="D558">
        <v>2</v>
      </c>
      <c r="E558">
        <v>19</v>
      </c>
      <c r="F558" t="s">
        <v>10351</v>
      </c>
      <c r="G558" t="b">
        <v>0</v>
      </c>
      <c r="H558">
        <v>1</v>
      </c>
    </row>
    <row r="559" spans="1:8">
      <c r="A559" t="s">
        <v>3058</v>
      </c>
      <c r="B559" s="4">
        <v>45853</v>
      </c>
      <c r="C559">
        <v>2025</v>
      </c>
      <c r="D559">
        <v>7</v>
      </c>
      <c r="E559">
        <v>15</v>
      </c>
      <c r="F559" t="s">
        <v>10353</v>
      </c>
      <c r="G559" t="b">
        <v>0</v>
      </c>
      <c r="H559">
        <v>3</v>
      </c>
    </row>
    <row r="560" spans="1:8">
      <c r="A560" t="s">
        <v>3064</v>
      </c>
      <c r="B560" s="4">
        <v>45292</v>
      </c>
      <c r="C560">
        <v>2024</v>
      </c>
      <c r="D560">
        <v>1</v>
      </c>
      <c r="E560">
        <v>1</v>
      </c>
      <c r="F560" t="s">
        <v>10356</v>
      </c>
      <c r="G560" t="b">
        <v>0</v>
      </c>
      <c r="H560">
        <v>1</v>
      </c>
    </row>
    <row r="561" spans="1:8">
      <c r="A561" t="s">
        <v>3069</v>
      </c>
      <c r="B561" s="4">
        <v>45603</v>
      </c>
      <c r="C561">
        <v>2024</v>
      </c>
      <c r="D561">
        <v>11</v>
      </c>
      <c r="E561">
        <v>7</v>
      </c>
      <c r="F561" t="s">
        <v>10350</v>
      </c>
      <c r="G561" t="b">
        <v>0</v>
      </c>
      <c r="H561">
        <v>4</v>
      </c>
    </row>
    <row r="562" spans="1:8">
      <c r="A562" t="s">
        <v>3074</v>
      </c>
      <c r="B562" s="4">
        <v>45585</v>
      </c>
      <c r="C562">
        <v>2024</v>
      </c>
      <c r="D562">
        <v>10</v>
      </c>
      <c r="E562">
        <v>20</v>
      </c>
      <c r="F562" t="s">
        <v>10355</v>
      </c>
      <c r="G562" t="b">
        <v>1</v>
      </c>
      <c r="H562">
        <v>4</v>
      </c>
    </row>
    <row r="563" spans="1:8">
      <c r="A563" t="s">
        <v>3079</v>
      </c>
      <c r="B563" s="4">
        <v>45507</v>
      </c>
      <c r="C563">
        <v>2024</v>
      </c>
      <c r="D563">
        <v>8</v>
      </c>
      <c r="E563">
        <v>3</v>
      </c>
      <c r="F563" t="s">
        <v>10354</v>
      </c>
      <c r="G563" t="b">
        <v>1</v>
      </c>
      <c r="H563">
        <v>3</v>
      </c>
    </row>
    <row r="564" spans="1:8">
      <c r="A564" t="s">
        <v>3084</v>
      </c>
      <c r="B564" s="4">
        <v>45732</v>
      </c>
      <c r="C564">
        <v>2025</v>
      </c>
      <c r="D564">
        <v>3</v>
      </c>
      <c r="E564">
        <v>16</v>
      </c>
      <c r="F564" t="s">
        <v>10355</v>
      </c>
      <c r="G564" t="b">
        <v>1</v>
      </c>
      <c r="H564">
        <v>1</v>
      </c>
    </row>
    <row r="565" spans="1:8">
      <c r="A565" t="s">
        <v>3089</v>
      </c>
      <c r="B565" s="4">
        <v>45885</v>
      </c>
      <c r="C565">
        <v>2025</v>
      </c>
      <c r="D565">
        <v>8</v>
      </c>
      <c r="E565">
        <v>16</v>
      </c>
      <c r="F565" t="s">
        <v>10354</v>
      </c>
      <c r="G565" t="b">
        <v>1</v>
      </c>
      <c r="H565">
        <v>3</v>
      </c>
    </row>
    <row r="566" spans="1:8">
      <c r="A566" t="s">
        <v>3094</v>
      </c>
      <c r="B566" s="4">
        <v>45913</v>
      </c>
      <c r="C566">
        <v>2025</v>
      </c>
      <c r="D566">
        <v>9</v>
      </c>
      <c r="E566">
        <v>13</v>
      </c>
      <c r="F566" t="s">
        <v>10354</v>
      </c>
      <c r="G566" t="b">
        <v>1</v>
      </c>
      <c r="H566">
        <v>3</v>
      </c>
    </row>
    <row r="567" spans="1:8">
      <c r="A567" t="s">
        <v>3099</v>
      </c>
      <c r="B567" s="4">
        <v>45962</v>
      </c>
      <c r="C567">
        <v>2025</v>
      </c>
      <c r="D567">
        <v>11</v>
      </c>
      <c r="E567">
        <v>1</v>
      </c>
      <c r="F567" t="s">
        <v>10354</v>
      </c>
      <c r="G567" t="b">
        <v>1</v>
      </c>
      <c r="H567">
        <v>4</v>
      </c>
    </row>
    <row r="568" spans="1:8">
      <c r="A568" t="s">
        <v>3104</v>
      </c>
      <c r="B568" s="4">
        <v>45621</v>
      </c>
      <c r="C568">
        <v>2024</v>
      </c>
      <c r="D568">
        <v>11</v>
      </c>
      <c r="E568">
        <v>25</v>
      </c>
      <c r="F568" t="s">
        <v>10356</v>
      </c>
      <c r="G568" t="b">
        <v>0</v>
      </c>
      <c r="H568">
        <v>4</v>
      </c>
    </row>
    <row r="569" spans="1:8">
      <c r="A569" t="s">
        <v>3109</v>
      </c>
      <c r="B569" s="4">
        <v>45768</v>
      </c>
      <c r="C569">
        <v>2025</v>
      </c>
      <c r="D569">
        <v>4</v>
      </c>
      <c r="E569">
        <v>21</v>
      </c>
      <c r="F569" t="s">
        <v>10356</v>
      </c>
      <c r="G569" t="b">
        <v>0</v>
      </c>
      <c r="H569">
        <v>2</v>
      </c>
    </row>
    <row r="570" spans="1:8">
      <c r="A570" t="s">
        <v>3115</v>
      </c>
      <c r="B570" s="4">
        <v>45744</v>
      </c>
      <c r="C570">
        <v>2025</v>
      </c>
      <c r="D570">
        <v>3</v>
      </c>
      <c r="E570">
        <v>28</v>
      </c>
      <c r="F570" t="s">
        <v>10352</v>
      </c>
      <c r="G570" t="b">
        <v>0</v>
      </c>
      <c r="H570">
        <v>1</v>
      </c>
    </row>
    <row r="571" spans="1:8">
      <c r="A571" t="s">
        <v>3121</v>
      </c>
      <c r="B571" s="4">
        <v>45744</v>
      </c>
      <c r="C571">
        <v>2025</v>
      </c>
      <c r="D571">
        <v>3</v>
      </c>
      <c r="E571">
        <v>28</v>
      </c>
      <c r="F571" t="s">
        <v>10352</v>
      </c>
      <c r="G571" t="b">
        <v>0</v>
      </c>
      <c r="H571">
        <v>1</v>
      </c>
    </row>
    <row r="572" spans="1:8">
      <c r="A572" t="s">
        <v>3127</v>
      </c>
      <c r="B572" s="4">
        <v>45983</v>
      </c>
      <c r="C572">
        <v>2025</v>
      </c>
      <c r="D572">
        <v>11</v>
      </c>
      <c r="E572">
        <v>22</v>
      </c>
      <c r="F572" t="s">
        <v>10354</v>
      </c>
      <c r="G572" t="b">
        <v>1</v>
      </c>
      <c r="H572">
        <v>4</v>
      </c>
    </row>
    <row r="573" spans="1:8">
      <c r="A573" t="s">
        <v>3132</v>
      </c>
      <c r="B573" s="4">
        <v>45510</v>
      </c>
      <c r="C573">
        <v>2024</v>
      </c>
      <c r="D573">
        <v>8</v>
      </c>
      <c r="E573">
        <v>6</v>
      </c>
      <c r="F573" t="s">
        <v>10353</v>
      </c>
      <c r="G573" t="b">
        <v>0</v>
      </c>
      <c r="H573">
        <v>3</v>
      </c>
    </row>
    <row r="574" spans="1:8">
      <c r="A574" t="s">
        <v>3137</v>
      </c>
      <c r="B574" s="4">
        <v>45815</v>
      </c>
      <c r="C574">
        <v>2025</v>
      </c>
      <c r="D574">
        <v>6</v>
      </c>
      <c r="E574">
        <v>7</v>
      </c>
      <c r="F574" t="s">
        <v>10354</v>
      </c>
      <c r="G574" t="b">
        <v>1</v>
      </c>
      <c r="H574">
        <v>2</v>
      </c>
    </row>
    <row r="575" spans="1:8">
      <c r="A575" t="s">
        <v>3142</v>
      </c>
      <c r="B575" s="4">
        <v>45776</v>
      </c>
      <c r="C575">
        <v>2025</v>
      </c>
      <c r="D575">
        <v>4</v>
      </c>
      <c r="E575">
        <v>29</v>
      </c>
      <c r="F575" t="s">
        <v>10353</v>
      </c>
      <c r="G575" t="b">
        <v>0</v>
      </c>
      <c r="H575">
        <v>2</v>
      </c>
    </row>
    <row r="576" spans="1:8">
      <c r="A576" t="s">
        <v>3147</v>
      </c>
      <c r="B576" s="4">
        <v>45465</v>
      </c>
      <c r="C576">
        <v>2024</v>
      </c>
      <c r="D576">
        <v>6</v>
      </c>
      <c r="E576">
        <v>22</v>
      </c>
      <c r="F576" t="s">
        <v>10354</v>
      </c>
      <c r="G576" t="b">
        <v>1</v>
      </c>
      <c r="H576">
        <v>2</v>
      </c>
    </row>
    <row r="577" spans="1:8">
      <c r="A577" t="s">
        <v>3152</v>
      </c>
      <c r="B577" s="4">
        <v>45966</v>
      </c>
      <c r="C577">
        <v>2025</v>
      </c>
      <c r="D577">
        <v>11</v>
      </c>
      <c r="E577">
        <v>5</v>
      </c>
      <c r="F577" t="s">
        <v>10351</v>
      </c>
      <c r="G577" t="b">
        <v>0</v>
      </c>
      <c r="H577">
        <v>4</v>
      </c>
    </row>
    <row r="578" spans="1:8">
      <c r="A578" t="s">
        <v>3157</v>
      </c>
      <c r="B578" s="4">
        <v>45378</v>
      </c>
      <c r="C578">
        <v>2024</v>
      </c>
      <c r="D578">
        <v>3</v>
      </c>
      <c r="E578">
        <v>27</v>
      </c>
      <c r="F578" t="s">
        <v>10351</v>
      </c>
      <c r="G578" t="b">
        <v>0</v>
      </c>
      <c r="H578">
        <v>1</v>
      </c>
    </row>
    <row r="579" spans="1:8">
      <c r="A579" t="s">
        <v>3162</v>
      </c>
      <c r="B579" s="4">
        <v>45582</v>
      </c>
      <c r="C579">
        <v>2024</v>
      </c>
      <c r="D579">
        <v>10</v>
      </c>
      <c r="E579">
        <v>17</v>
      </c>
      <c r="F579" t="s">
        <v>10350</v>
      </c>
      <c r="G579" t="b">
        <v>0</v>
      </c>
      <c r="H579">
        <v>4</v>
      </c>
    </row>
    <row r="580" spans="1:8">
      <c r="A580" t="s">
        <v>3167</v>
      </c>
      <c r="B580" s="4">
        <v>45819</v>
      </c>
      <c r="C580">
        <v>2025</v>
      </c>
      <c r="D580">
        <v>6</v>
      </c>
      <c r="E580">
        <v>11</v>
      </c>
      <c r="F580" t="s">
        <v>10351</v>
      </c>
      <c r="G580" t="b">
        <v>0</v>
      </c>
      <c r="H580">
        <v>2</v>
      </c>
    </row>
    <row r="581" spans="1:8">
      <c r="A581" t="s">
        <v>3172</v>
      </c>
      <c r="B581" s="4">
        <v>45971</v>
      </c>
      <c r="C581">
        <v>2025</v>
      </c>
      <c r="D581">
        <v>11</v>
      </c>
      <c r="E581">
        <v>10</v>
      </c>
      <c r="F581" t="s">
        <v>10356</v>
      </c>
      <c r="G581" t="b">
        <v>0</v>
      </c>
      <c r="H581">
        <v>4</v>
      </c>
    </row>
    <row r="582" spans="1:8">
      <c r="A582" t="s">
        <v>3177</v>
      </c>
      <c r="B582" s="4">
        <v>45940</v>
      </c>
      <c r="C582">
        <v>2025</v>
      </c>
      <c r="D582">
        <v>10</v>
      </c>
      <c r="E582">
        <v>10</v>
      </c>
      <c r="F582" t="s">
        <v>10352</v>
      </c>
      <c r="G582" t="b">
        <v>0</v>
      </c>
      <c r="H582">
        <v>4</v>
      </c>
    </row>
    <row r="583" spans="1:8">
      <c r="A583" t="s">
        <v>3182</v>
      </c>
      <c r="B583" s="4">
        <v>45926</v>
      </c>
      <c r="C583">
        <v>2025</v>
      </c>
      <c r="D583">
        <v>9</v>
      </c>
      <c r="E583">
        <v>26</v>
      </c>
      <c r="F583" t="s">
        <v>10352</v>
      </c>
      <c r="G583" t="b">
        <v>0</v>
      </c>
      <c r="H583">
        <v>3</v>
      </c>
    </row>
    <row r="584" spans="1:8">
      <c r="A584" t="s">
        <v>3187</v>
      </c>
      <c r="B584" s="4">
        <v>45635</v>
      </c>
      <c r="C584">
        <v>2024</v>
      </c>
      <c r="D584">
        <v>12</v>
      </c>
      <c r="E584">
        <v>9</v>
      </c>
      <c r="F584" t="s">
        <v>10356</v>
      </c>
      <c r="G584" t="b">
        <v>0</v>
      </c>
      <c r="H584">
        <v>4</v>
      </c>
    </row>
    <row r="585" spans="1:8">
      <c r="A585" t="s">
        <v>3192</v>
      </c>
      <c r="B585" s="4">
        <v>45387</v>
      </c>
      <c r="C585">
        <v>2024</v>
      </c>
      <c r="D585">
        <v>4</v>
      </c>
      <c r="E585">
        <v>5</v>
      </c>
      <c r="F585" t="s">
        <v>10352</v>
      </c>
      <c r="G585" t="b">
        <v>0</v>
      </c>
      <c r="H585">
        <v>2</v>
      </c>
    </row>
    <row r="586" spans="1:8">
      <c r="A586" t="s">
        <v>3197</v>
      </c>
      <c r="B586" s="4">
        <v>45532</v>
      </c>
      <c r="C586">
        <v>2024</v>
      </c>
      <c r="D586">
        <v>8</v>
      </c>
      <c r="E586">
        <v>28</v>
      </c>
      <c r="F586" t="s">
        <v>10351</v>
      </c>
      <c r="G586" t="b">
        <v>0</v>
      </c>
      <c r="H586">
        <v>3</v>
      </c>
    </row>
    <row r="587" spans="1:8">
      <c r="A587" t="s">
        <v>3202</v>
      </c>
      <c r="B587" s="4">
        <v>45980</v>
      </c>
      <c r="C587">
        <v>2025</v>
      </c>
      <c r="D587">
        <v>11</v>
      </c>
      <c r="E587">
        <v>19</v>
      </c>
      <c r="F587" t="s">
        <v>10351</v>
      </c>
      <c r="G587" t="b">
        <v>0</v>
      </c>
      <c r="H587">
        <v>4</v>
      </c>
    </row>
    <row r="588" spans="1:8">
      <c r="A588" t="s">
        <v>3207</v>
      </c>
      <c r="B588" s="4">
        <v>45609</v>
      </c>
      <c r="C588">
        <v>2024</v>
      </c>
      <c r="D588">
        <v>11</v>
      </c>
      <c r="E588">
        <v>13</v>
      </c>
      <c r="F588" t="s">
        <v>10351</v>
      </c>
      <c r="G588" t="b">
        <v>0</v>
      </c>
      <c r="H588">
        <v>4</v>
      </c>
    </row>
    <row r="589" spans="1:8">
      <c r="A589" t="s">
        <v>3213</v>
      </c>
      <c r="B589" s="4">
        <v>45522</v>
      </c>
      <c r="C589">
        <v>2024</v>
      </c>
      <c r="D589">
        <v>8</v>
      </c>
      <c r="E589">
        <v>18</v>
      </c>
      <c r="F589" t="s">
        <v>10355</v>
      </c>
      <c r="G589" t="b">
        <v>1</v>
      </c>
      <c r="H589">
        <v>3</v>
      </c>
    </row>
    <row r="590" spans="1:8">
      <c r="A590" t="s">
        <v>3219</v>
      </c>
      <c r="B590" s="4">
        <v>45495</v>
      </c>
      <c r="C590">
        <v>2024</v>
      </c>
      <c r="D590">
        <v>7</v>
      </c>
      <c r="E590">
        <v>22</v>
      </c>
      <c r="F590" t="s">
        <v>10356</v>
      </c>
      <c r="G590" t="b">
        <v>0</v>
      </c>
      <c r="H590">
        <v>3</v>
      </c>
    </row>
    <row r="591" spans="1:8">
      <c r="A591" t="s">
        <v>3224</v>
      </c>
      <c r="B591" s="4">
        <v>45442</v>
      </c>
      <c r="C591">
        <v>2024</v>
      </c>
      <c r="D591">
        <v>5</v>
      </c>
      <c r="E591">
        <v>30</v>
      </c>
      <c r="F591" t="s">
        <v>10350</v>
      </c>
      <c r="G591" t="b">
        <v>0</v>
      </c>
      <c r="H591">
        <v>2</v>
      </c>
    </row>
    <row r="592" spans="1:8">
      <c r="A592" t="s">
        <v>3229</v>
      </c>
      <c r="B592" s="4">
        <v>45317</v>
      </c>
      <c r="C592">
        <v>2024</v>
      </c>
      <c r="D592">
        <v>1</v>
      </c>
      <c r="E592">
        <v>26</v>
      </c>
      <c r="F592" t="s">
        <v>10352</v>
      </c>
      <c r="G592" t="b">
        <v>0</v>
      </c>
      <c r="H592">
        <v>1</v>
      </c>
    </row>
    <row r="593" spans="1:8">
      <c r="A593" t="s">
        <v>3234</v>
      </c>
      <c r="B593" s="4">
        <v>45339</v>
      </c>
      <c r="C593">
        <v>2024</v>
      </c>
      <c r="D593">
        <v>2</v>
      </c>
      <c r="E593">
        <v>17</v>
      </c>
      <c r="F593" t="s">
        <v>10354</v>
      </c>
      <c r="G593" t="b">
        <v>1</v>
      </c>
      <c r="H593">
        <v>1</v>
      </c>
    </row>
    <row r="594" spans="1:8">
      <c r="A594" t="s">
        <v>3239</v>
      </c>
      <c r="B594" s="4">
        <v>45542</v>
      </c>
      <c r="C594">
        <v>2024</v>
      </c>
      <c r="D594">
        <v>9</v>
      </c>
      <c r="E594">
        <v>7</v>
      </c>
      <c r="F594" t="s">
        <v>10354</v>
      </c>
      <c r="G594" t="b">
        <v>1</v>
      </c>
      <c r="H594">
        <v>3</v>
      </c>
    </row>
    <row r="595" spans="1:8">
      <c r="A595" t="s">
        <v>3244</v>
      </c>
      <c r="B595" s="4">
        <v>45778</v>
      </c>
      <c r="C595">
        <v>2025</v>
      </c>
      <c r="D595">
        <v>5</v>
      </c>
      <c r="E595">
        <v>1</v>
      </c>
      <c r="F595" t="s">
        <v>10350</v>
      </c>
      <c r="G595" t="b">
        <v>0</v>
      </c>
      <c r="H595">
        <v>2</v>
      </c>
    </row>
    <row r="596" spans="1:8">
      <c r="A596" t="s">
        <v>3249</v>
      </c>
      <c r="B596" s="4">
        <v>45917</v>
      </c>
      <c r="C596">
        <v>2025</v>
      </c>
      <c r="D596">
        <v>9</v>
      </c>
      <c r="E596">
        <v>17</v>
      </c>
      <c r="F596" t="s">
        <v>10351</v>
      </c>
      <c r="G596" t="b">
        <v>0</v>
      </c>
      <c r="H596">
        <v>3</v>
      </c>
    </row>
    <row r="597" spans="1:8">
      <c r="A597" t="s">
        <v>3254</v>
      </c>
      <c r="B597" s="4">
        <v>45366</v>
      </c>
      <c r="C597">
        <v>2024</v>
      </c>
      <c r="D597">
        <v>3</v>
      </c>
      <c r="E597">
        <v>15</v>
      </c>
      <c r="F597" t="s">
        <v>10352</v>
      </c>
      <c r="G597" t="b">
        <v>0</v>
      </c>
      <c r="H597">
        <v>1</v>
      </c>
    </row>
    <row r="598" spans="1:8">
      <c r="A598" t="s">
        <v>3260</v>
      </c>
      <c r="B598" s="4">
        <v>45758</v>
      </c>
      <c r="C598">
        <v>2025</v>
      </c>
      <c r="D598">
        <v>4</v>
      </c>
      <c r="E598">
        <v>11</v>
      </c>
      <c r="F598" t="s">
        <v>10352</v>
      </c>
      <c r="G598" t="b">
        <v>0</v>
      </c>
      <c r="H598">
        <v>2</v>
      </c>
    </row>
    <row r="599" spans="1:8">
      <c r="A599" t="s">
        <v>3265</v>
      </c>
      <c r="B599" s="4">
        <v>45716</v>
      </c>
      <c r="C599">
        <v>2025</v>
      </c>
      <c r="D599">
        <v>2</v>
      </c>
      <c r="E599">
        <v>28</v>
      </c>
      <c r="F599" t="s">
        <v>10352</v>
      </c>
      <c r="G599" t="b">
        <v>0</v>
      </c>
      <c r="H599">
        <v>1</v>
      </c>
    </row>
    <row r="600" spans="1:8">
      <c r="A600" t="s">
        <v>3270</v>
      </c>
      <c r="B600" s="4">
        <v>45936</v>
      </c>
      <c r="C600">
        <v>2025</v>
      </c>
      <c r="D600">
        <v>10</v>
      </c>
      <c r="E600">
        <v>6</v>
      </c>
      <c r="F600" t="s">
        <v>10356</v>
      </c>
      <c r="G600" t="b">
        <v>0</v>
      </c>
      <c r="H600">
        <v>4</v>
      </c>
    </row>
    <row r="601" spans="1:8">
      <c r="A601" t="s">
        <v>3275</v>
      </c>
      <c r="B601" s="4">
        <v>45881</v>
      </c>
      <c r="C601">
        <v>2025</v>
      </c>
      <c r="D601">
        <v>8</v>
      </c>
      <c r="E601">
        <v>12</v>
      </c>
      <c r="F601" t="s">
        <v>10353</v>
      </c>
      <c r="G601" t="b">
        <v>0</v>
      </c>
      <c r="H601">
        <v>3</v>
      </c>
    </row>
    <row r="602" spans="1:8">
      <c r="A602" t="s">
        <v>3280</v>
      </c>
      <c r="B602" s="4">
        <v>45491</v>
      </c>
      <c r="C602">
        <v>2024</v>
      </c>
      <c r="D602">
        <v>7</v>
      </c>
      <c r="E602">
        <v>18</v>
      </c>
      <c r="F602" t="s">
        <v>10350</v>
      </c>
      <c r="G602" t="b">
        <v>0</v>
      </c>
      <c r="H602">
        <v>3</v>
      </c>
    </row>
    <row r="603" spans="1:8">
      <c r="A603" t="s">
        <v>3285</v>
      </c>
      <c r="B603" s="4">
        <v>46005</v>
      </c>
      <c r="C603">
        <v>2025</v>
      </c>
      <c r="D603">
        <v>12</v>
      </c>
      <c r="E603">
        <v>14</v>
      </c>
      <c r="F603" t="s">
        <v>10355</v>
      </c>
      <c r="G603" t="b">
        <v>1</v>
      </c>
      <c r="H603">
        <v>4</v>
      </c>
    </row>
    <row r="604" spans="1:8">
      <c r="A604" t="s">
        <v>3290</v>
      </c>
      <c r="B604" s="4">
        <v>45685</v>
      </c>
      <c r="C604">
        <v>2025</v>
      </c>
      <c r="D604">
        <v>1</v>
      </c>
      <c r="E604">
        <v>28</v>
      </c>
      <c r="F604" t="s">
        <v>10353</v>
      </c>
      <c r="G604" t="b">
        <v>0</v>
      </c>
      <c r="H604">
        <v>1</v>
      </c>
    </row>
    <row r="605" spans="1:8">
      <c r="A605" t="s">
        <v>3295</v>
      </c>
      <c r="B605" s="4">
        <v>45798</v>
      </c>
      <c r="C605">
        <v>2025</v>
      </c>
      <c r="D605">
        <v>5</v>
      </c>
      <c r="E605">
        <v>21</v>
      </c>
      <c r="F605" t="s">
        <v>10351</v>
      </c>
      <c r="G605" t="b">
        <v>0</v>
      </c>
      <c r="H605">
        <v>2</v>
      </c>
    </row>
    <row r="606" spans="1:8">
      <c r="A606" t="s">
        <v>3300</v>
      </c>
      <c r="B606" s="4">
        <v>45701</v>
      </c>
      <c r="C606">
        <v>2025</v>
      </c>
      <c r="D606">
        <v>2</v>
      </c>
      <c r="E606">
        <v>13</v>
      </c>
      <c r="F606" t="s">
        <v>10350</v>
      </c>
      <c r="G606" t="b">
        <v>0</v>
      </c>
      <c r="H606">
        <v>1</v>
      </c>
    </row>
    <row r="607" spans="1:8">
      <c r="A607" t="s">
        <v>3305</v>
      </c>
      <c r="B607" s="4">
        <v>45541</v>
      </c>
      <c r="C607">
        <v>2024</v>
      </c>
      <c r="D607">
        <v>9</v>
      </c>
      <c r="E607">
        <v>6</v>
      </c>
      <c r="F607" t="s">
        <v>10352</v>
      </c>
      <c r="G607" t="b">
        <v>0</v>
      </c>
      <c r="H607">
        <v>3</v>
      </c>
    </row>
    <row r="608" spans="1:8">
      <c r="A608" t="s">
        <v>3310</v>
      </c>
      <c r="B608" s="4">
        <v>45443</v>
      </c>
      <c r="C608">
        <v>2024</v>
      </c>
      <c r="D608">
        <v>5</v>
      </c>
      <c r="E608">
        <v>31</v>
      </c>
      <c r="F608" t="s">
        <v>10352</v>
      </c>
      <c r="G608" t="b">
        <v>0</v>
      </c>
      <c r="H608">
        <v>2</v>
      </c>
    </row>
    <row r="609" spans="1:8">
      <c r="A609" t="s">
        <v>3315</v>
      </c>
      <c r="B609" s="4">
        <v>45963</v>
      </c>
      <c r="C609">
        <v>2025</v>
      </c>
      <c r="D609">
        <v>11</v>
      </c>
      <c r="E609">
        <v>2</v>
      </c>
      <c r="F609" t="s">
        <v>10355</v>
      </c>
      <c r="G609" t="b">
        <v>1</v>
      </c>
      <c r="H609">
        <v>4</v>
      </c>
    </row>
    <row r="610" spans="1:8">
      <c r="A610" t="s">
        <v>3320</v>
      </c>
      <c r="B610" s="4">
        <v>45996</v>
      </c>
      <c r="C610">
        <v>2025</v>
      </c>
      <c r="D610">
        <v>12</v>
      </c>
      <c r="E610">
        <v>5</v>
      </c>
      <c r="F610" t="s">
        <v>10352</v>
      </c>
      <c r="G610" t="b">
        <v>0</v>
      </c>
      <c r="H610">
        <v>4</v>
      </c>
    </row>
    <row r="611" spans="1:8">
      <c r="A611" t="s">
        <v>3325</v>
      </c>
      <c r="B611" s="4">
        <v>45297</v>
      </c>
      <c r="C611">
        <v>2024</v>
      </c>
      <c r="D611">
        <v>1</v>
      </c>
      <c r="E611">
        <v>6</v>
      </c>
      <c r="F611" t="s">
        <v>10354</v>
      </c>
      <c r="G611" t="b">
        <v>1</v>
      </c>
      <c r="H611">
        <v>1</v>
      </c>
    </row>
    <row r="612" spans="1:8">
      <c r="A612" t="s">
        <v>3330</v>
      </c>
      <c r="B612" s="4">
        <v>45401</v>
      </c>
      <c r="C612">
        <v>2024</v>
      </c>
      <c r="D612">
        <v>4</v>
      </c>
      <c r="E612">
        <v>19</v>
      </c>
      <c r="F612" t="s">
        <v>10352</v>
      </c>
      <c r="G612" t="b">
        <v>0</v>
      </c>
      <c r="H612">
        <v>2</v>
      </c>
    </row>
    <row r="613" spans="1:8">
      <c r="A613" t="s">
        <v>3335</v>
      </c>
      <c r="B613" s="4">
        <v>45727</v>
      </c>
      <c r="C613">
        <v>2025</v>
      </c>
      <c r="D613">
        <v>3</v>
      </c>
      <c r="E613">
        <v>11</v>
      </c>
      <c r="F613" t="s">
        <v>10353</v>
      </c>
      <c r="G613" t="b">
        <v>0</v>
      </c>
      <c r="H613">
        <v>1</v>
      </c>
    </row>
    <row r="614" spans="1:8">
      <c r="A614" t="s">
        <v>3340</v>
      </c>
      <c r="B614" s="4">
        <v>45516</v>
      </c>
      <c r="C614">
        <v>2024</v>
      </c>
      <c r="D614">
        <v>8</v>
      </c>
      <c r="E614">
        <v>12</v>
      </c>
      <c r="F614" t="s">
        <v>10356</v>
      </c>
      <c r="G614" t="b">
        <v>0</v>
      </c>
      <c r="H614">
        <v>3</v>
      </c>
    </row>
    <row r="615" spans="1:8">
      <c r="A615" t="s">
        <v>3345</v>
      </c>
      <c r="B615" s="4">
        <v>45472</v>
      </c>
      <c r="C615">
        <v>2024</v>
      </c>
      <c r="D615">
        <v>6</v>
      </c>
      <c r="E615">
        <v>29</v>
      </c>
      <c r="F615" t="s">
        <v>10354</v>
      </c>
      <c r="G615" t="b">
        <v>1</v>
      </c>
      <c r="H615">
        <v>2</v>
      </c>
    </row>
    <row r="616" spans="1:8">
      <c r="A616" t="s">
        <v>3350</v>
      </c>
      <c r="B616" s="4">
        <v>46004</v>
      </c>
      <c r="C616">
        <v>2025</v>
      </c>
      <c r="D616">
        <v>12</v>
      </c>
      <c r="E616">
        <v>13</v>
      </c>
      <c r="F616" t="s">
        <v>10354</v>
      </c>
      <c r="G616" t="b">
        <v>1</v>
      </c>
      <c r="H616">
        <v>4</v>
      </c>
    </row>
    <row r="617" spans="1:8">
      <c r="A617" t="s">
        <v>3355</v>
      </c>
      <c r="B617" s="4">
        <v>45822</v>
      </c>
      <c r="C617">
        <v>2025</v>
      </c>
      <c r="D617">
        <v>6</v>
      </c>
      <c r="E617">
        <v>14</v>
      </c>
      <c r="F617" t="s">
        <v>10354</v>
      </c>
      <c r="G617" t="b">
        <v>1</v>
      </c>
      <c r="H617">
        <v>2</v>
      </c>
    </row>
    <row r="618" spans="1:8">
      <c r="A618" t="s">
        <v>3360</v>
      </c>
      <c r="B618" s="4">
        <v>45767</v>
      </c>
      <c r="C618">
        <v>2025</v>
      </c>
      <c r="D618">
        <v>4</v>
      </c>
      <c r="E618">
        <v>20</v>
      </c>
      <c r="F618" t="s">
        <v>10355</v>
      </c>
      <c r="G618" t="b">
        <v>1</v>
      </c>
      <c r="H618">
        <v>2</v>
      </c>
    </row>
    <row r="619" spans="1:8">
      <c r="A619" t="s">
        <v>3365</v>
      </c>
      <c r="B619" s="4">
        <v>45343</v>
      </c>
      <c r="C619">
        <v>2024</v>
      </c>
      <c r="D619">
        <v>2</v>
      </c>
      <c r="E619">
        <v>21</v>
      </c>
      <c r="F619" t="s">
        <v>10351</v>
      </c>
      <c r="G619" t="b">
        <v>0</v>
      </c>
      <c r="H619">
        <v>1</v>
      </c>
    </row>
    <row r="620" spans="1:8">
      <c r="A620" t="s">
        <v>3370</v>
      </c>
      <c r="B620" s="4">
        <v>45862</v>
      </c>
      <c r="C620">
        <v>2025</v>
      </c>
      <c r="D620">
        <v>7</v>
      </c>
      <c r="E620">
        <v>24</v>
      </c>
      <c r="F620" t="s">
        <v>10350</v>
      </c>
      <c r="G620" t="b">
        <v>0</v>
      </c>
      <c r="H620">
        <v>3</v>
      </c>
    </row>
    <row r="621" spans="1:8">
      <c r="A621" t="s">
        <v>3375</v>
      </c>
      <c r="B621" s="4">
        <v>45547</v>
      </c>
      <c r="C621">
        <v>2024</v>
      </c>
      <c r="D621">
        <v>9</v>
      </c>
      <c r="E621">
        <v>12</v>
      </c>
      <c r="F621" t="s">
        <v>10350</v>
      </c>
      <c r="G621" t="b">
        <v>0</v>
      </c>
      <c r="H621">
        <v>3</v>
      </c>
    </row>
    <row r="622" spans="1:8">
      <c r="A622" t="s">
        <v>3380</v>
      </c>
      <c r="B622" s="4">
        <v>45416</v>
      </c>
      <c r="C622">
        <v>2024</v>
      </c>
      <c r="D622">
        <v>5</v>
      </c>
      <c r="E622">
        <v>4</v>
      </c>
      <c r="F622" t="s">
        <v>10354</v>
      </c>
      <c r="G622" t="b">
        <v>1</v>
      </c>
      <c r="H622">
        <v>2</v>
      </c>
    </row>
    <row r="623" spans="1:8">
      <c r="A623" t="s">
        <v>3385</v>
      </c>
      <c r="B623" s="4">
        <v>45759</v>
      </c>
      <c r="C623">
        <v>2025</v>
      </c>
      <c r="D623">
        <v>4</v>
      </c>
      <c r="E623">
        <v>12</v>
      </c>
      <c r="F623" t="s">
        <v>10354</v>
      </c>
      <c r="G623" t="b">
        <v>1</v>
      </c>
      <c r="H623">
        <v>2</v>
      </c>
    </row>
    <row r="624" spans="1:8">
      <c r="A624" t="s">
        <v>3390</v>
      </c>
      <c r="B624" s="4">
        <v>45428</v>
      </c>
      <c r="C624">
        <v>2024</v>
      </c>
      <c r="D624">
        <v>5</v>
      </c>
      <c r="E624">
        <v>16</v>
      </c>
      <c r="F624" t="s">
        <v>10350</v>
      </c>
      <c r="G624" t="b">
        <v>0</v>
      </c>
      <c r="H624">
        <v>2</v>
      </c>
    </row>
    <row r="625" spans="1:8">
      <c r="A625" t="s">
        <v>3395</v>
      </c>
      <c r="B625" s="4">
        <v>45767</v>
      </c>
      <c r="C625">
        <v>2025</v>
      </c>
      <c r="D625">
        <v>4</v>
      </c>
      <c r="E625">
        <v>20</v>
      </c>
      <c r="F625" t="s">
        <v>10355</v>
      </c>
      <c r="G625" t="b">
        <v>1</v>
      </c>
      <c r="H625">
        <v>2</v>
      </c>
    </row>
    <row r="626" spans="1:8">
      <c r="A626" t="s">
        <v>3400</v>
      </c>
      <c r="B626" s="4">
        <v>45975</v>
      </c>
      <c r="C626">
        <v>2025</v>
      </c>
      <c r="D626">
        <v>11</v>
      </c>
      <c r="E626">
        <v>14</v>
      </c>
      <c r="F626" t="s">
        <v>10352</v>
      </c>
      <c r="G626" t="b">
        <v>0</v>
      </c>
      <c r="H626">
        <v>4</v>
      </c>
    </row>
    <row r="627" spans="1:8">
      <c r="A627" t="s">
        <v>3405</v>
      </c>
      <c r="B627" s="4">
        <v>45835</v>
      </c>
      <c r="C627">
        <v>2025</v>
      </c>
      <c r="D627">
        <v>6</v>
      </c>
      <c r="E627">
        <v>27</v>
      </c>
      <c r="F627" t="s">
        <v>10352</v>
      </c>
      <c r="G627" t="b">
        <v>0</v>
      </c>
      <c r="H627">
        <v>2</v>
      </c>
    </row>
    <row r="628" spans="1:8">
      <c r="A628" t="s">
        <v>3410</v>
      </c>
      <c r="B628" s="4">
        <v>45864</v>
      </c>
      <c r="C628">
        <v>2025</v>
      </c>
      <c r="D628">
        <v>7</v>
      </c>
      <c r="E628">
        <v>26</v>
      </c>
      <c r="F628" t="s">
        <v>10354</v>
      </c>
      <c r="G628" t="b">
        <v>1</v>
      </c>
      <c r="H628">
        <v>3</v>
      </c>
    </row>
    <row r="629" spans="1:8">
      <c r="A629" t="s">
        <v>3415</v>
      </c>
      <c r="B629" s="4">
        <v>45901</v>
      </c>
      <c r="C629">
        <v>2025</v>
      </c>
      <c r="D629">
        <v>9</v>
      </c>
      <c r="E629">
        <v>1</v>
      </c>
      <c r="F629" t="s">
        <v>10356</v>
      </c>
      <c r="G629" t="b">
        <v>0</v>
      </c>
      <c r="H629">
        <v>3</v>
      </c>
    </row>
    <row r="630" spans="1:8">
      <c r="A630" t="s">
        <v>3420</v>
      </c>
      <c r="B630" s="4">
        <v>45616</v>
      </c>
      <c r="C630">
        <v>2024</v>
      </c>
      <c r="D630">
        <v>11</v>
      </c>
      <c r="E630">
        <v>20</v>
      </c>
      <c r="F630" t="s">
        <v>10351</v>
      </c>
      <c r="G630" t="b">
        <v>0</v>
      </c>
      <c r="H630">
        <v>4</v>
      </c>
    </row>
    <row r="631" spans="1:8">
      <c r="A631" t="s">
        <v>3425</v>
      </c>
      <c r="B631" s="4">
        <v>45745</v>
      </c>
      <c r="C631">
        <v>2025</v>
      </c>
      <c r="D631">
        <v>3</v>
      </c>
      <c r="E631">
        <v>29</v>
      </c>
      <c r="F631" t="s">
        <v>10354</v>
      </c>
      <c r="G631" t="b">
        <v>1</v>
      </c>
      <c r="H631">
        <v>1</v>
      </c>
    </row>
    <row r="632" spans="1:8">
      <c r="A632" t="s">
        <v>3430</v>
      </c>
      <c r="B632" s="4">
        <v>45919</v>
      </c>
      <c r="C632">
        <v>2025</v>
      </c>
      <c r="D632">
        <v>9</v>
      </c>
      <c r="E632">
        <v>19</v>
      </c>
      <c r="F632" t="s">
        <v>10352</v>
      </c>
      <c r="G632" t="b">
        <v>0</v>
      </c>
      <c r="H632">
        <v>3</v>
      </c>
    </row>
    <row r="633" spans="1:8">
      <c r="A633" t="s">
        <v>3435</v>
      </c>
      <c r="B633" s="4">
        <v>45808</v>
      </c>
      <c r="C633">
        <v>2025</v>
      </c>
      <c r="D633">
        <v>5</v>
      </c>
      <c r="E633">
        <v>31</v>
      </c>
      <c r="F633" t="s">
        <v>10354</v>
      </c>
      <c r="G633" t="b">
        <v>1</v>
      </c>
      <c r="H633">
        <v>2</v>
      </c>
    </row>
    <row r="634" spans="1:8">
      <c r="A634" t="s">
        <v>3440</v>
      </c>
      <c r="B634" s="4">
        <v>45728</v>
      </c>
      <c r="C634">
        <v>2025</v>
      </c>
      <c r="D634">
        <v>3</v>
      </c>
      <c r="E634">
        <v>12</v>
      </c>
      <c r="F634" t="s">
        <v>10351</v>
      </c>
      <c r="G634" t="b">
        <v>0</v>
      </c>
      <c r="H634">
        <v>1</v>
      </c>
    </row>
    <row r="635" spans="1:8">
      <c r="A635" t="s">
        <v>3445</v>
      </c>
      <c r="B635" s="4">
        <v>45853</v>
      </c>
      <c r="C635">
        <v>2025</v>
      </c>
      <c r="D635">
        <v>7</v>
      </c>
      <c r="E635">
        <v>15</v>
      </c>
      <c r="F635" t="s">
        <v>10353</v>
      </c>
      <c r="G635" t="b">
        <v>0</v>
      </c>
      <c r="H635">
        <v>3</v>
      </c>
    </row>
    <row r="636" spans="1:8">
      <c r="A636" t="s">
        <v>3451</v>
      </c>
      <c r="B636" s="4">
        <v>45748</v>
      </c>
      <c r="C636">
        <v>2025</v>
      </c>
      <c r="D636">
        <v>4</v>
      </c>
      <c r="E636">
        <v>1</v>
      </c>
      <c r="F636" t="s">
        <v>10353</v>
      </c>
      <c r="G636" t="b">
        <v>0</v>
      </c>
      <c r="H636">
        <v>2</v>
      </c>
    </row>
    <row r="637" spans="1:8">
      <c r="A637" t="s">
        <v>3456</v>
      </c>
      <c r="B637" s="4">
        <v>45454</v>
      </c>
      <c r="C637">
        <v>2024</v>
      </c>
      <c r="D637">
        <v>6</v>
      </c>
      <c r="E637">
        <v>11</v>
      </c>
      <c r="F637" t="s">
        <v>10353</v>
      </c>
      <c r="G637" t="b">
        <v>0</v>
      </c>
      <c r="H637">
        <v>2</v>
      </c>
    </row>
    <row r="638" spans="1:8">
      <c r="A638" t="s">
        <v>3461</v>
      </c>
      <c r="B638" s="4">
        <v>45778</v>
      </c>
      <c r="C638">
        <v>2025</v>
      </c>
      <c r="D638">
        <v>5</v>
      </c>
      <c r="E638">
        <v>1</v>
      </c>
      <c r="F638" t="s">
        <v>10350</v>
      </c>
      <c r="G638" t="b">
        <v>0</v>
      </c>
      <c r="H638">
        <v>2</v>
      </c>
    </row>
    <row r="639" spans="1:8">
      <c r="A639" t="s">
        <v>3466</v>
      </c>
      <c r="B639" s="4">
        <v>45752</v>
      </c>
      <c r="C639">
        <v>2025</v>
      </c>
      <c r="D639">
        <v>4</v>
      </c>
      <c r="E639">
        <v>5</v>
      </c>
      <c r="F639" t="s">
        <v>10354</v>
      </c>
      <c r="G639" t="b">
        <v>1</v>
      </c>
      <c r="H639">
        <v>2</v>
      </c>
    </row>
    <row r="640" spans="1:8">
      <c r="A640" t="s">
        <v>3471</v>
      </c>
      <c r="B640" s="4">
        <v>45557</v>
      </c>
      <c r="C640">
        <v>2024</v>
      </c>
      <c r="D640">
        <v>9</v>
      </c>
      <c r="E640">
        <v>22</v>
      </c>
      <c r="F640" t="s">
        <v>10355</v>
      </c>
      <c r="G640" t="b">
        <v>1</v>
      </c>
      <c r="H640">
        <v>3</v>
      </c>
    </row>
    <row r="641" spans="1:8">
      <c r="A641" t="s">
        <v>3476</v>
      </c>
      <c r="B641" s="4">
        <v>45545</v>
      </c>
      <c r="C641">
        <v>2024</v>
      </c>
      <c r="D641">
        <v>9</v>
      </c>
      <c r="E641">
        <v>10</v>
      </c>
      <c r="F641" t="s">
        <v>10353</v>
      </c>
      <c r="G641" t="b">
        <v>0</v>
      </c>
      <c r="H641">
        <v>3</v>
      </c>
    </row>
    <row r="642" spans="1:8">
      <c r="A642" t="s">
        <v>3481</v>
      </c>
      <c r="B642" s="4">
        <v>45944</v>
      </c>
      <c r="C642">
        <v>2025</v>
      </c>
      <c r="D642">
        <v>10</v>
      </c>
      <c r="E642">
        <v>14</v>
      </c>
      <c r="F642" t="s">
        <v>10353</v>
      </c>
      <c r="G642" t="b">
        <v>0</v>
      </c>
      <c r="H642">
        <v>4</v>
      </c>
    </row>
    <row r="643" spans="1:8">
      <c r="A643" t="s">
        <v>3486</v>
      </c>
      <c r="B643" s="4">
        <v>45575</v>
      </c>
      <c r="C643">
        <v>2024</v>
      </c>
      <c r="D643">
        <v>10</v>
      </c>
      <c r="E643">
        <v>10</v>
      </c>
      <c r="F643" t="s">
        <v>10350</v>
      </c>
      <c r="G643" t="b">
        <v>0</v>
      </c>
      <c r="H643">
        <v>4</v>
      </c>
    </row>
    <row r="644" spans="1:8">
      <c r="A644" t="s">
        <v>3491</v>
      </c>
      <c r="B644" s="4">
        <v>45825</v>
      </c>
      <c r="C644">
        <v>2025</v>
      </c>
      <c r="D644">
        <v>6</v>
      </c>
      <c r="E644">
        <v>17</v>
      </c>
      <c r="F644" t="s">
        <v>10353</v>
      </c>
      <c r="G644" t="b">
        <v>0</v>
      </c>
      <c r="H644">
        <v>2</v>
      </c>
    </row>
    <row r="645" spans="1:8">
      <c r="A645" t="s">
        <v>3497</v>
      </c>
      <c r="B645" s="4">
        <v>45788</v>
      </c>
      <c r="C645">
        <v>2025</v>
      </c>
      <c r="D645">
        <v>5</v>
      </c>
      <c r="E645">
        <v>11</v>
      </c>
      <c r="F645" t="s">
        <v>10355</v>
      </c>
      <c r="G645" t="b">
        <v>1</v>
      </c>
      <c r="H645">
        <v>2</v>
      </c>
    </row>
    <row r="646" spans="1:8">
      <c r="A646" t="s">
        <v>3502</v>
      </c>
      <c r="B646" s="4">
        <v>45933</v>
      </c>
      <c r="C646">
        <v>2025</v>
      </c>
      <c r="D646">
        <v>10</v>
      </c>
      <c r="E646">
        <v>3</v>
      </c>
      <c r="F646" t="s">
        <v>10352</v>
      </c>
      <c r="G646" t="b">
        <v>0</v>
      </c>
      <c r="H646">
        <v>4</v>
      </c>
    </row>
    <row r="647" spans="1:8">
      <c r="A647" t="s">
        <v>3507</v>
      </c>
      <c r="B647" s="4">
        <v>45536</v>
      </c>
      <c r="C647">
        <v>2024</v>
      </c>
      <c r="D647">
        <v>9</v>
      </c>
      <c r="E647">
        <v>1</v>
      </c>
      <c r="F647" t="s">
        <v>10355</v>
      </c>
      <c r="G647" t="b">
        <v>1</v>
      </c>
      <c r="H647">
        <v>3</v>
      </c>
    </row>
    <row r="648" spans="1:8">
      <c r="A648" t="s">
        <v>3512</v>
      </c>
      <c r="B648" s="4">
        <v>45573</v>
      </c>
      <c r="C648">
        <v>2024</v>
      </c>
      <c r="D648">
        <v>10</v>
      </c>
      <c r="E648">
        <v>8</v>
      </c>
      <c r="F648" t="s">
        <v>10353</v>
      </c>
      <c r="G648" t="b">
        <v>0</v>
      </c>
      <c r="H648">
        <v>4</v>
      </c>
    </row>
    <row r="649" spans="1:8">
      <c r="A649" t="s">
        <v>3517</v>
      </c>
      <c r="B649" s="4">
        <v>45742</v>
      </c>
      <c r="C649">
        <v>2025</v>
      </c>
      <c r="D649">
        <v>3</v>
      </c>
      <c r="E649">
        <v>26</v>
      </c>
      <c r="F649" t="s">
        <v>10351</v>
      </c>
      <c r="G649" t="b">
        <v>0</v>
      </c>
      <c r="H649">
        <v>1</v>
      </c>
    </row>
    <row r="650" spans="1:8">
      <c r="A650" t="s">
        <v>3522</v>
      </c>
      <c r="B650" s="4">
        <v>45371</v>
      </c>
      <c r="C650">
        <v>2024</v>
      </c>
      <c r="D650">
        <v>3</v>
      </c>
      <c r="E650">
        <v>20</v>
      </c>
      <c r="F650" t="s">
        <v>10351</v>
      </c>
      <c r="G650" t="b">
        <v>0</v>
      </c>
      <c r="H650">
        <v>1</v>
      </c>
    </row>
    <row r="651" spans="1:8">
      <c r="A651" t="s">
        <v>3528</v>
      </c>
      <c r="B651" s="4">
        <v>46022</v>
      </c>
      <c r="C651">
        <v>2025</v>
      </c>
      <c r="D651">
        <v>12</v>
      </c>
      <c r="E651">
        <v>31</v>
      </c>
      <c r="F651" t="s">
        <v>10351</v>
      </c>
      <c r="G651" t="b">
        <v>0</v>
      </c>
      <c r="H651">
        <v>4</v>
      </c>
    </row>
    <row r="652" spans="1:8">
      <c r="A652" t="s">
        <v>3533</v>
      </c>
      <c r="B652" s="4">
        <v>45584</v>
      </c>
      <c r="C652">
        <v>2024</v>
      </c>
      <c r="D652">
        <v>10</v>
      </c>
      <c r="E652">
        <v>19</v>
      </c>
      <c r="F652" t="s">
        <v>10354</v>
      </c>
      <c r="G652" t="b">
        <v>1</v>
      </c>
      <c r="H652">
        <v>4</v>
      </c>
    </row>
    <row r="653" spans="1:8">
      <c r="A653" t="s">
        <v>3538</v>
      </c>
      <c r="B653" s="4">
        <v>45532</v>
      </c>
      <c r="C653">
        <v>2024</v>
      </c>
      <c r="D653">
        <v>8</v>
      </c>
      <c r="E653">
        <v>28</v>
      </c>
      <c r="F653" t="s">
        <v>10351</v>
      </c>
      <c r="G653" t="b">
        <v>0</v>
      </c>
      <c r="H653">
        <v>3</v>
      </c>
    </row>
    <row r="654" spans="1:8">
      <c r="A654" t="s">
        <v>3543</v>
      </c>
      <c r="B654" s="4">
        <v>45570</v>
      </c>
      <c r="C654">
        <v>2024</v>
      </c>
      <c r="D654">
        <v>10</v>
      </c>
      <c r="E654">
        <v>5</v>
      </c>
      <c r="F654" t="s">
        <v>10354</v>
      </c>
      <c r="G654" t="b">
        <v>1</v>
      </c>
      <c r="H654">
        <v>4</v>
      </c>
    </row>
    <row r="655" spans="1:8">
      <c r="A655" t="s">
        <v>3548</v>
      </c>
      <c r="B655" s="4">
        <v>45635</v>
      </c>
      <c r="C655">
        <v>2024</v>
      </c>
      <c r="D655">
        <v>12</v>
      </c>
      <c r="E655">
        <v>9</v>
      </c>
      <c r="F655" t="s">
        <v>10356</v>
      </c>
      <c r="G655" t="b">
        <v>0</v>
      </c>
      <c r="H655">
        <v>4</v>
      </c>
    </row>
    <row r="656" spans="1:8">
      <c r="A656" t="s">
        <v>3553</v>
      </c>
      <c r="B656" s="4">
        <v>45619</v>
      </c>
      <c r="C656">
        <v>2024</v>
      </c>
      <c r="D656">
        <v>11</v>
      </c>
      <c r="E656">
        <v>23</v>
      </c>
      <c r="F656" t="s">
        <v>10354</v>
      </c>
      <c r="G656" t="b">
        <v>1</v>
      </c>
      <c r="H656">
        <v>4</v>
      </c>
    </row>
    <row r="657" spans="1:8">
      <c r="A657" t="s">
        <v>3558</v>
      </c>
      <c r="B657" s="4">
        <v>45845</v>
      </c>
      <c r="C657">
        <v>2025</v>
      </c>
      <c r="D657">
        <v>7</v>
      </c>
      <c r="E657">
        <v>7</v>
      </c>
      <c r="F657" t="s">
        <v>10356</v>
      </c>
      <c r="G657" t="b">
        <v>0</v>
      </c>
      <c r="H657">
        <v>3</v>
      </c>
    </row>
    <row r="658" spans="1:8">
      <c r="A658" t="s">
        <v>3563</v>
      </c>
      <c r="B658" s="4">
        <v>45374</v>
      </c>
      <c r="C658">
        <v>2024</v>
      </c>
      <c r="D658">
        <v>3</v>
      </c>
      <c r="E658">
        <v>23</v>
      </c>
      <c r="F658" t="s">
        <v>10354</v>
      </c>
      <c r="G658" t="b">
        <v>1</v>
      </c>
      <c r="H658">
        <v>1</v>
      </c>
    </row>
    <row r="659" spans="1:8">
      <c r="A659" t="s">
        <v>3568</v>
      </c>
      <c r="B659" s="4">
        <v>45433</v>
      </c>
      <c r="C659">
        <v>2024</v>
      </c>
      <c r="D659">
        <v>5</v>
      </c>
      <c r="E659">
        <v>21</v>
      </c>
      <c r="F659" t="s">
        <v>10353</v>
      </c>
      <c r="G659" t="b">
        <v>0</v>
      </c>
      <c r="H659">
        <v>2</v>
      </c>
    </row>
    <row r="660" spans="1:8">
      <c r="A660" t="s">
        <v>3573</v>
      </c>
      <c r="B660" s="4">
        <v>45446</v>
      </c>
      <c r="C660">
        <v>2024</v>
      </c>
      <c r="D660">
        <v>6</v>
      </c>
      <c r="E660">
        <v>3</v>
      </c>
      <c r="F660" t="s">
        <v>10356</v>
      </c>
      <c r="G660" t="b">
        <v>0</v>
      </c>
      <c r="H660">
        <v>2</v>
      </c>
    </row>
    <row r="661" spans="1:8">
      <c r="A661" t="s">
        <v>3578</v>
      </c>
      <c r="B661" s="4">
        <v>45528</v>
      </c>
      <c r="C661">
        <v>2024</v>
      </c>
      <c r="D661">
        <v>8</v>
      </c>
      <c r="E661">
        <v>24</v>
      </c>
      <c r="F661" t="s">
        <v>10354</v>
      </c>
      <c r="G661" t="b">
        <v>1</v>
      </c>
      <c r="H661">
        <v>3</v>
      </c>
    </row>
    <row r="662" spans="1:8">
      <c r="A662" t="s">
        <v>3583</v>
      </c>
      <c r="B662" s="4">
        <v>45684</v>
      </c>
      <c r="C662">
        <v>2025</v>
      </c>
      <c r="D662">
        <v>1</v>
      </c>
      <c r="E662">
        <v>27</v>
      </c>
      <c r="F662" t="s">
        <v>10356</v>
      </c>
      <c r="G662" t="b">
        <v>0</v>
      </c>
      <c r="H662">
        <v>1</v>
      </c>
    </row>
    <row r="663" spans="1:8">
      <c r="A663" t="s">
        <v>3589</v>
      </c>
      <c r="B663" s="4">
        <v>46002</v>
      </c>
      <c r="C663">
        <v>2025</v>
      </c>
      <c r="D663">
        <v>12</v>
      </c>
      <c r="E663">
        <v>11</v>
      </c>
      <c r="F663" t="s">
        <v>10350</v>
      </c>
      <c r="G663" t="b">
        <v>0</v>
      </c>
      <c r="H663">
        <v>4</v>
      </c>
    </row>
    <row r="664" spans="1:8">
      <c r="A664" t="s">
        <v>3594</v>
      </c>
      <c r="B664" s="4">
        <v>45448</v>
      </c>
      <c r="C664">
        <v>2024</v>
      </c>
      <c r="D664">
        <v>6</v>
      </c>
      <c r="E664">
        <v>5</v>
      </c>
      <c r="F664" t="s">
        <v>10351</v>
      </c>
      <c r="G664" t="b">
        <v>0</v>
      </c>
      <c r="H664">
        <v>2</v>
      </c>
    </row>
    <row r="665" spans="1:8">
      <c r="A665" t="s">
        <v>3599</v>
      </c>
      <c r="B665" s="4">
        <v>46015</v>
      </c>
      <c r="C665">
        <v>2025</v>
      </c>
      <c r="D665">
        <v>12</v>
      </c>
      <c r="E665">
        <v>24</v>
      </c>
      <c r="F665" t="s">
        <v>10351</v>
      </c>
      <c r="G665" t="b">
        <v>0</v>
      </c>
      <c r="H665">
        <v>4</v>
      </c>
    </row>
    <row r="666" spans="1:8">
      <c r="A666" t="s">
        <v>3604</v>
      </c>
      <c r="B666" s="4">
        <v>45511</v>
      </c>
      <c r="C666">
        <v>2024</v>
      </c>
      <c r="D666">
        <v>8</v>
      </c>
      <c r="E666">
        <v>7</v>
      </c>
      <c r="F666" t="s">
        <v>10351</v>
      </c>
      <c r="G666" t="b">
        <v>0</v>
      </c>
      <c r="H666">
        <v>3</v>
      </c>
    </row>
    <row r="667" spans="1:8">
      <c r="A667" t="s">
        <v>3609</v>
      </c>
      <c r="B667" s="4">
        <v>45357</v>
      </c>
      <c r="C667">
        <v>2024</v>
      </c>
      <c r="D667">
        <v>3</v>
      </c>
      <c r="E667">
        <v>6</v>
      </c>
      <c r="F667" t="s">
        <v>10351</v>
      </c>
      <c r="G667" t="b">
        <v>0</v>
      </c>
      <c r="H667">
        <v>1</v>
      </c>
    </row>
    <row r="668" spans="1:8">
      <c r="A668" t="s">
        <v>3614</v>
      </c>
      <c r="B668" s="4">
        <v>45716</v>
      </c>
      <c r="C668">
        <v>2025</v>
      </c>
      <c r="D668">
        <v>2</v>
      </c>
      <c r="E668">
        <v>28</v>
      </c>
      <c r="F668" t="s">
        <v>10352</v>
      </c>
      <c r="G668" t="b">
        <v>0</v>
      </c>
      <c r="H668">
        <v>1</v>
      </c>
    </row>
    <row r="669" spans="1:8">
      <c r="A669" t="s">
        <v>3619</v>
      </c>
      <c r="B669" s="4">
        <v>45709</v>
      </c>
      <c r="C669">
        <v>2025</v>
      </c>
      <c r="D669">
        <v>2</v>
      </c>
      <c r="E669">
        <v>21</v>
      </c>
      <c r="F669" t="s">
        <v>10352</v>
      </c>
      <c r="G669" t="b">
        <v>0</v>
      </c>
      <c r="H669">
        <v>1</v>
      </c>
    </row>
    <row r="670" spans="1:8">
      <c r="A670" t="s">
        <v>3624</v>
      </c>
      <c r="B670" s="4">
        <v>45630</v>
      </c>
      <c r="C670">
        <v>2024</v>
      </c>
      <c r="D670">
        <v>12</v>
      </c>
      <c r="E670">
        <v>4</v>
      </c>
      <c r="F670" t="s">
        <v>10351</v>
      </c>
      <c r="G670" t="b">
        <v>0</v>
      </c>
      <c r="H670">
        <v>4</v>
      </c>
    </row>
    <row r="671" spans="1:8">
      <c r="A671" t="s">
        <v>3629</v>
      </c>
      <c r="B671" s="4">
        <v>45847</v>
      </c>
      <c r="C671">
        <v>2025</v>
      </c>
      <c r="D671">
        <v>7</v>
      </c>
      <c r="E671">
        <v>9</v>
      </c>
      <c r="F671" t="s">
        <v>10351</v>
      </c>
      <c r="G671" t="b">
        <v>0</v>
      </c>
      <c r="H671">
        <v>3</v>
      </c>
    </row>
    <row r="672" spans="1:8">
      <c r="A672" t="s">
        <v>3634</v>
      </c>
      <c r="B672" s="4">
        <v>45769</v>
      </c>
      <c r="C672">
        <v>2025</v>
      </c>
      <c r="D672">
        <v>4</v>
      </c>
      <c r="E672">
        <v>22</v>
      </c>
      <c r="F672" t="s">
        <v>10353</v>
      </c>
      <c r="G672" t="b">
        <v>0</v>
      </c>
      <c r="H672">
        <v>2</v>
      </c>
    </row>
    <row r="673" spans="1:8">
      <c r="A673" t="s">
        <v>3639</v>
      </c>
      <c r="B673" s="4">
        <v>45717</v>
      </c>
      <c r="C673">
        <v>2025</v>
      </c>
      <c r="D673">
        <v>3</v>
      </c>
      <c r="E673">
        <v>1</v>
      </c>
      <c r="F673" t="s">
        <v>10354</v>
      </c>
      <c r="G673" t="b">
        <v>1</v>
      </c>
      <c r="H673">
        <v>1</v>
      </c>
    </row>
    <row r="674" spans="1:8">
      <c r="A674" t="s">
        <v>3644</v>
      </c>
      <c r="B674" s="4">
        <v>45355</v>
      </c>
      <c r="C674">
        <v>2024</v>
      </c>
      <c r="D674">
        <v>3</v>
      </c>
      <c r="E674">
        <v>4</v>
      </c>
      <c r="F674" t="s">
        <v>10356</v>
      </c>
      <c r="G674" t="b">
        <v>0</v>
      </c>
      <c r="H674">
        <v>1</v>
      </c>
    </row>
    <row r="675" spans="1:8">
      <c r="A675" t="s">
        <v>3649</v>
      </c>
      <c r="B675" s="4">
        <v>45503</v>
      </c>
      <c r="C675">
        <v>2024</v>
      </c>
      <c r="D675">
        <v>7</v>
      </c>
      <c r="E675">
        <v>30</v>
      </c>
      <c r="F675" t="s">
        <v>10353</v>
      </c>
      <c r="G675" t="b">
        <v>0</v>
      </c>
      <c r="H675">
        <v>3</v>
      </c>
    </row>
    <row r="676" spans="1:8">
      <c r="A676" t="s">
        <v>3654</v>
      </c>
      <c r="B676" s="4">
        <v>45722</v>
      </c>
      <c r="C676">
        <v>2025</v>
      </c>
      <c r="D676">
        <v>3</v>
      </c>
      <c r="E676">
        <v>6</v>
      </c>
      <c r="F676" t="s">
        <v>10350</v>
      </c>
      <c r="G676" t="b">
        <v>0</v>
      </c>
      <c r="H676">
        <v>1</v>
      </c>
    </row>
    <row r="677" spans="1:8">
      <c r="A677" t="s">
        <v>3659</v>
      </c>
      <c r="B677" s="4">
        <v>45690</v>
      </c>
      <c r="C677">
        <v>2025</v>
      </c>
      <c r="D677">
        <v>2</v>
      </c>
      <c r="E677">
        <v>2</v>
      </c>
      <c r="F677" t="s">
        <v>10355</v>
      </c>
      <c r="G677" t="b">
        <v>1</v>
      </c>
      <c r="H677">
        <v>1</v>
      </c>
    </row>
    <row r="678" spans="1:8">
      <c r="A678" t="s">
        <v>3664</v>
      </c>
      <c r="B678" s="4">
        <v>45890</v>
      </c>
      <c r="C678">
        <v>2025</v>
      </c>
      <c r="D678">
        <v>8</v>
      </c>
      <c r="E678">
        <v>21</v>
      </c>
      <c r="F678" t="s">
        <v>10350</v>
      </c>
      <c r="G678" t="b">
        <v>0</v>
      </c>
      <c r="H678">
        <v>3</v>
      </c>
    </row>
    <row r="679" spans="1:8">
      <c r="A679" t="s">
        <v>3669</v>
      </c>
      <c r="B679" s="4">
        <v>46004</v>
      </c>
      <c r="C679">
        <v>2025</v>
      </c>
      <c r="D679">
        <v>12</v>
      </c>
      <c r="E679">
        <v>13</v>
      </c>
      <c r="F679" t="s">
        <v>10354</v>
      </c>
      <c r="G679" t="b">
        <v>1</v>
      </c>
      <c r="H679">
        <v>4</v>
      </c>
    </row>
    <row r="680" spans="1:8">
      <c r="A680" t="s">
        <v>3674</v>
      </c>
      <c r="B680" s="4">
        <v>45312</v>
      </c>
      <c r="C680">
        <v>2024</v>
      </c>
      <c r="D680">
        <v>1</v>
      </c>
      <c r="E680">
        <v>21</v>
      </c>
      <c r="F680" t="s">
        <v>10355</v>
      </c>
      <c r="G680" t="b">
        <v>1</v>
      </c>
      <c r="H680">
        <v>1</v>
      </c>
    </row>
    <row r="681" spans="1:8">
      <c r="A681" t="s">
        <v>3679</v>
      </c>
      <c r="B681" s="4">
        <v>45881</v>
      </c>
      <c r="C681">
        <v>2025</v>
      </c>
      <c r="D681">
        <v>8</v>
      </c>
      <c r="E681">
        <v>12</v>
      </c>
      <c r="F681" t="s">
        <v>10353</v>
      </c>
      <c r="G681" t="b">
        <v>0</v>
      </c>
      <c r="H681">
        <v>3</v>
      </c>
    </row>
    <row r="682" spans="1:8">
      <c r="A682" t="s">
        <v>3684</v>
      </c>
      <c r="B682" s="4">
        <v>45681</v>
      </c>
      <c r="C682">
        <v>2025</v>
      </c>
      <c r="D682">
        <v>1</v>
      </c>
      <c r="E682">
        <v>24</v>
      </c>
      <c r="F682" t="s">
        <v>10352</v>
      </c>
      <c r="G682" t="b">
        <v>0</v>
      </c>
      <c r="H682">
        <v>1</v>
      </c>
    </row>
    <row r="683" spans="1:8">
      <c r="A683" t="s">
        <v>3689</v>
      </c>
      <c r="B683" s="4">
        <v>45780</v>
      </c>
      <c r="C683">
        <v>2025</v>
      </c>
      <c r="D683">
        <v>5</v>
      </c>
      <c r="E683">
        <v>3</v>
      </c>
      <c r="F683" t="s">
        <v>10354</v>
      </c>
      <c r="G683" t="b">
        <v>1</v>
      </c>
      <c r="H683">
        <v>2</v>
      </c>
    </row>
    <row r="684" spans="1:8">
      <c r="A684" t="s">
        <v>3694</v>
      </c>
      <c r="B684" s="4">
        <v>45298</v>
      </c>
      <c r="C684">
        <v>2024</v>
      </c>
      <c r="D684">
        <v>1</v>
      </c>
      <c r="E684">
        <v>7</v>
      </c>
      <c r="F684" t="s">
        <v>10355</v>
      </c>
      <c r="G684" t="b">
        <v>1</v>
      </c>
      <c r="H684">
        <v>1</v>
      </c>
    </row>
    <row r="685" spans="1:8">
      <c r="A685" t="s">
        <v>3699</v>
      </c>
      <c r="B685" s="4">
        <v>45652</v>
      </c>
      <c r="C685">
        <v>2024</v>
      </c>
      <c r="D685">
        <v>12</v>
      </c>
      <c r="E685">
        <v>26</v>
      </c>
      <c r="F685" t="s">
        <v>10350</v>
      </c>
      <c r="G685" t="b">
        <v>0</v>
      </c>
      <c r="H685">
        <v>4</v>
      </c>
    </row>
    <row r="686" spans="1:8">
      <c r="A686" t="s">
        <v>3704</v>
      </c>
      <c r="B686" s="4">
        <v>45597</v>
      </c>
      <c r="C686">
        <v>2024</v>
      </c>
      <c r="D686">
        <v>11</v>
      </c>
      <c r="E686">
        <v>1</v>
      </c>
      <c r="F686" t="s">
        <v>10352</v>
      </c>
      <c r="G686" t="b">
        <v>0</v>
      </c>
      <c r="H686">
        <v>4</v>
      </c>
    </row>
    <row r="687" spans="1:8">
      <c r="A687" t="s">
        <v>3709</v>
      </c>
      <c r="B687" s="4">
        <v>45691</v>
      </c>
      <c r="C687">
        <v>2025</v>
      </c>
      <c r="D687">
        <v>2</v>
      </c>
      <c r="E687">
        <v>3</v>
      </c>
      <c r="F687" t="s">
        <v>10356</v>
      </c>
      <c r="G687" t="b">
        <v>0</v>
      </c>
      <c r="H687">
        <v>1</v>
      </c>
    </row>
    <row r="688" spans="1:8">
      <c r="A688" t="s">
        <v>3714</v>
      </c>
      <c r="B688" s="4">
        <v>45721</v>
      </c>
      <c r="C688">
        <v>2025</v>
      </c>
      <c r="D688">
        <v>3</v>
      </c>
      <c r="E688">
        <v>5</v>
      </c>
      <c r="F688" t="s">
        <v>10351</v>
      </c>
      <c r="G688" t="b">
        <v>0</v>
      </c>
      <c r="H688">
        <v>1</v>
      </c>
    </row>
    <row r="689" spans="1:8">
      <c r="A689" t="s">
        <v>3719</v>
      </c>
      <c r="B689" s="4">
        <v>45843</v>
      </c>
      <c r="C689">
        <v>2025</v>
      </c>
      <c r="D689">
        <v>7</v>
      </c>
      <c r="E689">
        <v>5</v>
      </c>
      <c r="F689" t="s">
        <v>10354</v>
      </c>
      <c r="G689" t="b">
        <v>1</v>
      </c>
      <c r="H689">
        <v>3</v>
      </c>
    </row>
    <row r="690" spans="1:8">
      <c r="A690" t="s">
        <v>3724</v>
      </c>
      <c r="B690" s="4">
        <v>45851</v>
      </c>
      <c r="C690">
        <v>2025</v>
      </c>
      <c r="D690">
        <v>7</v>
      </c>
      <c r="E690">
        <v>13</v>
      </c>
      <c r="F690" t="s">
        <v>10355</v>
      </c>
      <c r="G690" t="b">
        <v>1</v>
      </c>
      <c r="H690">
        <v>3</v>
      </c>
    </row>
    <row r="691" spans="1:8">
      <c r="A691" t="s">
        <v>3729</v>
      </c>
      <c r="B691" s="4">
        <v>45909</v>
      </c>
      <c r="C691">
        <v>2025</v>
      </c>
      <c r="D691">
        <v>9</v>
      </c>
      <c r="E691">
        <v>9</v>
      </c>
      <c r="F691" t="s">
        <v>10353</v>
      </c>
      <c r="G691" t="b">
        <v>0</v>
      </c>
      <c r="H691">
        <v>3</v>
      </c>
    </row>
    <row r="692" spans="1:8">
      <c r="A692" t="s">
        <v>3734</v>
      </c>
      <c r="B692" s="4">
        <v>45517</v>
      </c>
      <c r="C692">
        <v>2024</v>
      </c>
      <c r="D692">
        <v>8</v>
      </c>
      <c r="E692">
        <v>13</v>
      </c>
      <c r="F692" t="s">
        <v>10353</v>
      </c>
      <c r="G692" t="b">
        <v>0</v>
      </c>
      <c r="H692">
        <v>3</v>
      </c>
    </row>
    <row r="693" spans="1:8">
      <c r="A693" t="s">
        <v>3739</v>
      </c>
      <c r="B693" s="4">
        <v>45791</v>
      </c>
      <c r="C693">
        <v>2025</v>
      </c>
      <c r="D693">
        <v>5</v>
      </c>
      <c r="E693">
        <v>14</v>
      </c>
      <c r="F693" t="s">
        <v>10351</v>
      </c>
      <c r="G693" t="b">
        <v>0</v>
      </c>
      <c r="H693">
        <v>2</v>
      </c>
    </row>
    <row r="694" spans="1:8">
      <c r="A694" t="s">
        <v>3744</v>
      </c>
      <c r="B694" s="4">
        <v>45516</v>
      </c>
      <c r="C694">
        <v>2024</v>
      </c>
      <c r="D694">
        <v>8</v>
      </c>
      <c r="E694">
        <v>12</v>
      </c>
      <c r="F694" t="s">
        <v>10356</v>
      </c>
      <c r="G694" t="b">
        <v>0</v>
      </c>
      <c r="H694">
        <v>3</v>
      </c>
    </row>
    <row r="695" spans="1:8">
      <c r="A695" t="s">
        <v>3749</v>
      </c>
      <c r="B695" s="4">
        <v>45571</v>
      </c>
      <c r="C695">
        <v>2024</v>
      </c>
      <c r="D695">
        <v>10</v>
      </c>
      <c r="E695">
        <v>6</v>
      </c>
      <c r="F695" t="s">
        <v>10355</v>
      </c>
      <c r="G695" t="b">
        <v>1</v>
      </c>
      <c r="H695">
        <v>4</v>
      </c>
    </row>
    <row r="696" spans="1:8">
      <c r="A696" t="s">
        <v>3754</v>
      </c>
      <c r="B696" s="4">
        <v>45738</v>
      </c>
      <c r="C696">
        <v>2025</v>
      </c>
      <c r="D696">
        <v>3</v>
      </c>
      <c r="E696">
        <v>22</v>
      </c>
      <c r="F696" t="s">
        <v>10354</v>
      </c>
      <c r="G696" t="b">
        <v>1</v>
      </c>
      <c r="H696">
        <v>1</v>
      </c>
    </row>
    <row r="697" spans="1:8">
      <c r="A697" t="s">
        <v>3759</v>
      </c>
      <c r="B697" s="4">
        <v>45789</v>
      </c>
      <c r="C697">
        <v>2025</v>
      </c>
      <c r="D697">
        <v>5</v>
      </c>
      <c r="E697">
        <v>12</v>
      </c>
      <c r="F697" t="s">
        <v>10356</v>
      </c>
      <c r="G697" t="b">
        <v>0</v>
      </c>
      <c r="H697">
        <v>2</v>
      </c>
    </row>
    <row r="698" spans="1:8">
      <c r="A698" t="s">
        <v>3765</v>
      </c>
      <c r="B698" s="4">
        <v>45321</v>
      </c>
      <c r="C698">
        <v>2024</v>
      </c>
      <c r="D698">
        <v>1</v>
      </c>
      <c r="E698">
        <v>30</v>
      </c>
      <c r="F698" t="s">
        <v>10353</v>
      </c>
      <c r="G698" t="b">
        <v>0</v>
      </c>
      <c r="H698">
        <v>1</v>
      </c>
    </row>
    <row r="699" spans="1:8">
      <c r="A699" t="s">
        <v>3770</v>
      </c>
      <c r="B699" s="4">
        <v>45690</v>
      </c>
      <c r="C699">
        <v>2025</v>
      </c>
      <c r="D699">
        <v>2</v>
      </c>
      <c r="E699">
        <v>2</v>
      </c>
      <c r="F699" t="s">
        <v>10355</v>
      </c>
      <c r="G699" t="b">
        <v>1</v>
      </c>
      <c r="H699">
        <v>1</v>
      </c>
    </row>
    <row r="700" spans="1:8">
      <c r="A700" t="s">
        <v>3775</v>
      </c>
      <c r="B700" s="4">
        <v>45636</v>
      </c>
      <c r="C700">
        <v>2024</v>
      </c>
      <c r="D700">
        <v>12</v>
      </c>
      <c r="E700">
        <v>10</v>
      </c>
      <c r="F700" t="s">
        <v>10353</v>
      </c>
      <c r="G700" t="b">
        <v>0</v>
      </c>
      <c r="H700">
        <v>4</v>
      </c>
    </row>
    <row r="701" spans="1:8">
      <c r="A701" t="s">
        <v>3780</v>
      </c>
      <c r="B701" s="4">
        <v>45976</v>
      </c>
      <c r="C701">
        <v>2025</v>
      </c>
      <c r="D701">
        <v>11</v>
      </c>
      <c r="E701">
        <v>15</v>
      </c>
      <c r="F701" t="s">
        <v>10354</v>
      </c>
      <c r="G701" t="b">
        <v>1</v>
      </c>
      <c r="H701">
        <v>4</v>
      </c>
    </row>
    <row r="702" spans="1:8">
      <c r="A702" t="s">
        <v>3786</v>
      </c>
      <c r="B702" s="4">
        <v>45987</v>
      </c>
      <c r="C702">
        <v>2025</v>
      </c>
      <c r="D702">
        <v>11</v>
      </c>
      <c r="E702">
        <v>26</v>
      </c>
      <c r="F702" t="s">
        <v>10351</v>
      </c>
      <c r="G702" t="b">
        <v>0</v>
      </c>
      <c r="H702">
        <v>4</v>
      </c>
    </row>
    <row r="703" spans="1:8">
      <c r="A703" t="s">
        <v>3791</v>
      </c>
      <c r="B703" s="4">
        <v>45706</v>
      </c>
      <c r="C703">
        <v>2025</v>
      </c>
      <c r="D703">
        <v>2</v>
      </c>
      <c r="E703">
        <v>18</v>
      </c>
      <c r="F703" t="s">
        <v>10353</v>
      </c>
      <c r="G703" t="b">
        <v>0</v>
      </c>
      <c r="H703">
        <v>1</v>
      </c>
    </row>
    <row r="704" spans="1:8">
      <c r="A704" t="s">
        <v>3796</v>
      </c>
      <c r="B704" s="4">
        <v>45461</v>
      </c>
      <c r="C704">
        <v>2024</v>
      </c>
      <c r="D704">
        <v>6</v>
      </c>
      <c r="E704">
        <v>18</v>
      </c>
      <c r="F704" t="s">
        <v>10353</v>
      </c>
      <c r="G704" t="b">
        <v>0</v>
      </c>
      <c r="H704">
        <v>2</v>
      </c>
    </row>
    <row r="705" spans="1:8">
      <c r="A705" t="s">
        <v>3801</v>
      </c>
      <c r="B705" s="4">
        <v>45770</v>
      </c>
      <c r="C705">
        <v>2025</v>
      </c>
      <c r="D705">
        <v>4</v>
      </c>
      <c r="E705">
        <v>23</v>
      </c>
      <c r="F705" t="s">
        <v>10351</v>
      </c>
      <c r="G705" t="b">
        <v>0</v>
      </c>
      <c r="H705">
        <v>2</v>
      </c>
    </row>
    <row r="706" spans="1:8">
      <c r="A706" t="s">
        <v>3806</v>
      </c>
      <c r="B706" s="4">
        <v>45422</v>
      </c>
      <c r="C706">
        <v>2024</v>
      </c>
      <c r="D706">
        <v>5</v>
      </c>
      <c r="E706">
        <v>10</v>
      </c>
      <c r="F706" t="s">
        <v>10352</v>
      </c>
      <c r="G706" t="b">
        <v>0</v>
      </c>
      <c r="H706">
        <v>2</v>
      </c>
    </row>
    <row r="707" spans="1:8">
      <c r="A707" t="s">
        <v>3811</v>
      </c>
      <c r="B707" s="4">
        <v>45929</v>
      </c>
      <c r="C707">
        <v>2025</v>
      </c>
      <c r="D707">
        <v>9</v>
      </c>
      <c r="E707">
        <v>29</v>
      </c>
      <c r="F707" t="s">
        <v>10356</v>
      </c>
      <c r="G707" t="b">
        <v>0</v>
      </c>
      <c r="H707">
        <v>3</v>
      </c>
    </row>
    <row r="708" spans="1:8">
      <c r="A708" t="s">
        <v>3816</v>
      </c>
      <c r="B708" s="4">
        <v>45838</v>
      </c>
      <c r="C708">
        <v>2025</v>
      </c>
      <c r="D708">
        <v>6</v>
      </c>
      <c r="E708">
        <v>30</v>
      </c>
      <c r="F708" t="s">
        <v>10356</v>
      </c>
      <c r="G708" t="b">
        <v>0</v>
      </c>
      <c r="H708">
        <v>2</v>
      </c>
    </row>
    <row r="709" spans="1:8">
      <c r="A709" t="s">
        <v>3821</v>
      </c>
      <c r="B709" s="4">
        <v>45319</v>
      </c>
      <c r="C709">
        <v>2024</v>
      </c>
      <c r="D709">
        <v>1</v>
      </c>
      <c r="E709">
        <v>28</v>
      </c>
      <c r="F709" t="s">
        <v>10355</v>
      </c>
      <c r="G709" t="b">
        <v>1</v>
      </c>
      <c r="H709">
        <v>1</v>
      </c>
    </row>
    <row r="710" spans="1:8">
      <c r="A710" t="s">
        <v>3826</v>
      </c>
      <c r="B710" s="4">
        <v>45695</v>
      </c>
      <c r="C710">
        <v>2025</v>
      </c>
      <c r="D710">
        <v>2</v>
      </c>
      <c r="E710">
        <v>7</v>
      </c>
      <c r="F710" t="s">
        <v>10352</v>
      </c>
      <c r="G710" t="b">
        <v>0</v>
      </c>
      <c r="H710">
        <v>1</v>
      </c>
    </row>
    <row r="711" spans="1:8">
      <c r="A711" t="s">
        <v>3831</v>
      </c>
      <c r="B711" s="4">
        <v>45898</v>
      </c>
      <c r="C711">
        <v>2025</v>
      </c>
      <c r="D711">
        <v>8</v>
      </c>
      <c r="E711">
        <v>29</v>
      </c>
      <c r="F711" t="s">
        <v>10352</v>
      </c>
      <c r="G711" t="b">
        <v>0</v>
      </c>
      <c r="H711">
        <v>3</v>
      </c>
    </row>
    <row r="712" spans="1:8">
      <c r="A712" t="s">
        <v>3836</v>
      </c>
      <c r="B712" s="4">
        <v>45869</v>
      </c>
      <c r="C712">
        <v>2025</v>
      </c>
      <c r="D712">
        <v>7</v>
      </c>
      <c r="E712">
        <v>31</v>
      </c>
      <c r="F712" t="s">
        <v>10350</v>
      </c>
      <c r="G712" t="b">
        <v>0</v>
      </c>
      <c r="H712">
        <v>3</v>
      </c>
    </row>
    <row r="713" spans="1:8">
      <c r="A713" t="s">
        <v>3841</v>
      </c>
      <c r="B713" s="4">
        <v>45970</v>
      </c>
      <c r="C713">
        <v>2025</v>
      </c>
      <c r="D713">
        <v>11</v>
      </c>
      <c r="E713">
        <v>9</v>
      </c>
      <c r="F713" t="s">
        <v>10355</v>
      </c>
      <c r="G713" t="b">
        <v>1</v>
      </c>
      <c r="H713">
        <v>4</v>
      </c>
    </row>
    <row r="714" spans="1:8">
      <c r="A714" t="s">
        <v>3846</v>
      </c>
      <c r="B714" s="4">
        <v>45319</v>
      </c>
      <c r="C714">
        <v>2024</v>
      </c>
      <c r="D714">
        <v>1</v>
      </c>
      <c r="E714">
        <v>28</v>
      </c>
      <c r="F714" t="s">
        <v>10355</v>
      </c>
      <c r="G714" t="b">
        <v>1</v>
      </c>
      <c r="H714">
        <v>1</v>
      </c>
    </row>
    <row r="715" spans="1:8">
      <c r="A715" t="s">
        <v>3851</v>
      </c>
      <c r="B715" s="4">
        <v>45377</v>
      </c>
      <c r="C715">
        <v>2024</v>
      </c>
      <c r="D715">
        <v>3</v>
      </c>
      <c r="E715">
        <v>26</v>
      </c>
      <c r="F715" t="s">
        <v>10353</v>
      </c>
      <c r="G715" t="b">
        <v>0</v>
      </c>
      <c r="H715">
        <v>1</v>
      </c>
    </row>
    <row r="716" spans="1:8">
      <c r="A716" t="s">
        <v>3856</v>
      </c>
      <c r="B716" s="4">
        <v>45950</v>
      </c>
      <c r="C716">
        <v>2025</v>
      </c>
      <c r="D716">
        <v>10</v>
      </c>
      <c r="E716">
        <v>20</v>
      </c>
      <c r="F716" t="s">
        <v>10356</v>
      </c>
      <c r="G716" t="b">
        <v>0</v>
      </c>
      <c r="H716">
        <v>4</v>
      </c>
    </row>
    <row r="717" spans="1:8">
      <c r="A717" t="s">
        <v>3861</v>
      </c>
      <c r="B717" s="4">
        <v>45730</v>
      </c>
      <c r="C717">
        <v>2025</v>
      </c>
      <c r="D717">
        <v>3</v>
      </c>
      <c r="E717">
        <v>14</v>
      </c>
      <c r="F717" t="s">
        <v>10352</v>
      </c>
      <c r="G717" t="b">
        <v>0</v>
      </c>
      <c r="H717">
        <v>1</v>
      </c>
    </row>
    <row r="718" spans="1:8">
      <c r="A718" t="s">
        <v>3866</v>
      </c>
      <c r="B718" s="4">
        <v>45430</v>
      </c>
      <c r="C718">
        <v>2024</v>
      </c>
      <c r="D718">
        <v>5</v>
      </c>
      <c r="E718">
        <v>18</v>
      </c>
      <c r="F718" t="s">
        <v>10354</v>
      </c>
      <c r="G718" t="b">
        <v>1</v>
      </c>
      <c r="H718">
        <v>2</v>
      </c>
    </row>
    <row r="719" spans="1:8">
      <c r="A719" t="s">
        <v>3871</v>
      </c>
      <c r="B719" s="4">
        <v>45764</v>
      </c>
      <c r="C719">
        <v>2025</v>
      </c>
      <c r="D719">
        <v>4</v>
      </c>
      <c r="E719">
        <v>17</v>
      </c>
      <c r="F719" t="s">
        <v>10350</v>
      </c>
      <c r="G719" t="b">
        <v>0</v>
      </c>
      <c r="H719">
        <v>2</v>
      </c>
    </row>
    <row r="720" spans="1:8">
      <c r="A720" t="s">
        <v>3876</v>
      </c>
      <c r="B720" s="4">
        <v>45478</v>
      </c>
      <c r="C720">
        <v>2024</v>
      </c>
      <c r="D720">
        <v>7</v>
      </c>
      <c r="E720">
        <v>5</v>
      </c>
      <c r="F720" t="s">
        <v>10352</v>
      </c>
      <c r="G720" t="b">
        <v>0</v>
      </c>
      <c r="H720">
        <v>3</v>
      </c>
    </row>
    <row r="721" spans="1:8">
      <c r="A721" t="s">
        <v>3881</v>
      </c>
      <c r="B721" s="4">
        <v>45343</v>
      </c>
      <c r="C721">
        <v>2024</v>
      </c>
      <c r="D721">
        <v>2</v>
      </c>
      <c r="E721">
        <v>21</v>
      </c>
      <c r="F721" t="s">
        <v>10351</v>
      </c>
      <c r="G721" t="b">
        <v>0</v>
      </c>
      <c r="H721">
        <v>1</v>
      </c>
    </row>
    <row r="722" spans="1:8">
      <c r="A722" t="s">
        <v>3886</v>
      </c>
      <c r="B722" s="4">
        <v>45558</v>
      </c>
      <c r="C722">
        <v>2024</v>
      </c>
      <c r="D722">
        <v>9</v>
      </c>
      <c r="E722">
        <v>23</v>
      </c>
      <c r="F722" t="s">
        <v>10356</v>
      </c>
      <c r="G722" t="b">
        <v>0</v>
      </c>
      <c r="H722">
        <v>3</v>
      </c>
    </row>
    <row r="723" spans="1:8">
      <c r="A723" t="s">
        <v>3891</v>
      </c>
      <c r="B723" s="4">
        <v>45680</v>
      </c>
      <c r="C723">
        <v>2025</v>
      </c>
      <c r="D723">
        <v>1</v>
      </c>
      <c r="E723">
        <v>23</v>
      </c>
      <c r="F723" t="s">
        <v>10350</v>
      </c>
      <c r="G723" t="b">
        <v>0</v>
      </c>
      <c r="H723">
        <v>1</v>
      </c>
    </row>
    <row r="724" spans="1:8">
      <c r="A724" t="s">
        <v>3896</v>
      </c>
      <c r="B724" s="4">
        <v>45627</v>
      </c>
      <c r="C724">
        <v>2024</v>
      </c>
      <c r="D724">
        <v>12</v>
      </c>
      <c r="E724">
        <v>1</v>
      </c>
      <c r="F724" t="s">
        <v>10355</v>
      </c>
      <c r="G724" t="b">
        <v>1</v>
      </c>
      <c r="H724">
        <v>4</v>
      </c>
    </row>
    <row r="725" spans="1:8">
      <c r="A725" t="s">
        <v>3901</v>
      </c>
      <c r="B725" s="4">
        <v>45508</v>
      </c>
      <c r="C725">
        <v>2024</v>
      </c>
      <c r="D725">
        <v>8</v>
      </c>
      <c r="E725">
        <v>4</v>
      </c>
      <c r="F725" t="s">
        <v>10355</v>
      </c>
      <c r="G725" t="b">
        <v>1</v>
      </c>
      <c r="H725">
        <v>3</v>
      </c>
    </row>
    <row r="726" spans="1:8">
      <c r="A726" t="s">
        <v>3906</v>
      </c>
      <c r="B726" s="4">
        <v>45757</v>
      </c>
      <c r="C726">
        <v>2025</v>
      </c>
      <c r="D726">
        <v>4</v>
      </c>
      <c r="E726">
        <v>10</v>
      </c>
      <c r="F726" t="s">
        <v>10350</v>
      </c>
      <c r="G726" t="b">
        <v>0</v>
      </c>
      <c r="H726">
        <v>2</v>
      </c>
    </row>
    <row r="727" spans="1:8">
      <c r="A727" t="s">
        <v>3911</v>
      </c>
      <c r="B727" s="4">
        <v>45626</v>
      </c>
      <c r="C727">
        <v>2024</v>
      </c>
      <c r="D727">
        <v>11</v>
      </c>
      <c r="E727">
        <v>30</v>
      </c>
      <c r="F727" t="s">
        <v>10354</v>
      </c>
      <c r="G727" t="b">
        <v>1</v>
      </c>
      <c r="H727">
        <v>4</v>
      </c>
    </row>
    <row r="728" spans="1:8">
      <c r="A728" t="s">
        <v>3916</v>
      </c>
      <c r="B728" s="4">
        <v>45637</v>
      </c>
      <c r="C728">
        <v>2024</v>
      </c>
      <c r="D728">
        <v>12</v>
      </c>
      <c r="E728">
        <v>11</v>
      </c>
      <c r="F728" t="s">
        <v>10351</v>
      </c>
      <c r="G728" t="b">
        <v>0</v>
      </c>
      <c r="H728">
        <v>4</v>
      </c>
    </row>
    <row r="729" spans="1:8">
      <c r="A729" t="s">
        <v>3921</v>
      </c>
      <c r="B729" s="4">
        <v>45680</v>
      </c>
      <c r="C729">
        <v>2025</v>
      </c>
      <c r="D729">
        <v>1</v>
      </c>
      <c r="E729">
        <v>23</v>
      </c>
      <c r="F729" t="s">
        <v>10350</v>
      </c>
      <c r="G729" t="b">
        <v>0</v>
      </c>
      <c r="H729">
        <v>1</v>
      </c>
    </row>
    <row r="730" spans="1:8">
      <c r="A730" t="s">
        <v>3926</v>
      </c>
      <c r="B730" s="4">
        <v>45576</v>
      </c>
      <c r="C730">
        <v>2024</v>
      </c>
      <c r="D730">
        <v>10</v>
      </c>
      <c r="E730">
        <v>11</v>
      </c>
      <c r="F730" t="s">
        <v>10352</v>
      </c>
      <c r="G730" t="b">
        <v>0</v>
      </c>
      <c r="H730">
        <v>4</v>
      </c>
    </row>
    <row r="731" spans="1:8">
      <c r="A731" t="s">
        <v>3932</v>
      </c>
      <c r="B731" s="4">
        <v>45723</v>
      </c>
      <c r="C731">
        <v>2025</v>
      </c>
      <c r="D731">
        <v>3</v>
      </c>
      <c r="E731">
        <v>7</v>
      </c>
      <c r="F731" t="s">
        <v>10352</v>
      </c>
      <c r="G731" t="b">
        <v>0</v>
      </c>
      <c r="H731">
        <v>1</v>
      </c>
    </row>
    <row r="732" spans="1:8">
      <c r="A732" t="s">
        <v>3937</v>
      </c>
      <c r="B732" s="4">
        <v>45550</v>
      </c>
      <c r="C732">
        <v>2024</v>
      </c>
      <c r="D732">
        <v>9</v>
      </c>
      <c r="E732">
        <v>15</v>
      </c>
      <c r="F732" t="s">
        <v>10355</v>
      </c>
      <c r="G732" t="b">
        <v>1</v>
      </c>
      <c r="H732">
        <v>3</v>
      </c>
    </row>
    <row r="733" spans="1:8">
      <c r="A733" t="s">
        <v>3942</v>
      </c>
      <c r="B733" s="4">
        <v>45375</v>
      </c>
      <c r="C733">
        <v>2024</v>
      </c>
      <c r="D733">
        <v>3</v>
      </c>
      <c r="E733">
        <v>24</v>
      </c>
      <c r="F733" t="s">
        <v>10355</v>
      </c>
      <c r="G733" t="b">
        <v>1</v>
      </c>
      <c r="H733">
        <v>1</v>
      </c>
    </row>
    <row r="734" spans="1:8">
      <c r="A734" t="s">
        <v>3947</v>
      </c>
      <c r="B734" s="4">
        <v>45773</v>
      </c>
      <c r="C734">
        <v>2025</v>
      </c>
      <c r="D734">
        <v>4</v>
      </c>
      <c r="E734">
        <v>26</v>
      </c>
      <c r="F734" t="s">
        <v>10354</v>
      </c>
      <c r="G734" t="b">
        <v>1</v>
      </c>
      <c r="H734">
        <v>2</v>
      </c>
    </row>
    <row r="735" spans="1:8">
      <c r="A735" t="s">
        <v>3952</v>
      </c>
      <c r="B735" s="4">
        <v>45311</v>
      </c>
      <c r="C735">
        <v>2024</v>
      </c>
      <c r="D735">
        <v>1</v>
      </c>
      <c r="E735">
        <v>20</v>
      </c>
      <c r="F735" t="s">
        <v>10354</v>
      </c>
      <c r="G735" t="b">
        <v>1</v>
      </c>
      <c r="H735">
        <v>1</v>
      </c>
    </row>
    <row r="736" spans="1:8">
      <c r="A736" t="s">
        <v>3957</v>
      </c>
      <c r="B736" s="4">
        <v>45844</v>
      </c>
      <c r="C736">
        <v>2025</v>
      </c>
      <c r="D736">
        <v>7</v>
      </c>
      <c r="E736">
        <v>6</v>
      </c>
      <c r="F736" t="s">
        <v>10355</v>
      </c>
      <c r="G736" t="b">
        <v>1</v>
      </c>
      <c r="H736">
        <v>3</v>
      </c>
    </row>
    <row r="737" spans="1:8">
      <c r="A737" t="s">
        <v>3962</v>
      </c>
      <c r="B737" s="4">
        <v>45345</v>
      </c>
      <c r="C737">
        <v>2024</v>
      </c>
      <c r="D737">
        <v>2</v>
      </c>
      <c r="E737">
        <v>23</v>
      </c>
      <c r="F737" t="s">
        <v>10352</v>
      </c>
      <c r="G737" t="b">
        <v>0</v>
      </c>
      <c r="H737">
        <v>1</v>
      </c>
    </row>
    <row r="738" spans="1:8">
      <c r="A738" t="s">
        <v>3967</v>
      </c>
      <c r="B738" s="4">
        <v>45650</v>
      </c>
      <c r="C738">
        <v>2024</v>
      </c>
      <c r="D738">
        <v>12</v>
      </c>
      <c r="E738">
        <v>24</v>
      </c>
      <c r="F738" t="s">
        <v>10353</v>
      </c>
      <c r="G738" t="b">
        <v>0</v>
      </c>
      <c r="H738">
        <v>4</v>
      </c>
    </row>
    <row r="739" spans="1:8">
      <c r="A739" t="s">
        <v>3972</v>
      </c>
      <c r="B739" s="4">
        <v>45521</v>
      </c>
      <c r="C739">
        <v>2024</v>
      </c>
      <c r="D739">
        <v>8</v>
      </c>
      <c r="E739">
        <v>17</v>
      </c>
      <c r="F739" t="s">
        <v>10354</v>
      </c>
      <c r="G739" t="b">
        <v>1</v>
      </c>
      <c r="H739">
        <v>3</v>
      </c>
    </row>
    <row r="740" spans="1:8">
      <c r="A740" t="s">
        <v>3978</v>
      </c>
      <c r="B740" s="4">
        <v>45957</v>
      </c>
      <c r="C740">
        <v>2025</v>
      </c>
      <c r="D740">
        <v>10</v>
      </c>
      <c r="E740">
        <v>27</v>
      </c>
      <c r="F740" t="s">
        <v>10356</v>
      </c>
      <c r="G740" t="b">
        <v>0</v>
      </c>
      <c r="H740">
        <v>4</v>
      </c>
    </row>
    <row r="741" spans="1:8">
      <c r="A741" t="s">
        <v>3983</v>
      </c>
      <c r="B741" s="4">
        <v>45362</v>
      </c>
      <c r="C741">
        <v>2024</v>
      </c>
      <c r="D741">
        <v>3</v>
      </c>
      <c r="E741">
        <v>11</v>
      </c>
      <c r="F741" t="s">
        <v>10356</v>
      </c>
      <c r="G741" t="b">
        <v>0</v>
      </c>
      <c r="H741">
        <v>1</v>
      </c>
    </row>
    <row r="742" spans="1:8">
      <c r="A742" t="s">
        <v>3988</v>
      </c>
      <c r="B742" s="4">
        <v>45959</v>
      </c>
      <c r="C742">
        <v>2025</v>
      </c>
      <c r="D742">
        <v>10</v>
      </c>
      <c r="E742">
        <v>29</v>
      </c>
      <c r="F742" t="s">
        <v>10351</v>
      </c>
      <c r="G742" t="b">
        <v>0</v>
      </c>
      <c r="H742">
        <v>4</v>
      </c>
    </row>
    <row r="743" spans="1:8">
      <c r="A743" t="s">
        <v>3993</v>
      </c>
      <c r="B743" s="4">
        <v>45333</v>
      </c>
      <c r="C743">
        <v>2024</v>
      </c>
      <c r="D743">
        <v>2</v>
      </c>
      <c r="E743">
        <v>11</v>
      </c>
      <c r="F743" t="s">
        <v>10355</v>
      </c>
      <c r="G743" t="b">
        <v>1</v>
      </c>
      <c r="H743">
        <v>1</v>
      </c>
    </row>
    <row r="744" spans="1:8">
      <c r="A744" t="s">
        <v>3998</v>
      </c>
      <c r="B744" s="4">
        <v>45323</v>
      </c>
      <c r="C744">
        <v>2024</v>
      </c>
      <c r="D744">
        <v>2</v>
      </c>
      <c r="E744">
        <v>1</v>
      </c>
      <c r="F744" t="s">
        <v>10350</v>
      </c>
      <c r="G744" t="b">
        <v>0</v>
      </c>
      <c r="H744">
        <v>1</v>
      </c>
    </row>
    <row r="745" spans="1:8">
      <c r="A745" t="s">
        <v>4003</v>
      </c>
      <c r="B745" s="4">
        <v>45545</v>
      </c>
      <c r="C745">
        <v>2024</v>
      </c>
      <c r="D745">
        <v>9</v>
      </c>
      <c r="E745">
        <v>10</v>
      </c>
      <c r="F745" t="s">
        <v>10353</v>
      </c>
      <c r="G745" t="b">
        <v>0</v>
      </c>
      <c r="H745">
        <v>3</v>
      </c>
    </row>
    <row r="746" spans="1:8">
      <c r="A746" t="s">
        <v>4008</v>
      </c>
      <c r="B746" s="4">
        <v>45496</v>
      </c>
      <c r="C746">
        <v>2024</v>
      </c>
      <c r="D746">
        <v>7</v>
      </c>
      <c r="E746">
        <v>23</v>
      </c>
      <c r="F746" t="s">
        <v>10353</v>
      </c>
      <c r="G746" t="b">
        <v>0</v>
      </c>
      <c r="H746">
        <v>3</v>
      </c>
    </row>
    <row r="747" spans="1:8">
      <c r="A747" t="s">
        <v>4013</v>
      </c>
      <c r="B747" s="4">
        <v>45312</v>
      </c>
      <c r="C747">
        <v>2024</v>
      </c>
      <c r="D747">
        <v>1</v>
      </c>
      <c r="E747">
        <v>21</v>
      </c>
      <c r="F747" t="s">
        <v>10355</v>
      </c>
      <c r="G747" t="b">
        <v>1</v>
      </c>
      <c r="H747">
        <v>1</v>
      </c>
    </row>
    <row r="748" spans="1:8">
      <c r="A748" t="s">
        <v>4018</v>
      </c>
      <c r="B748" s="4">
        <v>45928</v>
      </c>
      <c r="C748">
        <v>2025</v>
      </c>
      <c r="D748">
        <v>9</v>
      </c>
      <c r="E748">
        <v>28</v>
      </c>
      <c r="F748" t="s">
        <v>10355</v>
      </c>
      <c r="G748" t="b">
        <v>1</v>
      </c>
      <c r="H748">
        <v>3</v>
      </c>
    </row>
    <row r="749" spans="1:8">
      <c r="A749" t="s">
        <v>4023</v>
      </c>
      <c r="B749" s="4">
        <v>45448</v>
      </c>
      <c r="C749">
        <v>2024</v>
      </c>
      <c r="D749">
        <v>6</v>
      </c>
      <c r="E749">
        <v>5</v>
      </c>
      <c r="F749" t="s">
        <v>10351</v>
      </c>
      <c r="G749" t="b">
        <v>0</v>
      </c>
      <c r="H749">
        <v>2</v>
      </c>
    </row>
    <row r="750" spans="1:8">
      <c r="A750" t="s">
        <v>4028</v>
      </c>
      <c r="B750" s="4">
        <v>45536</v>
      </c>
      <c r="C750">
        <v>2024</v>
      </c>
      <c r="D750">
        <v>9</v>
      </c>
      <c r="E750">
        <v>1</v>
      </c>
      <c r="F750" t="s">
        <v>10355</v>
      </c>
      <c r="G750" t="b">
        <v>1</v>
      </c>
      <c r="H750">
        <v>3</v>
      </c>
    </row>
    <row r="751" spans="1:8">
      <c r="A751" t="s">
        <v>4033</v>
      </c>
      <c r="B751" s="4">
        <v>45421</v>
      </c>
      <c r="C751">
        <v>2024</v>
      </c>
      <c r="D751">
        <v>5</v>
      </c>
      <c r="E751">
        <v>9</v>
      </c>
      <c r="F751" t="s">
        <v>10350</v>
      </c>
      <c r="G751" t="b">
        <v>0</v>
      </c>
      <c r="H751">
        <v>2</v>
      </c>
    </row>
    <row r="752" spans="1:8">
      <c r="A752" t="s">
        <v>4038</v>
      </c>
      <c r="B752" s="4">
        <v>45776</v>
      </c>
      <c r="C752">
        <v>2025</v>
      </c>
      <c r="D752">
        <v>4</v>
      </c>
      <c r="E752">
        <v>29</v>
      </c>
      <c r="F752" t="s">
        <v>10353</v>
      </c>
      <c r="G752" t="b">
        <v>0</v>
      </c>
      <c r="H752">
        <v>2</v>
      </c>
    </row>
    <row r="753" spans="1:8">
      <c r="A753" t="s">
        <v>4043</v>
      </c>
      <c r="B753" s="4">
        <v>45977</v>
      </c>
      <c r="C753">
        <v>2025</v>
      </c>
      <c r="D753">
        <v>11</v>
      </c>
      <c r="E753">
        <v>16</v>
      </c>
      <c r="F753" t="s">
        <v>10355</v>
      </c>
      <c r="G753" t="b">
        <v>1</v>
      </c>
      <c r="H753">
        <v>4</v>
      </c>
    </row>
    <row r="754" spans="1:8">
      <c r="A754" t="s">
        <v>4048</v>
      </c>
      <c r="B754" s="4">
        <v>45409</v>
      </c>
      <c r="C754">
        <v>2024</v>
      </c>
      <c r="D754">
        <v>4</v>
      </c>
      <c r="E754">
        <v>27</v>
      </c>
      <c r="F754" t="s">
        <v>10354</v>
      </c>
      <c r="G754" t="b">
        <v>1</v>
      </c>
      <c r="H754">
        <v>2</v>
      </c>
    </row>
    <row r="755" spans="1:8">
      <c r="A755" t="s">
        <v>4053</v>
      </c>
      <c r="B755" s="4">
        <v>45869</v>
      </c>
      <c r="C755">
        <v>2025</v>
      </c>
      <c r="D755">
        <v>7</v>
      </c>
      <c r="E755">
        <v>31</v>
      </c>
      <c r="F755" t="s">
        <v>10350</v>
      </c>
      <c r="G755" t="b">
        <v>0</v>
      </c>
      <c r="H755">
        <v>3</v>
      </c>
    </row>
    <row r="756" spans="1:8">
      <c r="A756" t="s">
        <v>4058</v>
      </c>
      <c r="B756" s="4">
        <v>45515</v>
      </c>
      <c r="C756">
        <v>2024</v>
      </c>
      <c r="D756">
        <v>8</v>
      </c>
      <c r="E756">
        <v>11</v>
      </c>
      <c r="F756" t="s">
        <v>10355</v>
      </c>
      <c r="G756" t="b">
        <v>1</v>
      </c>
      <c r="H756">
        <v>3</v>
      </c>
    </row>
    <row r="757" spans="1:8">
      <c r="A757" t="s">
        <v>4063</v>
      </c>
      <c r="B757" s="4">
        <v>45768</v>
      </c>
      <c r="C757">
        <v>2025</v>
      </c>
      <c r="D757">
        <v>4</v>
      </c>
      <c r="E757">
        <v>21</v>
      </c>
      <c r="F757" t="s">
        <v>10356</v>
      </c>
      <c r="G757" t="b">
        <v>0</v>
      </c>
      <c r="H757">
        <v>2</v>
      </c>
    </row>
    <row r="758" spans="1:8">
      <c r="A758" t="s">
        <v>4068</v>
      </c>
      <c r="B758" s="4">
        <v>46008</v>
      </c>
      <c r="C758">
        <v>2025</v>
      </c>
      <c r="D758">
        <v>12</v>
      </c>
      <c r="E758">
        <v>17</v>
      </c>
      <c r="F758" t="s">
        <v>10351</v>
      </c>
      <c r="G758" t="b">
        <v>0</v>
      </c>
      <c r="H758">
        <v>4</v>
      </c>
    </row>
    <row r="759" spans="1:8">
      <c r="A759" t="s">
        <v>4073</v>
      </c>
      <c r="B759" s="4">
        <v>45554</v>
      </c>
      <c r="C759">
        <v>2024</v>
      </c>
      <c r="D759">
        <v>9</v>
      </c>
      <c r="E759">
        <v>19</v>
      </c>
      <c r="F759" t="s">
        <v>10350</v>
      </c>
      <c r="G759" t="b">
        <v>0</v>
      </c>
      <c r="H759">
        <v>3</v>
      </c>
    </row>
    <row r="760" spans="1:8">
      <c r="A760" t="s">
        <v>4078</v>
      </c>
      <c r="B760" s="4">
        <v>45669</v>
      </c>
      <c r="C760">
        <v>2025</v>
      </c>
      <c r="D760">
        <v>1</v>
      </c>
      <c r="E760">
        <v>12</v>
      </c>
      <c r="F760" t="s">
        <v>10355</v>
      </c>
      <c r="G760" t="b">
        <v>1</v>
      </c>
      <c r="H760">
        <v>1</v>
      </c>
    </row>
    <row r="761" spans="1:8">
      <c r="A761" t="s">
        <v>4084</v>
      </c>
      <c r="B761" s="4">
        <v>45463</v>
      </c>
      <c r="C761">
        <v>2024</v>
      </c>
      <c r="D761">
        <v>6</v>
      </c>
      <c r="E761">
        <v>20</v>
      </c>
      <c r="F761" t="s">
        <v>10350</v>
      </c>
      <c r="G761" t="b">
        <v>0</v>
      </c>
      <c r="H761">
        <v>2</v>
      </c>
    </row>
    <row r="762" spans="1:8">
      <c r="A762" t="s">
        <v>4089</v>
      </c>
      <c r="B762" s="4">
        <v>45912</v>
      </c>
      <c r="C762">
        <v>2025</v>
      </c>
      <c r="D762">
        <v>9</v>
      </c>
      <c r="E762">
        <v>12</v>
      </c>
      <c r="F762" t="s">
        <v>10352</v>
      </c>
      <c r="G762" t="b">
        <v>0</v>
      </c>
      <c r="H762">
        <v>3</v>
      </c>
    </row>
    <row r="763" spans="1:8">
      <c r="A763" t="s">
        <v>4094</v>
      </c>
      <c r="B763" s="4">
        <v>45913</v>
      </c>
      <c r="C763">
        <v>2025</v>
      </c>
      <c r="D763">
        <v>9</v>
      </c>
      <c r="E763">
        <v>13</v>
      </c>
      <c r="F763" t="s">
        <v>10354</v>
      </c>
      <c r="G763" t="b">
        <v>1</v>
      </c>
      <c r="H763">
        <v>3</v>
      </c>
    </row>
    <row r="764" spans="1:8">
      <c r="A764" t="s">
        <v>4099</v>
      </c>
      <c r="B764" s="4">
        <v>45409</v>
      </c>
      <c r="C764">
        <v>2024</v>
      </c>
      <c r="D764">
        <v>4</v>
      </c>
      <c r="E764">
        <v>27</v>
      </c>
      <c r="F764" t="s">
        <v>10354</v>
      </c>
      <c r="G764" t="b">
        <v>1</v>
      </c>
      <c r="H764">
        <v>2</v>
      </c>
    </row>
    <row r="765" spans="1:8">
      <c r="A765" t="s">
        <v>4104</v>
      </c>
      <c r="B765" s="4">
        <v>45459</v>
      </c>
      <c r="C765">
        <v>2024</v>
      </c>
      <c r="D765">
        <v>6</v>
      </c>
      <c r="E765">
        <v>16</v>
      </c>
      <c r="F765" t="s">
        <v>10355</v>
      </c>
      <c r="G765" t="b">
        <v>1</v>
      </c>
      <c r="H765">
        <v>2</v>
      </c>
    </row>
    <row r="766" spans="1:8">
      <c r="A766" t="s">
        <v>4109</v>
      </c>
      <c r="B766" s="4">
        <v>45610</v>
      </c>
      <c r="C766">
        <v>2024</v>
      </c>
      <c r="D766">
        <v>11</v>
      </c>
      <c r="E766">
        <v>14</v>
      </c>
      <c r="F766" t="s">
        <v>10350</v>
      </c>
      <c r="G766" t="b">
        <v>0</v>
      </c>
      <c r="H766">
        <v>4</v>
      </c>
    </row>
    <row r="767" spans="1:8">
      <c r="A767" t="s">
        <v>4114</v>
      </c>
      <c r="B767" s="4">
        <v>45402</v>
      </c>
      <c r="C767">
        <v>2024</v>
      </c>
      <c r="D767">
        <v>4</v>
      </c>
      <c r="E767">
        <v>20</v>
      </c>
      <c r="F767" t="s">
        <v>10354</v>
      </c>
      <c r="G767" t="b">
        <v>1</v>
      </c>
      <c r="H767">
        <v>2</v>
      </c>
    </row>
    <row r="768" spans="1:8">
      <c r="A768" t="s">
        <v>4119</v>
      </c>
      <c r="B768" s="4">
        <v>45884</v>
      </c>
      <c r="C768">
        <v>2025</v>
      </c>
      <c r="D768">
        <v>8</v>
      </c>
      <c r="E768">
        <v>15</v>
      </c>
      <c r="F768" t="s">
        <v>10352</v>
      </c>
      <c r="G768" t="b">
        <v>0</v>
      </c>
      <c r="H768">
        <v>3</v>
      </c>
    </row>
    <row r="769" spans="1:8">
      <c r="A769" t="s">
        <v>4124</v>
      </c>
      <c r="B769" s="4">
        <v>45318</v>
      </c>
      <c r="C769">
        <v>2024</v>
      </c>
      <c r="D769">
        <v>1</v>
      </c>
      <c r="E769">
        <v>27</v>
      </c>
      <c r="F769" t="s">
        <v>10354</v>
      </c>
      <c r="G769" t="b">
        <v>1</v>
      </c>
      <c r="H769">
        <v>1</v>
      </c>
    </row>
    <row r="770" spans="1:8">
      <c r="A770" t="s">
        <v>4129</v>
      </c>
      <c r="B770" s="4">
        <v>45611</v>
      </c>
      <c r="C770">
        <v>2024</v>
      </c>
      <c r="D770">
        <v>11</v>
      </c>
      <c r="E770">
        <v>15</v>
      </c>
      <c r="F770" t="s">
        <v>10352</v>
      </c>
      <c r="G770" t="b">
        <v>0</v>
      </c>
      <c r="H770">
        <v>4</v>
      </c>
    </row>
    <row r="771" spans="1:8">
      <c r="A771" t="s">
        <v>4134</v>
      </c>
      <c r="B771" s="4">
        <v>45881</v>
      </c>
      <c r="C771">
        <v>2025</v>
      </c>
      <c r="D771">
        <v>8</v>
      </c>
      <c r="E771">
        <v>12</v>
      </c>
      <c r="F771" t="s">
        <v>10353</v>
      </c>
      <c r="G771" t="b">
        <v>0</v>
      </c>
      <c r="H771">
        <v>3</v>
      </c>
    </row>
    <row r="772" spans="1:8">
      <c r="A772" t="s">
        <v>4139</v>
      </c>
      <c r="B772" s="4">
        <v>45985</v>
      </c>
      <c r="C772">
        <v>2025</v>
      </c>
      <c r="D772">
        <v>11</v>
      </c>
      <c r="E772">
        <v>24</v>
      </c>
      <c r="F772" t="s">
        <v>10356</v>
      </c>
      <c r="G772" t="b">
        <v>0</v>
      </c>
      <c r="H772">
        <v>4</v>
      </c>
    </row>
    <row r="773" spans="1:8">
      <c r="A773" t="s">
        <v>4144</v>
      </c>
      <c r="B773" s="4">
        <v>45676</v>
      </c>
      <c r="C773">
        <v>2025</v>
      </c>
      <c r="D773">
        <v>1</v>
      </c>
      <c r="E773">
        <v>19</v>
      </c>
      <c r="F773" t="s">
        <v>10355</v>
      </c>
      <c r="G773" t="b">
        <v>1</v>
      </c>
      <c r="H773">
        <v>1</v>
      </c>
    </row>
    <row r="774" spans="1:8">
      <c r="A774" t="s">
        <v>4149</v>
      </c>
      <c r="B774" s="4">
        <v>45698</v>
      </c>
      <c r="C774">
        <v>2025</v>
      </c>
      <c r="D774">
        <v>2</v>
      </c>
      <c r="E774">
        <v>10</v>
      </c>
      <c r="F774" t="s">
        <v>10356</v>
      </c>
      <c r="G774" t="b">
        <v>0</v>
      </c>
      <c r="H774">
        <v>1</v>
      </c>
    </row>
    <row r="775" spans="1:8">
      <c r="A775" t="s">
        <v>4154</v>
      </c>
      <c r="B775" s="4">
        <v>45495</v>
      </c>
      <c r="C775">
        <v>2024</v>
      </c>
      <c r="D775">
        <v>7</v>
      </c>
      <c r="E775">
        <v>22</v>
      </c>
      <c r="F775" t="s">
        <v>10356</v>
      </c>
      <c r="G775" t="b">
        <v>0</v>
      </c>
      <c r="H775">
        <v>3</v>
      </c>
    </row>
    <row r="776" spans="1:8">
      <c r="A776" t="s">
        <v>4159</v>
      </c>
      <c r="B776" s="4">
        <v>45369</v>
      </c>
      <c r="C776">
        <v>2024</v>
      </c>
      <c r="D776">
        <v>3</v>
      </c>
      <c r="E776">
        <v>18</v>
      </c>
      <c r="F776" t="s">
        <v>10356</v>
      </c>
      <c r="G776" t="b">
        <v>0</v>
      </c>
      <c r="H776">
        <v>1</v>
      </c>
    </row>
    <row r="777" spans="1:8">
      <c r="A777" t="s">
        <v>4164</v>
      </c>
      <c r="B777" s="4">
        <v>45898</v>
      </c>
      <c r="C777">
        <v>2025</v>
      </c>
      <c r="D777">
        <v>8</v>
      </c>
      <c r="E777">
        <v>29</v>
      </c>
      <c r="F777" t="s">
        <v>10352</v>
      </c>
      <c r="G777" t="b">
        <v>0</v>
      </c>
      <c r="H777">
        <v>3</v>
      </c>
    </row>
    <row r="778" spans="1:8">
      <c r="A778" t="s">
        <v>4169</v>
      </c>
      <c r="B778" s="4">
        <v>45999</v>
      </c>
      <c r="C778">
        <v>2025</v>
      </c>
      <c r="D778">
        <v>12</v>
      </c>
      <c r="E778">
        <v>8</v>
      </c>
      <c r="F778" t="s">
        <v>10356</v>
      </c>
      <c r="G778" t="b">
        <v>0</v>
      </c>
      <c r="H778">
        <v>4</v>
      </c>
    </row>
    <row r="779" spans="1:8">
      <c r="A779" t="s">
        <v>4174</v>
      </c>
      <c r="B779" s="4">
        <v>45934</v>
      </c>
      <c r="C779">
        <v>2025</v>
      </c>
      <c r="D779">
        <v>10</v>
      </c>
      <c r="E779">
        <v>4</v>
      </c>
      <c r="F779" t="s">
        <v>10354</v>
      </c>
      <c r="G779" t="b">
        <v>1</v>
      </c>
      <c r="H779">
        <v>4</v>
      </c>
    </row>
    <row r="780" spans="1:8">
      <c r="A780" t="s">
        <v>4179</v>
      </c>
      <c r="B780" s="4">
        <v>45540</v>
      </c>
      <c r="C780">
        <v>2024</v>
      </c>
      <c r="D780">
        <v>9</v>
      </c>
      <c r="E780">
        <v>5</v>
      </c>
      <c r="F780" t="s">
        <v>10350</v>
      </c>
      <c r="G780" t="b">
        <v>0</v>
      </c>
      <c r="H780">
        <v>3</v>
      </c>
    </row>
    <row r="781" spans="1:8">
      <c r="A781" t="s">
        <v>4184</v>
      </c>
      <c r="B781" s="4">
        <v>45396</v>
      </c>
      <c r="C781">
        <v>2024</v>
      </c>
      <c r="D781">
        <v>4</v>
      </c>
      <c r="E781">
        <v>14</v>
      </c>
      <c r="F781" t="s">
        <v>10355</v>
      </c>
      <c r="G781" t="b">
        <v>1</v>
      </c>
      <c r="H781">
        <v>2</v>
      </c>
    </row>
    <row r="782" spans="1:8">
      <c r="A782" t="s">
        <v>4189</v>
      </c>
      <c r="B782" s="4">
        <v>46005</v>
      </c>
      <c r="C782">
        <v>2025</v>
      </c>
      <c r="D782">
        <v>12</v>
      </c>
      <c r="E782">
        <v>14</v>
      </c>
      <c r="F782" t="s">
        <v>10355</v>
      </c>
      <c r="G782" t="b">
        <v>1</v>
      </c>
      <c r="H782">
        <v>4</v>
      </c>
    </row>
    <row r="783" spans="1:8">
      <c r="A783" t="s">
        <v>4194</v>
      </c>
      <c r="B783" s="4">
        <v>45600</v>
      </c>
      <c r="C783">
        <v>2024</v>
      </c>
      <c r="D783">
        <v>11</v>
      </c>
      <c r="E783">
        <v>4</v>
      </c>
      <c r="F783" t="s">
        <v>10356</v>
      </c>
      <c r="G783" t="b">
        <v>0</v>
      </c>
      <c r="H783">
        <v>4</v>
      </c>
    </row>
    <row r="784" spans="1:8">
      <c r="A784" t="s">
        <v>4199</v>
      </c>
      <c r="B784" s="4">
        <v>45992</v>
      </c>
      <c r="C784">
        <v>2025</v>
      </c>
      <c r="D784">
        <v>12</v>
      </c>
      <c r="E784">
        <v>1</v>
      </c>
      <c r="F784" t="s">
        <v>10356</v>
      </c>
      <c r="G784" t="b">
        <v>0</v>
      </c>
      <c r="H784">
        <v>4</v>
      </c>
    </row>
    <row r="785" spans="1:8">
      <c r="A785" t="s">
        <v>4204</v>
      </c>
      <c r="B785" s="4">
        <v>45906</v>
      </c>
      <c r="C785">
        <v>2025</v>
      </c>
      <c r="D785">
        <v>9</v>
      </c>
      <c r="E785">
        <v>6</v>
      </c>
      <c r="F785" t="s">
        <v>10354</v>
      </c>
      <c r="G785" t="b">
        <v>1</v>
      </c>
      <c r="H785">
        <v>3</v>
      </c>
    </row>
    <row r="786" spans="1:8">
      <c r="A786" t="s">
        <v>4209</v>
      </c>
      <c r="B786" s="4">
        <v>45415</v>
      </c>
      <c r="C786">
        <v>2024</v>
      </c>
      <c r="D786">
        <v>5</v>
      </c>
      <c r="E786">
        <v>3</v>
      </c>
      <c r="F786" t="s">
        <v>10352</v>
      </c>
      <c r="G786" t="b">
        <v>0</v>
      </c>
      <c r="H786">
        <v>2</v>
      </c>
    </row>
    <row r="787" spans="1:8">
      <c r="A787" t="s">
        <v>4214</v>
      </c>
      <c r="B787" s="4">
        <v>45871</v>
      </c>
      <c r="C787">
        <v>2025</v>
      </c>
      <c r="D787">
        <v>8</v>
      </c>
      <c r="E787">
        <v>2</v>
      </c>
      <c r="F787" t="s">
        <v>10354</v>
      </c>
      <c r="G787" t="b">
        <v>1</v>
      </c>
      <c r="H787">
        <v>3</v>
      </c>
    </row>
    <row r="788" spans="1:8">
      <c r="A788" t="s">
        <v>4219</v>
      </c>
      <c r="B788" s="4">
        <v>45334</v>
      </c>
      <c r="C788">
        <v>2024</v>
      </c>
      <c r="D788">
        <v>2</v>
      </c>
      <c r="E788">
        <v>12</v>
      </c>
      <c r="F788" t="s">
        <v>10356</v>
      </c>
      <c r="G788" t="b">
        <v>0</v>
      </c>
      <c r="H788">
        <v>1</v>
      </c>
    </row>
    <row r="789" spans="1:8">
      <c r="A789" t="s">
        <v>4224</v>
      </c>
      <c r="B789" s="4">
        <v>45647</v>
      </c>
      <c r="C789">
        <v>2024</v>
      </c>
      <c r="D789">
        <v>12</v>
      </c>
      <c r="E789">
        <v>21</v>
      </c>
      <c r="F789" t="s">
        <v>10354</v>
      </c>
      <c r="G789" t="b">
        <v>1</v>
      </c>
      <c r="H789">
        <v>4</v>
      </c>
    </row>
    <row r="790" spans="1:8">
      <c r="A790" t="s">
        <v>4229</v>
      </c>
      <c r="B790" s="4">
        <v>45837</v>
      </c>
      <c r="C790">
        <v>2025</v>
      </c>
      <c r="D790">
        <v>6</v>
      </c>
      <c r="E790">
        <v>29</v>
      </c>
      <c r="F790" t="s">
        <v>10355</v>
      </c>
      <c r="G790" t="b">
        <v>1</v>
      </c>
      <c r="H790">
        <v>2</v>
      </c>
    </row>
    <row r="791" spans="1:8">
      <c r="A791" t="s">
        <v>4234</v>
      </c>
      <c r="B791" s="4">
        <v>45730</v>
      </c>
      <c r="C791">
        <v>2025</v>
      </c>
      <c r="D791">
        <v>3</v>
      </c>
      <c r="E791">
        <v>14</v>
      </c>
      <c r="F791" t="s">
        <v>10352</v>
      </c>
      <c r="G791" t="b">
        <v>0</v>
      </c>
      <c r="H791">
        <v>1</v>
      </c>
    </row>
    <row r="792" spans="1:8">
      <c r="A792" t="s">
        <v>4239</v>
      </c>
      <c r="B792" s="4">
        <v>45969</v>
      </c>
      <c r="C792">
        <v>2025</v>
      </c>
      <c r="D792">
        <v>11</v>
      </c>
      <c r="E792">
        <v>8</v>
      </c>
      <c r="F792" t="s">
        <v>10354</v>
      </c>
      <c r="G792" t="b">
        <v>1</v>
      </c>
      <c r="H792">
        <v>4</v>
      </c>
    </row>
    <row r="793" spans="1:8">
      <c r="A793" t="s">
        <v>4244</v>
      </c>
      <c r="B793" s="4">
        <v>45671</v>
      </c>
      <c r="C793">
        <v>2025</v>
      </c>
      <c r="D793">
        <v>1</v>
      </c>
      <c r="E793">
        <v>14</v>
      </c>
      <c r="F793" t="s">
        <v>10353</v>
      </c>
      <c r="G793" t="b">
        <v>0</v>
      </c>
      <c r="H793">
        <v>1</v>
      </c>
    </row>
    <row r="794" spans="1:8">
      <c r="A794" t="s">
        <v>4249</v>
      </c>
      <c r="B794" s="4">
        <v>45362</v>
      </c>
      <c r="C794">
        <v>2024</v>
      </c>
      <c r="D794">
        <v>3</v>
      </c>
      <c r="E794">
        <v>11</v>
      </c>
      <c r="F794" t="s">
        <v>10356</v>
      </c>
      <c r="G794" t="b">
        <v>0</v>
      </c>
      <c r="H794">
        <v>1</v>
      </c>
    </row>
    <row r="795" spans="1:8">
      <c r="A795" t="s">
        <v>4255</v>
      </c>
      <c r="B795" s="4">
        <v>45810</v>
      </c>
      <c r="C795">
        <v>2025</v>
      </c>
      <c r="D795">
        <v>6</v>
      </c>
      <c r="E795">
        <v>2</v>
      </c>
      <c r="F795" t="s">
        <v>10356</v>
      </c>
      <c r="G795" t="b">
        <v>0</v>
      </c>
      <c r="H795">
        <v>2</v>
      </c>
    </row>
    <row r="796" spans="1:8">
      <c r="A796" t="s">
        <v>4260</v>
      </c>
      <c r="B796" s="4">
        <v>45955</v>
      </c>
      <c r="C796">
        <v>2025</v>
      </c>
      <c r="D796">
        <v>10</v>
      </c>
      <c r="E796">
        <v>25</v>
      </c>
      <c r="F796" t="s">
        <v>10354</v>
      </c>
      <c r="G796" t="b">
        <v>1</v>
      </c>
      <c r="H796">
        <v>4</v>
      </c>
    </row>
    <row r="797" spans="1:8">
      <c r="A797" t="s">
        <v>4265</v>
      </c>
      <c r="B797" s="4">
        <v>45641</v>
      </c>
      <c r="C797">
        <v>2024</v>
      </c>
      <c r="D797">
        <v>12</v>
      </c>
      <c r="E797">
        <v>15</v>
      </c>
      <c r="F797" t="s">
        <v>10355</v>
      </c>
      <c r="G797" t="b">
        <v>1</v>
      </c>
      <c r="H797">
        <v>4</v>
      </c>
    </row>
    <row r="798" spans="1:8">
      <c r="A798" t="s">
        <v>4270</v>
      </c>
      <c r="B798" s="4">
        <v>45304</v>
      </c>
      <c r="C798">
        <v>2024</v>
      </c>
      <c r="D798">
        <v>1</v>
      </c>
      <c r="E798">
        <v>13</v>
      </c>
      <c r="F798" t="s">
        <v>10354</v>
      </c>
      <c r="G798" t="b">
        <v>1</v>
      </c>
      <c r="H798">
        <v>1</v>
      </c>
    </row>
    <row r="799" spans="1:8">
      <c r="A799" t="s">
        <v>4275</v>
      </c>
      <c r="B799" s="4">
        <v>45722</v>
      </c>
      <c r="C799">
        <v>2025</v>
      </c>
      <c r="D799">
        <v>3</v>
      </c>
      <c r="E799">
        <v>6</v>
      </c>
      <c r="F799" t="s">
        <v>10350</v>
      </c>
      <c r="G799" t="b">
        <v>0</v>
      </c>
      <c r="H799">
        <v>1</v>
      </c>
    </row>
    <row r="800" spans="1:8">
      <c r="A800" t="s">
        <v>4280</v>
      </c>
      <c r="B800" s="4">
        <v>45793</v>
      </c>
      <c r="C800">
        <v>2025</v>
      </c>
      <c r="D800">
        <v>5</v>
      </c>
      <c r="E800">
        <v>16</v>
      </c>
      <c r="F800" t="s">
        <v>10352</v>
      </c>
      <c r="G800" t="b">
        <v>0</v>
      </c>
      <c r="H800">
        <v>2</v>
      </c>
    </row>
    <row r="801" spans="1:8">
      <c r="A801" t="s">
        <v>4285</v>
      </c>
      <c r="B801" s="4">
        <v>45400</v>
      </c>
      <c r="C801">
        <v>2024</v>
      </c>
      <c r="D801">
        <v>4</v>
      </c>
      <c r="E801">
        <v>18</v>
      </c>
      <c r="F801" t="s">
        <v>10350</v>
      </c>
      <c r="G801" t="b">
        <v>0</v>
      </c>
      <c r="H801">
        <v>2</v>
      </c>
    </row>
    <row r="802" spans="1:8">
      <c r="A802" t="s">
        <v>4290</v>
      </c>
      <c r="B802" s="4">
        <v>45735</v>
      </c>
      <c r="C802">
        <v>2025</v>
      </c>
      <c r="D802">
        <v>3</v>
      </c>
      <c r="E802">
        <v>19</v>
      </c>
      <c r="F802" t="s">
        <v>10351</v>
      </c>
      <c r="G802" t="b">
        <v>0</v>
      </c>
      <c r="H802">
        <v>1</v>
      </c>
    </row>
    <row r="803" spans="1:8">
      <c r="A803" t="s">
        <v>4295</v>
      </c>
      <c r="B803" s="4">
        <v>45662</v>
      </c>
      <c r="C803">
        <v>2025</v>
      </c>
      <c r="D803">
        <v>1</v>
      </c>
      <c r="E803">
        <v>5</v>
      </c>
      <c r="F803" t="s">
        <v>10355</v>
      </c>
      <c r="G803" t="b">
        <v>1</v>
      </c>
      <c r="H803">
        <v>1</v>
      </c>
    </row>
    <row r="804" spans="1:8">
      <c r="A804" t="s">
        <v>4300</v>
      </c>
      <c r="B804" s="4">
        <v>45942</v>
      </c>
      <c r="C804">
        <v>2025</v>
      </c>
      <c r="D804">
        <v>10</v>
      </c>
      <c r="E804">
        <v>12</v>
      </c>
      <c r="F804" t="s">
        <v>10355</v>
      </c>
      <c r="G804" t="b">
        <v>1</v>
      </c>
      <c r="H804">
        <v>4</v>
      </c>
    </row>
    <row r="805" spans="1:8">
      <c r="A805" t="s">
        <v>4305</v>
      </c>
      <c r="B805" s="4">
        <v>45762</v>
      </c>
      <c r="C805">
        <v>2025</v>
      </c>
      <c r="D805">
        <v>4</v>
      </c>
      <c r="E805">
        <v>15</v>
      </c>
      <c r="F805" t="s">
        <v>10353</v>
      </c>
      <c r="G805" t="b">
        <v>0</v>
      </c>
      <c r="H805">
        <v>2</v>
      </c>
    </row>
    <row r="806" spans="1:8">
      <c r="A806" t="s">
        <v>4310</v>
      </c>
      <c r="B806" s="4">
        <v>46016</v>
      </c>
      <c r="C806">
        <v>2025</v>
      </c>
      <c r="D806">
        <v>12</v>
      </c>
      <c r="E806">
        <v>25</v>
      </c>
      <c r="F806" t="s">
        <v>10350</v>
      </c>
      <c r="G806" t="b">
        <v>0</v>
      </c>
      <c r="H806">
        <v>4</v>
      </c>
    </row>
    <row r="807" spans="1:8">
      <c r="A807" t="s">
        <v>4315</v>
      </c>
      <c r="B807" s="4">
        <v>45448</v>
      </c>
      <c r="C807">
        <v>2024</v>
      </c>
      <c r="D807">
        <v>6</v>
      </c>
      <c r="E807">
        <v>5</v>
      </c>
      <c r="F807" t="s">
        <v>10351</v>
      </c>
      <c r="G807" t="b">
        <v>0</v>
      </c>
      <c r="H807">
        <v>2</v>
      </c>
    </row>
    <row r="808" spans="1:8">
      <c r="A808" t="s">
        <v>4320</v>
      </c>
      <c r="B808" s="4">
        <v>45737</v>
      </c>
      <c r="C808">
        <v>2025</v>
      </c>
      <c r="D808">
        <v>3</v>
      </c>
      <c r="E808">
        <v>21</v>
      </c>
      <c r="F808" t="s">
        <v>10352</v>
      </c>
      <c r="G808" t="b">
        <v>0</v>
      </c>
      <c r="H808">
        <v>1</v>
      </c>
    </row>
    <row r="809" spans="1:8">
      <c r="A809" t="s">
        <v>4325</v>
      </c>
      <c r="B809" s="4">
        <v>45472</v>
      </c>
      <c r="C809">
        <v>2024</v>
      </c>
      <c r="D809">
        <v>6</v>
      </c>
      <c r="E809">
        <v>29</v>
      </c>
      <c r="F809" t="s">
        <v>10354</v>
      </c>
      <c r="G809" t="b">
        <v>1</v>
      </c>
      <c r="H809">
        <v>2</v>
      </c>
    </row>
    <row r="810" spans="1:8">
      <c r="A810" t="s">
        <v>4331</v>
      </c>
      <c r="B810" s="4">
        <v>45826</v>
      </c>
      <c r="C810">
        <v>2025</v>
      </c>
      <c r="D810">
        <v>6</v>
      </c>
      <c r="E810">
        <v>18</v>
      </c>
      <c r="F810" t="s">
        <v>10351</v>
      </c>
      <c r="G810" t="b">
        <v>0</v>
      </c>
      <c r="H810">
        <v>2</v>
      </c>
    </row>
    <row r="811" spans="1:8">
      <c r="A811" t="s">
        <v>4336</v>
      </c>
      <c r="B811" s="4">
        <v>45958</v>
      </c>
      <c r="C811">
        <v>2025</v>
      </c>
      <c r="D811">
        <v>10</v>
      </c>
      <c r="E811">
        <v>28</v>
      </c>
      <c r="F811" t="s">
        <v>10353</v>
      </c>
      <c r="G811" t="b">
        <v>0</v>
      </c>
      <c r="H811">
        <v>4</v>
      </c>
    </row>
    <row r="812" spans="1:8">
      <c r="A812" t="s">
        <v>4341</v>
      </c>
      <c r="B812" s="4">
        <v>45568</v>
      </c>
      <c r="C812">
        <v>2024</v>
      </c>
      <c r="D812">
        <v>10</v>
      </c>
      <c r="E812">
        <v>3</v>
      </c>
      <c r="F812" t="s">
        <v>10350</v>
      </c>
      <c r="G812" t="b">
        <v>0</v>
      </c>
      <c r="H812">
        <v>4</v>
      </c>
    </row>
    <row r="813" spans="1:8">
      <c r="A813" t="s">
        <v>4346</v>
      </c>
      <c r="B813" s="4">
        <v>45922</v>
      </c>
      <c r="C813">
        <v>2025</v>
      </c>
      <c r="D813">
        <v>9</v>
      </c>
      <c r="E813">
        <v>22</v>
      </c>
      <c r="F813" t="s">
        <v>10356</v>
      </c>
      <c r="G813" t="b">
        <v>0</v>
      </c>
      <c r="H813">
        <v>3</v>
      </c>
    </row>
    <row r="814" spans="1:8">
      <c r="A814" t="s">
        <v>4351</v>
      </c>
      <c r="B814" s="4">
        <v>45843</v>
      </c>
      <c r="C814">
        <v>2025</v>
      </c>
      <c r="D814">
        <v>7</v>
      </c>
      <c r="E814">
        <v>5</v>
      </c>
      <c r="F814" t="s">
        <v>10354</v>
      </c>
      <c r="G814" t="b">
        <v>1</v>
      </c>
      <c r="H814">
        <v>3</v>
      </c>
    </row>
    <row r="815" spans="1:8">
      <c r="A815" t="s">
        <v>4356</v>
      </c>
      <c r="B815" s="4">
        <v>45787</v>
      </c>
      <c r="C815">
        <v>2025</v>
      </c>
      <c r="D815">
        <v>5</v>
      </c>
      <c r="E815">
        <v>10</v>
      </c>
      <c r="F815" t="s">
        <v>10354</v>
      </c>
      <c r="G815" t="b">
        <v>1</v>
      </c>
      <c r="H815">
        <v>2</v>
      </c>
    </row>
    <row r="816" spans="1:8">
      <c r="A816" t="s">
        <v>4362</v>
      </c>
      <c r="B816" s="4">
        <v>45768</v>
      </c>
      <c r="C816">
        <v>2025</v>
      </c>
      <c r="D816">
        <v>4</v>
      </c>
      <c r="E816">
        <v>21</v>
      </c>
      <c r="F816" t="s">
        <v>10356</v>
      </c>
      <c r="G816" t="b">
        <v>0</v>
      </c>
      <c r="H816">
        <v>2</v>
      </c>
    </row>
    <row r="817" spans="1:8">
      <c r="A817" t="s">
        <v>4367</v>
      </c>
      <c r="B817" s="4">
        <v>45738</v>
      </c>
      <c r="C817">
        <v>2025</v>
      </c>
      <c r="D817">
        <v>3</v>
      </c>
      <c r="E817">
        <v>22</v>
      </c>
      <c r="F817" t="s">
        <v>10354</v>
      </c>
      <c r="G817" t="b">
        <v>1</v>
      </c>
      <c r="H817">
        <v>1</v>
      </c>
    </row>
    <row r="818" spans="1:8">
      <c r="A818" t="s">
        <v>4373</v>
      </c>
      <c r="B818" s="4">
        <v>45898</v>
      </c>
      <c r="C818">
        <v>2025</v>
      </c>
      <c r="D818">
        <v>8</v>
      </c>
      <c r="E818">
        <v>29</v>
      </c>
      <c r="F818" t="s">
        <v>10352</v>
      </c>
      <c r="G818" t="b">
        <v>0</v>
      </c>
      <c r="H818">
        <v>3</v>
      </c>
    </row>
    <row r="819" spans="1:8">
      <c r="A819" t="s">
        <v>4378</v>
      </c>
      <c r="B819" s="4">
        <v>45566</v>
      </c>
      <c r="C819">
        <v>2024</v>
      </c>
      <c r="D819">
        <v>10</v>
      </c>
      <c r="E819">
        <v>1</v>
      </c>
      <c r="F819" t="s">
        <v>10353</v>
      </c>
      <c r="G819" t="b">
        <v>0</v>
      </c>
      <c r="H819">
        <v>4</v>
      </c>
    </row>
    <row r="820" spans="1:8">
      <c r="A820" t="s">
        <v>4383</v>
      </c>
      <c r="B820" s="4">
        <v>45622</v>
      </c>
      <c r="C820">
        <v>2024</v>
      </c>
      <c r="D820">
        <v>11</v>
      </c>
      <c r="E820">
        <v>26</v>
      </c>
      <c r="F820" t="s">
        <v>10353</v>
      </c>
      <c r="G820" t="b">
        <v>0</v>
      </c>
      <c r="H820">
        <v>4</v>
      </c>
    </row>
    <row r="821" spans="1:8">
      <c r="A821" t="s">
        <v>4388</v>
      </c>
      <c r="B821" s="4">
        <v>45543</v>
      </c>
      <c r="C821">
        <v>2024</v>
      </c>
      <c r="D821">
        <v>9</v>
      </c>
      <c r="E821">
        <v>8</v>
      </c>
      <c r="F821" t="s">
        <v>10355</v>
      </c>
      <c r="G821" t="b">
        <v>1</v>
      </c>
      <c r="H821">
        <v>3</v>
      </c>
    </row>
    <row r="822" spans="1:8">
      <c r="A822" t="s">
        <v>4393</v>
      </c>
      <c r="B822" s="4">
        <v>45380</v>
      </c>
      <c r="C822">
        <v>2024</v>
      </c>
      <c r="D822">
        <v>3</v>
      </c>
      <c r="E822">
        <v>29</v>
      </c>
      <c r="F822" t="s">
        <v>10352</v>
      </c>
      <c r="G822" t="b">
        <v>0</v>
      </c>
      <c r="H822">
        <v>1</v>
      </c>
    </row>
    <row r="823" spans="1:8">
      <c r="A823" t="s">
        <v>4398</v>
      </c>
      <c r="B823" s="4">
        <v>45577</v>
      </c>
      <c r="C823">
        <v>2024</v>
      </c>
      <c r="D823">
        <v>10</v>
      </c>
      <c r="E823">
        <v>12</v>
      </c>
      <c r="F823" t="s">
        <v>10354</v>
      </c>
      <c r="G823" t="b">
        <v>1</v>
      </c>
      <c r="H823">
        <v>4</v>
      </c>
    </row>
    <row r="824" spans="1:8">
      <c r="A824" t="s">
        <v>4403</v>
      </c>
      <c r="B824" s="4">
        <v>45753</v>
      </c>
      <c r="C824">
        <v>2025</v>
      </c>
      <c r="D824">
        <v>4</v>
      </c>
      <c r="E824">
        <v>6</v>
      </c>
      <c r="F824" t="s">
        <v>10355</v>
      </c>
      <c r="G824" t="b">
        <v>1</v>
      </c>
      <c r="H824">
        <v>2</v>
      </c>
    </row>
    <row r="825" spans="1:8">
      <c r="A825" t="s">
        <v>4408</v>
      </c>
      <c r="B825" s="4">
        <v>45541</v>
      </c>
      <c r="C825">
        <v>2024</v>
      </c>
      <c r="D825">
        <v>9</v>
      </c>
      <c r="E825">
        <v>6</v>
      </c>
      <c r="F825" t="s">
        <v>10352</v>
      </c>
      <c r="G825" t="b">
        <v>0</v>
      </c>
      <c r="H825">
        <v>3</v>
      </c>
    </row>
    <row r="826" spans="1:8">
      <c r="A826" t="s">
        <v>4413</v>
      </c>
      <c r="B826" s="4">
        <v>45767</v>
      </c>
      <c r="C826">
        <v>2025</v>
      </c>
      <c r="D826">
        <v>4</v>
      </c>
      <c r="E826">
        <v>20</v>
      </c>
      <c r="F826" t="s">
        <v>10355</v>
      </c>
      <c r="G826" t="b">
        <v>1</v>
      </c>
      <c r="H826">
        <v>2</v>
      </c>
    </row>
    <row r="827" spans="1:8">
      <c r="A827" t="s">
        <v>4418</v>
      </c>
      <c r="B827" s="4">
        <v>45875</v>
      </c>
      <c r="C827">
        <v>2025</v>
      </c>
      <c r="D827">
        <v>8</v>
      </c>
      <c r="E827">
        <v>6</v>
      </c>
      <c r="F827" t="s">
        <v>10351</v>
      </c>
      <c r="G827" t="b">
        <v>0</v>
      </c>
      <c r="H827">
        <v>3</v>
      </c>
    </row>
    <row r="828" spans="1:8">
      <c r="A828" t="s">
        <v>4423</v>
      </c>
      <c r="B828" s="4">
        <v>45916</v>
      </c>
      <c r="C828">
        <v>2025</v>
      </c>
      <c r="D828">
        <v>9</v>
      </c>
      <c r="E828">
        <v>16</v>
      </c>
      <c r="F828" t="s">
        <v>10353</v>
      </c>
      <c r="G828" t="b">
        <v>0</v>
      </c>
      <c r="H828">
        <v>3</v>
      </c>
    </row>
    <row r="829" spans="1:8">
      <c r="A829" t="s">
        <v>4428</v>
      </c>
      <c r="B829" s="4">
        <v>45976</v>
      </c>
      <c r="C829">
        <v>2025</v>
      </c>
      <c r="D829">
        <v>11</v>
      </c>
      <c r="E829">
        <v>15</v>
      </c>
      <c r="F829" t="s">
        <v>10354</v>
      </c>
      <c r="G829" t="b">
        <v>1</v>
      </c>
      <c r="H829">
        <v>4</v>
      </c>
    </row>
    <row r="830" spans="1:8">
      <c r="A830" t="s">
        <v>4433</v>
      </c>
      <c r="B830" s="4">
        <v>45680</v>
      </c>
      <c r="C830">
        <v>2025</v>
      </c>
      <c r="D830">
        <v>1</v>
      </c>
      <c r="E830">
        <v>23</v>
      </c>
      <c r="F830" t="s">
        <v>10350</v>
      </c>
      <c r="G830" t="b">
        <v>0</v>
      </c>
      <c r="H830">
        <v>1</v>
      </c>
    </row>
    <row r="831" spans="1:8">
      <c r="A831" t="s">
        <v>4439</v>
      </c>
      <c r="B831" s="4">
        <v>45636</v>
      </c>
      <c r="C831">
        <v>2024</v>
      </c>
      <c r="D831">
        <v>12</v>
      </c>
      <c r="E831">
        <v>10</v>
      </c>
      <c r="F831" t="s">
        <v>10353</v>
      </c>
      <c r="G831" t="b">
        <v>0</v>
      </c>
      <c r="H831">
        <v>4</v>
      </c>
    </row>
    <row r="832" spans="1:8">
      <c r="A832" t="s">
        <v>4444</v>
      </c>
      <c r="B832" s="4">
        <v>45321</v>
      </c>
      <c r="C832">
        <v>2024</v>
      </c>
      <c r="D832">
        <v>1</v>
      </c>
      <c r="E832">
        <v>30</v>
      </c>
      <c r="F832" t="s">
        <v>10353</v>
      </c>
      <c r="G832" t="b">
        <v>0</v>
      </c>
      <c r="H832">
        <v>1</v>
      </c>
    </row>
    <row r="833" spans="1:8">
      <c r="A833" t="s">
        <v>4449</v>
      </c>
      <c r="B833" s="4">
        <v>45798</v>
      </c>
      <c r="C833">
        <v>2025</v>
      </c>
      <c r="D833">
        <v>5</v>
      </c>
      <c r="E833">
        <v>21</v>
      </c>
      <c r="F833" t="s">
        <v>10351</v>
      </c>
      <c r="G833" t="b">
        <v>0</v>
      </c>
      <c r="H833">
        <v>2</v>
      </c>
    </row>
    <row r="834" spans="1:8">
      <c r="A834" t="s">
        <v>4454</v>
      </c>
      <c r="B834" s="4">
        <v>45624</v>
      </c>
      <c r="C834">
        <v>2024</v>
      </c>
      <c r="D834">
        <v>11</v>
      </c>
      <c r="E834">
        <v>28</v>
      </c>
      <c r="F834" t="s">
        <v>10350</v>
      </c>
      <c r="G834" t="b">
        <v>0</v>
      </c>
      <c r="H834">
        <v>4</v>
      </c>
    </row>
    <row r="835" spans="1:8">
      <c r="A835" t="s">
        <v>4459</v>
      </c>
      <c r="B835" s="4">
        <v>45478</v>
      </c>
      <c r="C835">
        <v>2024</v>
      </c>
      <c r="D835">
        <v>7</v>
      </c>
      <c r="E835">
        <v>5</v>
      </c>
      <c r="F835" t="s">
        <v>10352</v>
      </c>
      <c r="G835" t="b">
        <v>0</v>
      </c>
      <c r="H835">
        <v>3</v>
      </c>
    </row>
    <row r="836" spans="1:8">
      <c r="A836" t="s">
        <v>4464</v>
      </c>
      <c r="B836" s="4">
        <v>45791</v>
      </c>
      <c r="C836">
        <v>2025</v>
      </c>
      <c r="D836">
        <v>5</v>
      </c>
      <c r="E836">
        <v>14</v>
      </c>
      <c r="F836" t="s">
        <v>10351</v>
      </c>
      <c r="G836" t="b">
        <v>0</v>
      </c>
      <c r="H836">
        <v>2</v>
      </c>
    </row>
    <row r="837" spans="1:8">
      <c r="A837" t="s">
        <v>4469</v>
      </c>
      <c r="B837" s="4">
        <v>45509</v>
      </c>
      <c r="C837">
        <v>2024</v>
      </c>
      <c r="D837">
        <v>8</v>
      </c>
      <c r="E837">
        <v>5</v>
      </c>
      <c r="F837" t="s">
        <v>10356</v>
      </c>
      <c r="G837" t="b">
        <v>0</v>
      </c>
      <c r="H837">
        <v>3</v>
      </c>
    </row>
    <row r="838" spans="1:8">
      <c r="A838" t="s">
        <v>4474</v>
      </c>
      <c r="B838" s="4">
        <v>45655</v>
      </c>
      <c r="C838">
        <v>2024</v>
      </c>
      <c r="D838">
        <v>12</v>
      </c>
      <c r="E838">
        <v>29</v>
      </c>
      <c r="F838" t="s">
        <v>10355</v>
      </c>
      <c r="G838" t="b">
        <v>1</v>
      </c>
      <c r="H838">
        <v>4</v>
      </c>
    </row>
    <row r="839" spans="1:8">
      <c r="A839" t="s">
        <v>4479</v>
      </c>
      <c r="B839" s="4">
        <v>45556</v>
      </c>
      <c r="C839">
        <v>2024</v>
      </c>
      <c r="D839">
        <v>9</v>
      </c>
      <c r="E839">
        <v>21</v>
      </c>
      <c r="F839" t="s">
        <v>10354</v>
      </c>
      <c r="G839" t="b">
        <v>1</v>
      </c>
      <c r="H839">
        <v>3</v>
      </c>
    </row>
    <row r="840" spans="1:8">
      <c r="A840" t="s">
        <v>4484</v>
      </c>
      <c r="B840" s="4">
        <v>45640</v>
      </c>
      <c r="C840">
        <v>2024</v>
      </c>
      <c r="D840">
        <v>12</v>
      </c>
      <c r="E840">
        <v>14</v>
      </c>
      <c r="F840" t="s">
        <v>10354</v>
      </c>
      <c r="G840" t="b">
        <v>1</v>
      </c>
      <c r="H840">
        <v>4</v>
      </c>
    </row>
    <row r="841" spans="1:8">
      <c r="A841" t="s">
        <v>4489</v>
      </c>
      <c r="B841" s="4">
        <v>45578</v>
      </c>
      <c r="C841">
        <v>2024</v>
      </c>
      <c r="D841">
        <v>10</v>
      </c>
      <c r="E841">
        <v>13</v>
      </c>
      <c r="F841" t="s">
        <v>10355</v>
      </c>
      <c r="G841" t="b">
        <v>1</v>
      </c>
      <c r="H841">
        <v>4</v>
      </c>
    </row>
    <row r="842" spans="1:8">
      <c r="A842" t="s">
        <v>4494</v>
      </c>
      <c r="B842" s="4">
        <v>45902</v>
      </c>
      <c r="C842">
        <v>2025</v>
      </c>
      <c r="D842">
        <v>9</v>
      </c>
      <c r="E842">
        <v>2</v>
      </c>
      <c r="F842" t="s">
        <v>10353</v>
      </c>
      <c r="G842" t="b">
        <v>0</v>
      </c>
      <c r="H842">
        <v>3</v>
      </c>
    </row>
    <row r="843" spans="1:8">
      <c r="A843" t="s">
        <v>4499</v>
      </c>
      <c r="B843" s="4">
        <v>46010</v>
      </c>
      <c r="C843">
        <v>2025</v>
      </c>
      <c r="D843">
        <v>12</v>
      </c>
      <c r="E843">
        <v>19</v>
      </c>
      <c r="F843" t="s">
        <v>10352</v>
      </c>
      <c r="G843" t="b">
        <v>0</v>
      </c>
      <c r="H843">
        <v>4</v>
      </c>
    </row>
    <row r="844" spans="1:8">
      <c r="A844" t="s">
        <v>4504</v>
      </c>
      <c r="B844" s="4">
        <v>45574</v>
      </c>
      <c r="C844">
        <v>2024</v>
      </c>
      <c r="D844">
        <v>10</v>
      </c>
      <c r="E844">
        <v>9</v>
      </c>
      <c r="F844" t="s">
        <v>10351</v>
      </c>
      <c r="G844" t="b">
        <v>0</v>
      </c>
      <c r="H844">
        <v>4</v>
      </c>
    </row>
    <row r="845" spans="1:8">
      <c r="A845" t="s">
        <v>4509</v>
      </c>
      <c r="B845" s="4">
        <v>45861</v>
      </c>
      <c r="C845">
        <v>2025</v>
      </c>
      <c r="D845">
        <v>7</v>
      </c>
      <c r="E845">
        <v>23</v>
      </c>
      <c r="F845" t="s">
        <v>10351</v>
      </c>
      <c r="G845" t="b">
        <v>0</v>
      </c>
      <c r="H845">
        <v>3</v>
      </c>
    </row>
    <row r="846" spans="1:8">
      <c r="A846" t="s">
        <v>4515</v>
      </c>
      <c r="B846" s="4">
        <v>45302</v>
      </c>
      <c r="C846">
        <v>2024</v>
      </c>
      <c r="D846">
        <v>1</v>
      </c>
      <c r="E846">
        <v>11</v>
      </c>
      <c r="F846" t="s">
        <v>10350</v>
      </c>
      <c r="G846" t="b">
        <v>0</v>
      </c>
      <c r="H846">
        <v>1</v>
      </c>
    </row>
    <row r="847" spans="1:8">
      <c r="A847" t="s">
        <v>4520</v>
      </c>
      <c r="B847" s="4">
        <v>45821</v>
      </c>
      <c r="C847">
        <v>2025</v>
      </c>
      <c r="D847">
        <v>6</v>
      </c>
      <c r="E847">
        <v>13</v>
      </c>
      <c r="F847" t="s">
        <v>10352</v>
      </c>
      <c r="G847" t="b">
        <v>0</v>
      </c>
      <c r="H847">
        <v>2</v>
      </c>
    </row>
    <row r="848" spans="1:8">
      <c r="A848" t="s">
        <v>4525</v>
      </c>
      <c r="B848" s="4">
        <v>45487</v>
      </c>
      <c r="C848">
        <v>2024</v>
      </c>
      <c r="D848">
        <v>7</v>
      </c>
      <c r="E848">
        <v>14</v>
      </c>
      <c r="F848" t="s">
        <v>10355</v>
      </c>
      <c r="G848" t="b">
        <v>1</v>
      </c>
      <c r="H848">
        <v>3</v>
      </c>
    </row>
    <row r="849" spans="1:8">
      <c r="A849" t="s">
        <v>4530</v>
      </c>
      <c r="B849" s="4">
        <v>45379</v>
      </c>
      <c r="C849">
        <v>2024</v>
      </c>
      <c r="D849">
        <v>3</v>
      </c>
      <c r="E849">
        <v>28</v>
      </c>
      <c r="F849" t="s">
        <v>10350</v>
      </c>
      <c r="G849" t="b">
        <v>0</v>
      </c>
      <c r="H849">
        <v>1</v>
      </c>
    </row>
    <row r="850" spans="1:8">
      <c r="A850" t="s">
        <v>4535</v>
      </c>
      <c r="B850" s="4">
        <v>45539</v>
      </c>
      <c r="C850">
        <v>2024</v>
      </c>
      <c r="D850">
        <v>9</v>
      </c>
      <c r="E850">
        <v>4</v>
      </c>
      <c r="F850" t="s">
        <v>10351</v>
      </c>
      <c r="G850" t="b">
        <v>0</v>
      </c>
      <c r="H850">
        <v>3</v>
      </c>
    </row>
    <row r="851" spans="1:8">
      <c r="A851" t="s">
        <v>4540</v>
      </c>
      <c r="B851" s="4">
        <v>45708</v>
      </c>
      <c r="C851">
        <v>2025</v>
      </c>
      <c r="D851">
        <v>2</v>
      </c>
      <c r="E851">
        <v>20</v>
      </c>
      <c r="F851" t="s">
        <v>10350</v>
      </c>
      <c r="G851" t="b">
        <v>0</v>
      </c>
      <c r="H851">
        <v>1</v>
      </c>
    </row>
    <row r="852" spans="1:8">
      <c r="A852" t="s">
        <v>4545</v>
      </c>
      <c r="B852" s="4">
        <v>45792</v>
      </c>
      <c r="C852">
        <v>2025</v>
      </c>
      <c r="D852">
        <v>5</v>
      </c>
      <c r="E852">
        <v>15</v>
      </c>
      <c r="F852" t="s">
        <v>10350</v>
      </c>
      <c r="G852" t="b">
        <v>0</v>
      </c>
      <c r="H852">
        <v>2</v>
      </c>
    </row>
    <row r="853" spans="1:8">
      <c r="A853" t="s">
        <v>4550</v>
      </c>
      <c r="B853" s="4">
        <v>45860</v>
      </c>
      <c r="C853">
        <v>2025</v>
      </c>
      <c r="D853">
        <v>7</v>
      </c>
      <c r="E853">
        <v>22</v>
      </c>
      <c r="F853" t="s">
        <v>10353</v>
      </c>
      <c r="G853" t="b">
        <v>0</v>
      </c>
      <c r="H853">
        <v>3</v>
      </c>
    </row>
    <row r="854" spans="1:8">
      <c r="A854" t="s">
        <v>4555</v>
      </c>
      <c r="B854" s="4">
        <v>45538</v>
      </c>
      <c r="C854">
        <v>2024</v>
      </c>
      <c r="D854">
        <v>9</v>
      </c>
      <c r="E854">
        <v>3</v>
      </c>
      <c r="F854" t="s">
        <v>10353</v>
      </c>
      <c r="G854" t="b">
        <v>0</v>
      </c>
      <c r="H854">
        <v>3</v>
      </c>
    </row>
    <row r="855" spans="1:8">
      <c r="A855" t="s">
        <v>4560</v>
      </c>
      <c r="B855" s="4">
        <v>45999</v>
      </c>
      <c r="C855">
        <v>2025</v>
      </c>
      <c r="D855">
        <v>12</v>
      </c>
      <c r="E855">
        <v>8</v>
      </c>
      <c r="F855" t="s">
        <v>10356</v>
      </c>
      <c r="G855" t="b">
        <v>0</v>
      </c>
      <c r="H855">
        <v>4</v>
      </c>
    </row>
    <row r="856" spans="1:8">
      <c r="A856" t="s">
        <v>4565</v>
      </c>
      <c r="B856" s="4">
        <v>45779</v>
      </c>
      <c r="C856">
        <v>2025</v>
      </c>
      <c r="D856">
        <v>5</v>
      </c>
      <c r="E856">
        <v>2</v>
      </c>
      <c r="F856" t="s">
        <v>10352</v>
      </c>
      <c r="G856" t="b">
        <v>0</v>
      </c>
      <c r="H856">
        <v>2</v>
      </c>
    </row>
    <row r="857" spans="1:8">
      <c r="A857" t="s">
        <v>4570</v>
      </c>
      <c r="B857" s="4">
        <v>45953</v>
      </c>
      <c r="C857">
        <v>2025</v>
      </c>
      <c r="D857">
        <v>10</v>
      </c>
      <c r="E857">
        <v>23</v>
      </c>
      <c r="F857" t="s">
        <v>10350</v>
      </c>
      <c r="G857" t="b">
        <v>0</v>
      </c>
      <c r="H857">
        <v>4</v>
      </c>
    </row>
    <row r="858" spans="1:8">
      <c r="A858" t="s">
        <v>4575</v>
      </c>
      <c r="B858" s="4">
        <v>46020</v>
      </c>
      <c r="C858">
        <v>2025</v>
      </c>
      <c r="D858">
        <v>12</v>
      </c>
      <c r="E858">
        <v>29</v>
      </c>
      <c r="F858" t="s">
        <v>10356</v>
      </c>
      <c r="G858" t="b">
        <v>0</v>
      </c>
      <c r="H858">
        <v>4</v>
      </c>
    </row>
    <row r="859" spans="1:8">
      <c r="A859" t="s">
        <v>4580</v>
      </c>
      <c r="B859" s="4">
        <v>45794</v>
      </c>
      <c r="C859">
        <v>2025</v>
      </c>
      <c r="D859">
        <v>5</v>
      </c>
      <c r="E859">
        <v>17</v>
      </c>
      <c r="F859" t="s">
        <v>10354</v>
      </c>
      <c r="G859" t="b">
        <v>1</v>
      </c>
      <c r="H859">
        <v>2</v>
      </c>
    </row>
    <row r="860" spans="1:8">
      <c r="A860" t="s">
        <v>4585</v>
      </c>
      <c r="B860" s="4">
        <v>45750</v>
      </c>
      <c r="C860">
        <v>2025</v>
      </c>
      <c r="D860">
        <v>4</v>
      </c>
      <c r="E860">
        <v>3</v>
      </c>
      <c r="F860" t="s">
        <v>10350</v>
      </c>
      <c r="G860" t="b">
        <v>0</v>
      </c>
      <c r="H860">
        <v>2</v>
      </c>
    </row>
    <row r="861" spans="1:8">
      <c r="A861" t="s">
        <v>4590</v>
      </c>
      <c r="B861" s="4">
        <v>45309</v>
      </c>
      <c r="C861">
        <v>2024</v>
      </c>
      <c r="D861">
        <v>1</v>
      </c>
      <c r="E861">
        <v>18</v>
      </c>
      <c r="F861" t="s">
        <v>10350</v>
      </c>
      <c r="G861" t="b">
        <v>0</v>
      </c>
      <c r="H861">
        <v>1</v>
      </c>
    </row>
    <row r="862" spans="1:8">
      <c r="A862" t="s">
        <v>4595</v>
      </c>
      <c r="B862" s="4">
        <v>45387</v>
      </c>
      <c r="C862">
        <v>2024</v>
      </c>
      <c r="D862">
        <v>4</v>
      </c>
      <c r="E862">
        <v>5</v>
      </c>
      <c r="F862" t="s">
        <v>10352</v>
      </c>
      <c r="G862" t="b">
        <v>0</v>
      </c>
      <c r="H862">
        <v>2</v>
      </c>
    </row>
    <row r="863" spans="1:8">
      <c r="A863" t="s">
        <v>4600</v>
      </c>
      <c r="B863" s="4">
        <v>45593</v>
      </c>
      <c r="C863">
        <v>2024</v>
      </c>
      <c r="D863">
        <v>10</v>
      </c>
      <c r="E863">
        <v>28</v>
      </c>
      <c r="F863" t="s">
        <v>10356</v>
      </c>
      <c r="G863" t="b">
        <v>0</v>
      </c>
      <c r="H863">
        <v>4</v>
      </c>
    </row>
    <row r="864" spans="1:8">
      <c r="A864" t="s">
        <v>4605</v>
      </c>
      <c r="B864" s="4">
        <v>45518</v>
      </c>
      <c r="C864">
        <v>2024</v>
      </c>
      <c r="D864">
        <v>8</v>
      </c>
      <c r="E864">
        <v>14</v>
      </c>
      <c r="F864" t="s">
        <v>10351</v>
      </c>
      <c r="G864" t="b">
        <v>0</v>
      </c>
      <c r="H864">
        <v>3</v>
      </c>
    </row>
    <row r="865" spans="1:8">
      <c r="A865" t="s">
        <v>4610</v>
      </c>
      <c r="B865" s="4">
        <v>45706</v>
      </c>
      <c r="C865">
        <v>2025</v>
      </c>
      <c r="D865">
        <v>2</v>
      </c>
      <c r="E865">
        <v>18</v>
      </c>
      <c r="F865" t="s">
        <v>10353</v>
      </c>
      <c r="G865" t="b">
        <v>0</v>
      </c>
      <c r="H865">
        <v>1</v>
      </c>
    </row>
    <row r="866" spans="1:8">
      <c r="A866" t="s">
        <v>4615</v>
      </c>
      <c r="B866" s="4">
        <v>46000</v>
      </c>
      <c r="C866">
        <v>2025</v>
      </c>
      <c r="D866">
        <v>12</v>
      </c>
      <c r="E866">
        <v>9</v>
      </c>
      <c r="F866" t="s">
        <v>10353</v>
      </c>
      <c r="G866" t="b">
        <v>0</v>
      </c>
      <c r="H866">
        <v>4</v>
      </c>
    </row>
    <row r="867" spans="1:8">
      <c r="A867" t="s">
        <v>4620</v>
      </c>
      <c r="B867" s="4">
        <v>45541</v>
      </c>
      <c r="C867">
        <v>2024</v>
      </c>
      <c r="D867">
        <v>9</v>
      </c>
      <c r="E867">
        <v>6</v>
      </c>
      <c r="F867" t="s">
        <v>10352</v>
      </c>
      <c r="G867" t="b">
        <v>0</v>
      </c>
      <c r="H867">
        <v>3</v>
      </c>
    </row>
    <row r="868" spans="1:8">
      <c r="A868" t="s">
        <v>4625</v>
      </c>
      <c r="B868" s="4">
        <v>45605</v>
      </c>
      <c r="C868">
        <v>2024</v>
      </c>
      <c r="D868">
        <v>11</v>
      </c>
      <c r="E868">
        <v>9</v>
      </c>
      <c r="F868" t="s">
        <v>10354</v>
      </c>
      <c r="G868" t="b">
        <v>1</v>
      </c>
      <c r="H868">
        <v>4</v>
      </c>
    </row>
    <row r="869" spans="1:8">
      <c r="A869" t="s">
        <v>4630</v>
      </c>
      <c r="B869" s="4">
        <v>45971</v>
      </c>
      <c r="C869">
        <v>2025</v>
      </c>
      <c r="D869">
        <v>11</v>
      </c>
      <c r="E869">
        <v>10</v>
      </c>
      <c r="F869" t="s">
        <v>10356</v>
      </c>
      <c r="G869" t="b">
        <v>0</v>
      </c>
      <c r="H869">
        <v>4</v>
      </c>
    </row>
    <row r="870" spans="1:8">
      <c r="A870" t="s">
        <v>4635</v>
      </c>
      <c r="B870" s="4">
        <v>45887</v>
      </c>
      <c r="C870">
        <v>2025</v>
      </c>
      <c r="D870">
        <v>8</v>
      </c>
      <c r="E870">
        <v>18</v>
      </c>
      <c r="F870" t="s">
        <v>10356</v>
      </c>
      <c r="G870" t="b">
        <v>0</v>
      </c>
      <c r="H870">
        <v>3</v>
      </c>
    </row>
    <row r="871" spans="1:8">
      <c r="A871" t="s">
        <v>4640</v>
      </c>
      <c r="B871" s="4">
        <v>45669</v>
      </c>
      <c r="C871">
        <v>2025</v>
      </c>
      <c r="D871">
        <v>1</v>
      </c>
      <c r="E871">
        <v>12</v>
      </c>
      <c r="F871" t="s">
        <v>10355</v>
      </c>
      <c r="G871" t="b">
        <v>1</v>
      </c>
      <c r="H871">
        <v>1</v>
      </c>
    </row>
    <row r="872" spans="1:8">
      <c r="A872" t="s">
        <v>4645</v>
      </c>
      <c r="B872" s="4">
        <v>45776</v>
      </c>
      <c r="C872">
        <v>2025</v>
      </c>
      <c r="D872">
        <v>4</v>
      </c>
      <c r="E872">
        <v>29</v>
      </c>
      <c r="F872" t="s">
        <v>10353</v>
      </c>
      <c r="G872" t="b">
        <v>0</v>
      </c>
      <c r="H872">
        <v>2</v>
      </c>
    </row>
    <row r="873" spans="1:8">
      <c r="A873" t="s">
        <v>4651</v>
      </c>
      <c r="B873" s="4">
        <v>45858</v>
      </c>
      <c r="C873">
        <v>2025</v>
      </c>
      <c r="D873">
        <v>7</v>
      </c>
      <c r="E873">
        <v>20</v>
      </c>
      <c r="F873" t="s">
        <v>10355</v>
      </c>
      <c r="G873" t="b">
        <v>1</v>
      </c>
      <c r="H873">
        <v>3</v>
      </c>
    </row>
    <row r="874" spans="1:8">
      <c r="A874" t="s">
        <v>4656</v>
      </c>
      <c r="B874" s="4">
        <v>45835</v>
      </c>
      <c r="C874">
        <v>2025</v>
      </c>
      <c r="D874">
        <v>6</v>
      </c>
      <c r="E874">
        <v>27</v>
      </c>
      <c r="F874" t="s">
        <v>10352</v>
      </c>
      <c r="G874" t="b">
        <v>0</v>
      </c>
      <c r="H874">
        <v>2</v>
      </c>
    </row>
    <row r="875" spans="1:8">
      <c r="A875" t="s">
        <v>4661</v>
      </c>
      <c r="B875" s="4">
        <v>45644</v>
      </c>
      <c r="C875">
        <v>2024</v>
      </c>
      <c r="D875">
        <v>12</v>
      </c>
      <c r="E875">
        <v>18</v>
      </c>
      <c r="F875" t="s">
        <v>10351</v>
      </c>
      <c r="G875" t="b">
        <v>0</v>
      </c>
      <c r="H875">
        <v>4</v>
      </c>
    </row>
    <row r="876" spans="1:8">
      <c r="A876" t="s">
        <v>4666</v>
      </c>
      <c r="B876" s="4">
        <v>45727</v>
      </c>
      <c r="C876">
        <v>2025</v>
      </c>
      <c r="D876">
        <v>3</v>
      </c>
      <c r="E876">
        <v>11</v>
      </c>
      <c r="F876" t="s">
        <v>10353</v>
      </c>
      <c r="G876" t="b">
        <v>0</v>
      </c>
      <c r="H876">
        <v>1</v>
      </c>
    </row>
    <row r="877" spans="1:8">
      <c r="A877" t="s">
        <v>4672</v>
      </c>
      <c r="B877" s="4">
        <v>45855</v>
      </c>
      <c r="C877">
        <v>2025</v>
      </c>
      <c r="D877">
        <v>7</v>
      </c>
      <c r="E877">
        <v>17</v>
      </c>
      <c r="F877" t="s">
        <v>10350</v>
      </c>
      <c r="G877" t="b">
        <v>0</v>
      </c>
      <c r="H877">
        <v>3</v>
      </c>
    </row>
    <row r="878" spans="1:8">
      <c r="A878" t="s">
        <v>4677</v>
      </c>
      <c r="B878" s="4">
        <v>45630</v>
      </c>
      <c r="C878">
        <v>2024</v>
      </c>
      <c r="D878">
        <v>12</v>
      </c>
      <c r="E878">
        <v>4</v>
      </c>
      <c r="F878" t="s">
        <v>10351</v>
      </c>
      <c r="G878" t="b">
        <v>0</v>
      </c>
      <c r="H878">
        <v>4</v>
      </c>
    </row>
    <row r="879" spans="1:8">
      <c r="A879" t="s">
        <v>4682</v>
      </c>
      <c r="B879" s="4">
        <v>45652</v>
      </c>
      <c r="C879">
        <v>2024</v>
      </c>
      <c r="D879">
        <v>12</v>
      </c>
      <c r="E879">
        <v>26</v>
      </c>
      <c r="F879" t="s">
        <v>10350</v>
      </c>
      <c r="G879" t="b">
        <v>0</v>
      </c>
      <c r="H879">
        <v>4</v>
      </c>
    </row>
    <row r="880" spans="1:8">
      <c r="A880" t="s">
        <v>4687</v>
      </c>
      <c r="B880" s="4">
        <v>46011</v>
      </c>
      <c r="C880">
        <v>2025</v>
      </c>
      <c r="D880">
        <v>12</v>
      </c>
      <c r="E880">
        <v>20</v>
      </c>
      <c r="F880" t="s">
        <v>10354</v>
      </c>
      <c r="G880" t="b">
        <v>1</v>
      </c>
      <c r="H880">
        <v>4</v>
      </c>
    </row>
    <row r="881" spans="1:8">
      <c r="A881" t="s">
        <v>4692</v>
      </c>
      <c r="B881" s="4">
        <v>45756</v>
      </c>
      <c r="C881">
        <v>2025</v>
      </c>
      <c r="D881">
        <v>4</v>
      </c>
      <c r="E881">
        <v>9</v>
      </c>
      <c r="F881" t="s">
        <v>10351</v>
      </c>
      <c r="G881" t="b">
        <v>0</v>
      </c>
      <c r="H881">
        <v>2</v>
      </c>
    </row>
    <row r="882" spans="1:8">
      <c r="A882" t="s">
        <v>4697</v>
      </c>
      <c r="B882" s="4">
        <v>45569</v>
      </c>
      <c r="C882">
        <v>2024</v>
      </c>
      <c r="D882">
        <v>10</v>
      </c>
      <c r="E882">
        <v>4</v>
      </c>
      <c r="F882" t="s">
        <v>10352</v>
      </c>
      <c r="G882" t="b">
        <v>0</v>
      </c>
      <c r="H882">
        <v>4</v>
      </c>
    </row>
    <row r="883" spans="1:8">
      <c r="A883" t="s">
        <v>4702</v>
      </c>
      <c r="B883" s="4">
        <v>45605</v>
      </c>
      <c r="C883">
        <v>2024</v>
      </c>
      <c r="D883">
        <v>11</v>
      </c>
      <c r="E883">
        <v>9</v>
      </c>
      <c r="F883" t="s">
        <v>10354</v>
      </c>
      <c r="G883" t="b">
        <v>1</v>
      </c>
      <c r="H883">
        <v>4</v>
      </c>
    </row>
    <row r="884" spans="1:8">
      <c r="A884" t="s">
        <v>4707</v>
      </c>
      <c r="B884" s="4">
        <v>45549</v>
      </c>
      <c r="C884">
        <v>2024</v>
      </c>
      <c r="D884">
        <v>9</v>
      </c>
      <c r="E884">
        <v>14</v>
      </c>
      <c r="F884" t="s">
        <v>10354</v>
      </c>
      <c r="G884" t="b">
        <v>1</v>
      </c>
      <c r="H884">
        <v>3</v>
      </c>
    </row>
    <row r="885" spans="1:8">
      <c r="A885" t="s">
        <v>4712</v>
      </c>
      <c r="B885" s="4">
        <v>45528</v>
      </c>
      <c r="C885">
        <v>2024</v>
      </c>
      <c r="D885">
        <v>8</v>
      </c>
      <c r="E885">
        <v>24</v>
      </c>
      <c r="F885" t="s">
        <v>10354</v>
      </c>
      <c r="G885" t="b">
        <v>1</v>
      </c>
      <c r="H885">
        <v>3</v>
      </c>
    </row>
    <row r="886" spans="1:8">
      <c r="A886" t="s">
        <v>4717</v>
      </c>
      <c r="B886" s="4">
        <v>45415</v>
      </c>
      <c r="C886">
        <v>2024</v>
      </c>
      <c r="D886">
        <v>5</v>
      </c>
      <c r="E886">
        <v>3</v>
      </c>
      <c r="F886" t="s">
        <v>10352</v>
      </c>
      <c r="G886" t="b">
        <v>0</v>
      </c>
      <c r="H886">
        <v>2</v>
      </c>
    </row>
    <row r="887" spans="1:8">
      <c r="A887" t="s">
        <v>4722</v>
      </c>
      <c r="B887" s="4">
        <v>45489</v>
      </c>
      <c r="C887">
        <v>2024</v>
      </c>
      <c r="D887">
        <v>7</v>
      </c>
      <c r="E887">
        <v>16</v>
      </c>
      <c r="F887" t="s">
        <v>10353</v>
      </c>
      <c r="G887" t="b">
        <v>0</v>
      </c>
      <c r="H887">
        <v>3</v>
      </c>
    </row>
    <row r="888" spans="1:8">
      <c r="A888" t="s">
        <v>4727</v>
      </c>
      <c r="B888" s="4">
        <v>45615</v>
      </c>
      <c r="C888">
        <v>2024</v>
      </c>
      <c r="D888">
        <v>11</v>
      </c>
      <c r="E888">
        <v>19</v>
      </c>
      <c r="F888" t="s">
        <v>10353</v>
      </c>
      <c r="G888" t="b">
        <v>0</v>
      </c>
      <c r="H888">
        <v>4</v>
      </c>
    </row>
    <row r="889" spans="1:8">
      <c r="A889" t="s">
        <v>4732</v>
      </c>
      <c r="B889" s="4">
        <v>45414</v>
      </c>
      <c r="C889">
        <v>2024</v>
      </c>
      <c r="D889">
        <v>5</v>
      </c>
      <c r="E889">
        <v>2</v>
      </c>
      <c r="F889" t="s">
        <v>10350</v>
      </c>
      <c r="G889" t="b">
        <v>0</v>
      </c>
      <c r="H889">
        <v>2</v>
      </c>
    </row>
    <row r="890" spans="1:8">
      <c r="A890" t="s">
        <v>4737</v>
      </c>
      <c r="B890" s="4">
        <v>45840</v>
      </c>
      <c r="C890">
        <v>2025</v>
      </c>
      <c r="D890">
        <v>7</v>
      </c>
      <c r="E890">
        <v>2</v>
      </c>
      <c r="F890" t="s">
        <v>10351</v>
      </c>
      <c r="G890" t="b">
        <v>0</v>
      </c>
      <c r="H890">
        <v>3</v>
      </c>
    </row>
    <row r="891" spans="1:8">
      <c r="A891" t="s">
        <v>4743</v>
      </c>
      <c r="B891" s="4">
        <v>45998</v>
      </c>
      <c r="C891">
        <v>2025</v>
      </c>
      <c r="D891">
        <v>12</v>
      </c>
      <c r="E891">
        <v>7</v>
      </c>
      <c r="F891" t="s">
        <v>10355</v>
      </c>
      <c r="G891" t="b">
        <v>1</v>
      </c>
      <c r="H891">
        <v>4</v>
      </c>
    </row>
    <row r="892" spans="1:8">
      <c r="A892" t="s">
        <v>4748</v>
      </c>
      <c r="B892" s="4">
        <v>45481</v>
      </c>
      <c r="C892">
        <v>2024</v>
      </c>
      <c r="D892">
        <v>7</v>
      </c>
      <c r="E892">
        <v>8</v>
      </c>
      <c r="F892" t="s">
        <v>10356</v>
      </c>
      <c r="G892" t="b">
        <v>0</v>
      </c>
      <c r="H892">
        <v>3</v>
      </c>
    </row>
    <row r="893" spans="1:8">
      <c r="A893" t="s">
        <v>4754</v>
      </c>
      <c r="B893" s="4">
        <v>45488</v>
      </c>
      <c r="C893">
        <v>2024</v>
      </c>
      <c r="D893">
        <v>7</v>
      </c>
      <c r="E893">
        <v>15</v>
      </c>
      <c r="F893" t="s">
        <v>10356</v>
      </c>
      <c r="G893" t="b">
        <v>0</v>
      </c>
      <c r="H893">
        <v>3</v>
      </c>
    </row>
    <row r="894" spans="1:8">
      <c r="A894" t="s">
        <v>4759</v>
      </c>
      <c r="B894" s="4">
        <v>45513</v>
      </c>
      <c r="C894">
        <v>2024</v>
      </c>
      <c r="D894">
        <v>8</v>
      </c>
      <c r="E894">
        <v>9</v>
      </c>
      <c r="F894" t="s">
        <v>10352</v>
      </c>
      <c r="G894" t="b">
        <v>0</v>
      </c>
      <c r="H894">
        <v>3</v>
      </c>
    </row>
    <row r="895" spans="1:8">
      <c r="A895" t="s">
        <v>4764</v>
      </c>
      <c r="B895" s="4">
        <v>45787</v>
      </c>
      <c r="C895">
        <v>2025</v>
      </c>
      <c r="D895">
        <v>5</v>
      </c>
      <c r="E895">
        <v>10</v>
      </c>
      <c r="F895" t="s">
        <v>10354</v>
      </c>
      <c r="G895" t="b">
        <v>1</v>
      </c>
      <c r="H895">
        <v>2</v>
      </c>
    </row>
    <row r="896" spans="1:8">
      <c r="A896" t="s">
        <v>4769</v>
      </c>
      <c r="B896" s="4">
        <v>45575</v>
      </c>
      <c r="C896">
        <v>2024</v>
      </c>
      <c r="D896">
        <v>10</v>
      </c>
      <c r="E896">
        <v>10</v>
      </c>
      <c r="F896" t="s">
        <v>10350</v>
      </c>
      <c r="G896" t="b">
        <v>0</v>
      </c>
      <c r="H896">
        <v>4</v>
      </c>
    </row>
    <row r="897" spans="1:8">
      <c r="A897" t="s">
        <v>4774</v>
      </c>
      <c r="B897" s="4">
        <v>45895</v>
      </c>
      <c r="C897">
        <v>2025</v>
      </c>
      <c r="D897">
        <v>8</v>
      </c>
      <c r="E897">
        <v>26</v>
      </c>
      <c r="F897" t="s">
        <v>10353</v>
      </c>
      <c r="G897" t="b">
        <v>0</v>
      </c>
      <c r="H897">
        <v>3</v>
      </c>
    </row>
    <row r="898" spans="1:8">
      <c r="A898" t="s">
        <v>4779</v>
      </c>
      <c r="B898" s="4">
        <v>45829</v>
      </c>
      <c r="C898">
        <v>2025</v>
      </c>
      <c r="D898">
        <v>6</v>
      </c>
      <c r="E898">
        <v>21</v>
      </c>
      <c r="F898" t="s">
        <v>10354</v>
      </c>
      <c r="G898" t="b">
        <v>1</v>
      </c>
      <c r="H898">
        <v>2</v>
      </c>
    </row>
    <row r="899" spans="1:8">
      <c r="A899" t="s">
        <v>4784</v>
      </c>
      <c r="B899" s="4">
        <v>45903</v>
      </c>
      <c r="C899">
        <v>2025</v>
      </c>
      <c r="D899">
        <v>9</v>
      </c>
      <c r="E899">
        <v>3</v>
      </c>
      <c r="F899" t="s">
        <v>10351</v>
      </c>
      <c r="G899" t="b">
        <v>0</v>
      </c>
      <c r="H899">
        <v>3</v>
      </c>
    </row>
    <row r="900" spans="1:8">
      <c r="A900" t="s">
        <v>4789</v>
      </c>
      <c r="B900" s="4">
        <v>45581</v>
      </c>
      <c r="C900">
        <v>2024</v>
      </c>
      <c r="D900">
        <v>10</v>
      </c>
      <c r="E900">
        <v>16</v>
      </c>
      <c r="F900" t="s">
        <v>10351</v>
      </c>
      <c r="G900" t="b">
        <v>0</v>
      </c>
      <c r="H900">
        <v>4</v>
      </c>
    </row>
    <row r="901" spans="1:8">
      <c r="A901" t="s">
        <v>4794</v>
      </c>
      <c r="B901" s="4">
        <v>45394</v>
      </c>
      <c r="C901">
        <v>2024</v>
      </c>
      <c r="D901">
        <v>4</v>
      </c>
      <c r="E901">
        <v>12</v>
      </c>
      <c r="F901" t="s">
        <v>10352</v>
      </c>
      <c r="G901" t="b">
        <v>0</v>
      </c>
      <c r="H901">
        <v>2</v>
      </c>
    </row>
    <row r="902" spans="1:8">
      <c r="A902" t="s">
        <v>4799</v>
      </c>
      <c r="B902" s="4">
        <v>45490</v>
      </c>
      <c r="C902">
        <v>2024</v>
      </c>
      <c r="D902">
        <v>7</v>
      </c>
      <c r="E902">
        <v>17</v>
      </c>
      <c r="F902" t="s">
        <v>10351</v>
      </c>
      <c r="G902" t="b">
        <v>0</v>
      </c>
      <c r="H902">
        <v>3</v>
      </c>
    </row>
    <row r="903" spans="1:8">
      <c r="A903" t="s">
        <v>4804</v>
      </c>
      <c r="B903" s="4">
        <v>45595</v>
      </c>
      <c r="C903">
        <v>2024</v>
      </c>
      <c r="D903">
        <v>10</v>
      </c>
      <c r="E903">
        <v>30</v>
      </c>
      <c r="F903" t="s">
        <v>10351</v>
      </c>
      <c r="G903" t="b">
        <v>0</v>
      </c>
      <c r="H903">
        <v>4</v>
      </c>
    </row>
    <row r="904" spans="1:8">
      <c r="A904" t="s">
        <v>4809</v>
      </c>
      <c r="B904" s="4">
        <v>45524</v>
      </c>
      <c r="C904">
        <v>2024</v>
      </c>
      <c r="D904">
        <v>8</v>
      </c>
      <c r="E904">
        <v>20</v>
      </c>
      <c r="F904" t="s">
        <v>10353</v>
      </c>
      <c r="G904" t="b">
        <v>0</v>
      </c>
      <c r="H904">
        <v>3</v>
      </c>
    </row>
    <row r="905" spans="1:8">
      <c r="A905" t="s">
        <v>4814</v>
      </c>
      <c r="B905" s="4">
        <v>45661</v>
      </c>
      <c r="C905">
        <v>2025</v>
      </c>
      <c r="D905">
        <v>1</v>
      </c>
      <c r="E905">
        <v>4</v>
      </c>
      <c r="F905" t="s">
        <v>10354</v>
      </c>
      <c r="G905" t="b">
        <v>1</v>
      </c>
      <c r="H905">
        <v>1</v>
      </c>
    </row>
    <row r="906" spans="1:8">
      <c r="A906" t="s">
        <v>4819</v>
      </c>
      <c r="B906" s="4">
        <v>45475</v>
      </c>
      <c r="C906">
        <v>2024</v>
      </c>
      <c r="D906">
        <v>7</v>
      </c>
      <c r="E906">
        <v>2</v>
      </c>
      <c r="F906" t="s">
        <v>10353</v>
      </c>
      <c r="G906" t="b">
        <v>0</v>
      </c>
      <c r="H906">
        <v>3</v>
      </c>
    </row>
    <row r="907" spans="1:8">
      <c r="A907" t="s">
        <v>4824</v>
      </c>
      <c r="B907" s="4">
        <v>45601</v>
      </c>
      <c r="C907">
        <v>2024</v>
      </c>
      <c r="D907">
        <v>11</v>
      </c>
      <c r="E907">
        <v>5</v>
      </c>
      <c r="F907" t="s">
        <v>10353</v>
      </c>
      <c r="G907" t="b">
        <v>0</v>
      </c>
      <c r="H907">
        <v>4</v>
      </c>
    </row>
    <row r="908" spans="1:8">
      <c r="A908" t="s">
        <v>4829</v>
      </c>
      <c r="B908" s="4">
        <v>45306</v>
      </c>
      <c r="C908">
        <v>2024</v>
      </c>
      <c r="D908">
        <v>1</v>
      </c>
      <c r="E908">
        <v>15</v>
      </c>
      <c r="F908" t="s">
        <v>10356</v>
      </c>
      <c r="G908" t="b">
        <v>0</v>
      </c>
      <c r="H908">
        <v>1</v>
      </c>
    </row>
    <row r="909" spans="1:8">
      <c r="A909" t="s">
        <v>4834</v>
      </c>
      <c r="B909" s="4">
        <v>46017</v>
      </c>
      <c r="C909">
        <v>2025</v>
      </c>
      <c r="D909">
        <v>12</v>
      </c>
      <c r="E909">
        <v>26</v>
      </c>
      <c r="F909" t="s">
        <v>10352</v>
      </c>
      <c r="G909" t="b">
        <v>0</v>
      </c>
      <c r="H909">
        <v>4</v>
      </c>
    </row>
    <row r="910" spans="1:8">
      <c r="A910" t="s">
        <v>4839</v>
      </c>
      <c r="B910" s="4">
        <v>45838</v>
      </c>
      <c r="C910">
        <v>2025</v>
      </c>
      <c r="D910">
        <v>6</v>
      </c>
      <c r="E910">
        <v>30</v>
      </c>
      <c r="F910" t="s">
        <v>10356</v>
      </c>
      <c r="G910" t="b">
        <v>0</v>
      </c>
      <c r="H910">
        <v>2</v>
      </c>
    </row>
    <row r="911" spans="1:8">
      <c r="A911" t="s">
        <v>4844</v>
      </c>
      <c r="B911" s="4">
        <v>45421</v>
      </c>
      <c r="C911">
        <v>2024</v>
      </c>
      <c r="D911">
        <v>5</v>
      </c>
      <c r="E911">
        <v>9</v>
      </c>
      <c r="F911" t="s">
        <v>10350</v>
      </c>
      <c r="G911" t="b">
        <v>0</v>
      </c>
      <c r="H911">
        <v>2</v>
      </c>
    </row>
    <row r="912" spans="1:8">
      <c r="A912" t="s">
        <v>4849</v>
      </c>
      <c r="B912" s="4">
        <v>45572</v>
      </c>
      <c r="C912">
        <v>2024</v>
      </c>
      <c r="D912">
        <v>10</v>
      </c>
      <c r="E912">
        <v>7</v>
      </c>
      <c r="F912" t="s">
        <v>10356</v>
      </c>
      <c r="G912" t="b">
        <v>0</v>
      </c>
      <c r="H912">
        <v>4</v>
      </c>
    </row>
    <row r="913" spans="1:8">
      <c r="A913" t="s">
        <v>4854</v>
      </c>
      <c r="B913" s="4">
        <v>45338</v>
      </c>
      <c r="C913">
        <v>2024</v>
      </c>
      <c r="D913">
        <v>2</v>
      </c>
      <c r="E913">
        <v>16</v>
      </c>
      <c r="F913" t="s">
        <v>10352</v>
      </c>
      <c r="G913" t="b">
        <v>0</v>
      </c>
      <c r="H913">
        <v>1</v>
      </c>
    </row>
    <row r="914" spans="1:8">
      <c r="A914" t="s">
        <v>4859</v>
      </c>
      <c r="B914" s="4">
        <v>45347</v>
      </c>
      <c r="C914">
        <v>2024</v>
      </c>
      <c r="D914">
        <v>2</v>
      </c>
      <c r="E914">
        <v>25</v>
      </c>
      <c r="F914" t="s">
        <v>10355</v>
      </c>
      <c r="G914" t="b">
        <v>1</v>
      </c>
      <c r="H914">
        <v>1</v>
      </c>
    </row>
    <row r="915" spans="1:8">
      <c r="A915" t="s">
        <v>4864</v>
      </c>
      <c r="B915" s="4">
        <v>45858</v>
      </c>
      <c r="C915">
        <v>2025</v>
      </c>
      <c r="D915">
        <v>7</v>
      </c>
      <c r="E915">
        <v>20</v>
      </c>
      <c r="F915" t="s">
        <v>10355</v>
      </c>
      <c r="G915" t="b">
        <v>1</v>
      </c>
      <c r="H915">
        <v>3</v>
      </c>
    </row>
    <row r="916" spans="1:8">
      <c r="A916" t="s">
        <v>4869</v>
      </c>
      <c r="B916" s="4">
        <v>45591</v>
      </c>
      <c r="C916">
        <v>2024</v>
      </c>
      <c r="D916">
        <v>10</v>
      </c>
      <c r="E916">
        <v>26</v>
      </c>
      <c r="F916" t="s">
        <v>10354</v>
      </c>
      <c r="G916" t="b">
        <v>1</v>
      </c>
      <c r="H916">
        <v>4</v>
      </c>
    </row>
    <row r="917" spans="1:8">
      <c r="A917" t="s">
        <v>4874</v>
      </c>
      <c r="B917" s="4">
        <v>46006</v>
      </c>
      <c r="C917">
        <v>2025</v>
      </c>
      <c r="D917">
        <v>12</v>
      </c>
      <c r="E917">
        <v>15</v>
      </c>
      <c r="F917" t="s">
        <v>10356</v>
      </c>
      <c r="G917" t="b">
        <v>0</v>
      </c>
      <c r="H917">
        <v>4</v>
      </c>
    </row>
    <row r="918" spans="1:8">
      <c r="A918" t="s">
        <v>4879</v>
      </c>
      <c r="B918" s="4">
        <v>45421</v>
      </c>
      <c r="C918">
        <v>2024</v>
      </c>
      <c r="D918">
        <v>5</v>
      </c>
      <c r="E918">
        <v>9</v>
      </c>
      <c r="F918" t="s">
        <v>10350</v>
      </c>
      <c r="G918" t="b">
        <v>0</v>
      </c>
      <c r="H918">
        <v>2</v>
      </c>
    </row>
    <row r="919" spans="1:8">
      <c r="A919" t="s">
        <v>4884</v>
      </c>
      <c r="B919" s="4">
        <v>45945</v>
      </c>
      <c r="C919">
        <v>2025</v>
      </c>
      <c r="D919">
        <v>10</v>
      </c>
      <c r="E919">
        <v>15</v>
      </c>
      <c r="F919" t="s">
        <v>10351</v>
      </c>
      <c r="G919" t="b">
        <v>0</v>
      </c>
      <c r="H919">
        <v>4</v>
      </c>
    </row>
    <row r="920" spans="1:8">
      <c r="A920" t="s">
        <v>4889</v>
      </c>
      <c r="B920" s="4">
        <v>45794</v>
      </c>
      <c r="C920">
        <v>2025</v>
      </c>
      <c r="D920">
        <v>5</v>
      </c>
      <c r="E920">
        <v>17</v>
      </c>
      <c r="F920" t="s">
        <v>10354</v>
      </c>
      <c r="G920" t="b">
        <v>1</v>
      </c>
      <c r="H920">
        <v>2</v>
      </c>
    </row>
    <row r="921" spans="1:8">
      <c r="A921" t="s">
        <v>4895</v>
      </c>
      <c r="B921" s="4">
        <v>45397</v>
      </c>
      <c r="C921">
        <v>2024</v>
      </c>
      <c r="D921">
        <v>4</v>
      </c>
      <c r="E921">
        <v>15</v>
      </c>
      <c r="F921" t="s">
        <v>10356</v>
      </c>
      <c r="G921" t="b">
        <v>0</v>
      </c>
      <c r="H921">
        <v>2</v>
      </c>
    </row>
    <row r="922" spans="1:8">
      <c r="A922" t="s">
        <v>4900</v>
      </c>
      <c r="B922" s="4">
        <v>45304</v>
      </c>
      <c r="C922">
        <v>2024</v>
      </c>
      <c r="D922">
        <v>1</v>
      </c>
      <c r="E922">
        <v>13</v>
      </c>
      <c r="F922" t="s">
        <v>10354</v>
      </c>
      <c r="G922" t="b">
        <v>1</v>
      </c>
      <c r="H922">
        <v>1</v>
      </c>
    </row>
    <row r="923" spans="1:8">
      <c r="A923" t="s">
        <v>4905</v>
      </c>
      <c r="B923" s="4">
        <v>45879</v>
      </c>
      <c r="C923">
        <v>2025</v>
      </c>
      <c r="D923">
        <v>8</v>
      </c>
      <c r="E923">
        <v>10</v>
      </c>
      <c r="F923" t="s">
        <v>10355</v>
      </c>
      <c r="G923" t="b">
        <v>1</v>
      </c>
      <c r="H923">
        <v>3</v>
      </c>
    </row>
    <row r="924" spans="1:8">
      <c r="A924" t="s">
        <v>4910</v>
      </c>
      <c r="B924" s="4">
        <v>45583</v>
      </c>
      <c r="C924">
        <v>2024</v>
      </c>
      <c r="D924">
        <v>10</v>
      </c>
      <c r="E924">
        <v>18</v>
      </c>
      <c r="F924" t="s">
        <v>10352</v>
      </c>
      <c r="G924" t="b">
        <v>0</v>
      </c>
      <c r="H924">
        <v>4</v>
      </c>
    </row>
    <row r="925" spans="1:8">
      <c r="A925" t="s">
        <v>4915</v>
      </c>
      <c r="B925" s="4">
        <v>45772</v>
      </c>
      <c r="C925">
        <v>2025</v>
      </c>
      <c r="D925">
        <v>4</v>
      </c>
      <c r="E925">
        <v>25</v>
      </c>
      <c r="F925" t="s">
        <v>10352</v>
      </c>
      <c r="G925" t="b">
        <v>0</v>
      </c>
      <c r="H925">
        <v>2</v>
      </c>
    </row>
    <row r="926" spans="1:8">
      <c r="A926" t="s">
        <v>4920</v>
      </c>
      <c r="B926" s="4">
        <v>45782</v>
      </c>
      <c r="C926">
        <v>2025</v>
      </c>
      <c r="D926">
        <v>5</v>
      </c>
      <c r="E926">
        <v>5</v>
      </c>
      <c r="F926" t="s">
        <v>10356</v>
      </c>
      <c r="G926" t="b">
        <v>0</v>
      </c>
      <c r="H926">
        <v>2</v>
      </c>
    </row>
    <row r="927" spans="1:8">
      <c r="A927" t="s">
        <v>4925</v>
      </c>
      <c r="B927" s="4">
        <v>45743</v>
      </c>
      <c r="C927">
        <v>2025</v>
      </c>
      <c r="D927">
        <v>3</v>
      </c>
      <c r="E927">
        <v>27</v>
      </c>
      <c r="F927" t="s">
        <v>10350</v>
      </c>
      <c r="G927" t="b">
        <v>0</v>
      </c>
      <c r="H927">
        <v>1</v>
      </c>
    </row>
    <row r="928" spans="1:8">
      <c r="A928" t="s">
        <v>4930</v>
      </c>
      <c r="B928" s="4">
        <v>45640</v>
      </c>
      <c r="C928">
        <v>2024</v>
      </c>
      <c r="D928">
        <v>12</v>
      </c>
      <c r="E928">
        <v>14</v>
      </c>
      <c r="F928" t="s">
        <v>10354</v>
      </c>
      <c r="G928" t="b">
        <v>1</v>
      </c>
      <c r="H928">
        <v>4</v>
      </c>
    </row>
    <row r="929" spans="1:8">
      <c r="A929" t="s">
        <v>4935</v>
      </c>
      <c r="B929" s="4">
        <v>45480</v>
      </c>
      <c r="C929">
        <v>2024</v>
      </c>
      <c r="D929">
        <v>7</v>
      </c>
      <c r="E929">
        <v>7</v>
      </c>
      <c r="F929" t="s">
        <v>10355</v>
      </c>
      <c r="G929" t="b">
        <v>1</v>
      </c>
      <c r="H929">
        <v>3</v>
      </c>
    </row>
    <row r="930" spans="1:8">
      <c r="A930" t="s">
        <v>4940</v>
      </c>
      <c r="B930" s="4">
        <v>45344</v>
      </c>
      <c r="C930">
        <v>2024</v>
      </c>
      <c r="D930">
        <v>2</v>
      </c>
      <c r="E930">
        <v>22</v>
      </c>
      <c r="F930" t="s">
        <v>10350</v>
      </c>
      <c r="G930" t="b">
        <v>0</v>
      </c>
      <c r="H930">
        <v>1</v>
      </c>
    </row>
    <row r="931" spans="1:8">
      <c r="A931" t="s">
        <v>4945</v>
      </c>
      <c r="B931" s="4">
        <v>45550</v>
      </c>
      <c r="C931">
        <v>2024</v>
      </c>
      <c r="D931">
        <v>9</v>
      </c>
      <c r="E931">
        <v>15</v>
      </c>
      <c r="F931" t="s">
        <v>10355</v>
      </c>
      <c r="G931" t="b">
        <v>1</v>
      </c>
      <c r="H931">
        <v>3</v>
      </c>
    </row>
    <row r="932" spans="1:8">
      <c r="A932" t="s">
        <v>4950</v>
      </c>
      <c r="B932" s="4">
        <v>45781</v>
      </c>
      <c r="C932">
        <v>2025</v>
      </c>
      <c r="D932">
        <v>5</v>
      </c>
      <c r="E932">
        <v>4</v>
      </c>
      <c r="F932" t="s">
        <v>10355</v>
      </c>
      <c r="G932" t="b">
        <v>1</v>
      </c>
      <c r="H932">
        <v>2</v>
      </c>
    </row>
    <row r="933" spans="1:8">
      <c r="A933" t="s">
        <v>4955</v>
      </c>
      <c r="B933" s="4">
        <v>45408</v>
      </c>
      <c r="C933">
        <v>2024</v>
      </c>
      <c r="D933">
        <v>4</v>
      </c>
      <c r="E933">
        <v>26</v>
      </c>
      <c r="F933" t="s">
        <v>10352</v>
      </c>
      <c r="G933" t="b">
        <v>0</v>
      </c>
      <c r="H933">
        <v>2</v>
      </c>
    </row>
    <row r="934" spans="1:8">
      <c r="A934" t="s">
        <v>4960</v>
      </c>
      <c r="B934" s="4">
        <v>45358</v>
      </c>
      <c r="C934">
        <v>2024</v>
      </c>
      <c r="D934">
        <v>3</v>
      </c>
      <c r="E934">
        <v>7</v>
      </c>
      <c r="F934" t="s">
        <v>10350</v>
      </c>
      <c r="G934" t="b">
        <v>0</v>
      </c>
      <c r="H934">
        <v>1</v>
      </c>
    </row>
    <row r="935" spans="1:8">
      <c r="A935" t="s">
        <v>4965</v>
      </c>
      <c r="B935" s="4">
        <v>45702</v>
      </c>
      <c r="C935">
        <v>2025</v>
      </c>
      <c r="D935">
        <v>2</v>
      </c>
      <c r="E935">
        <v>14</v>
      </c>
      <c r="F935" t="s">
        <v>10352</v>
      </c>
      <c r="G935" t="b">
        <v>0</v>
      </c>
      <c r="H935">
        <v>1</v>
      </c>
    </row>
    <row r="936" spans="1:8">
      <c r="A936" t="s">
        <v>4970</v>
      </c>
      <c r="B936" s="4">
        <v>45795</v>
      </c>
      <c r="C936">
        <v>2025</v>
      </c>
      <c r="D936">
        <v>5</v>
      </c>
      <c r="E936">
        <v>18</v>
      </c>
      <c r="F936" t="s">
        <v>10355</v>
      </c>
      <c r="G936" t="b">
        <v>1</v>
      </c>
      <c r="H936">
        <v>2</v>
      </c>
    </row>
    <row r="937" spans="1:8">
      <c r="A937" t="s">
        <v>4975</v>
      </c>
      <c r="B937" s="4">
        <v>45367</v>
      </c>
      <c r="C937">
        <v>2024</v>
      </c>
      <c r="D937">
        <v>3</v>
      </c>
      <c r="E937">
        <v>16</v>
      </c>
      <c r="F937" t="s">
        <v>10354</v>
      </c>
      <c r="G937" t="b">
        <v>1</v>
      </c>
      <c r="H937">
        <v>1</v>
      </c>
    </row>
    <row r="938" spans="1:8">
      <c r="A938" t="s">
        <v>4980</v>
      </c>
      <c r="B938" s="4">
        <v>45882</v>
      </c>
      <c r="C938">
        <v>2025</v>
      </c>
      <c r="D938">
        <v>8</v>
      </c>
      <c r="E938">
        <v>13</v>
      </c>
      <c r="F938" t="s">
        <v>10351</v>
      </c>
      <c r="G938" t="b">
        <v>0</v>
      </c>
      <c r="H938">
        <v>3</v>
      </c>
    </row>
    <row r="939" spans="1:8">
      <c r="A939" t="s">
        <v>4986</v>
      </c>
      <c r="B939" s="4">
        <v>45936</v>
      </c>
      <c r="C939">
        <v>2025</v>
      </c>
      <c r="D939">
        <v>10</v>
      </c>
      <c r="E939">
        <v>6</v>
      </c>
      <c r="F939" t="s">
        <v>10356</v>
      </c>
      <c r="G939" t="b">
        <v>0</v>
      </c>
      <c r="H939">
        <v>4</v>
      </c>
    </row>
    <row r="940" spans="1:8">
      <c r="A940" t="s">
        <v>4991</v>
      </c>
      <c r="B940" s="4">
        <v>45994</v>
      </c>
      <c r="C940">
        <v>2025</v>
      </c>
      <c r="D940">
        <v>12</v>
      </c>
      <c r="E940">
        <v>3</v>
      </c>
      <c r="F940" t="s">
        <v>10351</v>
      </c>
      <c r="G940" t="b">
        <v>0</v>
      </c>
      <c r="H940">
        <v>4</v>
      </c>
    </row>
    <row r="941" spans="1:8">
      <c r="A941" t="s">
        <v>4996</v>
      </c>
      <c r="B941" s="4">
        <v>45346</v>
      </c>
      <c r="C941">
        <v>2024</v>
      </c>
      <c r="D941">
        <v>2</v>
      </c>
      <c r="E941">
        <v>24</v>
      </c>
      <c r="F941" t="s">
        <v>10354</v>
      </c>
      <c r="G941" t="b">
        <v>1</v>
      </c>
      <c r="H941">
        <v>1</v>
      </c>
    </row>
    <row r="942" spans="1:8">
      <c r="A942" t="s">
        <v>5001</v>
      </c>
      <c r="B942" s="4">
        <v>45447</v>
      </c>
      <c r="C942">
        <v>2024</v>
      </c>
      <c r="D942">
        <v>6</v>
      </c>
      <c r="E942">
        <v>4</v>
      </c>
      <c r="F942" t="s">
        <v>10353</v>
      </c>
      <c r="G942" t="b">
        <v>0</v>
      </c>
      <c r="H942">
        <v>2</v>
      </c>
    </row>
    <row r="943" spans="1:8">
      <c r="A943" t="s">
        <v>5006</v>
      </c>
      <c r="B943" s="4">
        <v>45444</v>
      </c>
      <c r="C943">
        <v>2024</v>
      </c>
      <c r="D943">
        <v>6</v>
      </c>
      <c r="E943">
        <v>1</v>
      </c>
      <c r="F943" t="s">
        <v>10354</v>
      </c>
      <c r="G943" t="b">
        <v>1</v>
      </c>
      <c r="H943">
        <v>2</v>
      </c>
    </row>
    <row r="944" spans="1:8">
      <c r="A944" t="s">
        <v>5011</v>
      </c>
      <c r="B944" s="4">
        <v>45868</v>
      </c>
      <c r="C944">
        <v>2025</v>
      </c>
      <c r="D944">
        <v>7</v>
      </c>
      <c r="E944">
        <v>30</v>
      </c>
      <c r="F944" t="s">
        <v>10351</v>
      </c>
      <c r="G944" t="b">
        <v>0</v>
      </c>
      <c r="H944">
        <v>3</v>
      </c>
    </row>
    <row r="945" spans="1:8">
      <c r="A945" t="s">
        <v>5016</v>
      </c>
      <c r="B945" s="4">
        <v>45603</v>
      </c>
      <c r="C945">
        <v>2024</v>
      </c>
      <c r="D945">
        <v>11</v>
      </c>
      <c r="E945">
        <v>7</v>
      </c>
      <c r="F945" t="s">
        <v>10350</v>
      </c>
      <c r="G945" t="b">
        <v>0</v>
      </c>
      <c r="H945">
        <v>4</v>
      </c>
    </row>
    <row r="946" spans="1:8">
      <c r="A946" t="s">
        <v>5021</v>
      </c>
      <c r="B946" s="4">
        <v>45379</v>
      </c>
      <c r="C946">
        <v>2024</v>
      </c>
      <c r="D946">
        <v>3</v>
      </c>
      <c r="E946">
        <v>28</v>
      </c>
      <c r="F946" t="s">
        <v>10350</v>
      </c>
      <c r="G946" t="b">
        <v>0</v>
      </c>
      <c r="H946">
        <v>1</v>
      </c>
    </row>
    <row r="947" spans="1:8">
      <c r="A947" t="s">
        <v>5026</v>
      </c>
      <c r="B947" s="4">
        <v>45546</v>
      </c>
      <c r="C947">
        <v>2024</v>
      </c>
      <c r="D947">
        <v>9</v>
      </c>
      <c r="E947">
        <v>11</v>
      </c>
      <c r="F947" t="s">
        <v>10351</v>
      </c>
      <c r="G947" t="b">
        <v>0</v>
      </c>
      <c r="H947">
        <v>3</v>
      </c>
    </row>
    <row r="948" spans="1:8">
      <c r="A948" t="s">
        <v>5031</v>
      </c>
      <c r="B948" s="4">
        <v>45413</v>
      </c>
      <c r="C948">
        <v>2024</v>
      </c>
      <c r="D948">
        <v>5</v>
      </c>
      <c r="E948">
        <v>1</v>
      </c>
      <c r="F948" t="s">
        <v>10351</v>
      </c>
      <c r="G948" t="b">
        <v>0</v>
      </c>
      <c r="H948">
        <v>2</v>
      </c>
    </row>
    <row r="949" spans="1:8">
      <c r="A949" t="s">
        <v>5036</v>
      </c>
      <c r="B949" s="4">
        <v>45863</v>
      </c>
      <c r="C949">
        <v>2025</v>
      </c>
      <c r="D949">
        <v>7</v>
      </c>
      <c r="E949">
        <v>25</v>
      </c>
      <c r="F949" t="s">
        <v>10352</v>
      </c>
      <c r="G949" t="b">
        <v>0</v>
      </c>
      <c r="H949">
        <v>3</v>
      </c>
    </row>
    <row r="950" spans="1:8">
      <c r="A950" t="s">
        <v>5041</v>
      </c>
      <c r="B950" s="4">
        <v>45718</v>
      </c>
      <c r="C950">
        <v>2025</v>
      </c>
      <c r="D950">
        <v>3</v>
      </c>
      <c r="E950">
        <v>2</v>
      </c>
      <c r="F950" t="s">
        <v>10355</v>
      </c>
      <c r="G950" t="b">
        <v>1</v>
      </c>
      <c r="H950">
        <v>1</v>
      </c>
    </row>
    <row r="951" spans="1:8">
      <c r="A951" t="s">
        <v>5046</v>
      </c>
      <c r="B951" s="4">
        <v>45912</v>
      </c>
      <c r="C951">
        <v>2025</v>
      </c>
      <c r="D951">
        <v>9</v>
      </c>
      <c r="E951">
        <v>12</v>
      </c>
      <c r="F951" t="s">
        <v>10352</v>
      </c>
      <c r="G951" t="b">
        <v>0</v>
      </c>
      <c r="H951">
        <v>3</v>
      </c>
    </row>
    <row r="952" spans="1:8">
      <c r="A952" t="s">
        <v>5051</v>
      </c>
      <c r="B952" s="4">
        <v>45902</v>
      </c>
      <c r="C952">
        <v>2025</v>
      </c>
      <c r="D952">
        <v>9</v>
      </c>
      <c r="E952">
        <v>2</v>
      </c>
      <c r="F952" t="s">
        <v>10353</v>
      </c>
      <c r="G952" t="b">
        <v>0</v>
      </c>
      <c r="H952">
        <v>3</v>
      </c>
    </row>
    <row r="953" spans="1:8">
      <c r="A953" t="s">
        <v>5056</v>
      </c>
      <c r="B953" s="4">
        <v>45925</v>
      </c>
      <c r="C953">
        <v>2025</v>
      </c>
      <c r="D953">
        <v>9</v>
      </c>
      <c r="E953">
        <v>25</v>
      </c>
      <c r="F953" t="s">
        <v>10350</v>
      </c>
      <c r="G953" t="b">
        <v>0</v>
      </c>
      <c r="H953">
        <v>3</v>
      </c>
    </row>
    <row r="954" spans="1:8">
      <c r="A954" t="s">
        <v>5061</v>
      </c>
      <c r="B954" s="4">
        <v>45523</v>
      </c>
      <c r="C954">
        <v>2024</v>
      </c>
      <c r="D954">
        <v>8</v>
      </c>
      <c r="E954">
        <v>19</v>
      </c>
      <c r="F954" t="s">
        <v>10356</v>
      </c>
      <c r="G954" t="b">
        <v>0</v>
      </c>
      <c r="H954">
        <v>3</v>
      </c>
    </row>
    <row r="955" spans="1:8">
      <c r="A955" t="s">
        <v>5066</v>
      </c>
      <c r="B955" s="4">
        <v>45827</v>
      </c>
      <c r="C955">
        <v>2025</v>
      </c>
      <c r="D955">
        <v>6</v>
      </c>
      <c r="E955">
        <v>19</v>
      </c>
      <c r="F955" t="s">
        <v>10350</v>
      </c>
      <c r="G955" t="b">
        <v>0</v>
      </c>
      <c r="H955">
        <v>2</v>
      </c>
    </row>
    <row r="956" spans="1:8">
      <c r="A956" t="s">
        <v>5071</v>
      </c>
      <c r="B956" s="4">
        <v>45681</v>
      </c>
      <c r="C956">
        <v>2025</v>
      </c>
      <c r="D956">
        <v>1</v>
      </c>
      <c r="E956">
        <v>24</v>
      </c>
      <c r="F956" t="s">
        <v>10352</v>
      </c>
      <c r="G956" t="b">
        <v>0</v>
      </c>
      <c r="H956">
        <v>1</v>
      </c>
    </row>
    <row r="957" spans="1:8">
      <c r="A957" t="s">
        <v>5077</v>
      </c>
      <c r="B957" s="4">
        <v>45753</v>
      </c>
      <c r="C957">
        <v>2025</v>
      </c>
      <c r="D957">
        <v>4</v>
      </c>
      <c r="E957">
        <v>6</v>
      </c>
      <c r="F957" t="s">
        <v>10355</v>
      </c>
      <c r="G957" t="b">
        <v>1</v>
      </c>
      <c r="H957">
        <v>2</v>
      </c>
    </row>
    <row r="958" spans="1:8">
      <c r="A958" t="s">
        <v>5082</v>
      </c>
      <c r="B958" s="4">
        <v>45745</v>
      </c>
      <c r="C958">
        <v>2025</v>
      </c>
      <c r="D958">
        <v>3</v>
      </c>
      <c r="E958">
        <v>29</v>
      </c>
      <c r="F958" t="s">
        <v>10354</v>
      </c>
      <c r="G958" t="b">
        <v>1</v>
      </c>
      <c r="H958">
        <v>1</v>
      </c>
    </row>
    <row r="959" spans="1:8">
      <c r="A959" t="s">
        <v>5087</v>
      </c>
      <c r="B959" s="4">
        <v>45596</v>
      </c>
      <c r="C959">
        <v>2024</v>
      </c>
      <c r="D959">
        <v>10</v>
      </c>
      <c r="E959">
        <v>31</v>
      </c>
      <c r="F959" t="s">
        <v>10350</v>
      </c>
      <c r="G959" t="b">
        <v>0</v>
      </c>
      <c r="H959">
        <v>4</v>
      </c>
    </row>
    <row r="960" spans="1:8">
      <c r="A960" t="s">
        <v>5092</v>
      </c>
      <c r="B960" s="4">
        <v>45894</v>
      </c>
      <c r="C960">
        <v>2025</v>
      </c>
      <c r="D960">
        <v>8</v>
      </c>
      <c r="E960">
        <v>25</v>
      </c>
      <c r="F960" t="s">
        <v>10356</v>
      </c>
      <c r="G960" t="b">
        <v>0</v>
      </c>
      <c r="H960">
        <v>3</v>
      </c>
    </row>
    <row r="961" spans="1:8">
      <c r="A961" t="s">
        <v>5097</v>
      </c>
      <c r="B961" s="4">
        <v>45731</v>
      </c>
      <c r="C961">
        <v>2025</v>
      </c>
      <c r="D961">
        <v>3</v>
      </c>
      <c r="E961">
        <v>15</v>
      </c>
      <c r="F961" t="s">
        <v>10354</v>
      </c>
      <c r="G961" t="b">
        <v>1</v>
      </c>
      <c r="H961">
        <v>1</v>
      </c>
    </row>
    <row r="962" spans="1:8">
      <c r="A962" t="s">
        <v>5102</v>
      </c>
      <c r="B962" s="4">
        <v>45604</v>
      </c>
      <c r="C962">
        <v>2024</v>
      </c>
      <c r="D962">
        <v>11</v>
      </c>
      <c r="E962">
        <v>8</v>
      </c>
      <c r="F962" t="s">
        <v>10352</v>
      </c>
      <c r="G962" t="b">
        <v>0</v>
      </c>
      <c r="H962">
        <v>4</v>
      </c>
    </row>
    <row r="963" spans="1:8">
      <c r="A963" t="s">
        <v>5107</v>
      </c>
      <c r="B963" s="4">
        <v>45874</v>
      </c>
      <c r="C963">
        <v>2025</v>
      </c>
      <c r="D963">
        <v>8</v>
      </c>
      <c r="E963">
        <v>5</v>
      </c>
      <c r="F963" t="s">
        <v>10353</v>
      </c>
      <c r="G963" t="b">
        <v>0</v>
      </c>
      <c r="H963">
        <v>3</v>
      </c>
    </row>
    <row r="964" spans="1:8">
      <c r="A964" t="s">
        <v>5112</v>
      </c>
      <c r="B964" s="4">
        <v>45927</v>
      </c>
      <c r="C964">
        <v>2025</v>
      </c>
      <c r="D964">
        <v>9</v>
      </c>
      <c r="E964">
        <v>27</v>
      </c>
      <c r="F964" t="s">
        <v>10354</v>
      </c>
      <c r="G964" t="b">
        <v>1</v>
      </c>
      <c r="H964">
        <v>3</v>
      </c>
    </row>
    <row r="965" spans="1:8">
      <c r="A965" t="s">
        <v>5117</v>
      </c>
      <c r="B965" s="4">
        <v>45353</v>
      </c>
      <c r="C965">
        <v>2024</v>
      </c>
      <c r="D965">
        <v>3</v>
      </c>
      <c r="E965">
        <v>2</v>
      </c>
      <c r="F965" t="s">
        <v>10354</v>
      </c>
      <c r="G965" t="b">
        <v>1</v>
      </c>
      <c r="H965">
        <v>1</v>
      </c>
    </row>
    <row r="966" spans="1:8">
      <c r="A966" t="s">
        <v>5122</v>
      </c>
      <c r="B966" s="4">
        <v>45916</v>
      </c>
      <c r="C966">
        <v>2025</v>
      </c>
      <c r="D966">
        <v>9</v>
      </c>
      <c r="E966">
        <v>16</v>
      </c>
      <c r="F966" t="s">
        <v>10353</v>
      </c>
      <c r="G966" t="b">
        <v>0</v>
      </c>
      <c r="H966">
        <v>3</v>
      </c>
    </row>
    <row r="967" spans="1:8">
      <c r="A967" t="s">
        <v>5127</v>
      </c>
      <c r="B967" s="4">
        <v>45393</v>
      </c>
      <c r="C967">
        <v>2024</v>
      </c>
      <c r="D967">
        <v>4</v>
      </c>
      <c r="E967">
        <v>11</v>
      </c>
      <c r="F967" t="s">
        <v>10350</v>
      </c>
      <c r="G967" t="b">
        <v>0</v>
      </c>
      <c r="H967">
        <v>2</v>
      </c>
    </row>
    <row r="968" spans="1:8">
      <c r="A968" t="s">
        <v>5132</v>
      </c>
      <c r="B968" s="4">
        <v>45504</v>
      </c>
      <c r="C968">
        <v>2024</v>
      </c>
      <c r="D968">
        <v>7</v>
      </c>
      <c r="E968">
        <v>31</v>
      </c>
      <c r="F968" t="s">
        <v>10351</v>
      </c>
      <c r="G968" t="b">
        <v>0</v>
      </c>
      <c r="H968">
        <v>3</v>
      </c>
    </row>
    <row r="969" spans="1:8">
      <c r="A969" t="s">
        <v>5137</v>
      </c>
      <c r="B969" s="4">
        <v>45932</v>
      </c>
      <c r="C969">
        <v>2025</v>
      </c>
      <c r="D969">
        <v>10</v>
      </c>
      <c r="E969">
        <v>2</v>
      </c>
      <c r="F969" t="s">
        <v>10350</v>
      </c>
      <c r="G969" t="b">
        <v>0</v>
      </c>
      <c r="H969">
        <v>4</v>
      </c>
    </row>
    <row r="970" spans="1:8">
      <c r="A970" t="s">
        <v>5142</v>
      </c>
      <c r="B970" s="4">
        <v>45508</v>
      </c>
      <c r="C970">
        <v>2024</v>
      </c>
      <c r="D970">
        <v>8</v>
      </c>
      <c r="E970">
        <v>4</v>
      </c>
      <c r="F970" t="s">
        <v>10355</v>
      </c>
      <c r="G970" t="b">
        <v>1</v>
      </c>
      <c r="H970">
        <v>3</v>
      </c>
    </row>
    <row r="971" spans="1:8">
      <c r="A971" t="s">
        <v>5147</v>
      </c>
      <c r="B971" s="4">
        <v>45562</v>
      </c>
      <c r="C971">
        <v>2024</v>
      </c>
      <c r="D971">
        <v>9</v>
      </c>
      <c r="E971">
        <v>27</v>
      </c>
      <c r="F971" t="s">
        <v>10352</v>
      </c>
      <c r="G971" t="b">
        <v>0</v>
      </c>
      <c r="H971">
        <v>3</v>
      </c>
    </row>
    <row r="972" spans="1:8">
      <c r="A972" t="s">
        <v>5152</v>
      </c>
      <c r="B972" s="4">
        <v>45968</v>
      </c>
      <c r="C972">
        <v>2025</v>
      </c>
      <c r="D972">
        <v>11</v>
      </c>
      <c r="E972">
        <v>7</v>
      </c>
      <c r="F972" t="s">
        <v>10352</v>
      </c>
      <c r="G972" t="b">
        <v>0</v>
      </c>
      <c r="H972">
        <v>4</v>
      </c>
    </row>
    <row r="973" spans="1:8">
      <c r="A973" t="s">
        <v>5158</v>
      </c>
      <c r="B973" s="4">
        <v>45375</v>
      </c>
      <c r="C973">
        <v>2024</v>
      </c>
      <c r="D973">
        <v>3</v>
      </c>
      <c r="E973">
        <v>24</v>
      </c>
      <c r="F973" t="s">
        <v>10355</v>
      </c>
      <c r="G973" t="b">
        <v>1</v>
      </c>
      <c r="H973">
        <v>1</v>
      </c>
    </row>
    <row r="974" spans="1:8">
      <c r="A974" t="s">
        <v>5163</v>
      </c>
      <c r="B974" s="4">
        <v>45452</v>
      </c>
      <c r="C974">
        <v>2024</v>
      </c>
      <c r="D974">
        <v>6</v>
      </c>
      <c r="E974">
        <v>9</v>
      </c>
      <c r="F974" t="s">
        <v>10355</v>
      </c>
      <c r="G974" t="b">
        <v>1</v>
      </c>
      <c r="H974">
        <v>2</v>
      </c>
    </row>
    <row r="975" spans="1:8">
      <c r="A975" t="s">
        <v>5168</v>
      </c>
      <c r="B975" s="4">
        <v>45537</v>
      </c>
      <c r="C975">
        <v>2024</v>
      </c>
      <c r="D975">
        <v>9</v>
      </c>
      <c r="E975">
        <v>2</v>
      </c>
      <c r="F975" t="s">
        <v>10356</v>
      </c>
      <c r="G975" t="b">
        <v>0</v>
      </c>
      <c r="H975">
        <v>3</v>
      </c>
    </row>
    <row r="976" spans="1:8">
      <c r="A976" t="s">
        <v>5173</v>
      </c>
      <c r="B976" s="4">
        <v>45469</v>
      </c>
      <c r="C976">
        <v>2024</v>
      </c>
      <c r="D976">
        <v>6</v>
      </c>
      <c r="E976">
        <v>26</v>
      </c>
      <c r="F976" t="s">
        <v>10351</v>
      </c>
      <c r="G976" t="b">
        <v>0</v>
      </c>
      <c r="H976">
        <v>2</v>
      </c>
    </row>
    <row r="977" spans="1:8">
      <c r="A977" t="s">
        <v>5178</v>
      </c>
      <c r="B977" s="4">
        <v>45857</v>
      </c>
      <c r="C977">
        <v>2025</v>
      </c>
      <c r="D977">
        <v>7</v>
      </c>
      <c r="E977">
        <v>19</v>
      </c>
      <c r="F977" t="s">
        <v>10354</v>
      </c>
      <c r="G977" t="b">
        <v>1</v>
      </c>
      <c r="H977">
        <v>3</v>
      </c>
    </row>
    <row r="978" spans="1:8">
      <c r="A978" t="s">
        <v>5183</v>
      </c>
      <c r="B978" s="4">
        <v>45368</v>
      </c>
      <c r="C978">
        <v>2024</v>
      </c>
      <c r="D978">
        <v>3</v>
      </c>
      <c r="E978">
        <v>17</v>
      </c>
      <c r="F978" t="s">
        <v>10355</v>
      </c>
      <c r="G978" t="b">
        <v>1</v>
      </c>
      <c r="H978">
        <v>1</v>
      </c>
    </row>
    <row r="979" spans="1:8">
      <c r="A979" t="s">
        <v>5188</v>
      </c>
      <c r="B979" s="4">
        <v>45452</v>
      </c>
      <c r="C979">
        <v>2024</v>
      </c>
      <c r="D979">
        <v>6</v>
      </c>
      <c r="E979">
        <v>9</v>
      </c>
      <c r="F979" t="s">
        <v>10355</v>
      </c>
      <c r="G979" t="b">
        <v>1</v>
      </c>
      <c r="H979">
        <v>2</v>
      </c>
    </row>
    <row r="980" spans="1:8">
      <c r="A980" t="s">
        <v>5193</v>
      </c>
      <c r="B980" s="4">
        <v>45294</v>
      </c>
      <c r="C980">
        <v>2024</v>
      </c>
      <c r="D980">
        <v>1</v>
      </c>
      <c r="E980">
        <v>3</v>
      </c>
      <c r="F980" t="s">
        <v>10351</v>
      </c>
      <c r="G980" t="b">
        <v>0</v>
      </c>
      <c r="H980">
        <v>1</v>
      </c>
    </row>
    <row r="981" spans="1:8">
      <c r="A981" t="s">
        <v>5198</v>
      </c>
      <c r="B981" s="4">
        <v>45710</v>
      </c>
      <c r="C981">
        <v>2025</v>
      </c>
      <c r="D981">
        <v>2</v>
      </c>
      <c r="E981">
        <v>22</v>
      </c>
      <c r="F981" t="s">
        <v>10354</v>
      </c>
      <c r="G981" t="b">
        <v>1</v>
      </c>
      <c r="H981">
        <v>1</v>
      </c>
    </row>
    <row r="982" spans="1:8">
      <c r="A982" t="s">
        <v>5203</v>
      </c>
      <c r="B982" s="4">
        <v>45753</v>
      </c>
      <c r="C982">
        <v>2025</v>
      </c>
      <c r="D982">
        <v>4</v>
      </c>
      <c r="E982">
        <v>6</v>
      </c>
      <c r="F982" t="s">
        <v>10355</v>
      </c>
      <c r="G982" t="b">
        <v>1</v>
      </c>
      <c r="H982">
        <v>2</v>
      </c>
    </row>
    <row r="983" spans="1:8">
      <c r="A983" t="s">
        <v>5208</v>
      </c>
      <c r="B983" s="4">
        <v>45997</v>
      </c>
      <c r="C983">
        <v>2025</v>
      </c>
      <c r="D983">
        <v>12</v>
      </c>
      <c r="E983">
        <v>6</v>
      </c>
      <c r="F983" t="s">
        <v>10354</v>
      </c>
      <c r="G983" t="b">
        <v>1</v>
      </c>
      <c r="H983">
        <v>4</v>
      </c>
    </row>
    <row r="984" spans="1:8">
      <c r="A984" t="s">
        <v>5213</v>
      </c>
      <c r="B984" s="4">
        <v>45900</v>
      </c>
      <c r="C984">
        <v>2025</v>
      </c>
      <c r="D984">
        <v>8</v>
      </c>
      <c r="E984">
        <v>31</v>
      </c>
      <c r="F984" t="s">
        <v>10355</v>
      </c>
      <c r="G984" t="b">
        <v>1</v>
      </c>
      <c r="H984">
        <v>3</v>
      </c>
    </row>
    <row r="985" spans="1:8">
      <c r="A985" t="s">
        <v>5218</v>
      </c>
      <c r="B985" s="4">
        <v>45773</v>
      </c>
      <c r="C985">
        <v>2025</v>
      </c>
      <c r="D985">
        <v>4</v>
      </c>
      <c r="E985">
        <v>26</v>
      </c>
      <c r="F985" t="s">
        <v>10354</v>
      </c>
      <c r="G985" t="b">
        <v>1</v>
      </c>
      <c r="H985">
        <v>2</v>
      </c>
    </row>
    <row r="986" spans="1:8">
      <c r="A986" t="s">
        <v>5223</v>
      </c>
      <c r="B986" s="4">
        <v>45590</v>
      </c>
      <c r="C986">
        <v>2024</v>
      </c>
      <c r="D986">
        <v>10</v>
      </c>
      <c r="E986">
        <v>25</v>
      </c>
      <c r="F986" t="s">
        <v>10352</v>
      </c>
      <c r="G986" t="b">
        <v>0</v>
      </c>
      <c r="H986">
        <v>4</v>
      </c>
    </row>
    <row r="987" spans="1:8">
      <c r="A987" t="s">
        <v>5228</v>
      </c>
      <c r="B987" s="4">
        <v>45325</v>
      </c>
      <c r="C987">
        <v>2024</v>
      </c>
      <c r="D987">
        <v>2</v>
      </c>
      <c r="E987">
        <v>3</v>
      </c>
      <c r="F987" t="s">
        <v>10354</v>
      </c>
      <c r="G987" t="b">
        <v>1</v>
      </c>
      <c r="H987">
        <v>1</v>
      </c>
    </row>
    <row r="988" spans="1:8">
      <c r="A988" t="s">
        <v>5234</v>
      </c>
      <c r="B988" s="4">
        <v>45529</v>
      </c>
      <c r="C988">
        <v>2024</v>
      </c>
      <c r="D988">
        <v>8</v>
      </c>
      <c r="E988">
        <v>25</v>
      </c>
      <c r="F988" t="s">
        <v>10355</v>
      </c>
      <c r="G988" t="b">
        <v>1</v>
      </c>
      <c r="H988">
        <v>3</v>
      </c>
    </row>
    <row r="989" spans="1:8">
      <c r="A989" t="s">
        <v>5239</v>
      </c>
      <c r="B989" s="4">
        <v>45587</v>
      </c>
      <c r="C989">
        <v>2024</v>
      </c>
      <c r="D989">
        <v>10</v>
      </c>
      <c r="E989">
        <v>22</v>
      </c>
      <c r="F989" t="s">
        <v>10353</v>
      </c>
      <c r="G989" t="b">
        <v>0</v>
      </c>
      <c r="H989">
        <v>4</v>
      </c>
    </row>
    <row r="990" spans="1:8">
      <c r="A990" t="s">
        <v>5244</v>
      </c>
      <c r="B990" s="4">
        <v>46015</v>
      </c>
      <c r="C990">
        <v>2025</v>
      </c>
      <c r="D990">
        <v>12</v>
      </c>
      <c r="E990">
        <v>24</v>
      </c>
      <c r="F990" t="s">
        <v>10351</v>
      </c>
      <c r="G990" t="b">
        <v>0</v>
      </c>
      <c r="H990">
        <v>4</v>
      </c>
    </row>
    <row r="991" spans="1:8">
      <c r="A991" t="s">
        <v>5249</v>
      </c>
      <c r="B991" s="4">
        <v>45581</v>
      </c>
      <c r="C991">
        <v>2024</v>
      </c>
      <c r="D991">
        <v>10</v>
      </c>
      <c r="E991">
        <v>16</v>
      </c>
      <c r="F991" t="s">
        <v>10351</v>
      </c>
      <c r="G991" t="b">
        <v>0</v>
      </c>
      <c r="H991">
        <v>4</v>
      </c>
    </row>
    <row r="992" spans="1:8">
      <c r="A992" t="s">
        <v>5254</v>
      </c>
      <c r="B992" s="4">
        <v>46011</v>
      </c>
      <c r="C992">
        <v>2025</v>
      </c>
      <c r="D992">
        <v>12</v>
      </c>
      <c r="E992">
        <v>20</v>
      </c>
      <c r="F992" t="s">
        <v>10354</v>
      </c>
      <c r="G992" t="b">
        <v>1</v>
      </c>
      <c r="H992">
        <v>4</v>
      </c>
    </row>
    <row r="993" spans="1:8">
      <c r="A993" t="s">
        <v>5259</v>
      </c>
      <c r="B993" s="4">
        <v>45756</v>
      </c>
      <c r="C993">
        <v>2025</v>
      </c>
      <c r="D993">
        <v>4</v>
      </c>
      <c r="E993">
        <v>9</v>
      </c>
      <c r="F993" t="s">
        <v>10351</v>
      </c>
      <c r="G993" t="b">
        <v>0</v>
      </c>
      <c r="H993">
        <v>2</v>
      </c>
    </row>
    <row r="994" spans="1:8">
      <c r="A994" t="s">
        <v>5264</v>
      </c>
      <c r="B994" s="4">
        <v>45364</v>
      </c>
      <c r="C994">
        <v>2024</v>
      </c>
      <c r="D994">
        <v>3</v>
      </c>
      <c r="E994">
        <v>13</v>
      </c>
      <c r="F994" t="s">
        <v>10351</v>
      </c>
      <c r="G994" t="b">
        <v>0</v>
      </c>
      <c r="H994">
        <v>1</v>
      </c>
    </row>
    <row r="995" spans="1:8">
      <c r="A995" t="s">
        <v>5270</v>
      </c>
      <c r="B995" s="4">
        <v>45995</v>
      </c>
      <c r="C995">
        <v>2025</v>
      </c>
      <c r="D995">
        <v>12</v>
      </c>
      <c r="E995">
        <v>4</v>
      </c>
      <c r="F995" t="s">
        <v>10350</v>
      </c>
      <c r="G995" t="b">
        <v>0</v>
      </c>
      <c r="H995">
        <v>4</v>
      </c>
    </row>
    <row r="996" spans="1:8">
      <c r="A996" t="s">
        <v>5275</v>
      </c>
      <c r="B996" s="4">
        <v>45531</v>
      </c>
      <c r="C996">
        <v>2024</v>
      </c>
      <c r="D996">
        <v>8</v>
      </c>
      <c r="E996">
        <v>27</v>
      </c>
      <c r="F996" t="s">
        <v>10353</v>
      </c>
      <c r="G996" t="b">
        <v>0</v>
      </c>
      <c r="H996">
        <v>3</v>
      </c>
    </row>
    <row r="997" spans="1:8">
      <c r="A997" t="s">
        <v>5280</v>
      </c>
      <c r="B997" s="4">
        <v>45562</v>
      </c>
      <c r="C997">
        <v>2024</v>
      </c>
      <c r="D997">
        <v>9</v>
      </c>
      <c r="E997">
        <v>27</v>
      </c>
      <c r="F997" t="s">
        <v>10352</v>
      </c>
      <c r="G997" t="b">
        <v>0</v>
      </c>
      <c r="H997">
        <v>3</v>
      </c>
    </row>
    <row r="998" spans="1:8">
      <c r="A998" t="s">
        <v>5285</v>
      </c>
      <c r="B998" s="4">
        <v>45932</v>
      </c>
      <c r="C998">
        <v>2025</v>
      </c>
      <c r="D998">
        <v>10</v>
      </c>
      <c r="E998">
        <v>2</v>
      </c>
      <c r="F998" t="s">
        <v>10350</v>
      </c>
      <c r="G998" t="b">
        <v>0</v>
      </c>
      <c r="H998">
        <v>4</v>
      </c>
    </row>
    <row r="999" spans="1:8">
      <c r="A999" t="s">
        <v>5290</v>
      </c>
      <c r="B999" s="4">
        <v>45895</v>
      </c>
      <c r="C999">
        <v>2025</v>
      </c>
      <c r="D999">
        <v>8</v>
      </c>
      <c r="E999">
        <v>26</v>
      </c>
      <c r="F999" t="s">
        <v>10353</v>
      </c>
      <c r="G999" t="b">
        <v>0</v>
      </c>
      <c r="H999">
        <v>3</v>
      </c>
    </row>
    <row r="1000" spans="1:8">
      <c r="A1000" t="s">
        <v>5296</v>
      </c>
      <c r="B1000" s="4">
        <v>45969</v>
      </c>
      <c r="C1000">
        <v>2025</v>
      </c>
      <c r="D1000">
        <v>11</v>
      </c>
      <c r="E1000">
        <v>8</v>
      </c>
      <c r="F1000" t="s">
        <v>10354</v>
      </c>
      <c r="G1000" t="b">
        <v>1</v>
      </c>
      <c r="H1000">
        <v>4</v>
      </c>
    </row>
    <row r="1001" spans="1:8">
      <c r="A1001" t="s">
        <v>5301</v>
      </c>
      <c r="B1001" s="4">
        <v>45494</v>
      </c>
      <c r="C1001">
        <v>2024</v>
      </c>
      <c r="D1001">
        <v>7</v>
      </c>
      <c r="E1001">
        <v>21</v>
      </c>
      <c r="F1001" t="s">
        <v>10355</v>
      </c>
      <c r="G1001" t="b">
        <v>1</v>
      </c>
      <c r="H1001">
        <v>3</v>
      </c>
    </row>
    <row r="1002" spans="1:8">
      <c r="A1002" t="s">
        <v>5306</v>
      </c>
      <c r="B1002" s="4">
        <v>45727</v>
      </c>
      <c r="C1002">
        <v>2025</v>
      </c>
      <c r="D1002">
        <v>3</v>
      </c>
      <c r="E1002">
        <v>11</v>
      </c>
      <c r="F1002" t="s">
        <v>10353</v>
      </c>
      <c r="G1002" t="b">
        <v>0</v>
      </c>
      <c r="H1002">
        <v>1</v>
      </c>
    </row>
    <row r="1003" spans="1:8">
      <c r="A1003" t="s">
        <v>5311</v>
      </c>
      <c r="B1003" s="4">
        <v>45409</v>
      </c>
      <c r="C1003">
        <v>2024</v>
      </c>
      <c r="D1003">
        <v>4</v>
      </c>
      <c r="E1003">
        <v>27</v>
      </c>
      <c r="F1003" t="s">
        <v>10354</v>
      </c>
      <c r="G1003" t="b">
        <v>1</v>
      </c>
      <c r="H1003">
        <v>2</v>
      </c>
    </row>
    <row r="1004" spans="1:8">
      <c r="A1004" t="s">
        <v>5316</v>
      </c>
      <c r="B1004" s="4">
        <v>45849</v>
      </c>
      <c r="C1004">
        <v>2025</v>
      </c>
      <c r="D1004">
        <v>7</v>
      </c>
      <c r="E1004">
        <v>11</v>
      </c>
      <c r="F1004" t="s">
        <v>10352</v>
      </c>
      <c r="G1004" t="b">
        <v>0</v>
      </c>
      <c r="H1004">
        <v>3</v>
      </c>
    </row>
    <row r="1005" spans="1:8">
      <c r="A1005" t="s">
        <v>5321</v>
      </c>
      <c r="B1005" s="4">
        <v>45522</v>
      </c>
      <c r="C1005">
        <v>2024</v>
      </c>
      <c r="D1005">
        <v>8</v>
      </c>
      <c r="E1005">
        <v>18</v>
      </c>
      <c r="F1005" t="s">
        <v>10355</v>
      </c>
      <c r="G1005" t="b">
        <v>1</v>
      </c>
      <c r="H1005">
        <v>3</v>
      </c>
    </row>
    <row r="1006" spans="1:8">
      <c r="A1006" t="s">
        <v>5326</v>
      </c>
      <c r="B1006" s="4">
        <v>45955</v>
      </c>
      <c r="C1006">
        <v>2025</v>
      </c>
      <c r="D1006">
        <v>10</v>
      </c>
      <c r="E1006">
        <v>25</v>
      </c>
      <c r="F1006" t="s">
        <v>10354</v>
      </c>
      <c r="G1006" t="b">
        <v>1</v>
      </c>
      <c r="H1006">
        <v>4</v>
      </c>
    </row>
    <row r="1007" spans="1:8">
      <c r="A1007" t="s">
        <v>5331</v>
      </c>
      <c r="B1007" s="4">
        <v>45444</v>
      </c>
      <c r="C1007">
        <v>2024</v>
      </c>
      <c r="D1007">
        <v>6</v>
      </c>
      <c r="E1007">
        <v>1</v>
      </c>
      <c r="F1007" t="s">
        <v>10354</v>
      </c>
      <c r="G1007" t="b">
        <v>1</v>
      </c>
      <c r="H1007">
        <v>2</v>
      </c>
    </row>
    <row r="1008" spans="1:8">
      <c r="A1008" t="s">
        <v>5336</v>
      </c>
      <c r="B1008" s="4">
        <v>45564</v>
      </c>
      <c r="C1008">
        <v>2024</v>
      </c>
      <c r="D1008">
        <v>9</v>
      </c>
      <c r="E1008">
        <v>29</v>
      </c>
      <c r="F1008" t="s">
        <v>10355</v>
      </c>
      <c r="G1008" t="b">
        <v>1</v>
      </c>
      <c r="H1008">
        <v>3</v>
      </c>
    </row>
    <row r="1009" spans="1:8">
      <c r="A1009" t="s">
        <v>5341</v>
      </c>
      <c r="B1009" s="4">
        <v>45437</v>
      </c>
      <c r="C1009">
        <v>2024</v>
      </c>
      <c r="D1009">
        <v>5</v>
      </c>
      <c r="E1009">
        <v>25</v>
      </c>
      <c r="F1009" t="s">
        <v>10354</v>
      </c>
      <c r="G1009" t="b">
        <v>1</v>
      </c>
      <c r="H1009">
        <v>2</v>
      </c>
    </row>
    <row r="1010" spans="1:8">
      <c r="A1010" t="s">
        <v>5346</v>
      </c>
      <c r="B1010" s="4">
        <v>45365</v>
      </c>
      <c r="C1010">
        <v>2024</v>
      </c>
      <c r="D1010">
        <v>3</v>
      </c>
      <c r="E1010">
        <v>14</v>
      </c>
      <c r="F1010" t="s">
        <v>10350</v>
      </c>
      <c r="G1010" t="b">
        <v>0</v>
      </c>
      <c r="H1010">
        <v>1</v>
      </c>
    </row>
    <row r="1011" spans="1:8">
      <c r="A1011" t="s">
        <v>5351</v>
      </c>
      <c r="B1011" s="4">
        <v>45353</v>
      </c>
      <c r="C1011">
        <v>2024</v>
      </c>
      <c r="D1011">
        <v>3</v>
      </c>
      <c r="E1011">
        <v>2</v>
      </c>
      <c r="F1011" t="s">
        <v>10354</v>
      </c>
      <c r="G1011" t="b">
        <v>1</v>
      </c>
      <c r="H1011">
        <v>1</v>
      </c>
    </row>
    <row r="1012" spans="1:8">
      <c r="A1012" t="s">
        <v>5356</v>
      </c>
      <c r="B1012" s="4">
        <v>45461</v>
      </c>
      <c r="C1012">
        <v>2024</v>
      </c>
      <c r="D1012">
        <v>6</v>
      </c>
      <c r="E1012">
        <v>18</v>
      </c>
      <c r="F1012" t="s">
        <v>10353</v>
      </c>
      <c r="G1012" t="b">
        <v>0</v>
      </c>
      <c r="H1012">
        <v>2</v>
      </c>
    </row>
    <row r="1013" spans="1:8">
      <c r="A1013" t="s">
        <v>5361</v>
      </c>
      <c r="B1013" s="4">
        <v>45606</v>
      </c>
      <c r="C1013">
        <v>2024</v>
      </c>
      <c r="D1013">
        <v>11</v>
      </c>
      <c r="E1013">
        <v>10</v>
      </c>
      <c r="F1013" t="s">
        <v>10355</v>
      </c>
      <c r="G1013" t="b">
        <v>1</v>
      </c>
      <c r="H1013">
        <v>4</v>
      </c>
    </row>
    <row r="1014" spans="1:8">
      <c r="A1014" t="s">
        <v>5366</v>
      </c>
      <c r="B1014" s="4">
        <v>45901</v>
      </c>
      <c r="C1014">
        <v>2025</v>
      </c>
      <c r="D1014">
        <v>9</v>
      </c>
      <c r="E1014">
        <v>1</v>
      </c>
      <c r="F1014" t="s">
        <v>10356</v>
      </c>
      <c r="G1014" t="b">
        <v>0</v>
      </c>
      <c r="H1014">
        <v>3</v>
      </c>
    </row>
    <row r="1015" spans="1:8">
      <c r="A1015" t="s">
        <v>5372</v>
      </c>
      <c r="B1015" s="4">
        <v>45874</v>
      </c>
      <c r="C1015">
        <v>2025</v>
      </c>
      <c r="D1015">
        <v>8</v>
      </c>
      <c r="E1015">
        <v>5</v>
      </c>
      <c r="F1015" t="s">
        <v>10353</v>
      </c>
      <c r="G1015" t="b">
        <v>0</v>
      </c>
      <c r="H1015">
        <v>3</v>
      </c>
    </row>
    <row r="1016" spans="1:8">
      <c r="A1016" t="s">
        <v>5377</v>
      </c>
      <c r="B1016" s="4">
        <v>45587</v>
      </c>
      <c r="C1016">
        <v>2024</v>
      </c>
      <c r="D1016">
        <v>10</v>
      </c>
      <c r="E1016">
        <v>22</v>
      </c>
      <c r="F1016" t="s">
        <v>10353</v>
      </c>
      <c r="G1016" t="b">
        <v>0</v>
      </c>
      <c r="H1016">
        <v>4</v>
      </c>
    </row>
    <row r="1017" spans="1:8">
      <c r="A1017" t="s">
        <v>5382</v>
      </c>
      <c r="B1017" s="4">
        <v>45741</v>
      </c>
      <c r="C1017">
        <v>2025</v>
      </c>
      <c r="D1017">
        <v>3</v>
      </c>
      <c r="E1017">
        <v>25</v>
      </c>
      <c r="F1017" t="s">
        <v>10353</v>
      </c>
      <c r="G1017" t="b">
        <v>0</v>
      </c>
      <c r="H1017">
        <v>1</v>
      </c>
    </row>
    <row r="1018" spans="1:8">
      <c r="A1018" t="s">
        <v>5387</v>
      </c>
      <c r="B1018" s="4">
        <v>45419</v>
      </c>
      <c r="C1018">
        <v>2024</v>
      </c>
      <c r="D1018">
        <v>5</v>
      </c>
      <c r="E1018">
        <v>7</v>
      </c>
      <c r="F1018" t="s">
        <v>10353</v>
      </c>
      <c r="G1018" t="b">
        <v>0</v>
      </c>
      <c r="H1018">
        <v>2</v>
      </c>
    </row>
    <row r="1019" spans="1:8">
      <c r="A1019" t="s">
        <v>5392</v>
      </c>
      <c r="B1019" s="4">
        <v>45771</v>
      </c>
      <c r="C1019">
        <v>2025</v>
      </c>
      <c r="D1019">
        <v>4</v>
      </c>
      <c r="E1019">
        <v>24</v>
      </c>
      <c r="F1019" t="s">
        <v>10350</v>
      </c>
      <c r="G1019" t="b">
        <v>0</v>
      </c>
      <c r="H1019">
        <v>2</v>
      </c>
    </row>
    <row r="1020" spans="1:8">
      <c r="A1020" t="s">
        <v>5397</v>
      </c>
      <c r="B1020" s="4">
        <v>45997</v>
      </c>
      <c r="C1020">
        <v>2025</v>
      </c>
      <c r="D1020">
        <v>12</v>
      </c>
      <c r="E1020">
        <v>6</v>
      </c>
      <c r="F1020" t="s">
        <v>10354</v>
      </c>
      <c r="G1020" t="b">
        <v>1</v>
      </c>
      <c r="H1020">
        <v>4</v>
      </c>
    </row>
    <row r="1021" spans="1:8">
      <c r="A1021" t="s">
        <v>5402</v>
      </c>
      <c r="B1021" s="4">
        <v>45603</v>
      </c>
      <c r="C1021">
        <v>2024</v>
      </c>
      <c r="D1021">
        <v>11</v>
      </c>
      <c r="E1021">
        <v>7</v>
      </c>
      <c r="F1021" t="s">
        <v>10350</v>
      </c>
      <c r="G1021" t="b">
        <v>0</v>
      </c>
      <c r="H1021">
        <v>4</v>
      </c>
    </row>
    <row r="1022" spans="1:8">
      <c r="A1022" t="s">
        <v>5407</v>
      </c>
      <c r="B1022" s="4">
        <v>46008</v>
      </c>
      <c r="C1022">
        <v>2025</v>
      </c>
      <c r="D1022">
        <v>12</v>
      </c>
      <c r="E1022">
        <v>17</v>
      </c>
      <c r="F1022" t="s">
        <v>10351</v>
      </c>
      <c r="G1022" t="b">
        <v>0</v>
      </c>
      <c r="H1022">
        <v>4</v>
      </c>
    </row>
    <row r="1023" spans="1:8">
      <c r="A1023" t="s">
        <v>5412</v>
      </c>
      <c r="B1023" s="4">
        <v>45704</v>
      </c>
      <c r="C1023">
        <v>2025</v>
      </c>
      <c r="D1023">
        <v>2</v>
      </c>
      <c r="E1023">
        <v>16</v>
      </c>
      <c r="F1023" t="s">
        <v>10355</v>
      </c>
      <c r="G1023" t="b">
        <v>1</v>
      </c>
      <c r="H1023">
        <v>1</v>
      </c>
    </row>
    <row r="1024" spans="1:8">
      <c r="A1024" t="s">
        <v>5417</v>
      </c>
      <c r="B1024" s="4">
        <v>45570</v>
      </c>
      <c r="C1024">
        <v>2024</v>
      </c>
      <c r="D1024">
        <v>10</v>
      </c>
      <c r="E1024">
        <v>5</v>
      </c>
      <c r="F1024" t="s">
        <v>10354</v>
      </c>
      <c r="G1024" t="b">
        <v>1</v>
      </c>
      <c r="H1024">
        <v>4</v>
      </c>
    </row>
    <row r="1025" spans="1:8">
      <c r="A1025" t="s">
        <v>5422</v>
      </c>
      <c r="B1025" s="4">
        <v>45804</v>
      </c>
      <c r="C1025">
        <v>2025</v>
      </c>
      <c r="D1025">
        <v>5</v>
      </c>
      <c r="E1025">
        <v>27</v>
      </c>
      <c r="F1025" t="s">
        <v>10353</v>
      </c>
      <c r="G1025" t="b">
        <v>0</v>
      </c>
      <c r="H1025">
        <v>2</v>
      </c>
    </row>
    <row r="1026" spans="1:8">
      <c r="A1026" t="s">
        <v>5428</v>
      </c>
      <c r="B1026" s="4">
        <v>45844</v>
      </c>
      <c r="C1026">
        <v>2025</v>
      </c>
      <c r="D1026">
        <v>7</v>
      </c>
      <c r="E1026">
        <v>6</v>
      </c>
      <c r="F1026" t="s">
        <v>10355</v>
      </c>
      <c r="G1026" t="b">
        <v>1</v>
      </c>
      <c r="H1026">
        <v>3</v>
      </c>
    </row>
    <row r="1027" spans="1:8">
      <c r="A1027" t="s">
        <v>5433</v>
      </c>
      <c r="B1027" s="4">
        <v>45797</v>
      </c>
      <c r="C1027">
        <v>2025</v>
      </c>
      <c r="D1027">
        <v>5</v>
      </c>
      <c r="E1027">
        <v>20</v>
      </c>
      <c r="F1027" t="s">
        <v>10353</v>
      </c>
      <c r="G1027" t="b">
        <v>0</v>
      </c>
      <c r="H1027">
        <v>2</v>
      </c>
    </row>
    <row r="1028" spans="1:8">
      <c r="A1028" t="s">
        <v>5438</v>
      </c>
      <c r="B1028" s="4">
        <v>45740</v>
      </c>
      <c r="C1028">
        <v>2025</v>
      </c>
      <c r="D1028">
        <v>3</v>
      </c>
      <c r="E1028">
        <v>24</v>
      </c>
      <c r="F1028" t="s">
        <v>10356</v>
      </c>
      <c r="G1028" t="b">
        <v>0</v>
      </c>
      <c r="H1028">
        <v>1</v>
      </c>
    </row>
    <row r="1029" spans="1:8">
      <c r="A1029" t="s">
        <v>5443</v>
      </c>
      <c r="B1029" s="4">
        <v>45374</v>
      </c>
      <c r="C1029">
        <v>2024</v>
      </c>
      <c r="D1029">
        <v>3</v>
      </c>
      <c r="E1029">
        <v>23</v>
      </c>
      <c r="F1029" t="s">
        <v>10354</v>
      </c>
      <c r="G1029" t="b">
        <v>1</v>
      </c>
      <c r="H1029">
        <v>1</v>
      </c>
    </row>
    <row r="1030" spans="1:8">
      <c r="A1030" t="s">
        <v>5448</v>
      </c>
      <c r="B1030" s="4">
        <v>45904</v>
      </c>
      <c r="C1030">
        <v>2025</v>
      </c>
      <c r="D1030">
        <v>9</v>
      </c>
      <c r="E1030">
        <v>4</v>
      </c>
      <c r="F1030" t="s">
        <v>10350</v>
      </c>
      <c r="G1030" t="b">
        <v>0</v>
      </c>
      <c r="H1030">
        <v>3</v>
      </c>
    </row>
    <row r="1031" spans="1:8">
      <c r="A1031" t="s">
        <v>5453</v>
      </c>
      <c r="B1031" s="4">
        <v>45332</v>
      </c>
      <c r="C1031">
        <v>2024</v>
      </c>
      <c r="D1031">
        <v>2</v>
      </c>
      <c r="E1031">
        <v>10</v>
      </c>
      <c r="F1031" t="s">
        <v>10354</v>
      </c>
      <c r="G1031" t="b">
        <v>1</v>
      </c>
      <c r="H1031">
        <v>1</v>
      </c>
    </row>
    <row r="1032" spans="1:8">
      <c r="A1032" t="s">
        <v>5458</v>
      </c>
      <c r="B1032" s="4">
        <v>45734</v>
      </c>
      <c r="C1032">
        <v>2025</v>
      </c>
      <c r="D1032">
        <v>3</v>
      </c>
      <c r="E1032">
        <v>18</v>
      </c>
      <c r="F1032" t="s">
        <v>10353</v>
      </c>
      <c r="G1032" t="b">
        <v>0</v>
      </c>
      <c r="H1032">
        <v>1</v>
      </c>
    </row>
    <row r="1033" spans="1:8">
      <c r="A1033" t="s">
        <v>5463</v>
      </c>
      <c r="B1033" s="4">
        <v>45622</v>
      </c>
      <c r="C1033">
        <v>2024</v>
      </c>
      <c r="D1033">
        <v>11</v>
      </c>
      <c r="E1033">
        <v>26</v>
      </c>
      <c r="F1033" t="s">
        <v>10353</v>
      </c>
      <c r="G1033" t="b">
        <v>0</v>
      </c>
      <c r="H1033">
        <v>4</v>
      </c>
    </row>
    <row r="1034" spans="1:8">
      <c r="A1034" t="s">
        <v>5468</v>
      </c>
      <c r="B1034" s="4">
        <v>45910</v>
      </c>
      <c r="C1034">
        <v>2025</v>
      </c>
      <c r="D1034">
        <v>9</v>
      </c>
      <c r="E1034">
        <v>10</v>
      </c>
      <c r="F1034" t="s">
        <v>10351</v>
      </c>
      <c r="G1034" t="b">
        <v>0</v>
      </c>
      <c r="H1034">
        <v>3</v>
      </c>
    </row>
    <row r="1035" spans="1:8">
      <c r="A1035" t="s">
        <v>5473</v>
      </c>
      <c r="B1035" s="4">
        <v>45548</v>
      </c>
      <c r="C1035">
        <v>2024</v>
      </c>
      <c r="D1035">
        <v>9</v>
      </c>
      <c r="E1035">
        <v>13</v>
      </c>
      <c r="F1035" t="s">
        <v>10352</v>
      </c>
      <c r="G1035" t="b">
        <v>0</v>
      </c>
      <c r="H1035">
        <v>3</v>
      </c>
    </row>
    <row r="1036" spans="1:8">
      <c r="A1036" t="s">
        <v>5478</v>
      </c>
      <c r="B1036" s="4">
        <v>45318</v>
      </c>
      <c r="C1036">
        <v>2024</v>
      </c>
      <c r="D1036">
        <v>1</v>
      </c>
      <c r="E1036">
        <v>27</v>
      </c>
      <c r="F1036" t="s">
        <v>10354</v>
      </c>
      <c r="G1036" t="b">
        <v>1</v>
      </c>
      <c r="H1036">
        <v>1</v>
      </c>
    </row>
    <row r="1037" spans="1:8">
      <c r="A1037" t="s">
        <v>5483</v>
      </c>
      <c r="B1037" s="4">
        <v>45385</v>
      </c>
      <c r="C1037">
        <v>2024</v>
      </c>
      <c r="D1037">
        <v>4</v>
      </c>
      <c r="E1037">
        <v>3</v>
      </c>
      <c r="F1037" t="s">
        <v>10351</v>
      </c>
      <c r="G1037" t="b">
        <v>0</v>
      </c>
      <c r="H1037">
        <v>2</v>
      </c>
    </row>
    <row r="1038" spans="1:8">
      <c r="A1038" t="s">
        <v>5488</v>
      </c>
      <c r="B1038" s="4">
        <v>45526</v>
      </c>
      <c r="C1038">
        <v>2024</v>
      </c>
      <c r="D1038">
        <v>8</v>
      </c>
      <c r="E1038">
        <v>22</v>
      </c>
      <c r="F1038" t="s">
        <v>10350</v>
      </c>
      <c r="G1038" t="b">
        <v>0</v>
      </c>
      <c r="H1038">
        <v>3</v>
      </c>
    </row>
    <row r="1039" spans="1:8">
      <c r="A1039" t="s">
        <v>5493</v>
      </c>
      <c r="B1039" s="4">
        <v>45982</v>
      </c>
      <c r="C1039">
        <v>2025</v>
      </c>
      <c r="D1039">
        <v>11</v>
      </c>
      <c r="E1039">
        <v>21</v>
      </c>
      <c r="F1039" t="s">
        <v>10352</v>
      </c>
      <c r="G1039" t="b">
        <v>0</v>
      </c>
      <c r="H1039">
        <v>4</v>
      </c>
    </row>
    <row r="1040" spans="1:8">
      <c r="A1040" t="s">
        <v>5498</v>
      </c>
      <c r="B1040" s="4">
        <v>45881</v>
      </c>
      <c r="C1040">
        <v>2025</v>
      </c>
      <c r="D1040">
        <v>8</v>
      </c>
      <c r="E1040">
        <v>12</v>
      </c>
      <c r="F1040" t="s">
        <v>10353</v>
      </c>
      <c r="G1040" t="b">
        <v>0</v>
      </c>
      <c r="H1040">
        <v>3</v>
      </c>
    </row>
    <row r="1041" spans="1:8">
      <c r="A1041" t="s">
        <v>5503</v>
      </c>
      <c r="B1041" s="4">
        <v>45893</v>
      </c>
      <c r="C1041">
        <v>2025</v>
      </c>
      <c r="D1041">
        <v>8</v>
      </c>
      <c r="E1041">
        <v>24</v>
      </c>
      <c r="F1041" t="s">
        <v>10355</v>
      </c>
      <c r="G1041" t="b">
        <v>1</v>
      </c>
      <c r="H1041">
        <v>3</v>
      </c>
    </row>
    <row r="1042" spans="1:8">
      <c r="A1042" t="s">
        <v>5508</v>
      </c>
      <c r="B1042" s="4">
        <v>45313</v>
      </c>
      <c r="C1042">
        <v>2024</v>
      </c>
      <c r="D1042">
        <v>1</v>
      </c>
      <c r="E1042">
        <v>22</v>
      </c>
      <c r="F1042" t="s">
        <v>10356</v>
      </c>
      <c r="G1042" t="b">
        <v>0</v>
      </c>
      <c r="H1042">
        <v>1</v>
      </c>
    </row>
    <row r="1043" spans="1:8">
      <c r="A1043" t="s">
        <v>5513</v>
      </c>
      <c r="B1043" s="4">
        <v>45980</v>
      </c>
      <c r="C1043">
        <v>2025</v>
      </c>
      <c r="D1043">
        <v>11</v>
      </c>
      <c r="E1043">
        <v>19</v>
      </c>
      <c r="F1043" t="s">
        <v>10351</v>
      </c>
      <c r="G1043" t="b">
        <v>0</v>
      </c>
      <c r="H1043">
        <v>4</v>
      </c>
    </row>
    <row r="1044" spans="1:8">
      <c r="A1044" t="s">
        <v>5518</v>
      </c>
      <c r="B1044" s="4">
        <v>45567</v>
      </c>
      <c r="C1044">
        <v>2024</v>
      </c>
      <c r="D1044">
        <v>10</v>
      </c>
      <c r="E1044">
        <v>2</v>
      </c>
      <c r="F1044" t="s">
        <v>10351</v>
      </c>
      <c r="G1044" t="b">
        <v>0</v>
      </c>
      <c r="H1044">
        <v>4</v>
      </c>
    </row>
    <row r="1045" spans="1:8">
      <c r="A1045" t="s">
        <v>5523</v>
      </c>
      <c r="B1045" s="4">
        <v>45882</v>
      </c>
      <c r="C1045">
        <v>2025</v>
      </c>
      <c r="D1045">
        <v>8</v>
      </c>
      <c r="E1045">
        <v>13</v>
      </c>
      <c r="F1045" t="s">
        <v>10351</v>
      </c>
      <c r="G1045" t="b">
        <v>0</v>
      </c>
      <c r="H1045">
        <v>3</v>
      </c>
    </row>
    <row r="1046" spans="1:8">
      <c r="A1046" t="s">
        <v>5528</v>
      </c>
      <c r="B1046" s="4">
        <v>45333</v>
      </c>
      <c r="C1046">
        <v>2024</v>
      </c>
      <c r="D1046">
        <v>2</v>
      </c>
      <c r="E1046">
        <v>11</v>
      </c>
      <c r="F1046" t="s">
        <v>10355</v>
      </c>
      <c r="G1046" t="b">
        <v>1</v>
      </c>
      <c r="H1046">
        <v>1</v>
      </c>
    </row>
    <row r="1047" spans="1:8">
      <c r="A1047" t="s">
        <v>5533</v>
      </c>
      <c r="B1047" s="4">
        <v>45471</v>
      </c>
      <c r="C1047">
        <v>2024</v>
      </c>
      <c r="D1047">
        <v>6</v>
      </c>
      <c r="E1047">
        <v>28</v>
      </c>
      <c r="F1047" t="s">
        <v>10352</v>
      </c>
      <c r="G1047" t="b">
        <v>0</v>
      </c>
      <c r="H1047">
        <v>2</v>
      </c>
    </row>
    <row r="1048" spans="1:8">
      <c r="A1048" t="s">
        <v>5538</v>
      </c>
      <c r="B1048" s="4">
        <v>45773</v>
      </c>
      <c r="C1048">
        <v>2025</v>
      </c>
      <c r="D1048">
        <v>4</v>
      </c>
      <c r="E1048">
        <v>26</v>
      </c>
      <c r="F1048" t="s">
        <v>10354</v>
      </c>
      <c r="G1048" t="b">
        <v>1</v>
      </c>
      <c r="H1048">
        <v>2</v>
      </c>
    </row>
    <row r="1049" spans="1:8">
      <c r="A1049" t="s">
        <v>5543</v>
      </c>
      <c r="B1049" s="4">
        <v>45823</v>
      </c>
      <c r="C1049">
        <v>2025</v>
      </c>
      <c r="D1049">
        <v>6</v>
      </c>
      <c r="E1049">
        <v>15</v>
      </c>
      <c r="F1049" t="s">
        <v>10355</v>
      </c>
      <c r="G1049" t="b">
        <v>1</v>
      </c>
      <c r="H1049">
        <v>2</v>
      </c>
    </row>
    <row r="1050" spans="1:8">
      <c r="A1050" t="s">
        <v>5548</v>
      </c>
      <c r="B1050" s="4">
        <v>45959</v>
      </c>
      <c r="C1050">
        <v>2025</v>
      </c>
      <c r="D1050">
        <v>10</v>
      </c>
      <c r="E1050">
        <v>29</v>
      </c>
      <c r="F1050" t="s">
        <v>10351</v>
      </c>
      <c r="G1050" t="b">
        <v>0</v>
      </c>
      <c r="H1050">
        <v>4</v>
      </c>
    </row>
    <row r="1051" spans="1:8">
      <c r="A1051" t="s">
        <v>5553</v>
      </c>
      <c r="B1051" s="4">
        <v>45744</v>
      </c>
      <c r="C1051">
        <v>2025</v>
      </c>
      <c r="D1051">
        <v>3</v>
      </c>
      <c r="E1051">
        <v>28</v>
      </c>
      <c r="F1051" t="s">
        <v>10352</v>
      </c>
      <c r="G1051" t="b">
        <v>0</v>
      </c>
      <c r="H1051">
        <v>1</v>
      </c>
    </row>
    <row r="1052" spans="1:8">
      <c r="A1052" t="s">
        <v>5558</v>
      </c>
      <c r="B1052" s="4">
        <v>45576</v>
      </c>
      <c r="C1052">
        <v>2024</v>
      </c>
      <c r="D1052">
        <v>10</v>
      </c>
      <c r="E1052">
        <v>11</v>
      </c>
      <c r="F1052" t="s">
        <v>10352</v>
      </c>
      <c r="G1052" t="b">
        <v>0</v>
      </c>
      <c r="H1052">
        <v>4</v>
      </c>
    </row>
    <row r="1053" spans="1:8">
      <c r="A1053" t="s">
        <v>5563</v>
      </c>
      <c r="B1053" s="4">
        <v>45477</v>
      </c>
      <c r="C1053">
        <v>2024</v>
      </c>
      <c r="D1053">
        <v>7</v>
      </c>
      <c r="E1053">
        <v>4</v>
      </c>
      <c r="F1053" t="s">
        <v>10350</v>
      </c>
      <c r="G1053" t="b">
        <v>0</v>
      </c>
      <c r="H1053">
        <v>3</v>
      </c>
    </row>
    <row r="1054" spans="1:8">
      <c r="A1054" t="s">
        <v>5568</v>
      </c>
      <c r="B1054" s="4">
        <v>45891</v>
      </c>
      <c r="C1054">
        <v>2025</v>
      </c>
      <c r="D1054">
        <v>8</v>
      </c>
      <c r="E1054">
        <v>22</v>
      </c>
      <c r="F1054" t="s">
        <v>10352</v>
      </c>
      <c r="G1054" t="b">
        <v>0</v>
      </c>
      <c r="H1054">
        <v>3</v>
      </c>
    </row>
    <row r="1055" spans="1:8">
      <c r="A1055" t="s">
        <v>5573</v>
      </c>
      <c r="B1055" s="4">
        <v>45738</v>
      </c>
      <c r="C1055">
        <v>2025</v>
      </c>
      <c r="D1055">
        <v>3</v>
      </c>
      <c r="E1055">
        <v>22</v>
      </c>
      <c r="F1055" t="s">
        <v>10354</v>
      </c>
      <c r="G1055" t="b">
        <v>1</v>
      </c>
      <c r="H1055">
        <v>1</v>
      </c>
    </row>
    <row r="1056" spans="1:8">
      <c r="A1056" t="s">
        <v>5578</v>
      </c>
      <c r="B1056" s="4">
        <v>45942</v>
      </c>
      <c r="C1056">
        <v>2025</v>
      </c>
      <c r="D1056">
        <v>10</v>
      </c>
      <c r="E1056">
        <v>12</v>
      </c>
      <c r="F1056" t="s">
        <v>10355</v>
      </c>
      <c r="G1056" t="b">
        <v>1</v>
      </c>
      <c r="H1056">
        <v>4</v>
      </c>
    </row>
    <row r="1057" spans="1:8">
      <c r="A1057" t="s">
        <v>5583</v>
      </c>
      <c r="B1057" s="4">
        <v>45795</v>
      </c>
      <c r="C1057">
        <v>2025</v>
      </c>
      <c r="D1057">
        <v>5</v>
      </c>
      <c r="E1057">
        <v>18</v>
      </c>
      <c r="F1057" t="s">
        <v>10355</v>
      </c>
      <c r="G1057" t="b">
        <v>1</v>
      </c>
      <c r="H1057">
        <v>2</v>
      </c>
    </row>
    <row r="1058" spans="1:8">
      <c r="A1058" t="s">
        <v>5588</v>
      </c>
      <c r="B1058" s="4">
        <v>45385</v>
      </c>
      <c r="C1058">
        <v>2024</v>
      </c>
      <c r="D1058">
        <v>4</v>
      </c>
      <c r="E1058">
        <v>3</v>
      </c>
      <c r="F1058" t="s">
        <v>10351</v>
      </c>
      <c r="G1058" t="b">
        <v>0</v>
      </c>
      <c r="H1058">
        <v>2</v>
      </c>
    </row>
    <row r="1059" spans="1:8">
      <c r="A1059" t="s">
        <v>5593</v>
      </c>
      <c r="B1059" s="4">
        <v>45773</v>
      </c>
      <c r="C1059">
        <v>2025</v>
      </c>
      <c r="D1059">
        <v>4</v>
      </c>
      <c r="E1059">
        <v>26</v>
      </c>
      <c r="F1059" t="s">
        <v>10354</v>
      </c>
      <c r="G1059" t="b">
        <v>1</v>
      </c>
      <c r="H1059">
        <v>2</v>
      </c>
    </row>
    <row r="1060" spans="1:8">
      <c r="A1060" t="s">
        <v>5598</v>
      </c>
      <c r="B1060" s="4">
        <v>45648</v>
      </c>
      <c r="C1060">
        <v>2024</v>
      </c>
      <c r="D1060">
        <v>12</v>
      </c>
      <c r="E1060">
        <v>22</v>
      </c>
      <c r="F1060" t="s">
        <v>10355</v>
      </c>
      <c r="G1060" t="b">
        <v>1</v>
      </c>
      <c r="H1060">
        <v>4</v>
      </c>
    </row>
    <row r="1061" spans="1:8">
      <c r="A1061" t="s">
        <v>5603</v>
      </c>
      <c r="B1061" s="4">
        <v>45710</v>
      </c>
      <c r="C1061">
        <v>2025</v>
      </c>
      <c r="D1061">
        <v>2</v>
      </c>
      <c r="E1061">
        <v>22</v>
      </c>
      <c r="F1061" t="s">
        <v>10354</v>
      </c>
      <c r="G1061" t="b">
        <v>1</v>
      </c>
      <c r="H1061">
        <v>1</v>
      </c>
    </row>
    <row r="1062" spans="1:8">
      <c r="A1062" t="s">
        <v>5608</v>
      </c>
      <c r="B1062" s="4">
        <v>45633</v>
      </c>
      <c r="C1062">
        <v>2024</v>
      </c>
      <c r="D1062">
        <v>12</v>
      </c>
      <c r="E1062">
        <v>7</v>
      </c>
      <c r="F1062" t="s">
        <v>10354</v>
      </c>
      <c r="G1062" t="b">
        <v>1</v>
      </c>
      <c r="H1062">
        <v>4</v>
      </c>
    </row>
    <row r="1063" spans="1:8">
      <c r="A1063" t="s">
        <v>5613</v>
      </c>
      <c r="B1063" s="4">
        <v>45620</v>
      </c>
      <c r="C1063">
        <v>2024</v>
      </c>
      <c r="D1063">
        <v>11</v>
      </c>
      <c r="E1063">
        <v>24</v>
      </c>
      <c r="F1063" t="s">
        <v>10355</v>
      </c>
      <c r="G1063" t="b">
        <v>1</v>
      </c>
      <c r="H1063">
        <v>4</v>
      </c>
    </row>
    <row r="1064" spans="1:8">
      <c r="A1064" t="s">
        <v>5618</v>
      </c>
      <c r="B1064" s="4">
        <v>45978</v>
      </c>
      <c r="C1064">
        <v>2025</v>
      </c>
      <c r="D1064">
        <v>11</v>
      </c>
      <c r="E1064">
        <v>17</v>
      </c>
      <c r="F1064" t="s">
        <v>10356</v>
      </c>
      <c r="G1064" t="b">
        <v>0</v>
      </c>
      <c r="H1064">
        <v>4</v>
      </c>
    </row>
    <row r="1065" spans="1:8">
      <c r="A1065" t="s">
        <v>5623</v>
      </c>
      <c r="B1065" s="4">
        <v>45399</v>
      </c>
      <c r="C1065">
        <v>2024</v>
      </c>
      <c r="D1065">
        <v>4</v>
      </c>
      <c r="E1065">
        <v>17</v>
      </c>
      <c r="F1065" t="s">
        <v>10351</v>
      </c>
      <c r="G1065" t="b">
        <v>0</v>
      </c>
      <c r="H1065">
        <v>2</v>
      </c>
    </row>
    <row r="1066" spans="1:8">
      <c r="A1066" t="s">
        <v>5628</v>
      </c>
      <c r="B1066" s="4">
        <v>45456</v>
      </c>
      <c r="C1066">
        <v>2024</v>
      </c>
      <c r="D1066">
        <v>6</v>
      </c>
      <c r="E1066">
        <v>13</v>
      </c>
      <c r="F1066" t="s">
        <v>10350</v>
      </c>
      <c r="G1066" t="b">
        <v>0</v>
      </c>
      <c r="H1066">
        <v>2</v>
      </c>
    </row>
    <row r="1067" spans="1:8">
      <c r="A1067" t="s">
        <v>5633</v>
      </c>
      <c r="B1067" s="4">
        <v>45629</v>
      </c>
      <c r="C1067">
        <v>2024</v>
      </c>
      <c r="D1067">
        <v>12</v>
      </c>
      <c r="E1067">
        <v>3</v>
      </c>
      <c r="F1067" t="s">
        <v>10353</v>
      </c>
      <c r="G1067" t="b">
        <v>0</v>
      </c>
      <c r="H1067">
        <v>4</v>
      </c>
    </row>
    <row r="1068" spans="1:8">
      <c r="A1068" t="s">
        <v>5638</v>
      </c>
      <c r="B1068" s="4">
        <v>45713</v>
      </c>
      <c r="C1068">
        <v>2025</v>
      </c>
      <c r="D1068">
        <v>2</v>
      </c>
      <c r="E1068">
        <v>25</v>
      </c>
      <c r="F1068" t="s">
        <v>10353</v>
      </c>
      <c r="G1068" t="b">
        <v>0</v>
      </c>
      <c r="H1068">
        <v>1</v>
      </c>
    </row>
    <row r="1069" spans="1:8">
      <c r="A1069" t="s">
        <v>5643</v>
      </c>
      <c r="B1069" s="4">
        <v>46002</v>
      </c>
      <c r="C1069">
        <v>2025</v>
      </c>
      <c r="D1069">
        <v>12</v>
      </c>
      <c r="E1069">
        <v>11</v>
      </c>
      <c r="F1069" t="s">
        <v>10350</v>
      </c>
      <c r="G1069" t="b">
        <v>0</v>
      </c>
      <c r="H1069">
        <v>4</v>
      </c>
    </row>
    <row r="1070" spans="1:8">
      <c r="A1070" t="s">
        <v>5648</v>
      </c>
      <c r="B1070" s="4">
        <v>45799</v>
      </c>
      <c r="C1070">
        <v>2025</v>
      </c>
      <c r="D1070">
        <v>5</v>
      </c>
      <c r="E1070">
        <v>22</v>
      </c>
      <c r="F1070" t="s">
        <v>10350</v>
      </c>
      <c r="G1070" t="b">
        <v>0</v>
      </c>
      <c r="H1070">
        <v>2</v>
      </c>
    </row>
    <row r="1071" spans="1:8">
      <c r="A1071" t="s">
        <v>5653</v>
      </c>
      <c r="B1071" s="4">
        <v>45587</v>
      </c>
      <c r="C1071">
        <v>2024</v>
      </c>
      <c r="D1071">
        <v>10</v>
      </c>
      <c r="E1071">
        <v>22</v>
      </c>
      <c r="F1071" t="s">
        <v>10353</v>
      </c>
      <c r="G1071" t="b">
        <v>0</v>
      </c>
      <c r="H1071">
        <v>4</v>
      </c>
    </row>
    <row r="1072" spans="1:8">
      <c r="A1072" t="s">
        <v>5658</v>
      </c>
      <c r="B1072" s="4">
        <v>45970</v>
      </c>
      <c r="C1072">
        <v>2025</v>
      </c>
      <c r="D1072">
        <v>11</v>
      </c>
      <c r="E1072">
        <v>9</v>
      </c>
      <c r="F1072" t="s">
        <v>10355</v>
      </c>
      <c r="G1072" t="b">
        <v>1</v>
      </c>
      <c r="H1072">
        <v>4</v>
      </c>
    </row>
    <row r="1073" spans="1:8">
      <c r="A1073" t="s">
        <v>5663</v>
      </c>
      <c r="B1073" s="4">
        <v>45702</v>
      </c>
      <c r="C1073">
        <v>2025</v>
      </c>
      <c r="D1073">
        <v>2</v>
      </c>
      <c r="E1073">
        <v>14</v>
      </c>
      <c r="F1073" t="s">
        <v>10352</v>
      </c>
      <c r="G1073" t="b">
        <v>0</v>
      </c>
      <c r="H1073">
        <v>1</v>
      </c>
    </row>
    <row r="1074" spans="1:8">
      <c r="A1074" t="s">
        <v>5668</v>
      </c>
      <c r="B1074" s="4">
        <v>45855</v>
      </c>
      <c r="C1074">
        <v>2025</v>
      </c>
      <c r="D1074">
        <v>7</v>
      </c>
      <c r="E1074">
        <v>17</v>
      </c>
      <c r="F1074" t="s">
        <v>10350</v>
      </c>
      <c r="G1074" t="b">
        <v>0</v>
      </c>
      <c r="H1074">
        <v>3</v>
      </c>
    </row>
    <row r="1075" spans="1:8">
      <c r="A1075" t="s">
        <v>5673</v>
      </c>
      <c r="B1075" s="4">
        <v>45329</v>
      </c>
      <c r="C1075">
        <v>2024</v>
      </c>
      <c r="D1075">
        <v>2</v>
      </c>
      <c r="E1075">
        <v>7</v>
      </c>
      <c r="F1075" t="s">
        <v>10351</v>
      </c>
      <c r="G1075" t="b">
        <v>0</v>
      </c>
      <c r="H1075">
        <v>1</v>
      </c>
    </row>
    <row r="1076" spans="1:8">
      <c r="A1076" t="s">
        <v>5678</v>
      </c>
      <c r="B1076" s="4">
        <v>45757</v>
      </c>
      <c r="C1076">
        <v>2025</v>
      </c>
      <c r="D1076">
        <v>4</v>
      </c>
      <c r="E1076">
        <v>10</v>
      </c>
      <c r="F1076" t="s">
        <v>10350</v>
      </c>
      <c r="G1076" t="b">
        <v>0</v>
      </c>
      <c r="H1076">
        <v>2</v>
      </c>
    </row>
    <row r="1077" spans="1:8">
      <c r="A1077" t="s">
        <v>5683</v>
      </c>
      <c r="B1077" s="4">
        <v>45382</v>
      </c>
      <c r="C1077">
        <v>2024</v>
      </c>
      <c r="D1077">
        <v>3</v>
      </c>
      <c r="E1077">
        <v>31</v>
      </c>
      <c r="F1077" t="s">
        <v>10355</v>
      </c>
      <c r="G1077" t="b">
        <v>1</v>
      </c>
      <c r="H1077">
        <v>1</v>
      </c>
    </row>
    <row r="1078" spans="1:8">
      <c r="A1078" t="s">
        <v>5688</v>
      </c>
      <c r="B1078" s="4">
        <v>45614</v>
      </c>
      <c r="C1078">
        <v>2024</v>
      </c>
      <c r="D1078">
        <v>11</v>
      </c>
      <c r="E1078">
        <v>18</v>
      </c>
      <c r="F1078" t="s">
        <v>10356</v>
      </c>
      <c r="G1078" t="b">
        <v>0</v>
      </c>
      <c r="H1078">
        <v>4</v>
      </c>
    </row>
    <row r="1079" spans="1:8">
      <c r="A1079" t="s">
        <v>5693</v>
      </c>
      <c r="B1079" s="4">
        <v>45550</v>
      </c>
      <c r="C1079">
        <v>2024</v>
      </c>
      <c r="D1079">
        <v>9</v>
      </c>
      <c r="E1079">
        <v>15</v>
      </c>
      <c r="F1079" t="s">
        <v>10355</v>
      </c>
      <c r="G1079" t="b">
        <v>1</v>
      </c>
      <c r="H1079">
        <v>3</v>
      </c>
    </row>
    <row r="1080" spans="1:8">
      <c r="A1080" t="s">
        <v>5698</v>
      </c>
      <c r="B1080" s="4">
        <v>45623</v>
      </c>
      <c r="C1080">
        <v>2024</v>
      </c>
      <c r="D1080">
        <v>11</v>
      </c>
      <c r="E1080">
        <v>27</v>
      </c>
      <c r="F1080" t="s">
        <v>10351</v>
      </c>
      <c r="G1080" t="b">
        <v>0</v>
      </c>
      <c r="H1080">
        <v>4</v>
      </c>
    </row>
    <row r="1081" spans="1:8">
      <c r="A1081" t="s">
        <v>5703</v>
      </c>
      <c r="B1081" s="4">
        <v>45410</v>
      </c>
      <c r="C1081">
        <v>2024</v>
      </c>
      <c r="D1081">
        <v>4</v>
      </c>
      <c r="E1081">
        <v>28</v>
      </c>
      <c r="F1081" t="s">
        <v>10355</v>
      </c>
      <c r="G1081" t="b">
        <v>1</v>
      </c>
      <c r="H1081">
        <v>2</v>
      </c>
    </row>
    <row r="1082" spans="1:8">
      <c r="A1082" t="s">
        <v>5708</v>
      </c>
      <c r="B1082" s="4">
        <v>45705</v>
      </c>
      <c r="C1082">
        <v>2025</v>
      </c>
      <c r="D1082">
        <v>2</v>
      </c>
      <c r="E1082">
        <v>17</v>
      </c>
      <c r="F1082" t="s">
        <v>10356</v>
      </c>
      <c r="G1082" t="b">
        <v>0</v>
      </c>
      <c r="H1082">
        <v>1</v>
      </c>
    </row>
    <row r="1083" spans="1:8">
      <c r="A1083" t="s">
        <v>5713</v>
      </c>
      <c r="B1083" s="4">
        <v>45818</v>
      </c>
      <c r="C1083">
        <v>2025</v>
      </c>
      <c r="D1083">
        <v>6</v>
      </c>
      <c r="E1083">
        <v>10</v>
      </c>
      <c r="F1083" t="s">
        <v>10353</v>
      </c>
      <c r="G1083" t="b">
        <v>0</v>
      </c>
      <c r="H1083">
        <v>2</v>
      </c>
    </row>
    <row r="1084" spans="1:8">
      <c r="A1084" t="s">
        <v>5718</v>
      </c>
      <c r="B1084" s="4">
        <v>45293</v>
      </c>
      <c r="C1084">
        <v>2024</v>
      </c>
      <c r="D1084">
        <v>1</v>
      </c>
      <c r="E1084">
        <v>2</v>
      </c>
      <c r="F1084" t="s">
        <v>10353</v>
      </c>
      <c r="G1084" t="b">
        <v>0</v>
      </c>
      <c r="H1084">
        <v>1</v>
      </c>
    </row>
    <row r="1085" spans="1:8">
      <c r="A1085" t="s">
        <v>5723</v>
      </c>
      <c r="B1085" s="4">
        <v>45965</v>
      </c>
      <c r="C1085">
        <v>2025</v>
      </c>
      <c r="D1085">
        <v>11</v>
      </c>
      <c r="E1085">
        <v>4</v>
      </c>
      <c r="F1085" t="s">
        <v>10353</v>
      </c>
      <c r="G1085" t="b">
        <v>0</v>
      </c>
      <c r="H1085">
        <v>4</v>
      </c>
    </row>
    <row r="1086" spans="1:8">
      <c r="A1086" t="s">
        <v>5728</v>
      </c>
      <c r="B1086" s="4">
        <v>45847</v>
      </c>
      <c r="C1086">
        <v>2025</v>
      </c>
      <c r="D1086">
        <v>7</v>
      </c>
      <c r="E1086">
        <v>9</v>
      </c>
      <c r="F1086" t="s">
        <v>10351</v>
      </c>
      <c r="G1086" t="b">
        <v>0</v>
      </c>
      <c r="H1086">
        <v>3</v>
      </c>
    </row>
    <row r="1087" spans="1:8">
      <c r="A1087" t="s">
        <v>5733</v>
      </c>
      <c r="B1087" s="4">
        <v>45765</v>
      </c>
      <c r="C1087">
        <v>2025</v>
      </c>
      <c r="D1087">
        <v>4</v>
      </c>
      <c r="E1087">
        <v>18</v>
      </c>
      <c r="F1087" t="s">
        <v>10352</v>
      </c>
      <c r="G1087" t="b">
        <v>0</v>
      </c>
      <c r="H1087">
        <v>2</v>
      </c>
    </row>
    <row r="1088" spans="1:8">
      <c r="A1088" t="s">
        <v>5738</v>
      </c>
      <c r="B1088" s="4">
        <v>45715</v>
      </c>
      <c r="C1088">
        <v>2025</v>
      </c>
      <c r="D1088">
        <v>2</v>
      </c>
      <c r="E1088">
        <v>27</v>
      </c>
      <c r="F1088" t="s">
        <v>10350</v>
      </c>
      <c r="G1088" t="b">
        <v>0</v>
      </c>
      <c r="H1088">
        <v>1</v>
      </c>
    </row>
    <row r="1089" spans="1:8">
      <c r="A1089" t="s">
        <v>5743</v>
      </c>
      <c r="B1089" s="4">
        <v>45347</v>
      </c>
      <c r="C1089">
        <v>2024</v>
      </c>
      <c r="D1089">
        <v>2</v>
      </c>
      <c r="E1089">
        <v>25</v>
      </c>
      <c r="F1089" t="s">
        <v>10355</v>
      </c>
      <c r="G1089" t="b">
        <v>1</v>
      </c>
      <c r="H1089">
        <v>1</v>
      </c>
    </row>
    <row r="1090" spans="1:8">
      <c r="A1090" t="s">
        <v>5749</v>
      </c>
      <c r="B1090" s="4">
        <v>45484</v>
      </c>
      <c r="C1090">
        <v>2024</v>
      </c>
      <c r="D1090">
        <v>7</v>
      </c>
      <c r="E1090">
        <v>11</v>
      </c>
      <c r="F1090" t="s">
        <v>10350</v>
      </c>
      <c r="G1090" t="b">
        <v>0</v>
      </c>
      <c r="H1090">
        <v>3</v>
      </c>
    </row>
    <row r="1091" spans="1:8">
      <c r="A1091" t="s">
        <v>5754</v>
      </c>
      <c r="B1091" s="4">
        <v>45822</v>
      </c>
      <c r="C1091">
        <v>2025</v>
      </c>
      <c r="D1091">
        <v>6</v>
      </c>
      <c r="E1091">
        <v>14</v>
      </c>
      <c r="F1091" t="s">
        <v>10354</v>
      </c>
      <c r="G1091" t="b">
        <v>1</v>
      </c>
      <c r="H1091">
        <v>2</v>
      </c>
    </row>
    <row r="1092" spans="1:8">
      <c r="A1092" t="s">
        <v>5759</v>
      </c>
      <c r="B1092" s="4">
        <v>45662</v>
      </c>
      <c r="C1092">
        <v>2025</v>
      </c>
      <c r="D1092">
        <v>1</v>
      </c>
      <c r="E1092">
        <v>5</v>
      </c>
      <c r="F1092" t="s">
        <v>10355</v>
      </c>
      <c r="G1092" t="b">
        <v>1</v>
      </c>
      <c r="H1092">
        <v>1</v>
      </c>
    </row>
    <row r="1093" spans="1:8">
      <c r="A1093" t="s">
        <v>5764</v>
      </c>
      <c r="B1093" s="4">
        <v>45929</v>
      </c>
      <c r="C1093">
        <v>2025</v>
      </c>
      <c r="D1093">
        <v>9</v>
      </c>
      <c r="E1093">
        <v>29</v>
      </c>
      <c r="F1093" t="s">
        <v>10356</v>
      </c>
      <c r="G1093" t="b">
        <v>0</v>
      </c>
      <c r="H1093">
        <v>3</v>
      </c>
    </row>
    <row r="1094" spans="1:8">
      <c r="A1094" t="s">
        <v>5769</v>
      </c>
      <c r="B1094" s="4">
        <v>45802</v>
      </c>
      <c r="C1094">
        <v>2025</v>
      </c>
      <c r="D1094">
        <v>5</v>
      </c>
      <c r="E1094">
        <v>25</v>
      </c>
      <c r="F1094" t="s">
        <v>10355</v>
      </c>
      <c r="G1094" t="b">
        <v>1</v>
      </c>
      <c r="H1094">
        <v>2</v>
      </c>
    </row>
    <row r="1095" spans="1:8">
      <c r="A1095" t="s">
        <v>5774</v>
      </c>
      <c r="B1095" s="4">
        <v>45932</v>
      </c>
      <c r="C1095">
        <v>2025</v>
      </c>
      <c r="D1095">
        <v>10</v>
      </c>
      <c r="E1095">
        <v>2</v>
      </c>
      <c r="F1095" t="s">
        <v>10350</v>
      </c>
      <c r="G1095" t="b">
        <v>0</v>
      </c>
      <c r="H1095">
        <v>4</v>
      </c>
    </row>
    <row r="1096" spans="1:8">
      <c r="A1096" t="s">
        <v>5779</v>
      </c>
      <c r="B1096" s="4">
        <v>45744</v>
      </c>
      <c r="C1096">
        <v>2025</v>
      </c>
      <c r="D1096">
        <v>3</v>
      </c>
      <c r="E1096">
        <v>28</v>
      </c>
      <c r="F1096" t="s">
        <v>10352</v>
      </c>
      <c r="G1096" t="b">
        <v>0</v>
      </c>
      <c r="H1096">
        <v>1</v>
      </c>
    </row>
    <row r="1097" spans="1:8">
      <c r="A1097" t="s">
        <v>5784</v>
      </c>
      <c r="B1097" s="4">
        <v>45344</v>
      </c>
      <c r="C1097">
        <v>2024</v>
      </c>
      <c r="D1097">
        <v>2</v>
      </c>
      <c r="E1097">
        <v>22</v>
      </c>
      <c r="F1097" t="s">
        <v>10350</v>
      </c>
      <c r="G1097" t="b">
        <v>0</v>
      </c>
      <c r="H1097">
        <v>1</v>
      </c>
    </row>
    <row r="1098" spans="1:8">
      <c r="A1098" t="s">
        <v>5789</v>
      </c>
      <c r="B1098" s="4">
        <v>45500</v>
      </c>
      <c r="C1098">
        <v>2024</v>
      </c>
      <c r="D1098">
        <v>7</v>
      </c>
      <c r="E1098">
        <v>27</v>
      </c>
      <c r="F1098" t="s">
        <v>10354</v>
      </c>
      <c r="G1098" t="b">
        <v>1</v>
      </c>
      <c r="H1098">
        <v>3</v>
      </c>
    </row>
    <row r="1099" spans="1:8">
      <c r="A1099" t="s">
        <v>5794</v>
      </c>
      <c r="B1099" s="4">
        <v>45565</v>
      </c>
      <c r="C1099">
        <v>2024</v>
      </c>
      <c r="D1099">
        <v>9</v>
      </c>
      <c r="E1099">
        <v>30</v>
      </c>
      <c r="F1099" t="s">
        <v>10356</v>
      </c>
      <c r="G1099" t="b">
        <v>0</v>
      </c>
      <c r="H1099">
        <v>3</v>
      </c>
    </row>
    <row r="1100" spans="1:8">
      <c r="A1100" t="s">
        <v>5799</v>
      </c>
      <c r="B1100" s="4">
        <v>45854</v>
      </c>
      <c r="C1100">
        <v>2025</v>
      </c>
      <c r="D1100">
        <v>7</v>
      </c>
      <c r="E1100">
        <v>16</v>
      </c>
      <c r="F1100" t="s">
        <v>10351</v>
      </c>
      <c r="G1100" t="b">
        <v>0</v>
      </c>
      <c r="H1100">
        <v>3</v>
      </c>
    </row>
    <row r="1101" spans="1:8">
      <c r="A1101" t="s">
        <v>5804</v>
      </c>
      <c r="B1101" s="4">
        <v>45426</v>
      </c>
      <c r="C1101">
        <v>2024</v>
      </c>
      <c r="D1101">
        <v>5</v>
      </c>
      <c r="E1101">
        <v>14</v>
      </c>
      <c r="F1101" t="s">
        <v>10353</v>
      </c>
      <c r="G1101" t="b">
        <v>0</v>
      </c>
      <c r="H1101">
        <v>2</v>
      </c>
    </row>
    <row r="1102" spans="1:8">
      <c r="A1102" t="s">
        <v>5809</v>
      </c>
      <c r="B1102" s="4">
        <v>45586</v>
      </c>
      <c r="C1102">
        <v>2024</v>
      </c>
      <c r="D1102">
        <v>10</v>
      </c>
      <c r="E1102">
        <v>21</v>
      </c>
      <c r="F1102" t="s">
        <v>10356</v>
      </c>
      <c r="G1102" t="b">
        <v>0</v>
      </c>
      <c r="H1102">
        <v>4</v>
      </c>
    </row>
    <row r="1103" spans="1:8">
      <c r="A1103" t="s">
        <v>5814</v>
      </c>
      <c r="B1103" s="4">
        <v>45740</v>
      </c>
      <c r="C1103">
        <v>2025</v>
      </c>
      <c r="D1103">
        <v>3</v>
      </c>
      <c r="E1103">
        <v>24</v>
      </c>
      <c r="F1103" t="s">
        <v>10356</v>
      </c>
      <c r="G1103" t="b">
        <v>0</v>
      </c>
      <c r="H1103">
        <v>1</v>
      </c>
    </row>
    <row r="1104" spans="1:8">
      <c r="A1104" t="s">
        <v>5819</v>
      </c>
      <c r="B1104" s="4">
        <v>46007</v>
      </c>
      <c r="C1104">
        <v>2025</v>
      </c>
      <c r="D1104">
        <v>12</v>
      </c>
      <c r="E1104">
        <v>16</v>
      </c>
      <c r="F1104" t="s">
        <v>10353</v>
      </c>
      <c r="G1104" t="b">
        <v>0</v>
      </c>
      <c r="H1104">
        <v>4</v>
      </c>
    </row>
    <row r="1105" spans="1:8">
      <c r="A1105" t="s">
        <v>5824</v>
      </c>
      <c r="B1105" s="4">
        <v>45788</v>
      </c>
      <c r="C1105">
        <v>2025</v>
      </c>
      <c r="D1105">
        <v>5</v>
      </c>
      <c r="E1105">
        <v>11</v>
      </c>
      <c r="F1105" t="s">
        <v>10355</v>
      </c>
      <c r="G1105" t="b">
        <v>1</v>
      </c>
      <c r="H1105">
        <v>2</v>
      </c>
    </row>
    <row r="1106" spans="1:8">
      <c r="A1106" t="s">
        <v>5829</v>
      </c>
      <c r="B1106" s="4">
        <v>45416</v>
      </c>
      <c r="C1106">
        <v>2024</v>
      </c>
      <c r="D1106">
        <v>5</v>
      </c>
      <c r="E1106">
        <v>4</v>
      </c>
      <c r="F1106" t="s">
        <v>10354</v>
      </c>
      <c r="G1106" t="b">
        <v>1</v>
      </c>
      <c r="H1106">
        <v>2</v>
      </c>
    </row>
    <row r="1107" spans="1:8">
      <c r="A1107" t="s">
        <v>5834</v>
      </c>
      <c r="B1107" s="4">
        <v>45321</v>
      </c>
      <c r="C1107">
        <v>2024</v>
      </c>
      <c r="D1107">
        <v>1</v>
      </c>
      <c r="E1107">
        <v>30</v>
      </c>
      <c r="F1107" t="s">
        <v>10353</v>
      </c>
      <c r="G1107" t="b">
        <v>0</v>
      </c>
      <c r="H1107">
        <v>1</v>
      </c>
    </row>
    <row r="1108" spans="1:8">
      <c r="A1108" t="s">
        <v>5839</v>
      </c>
      <c r="B1108" s="4">
        <v>45937</v>
      </c>
      <c r="C1108">
        <v>2025</v>
      </c>
      <c r="D1108">
        <v>10</v>
      </c>
      <c r="E1108">
        <v>7</v>
      </c>
      <c r="F1108" t="s">
        <v>10353</v>
      </c>
      <c r="G1108" t="b">
        <v>0</v>
      </c>
      <c r="H1108">
        <v>4</v>
      </c>
    </row>
    <row r="1109" spans="1:8">
      <c r="A1109" t="s">
        <v>5844</v>
      </c>
      <c r="B1109" s="4">
        <v>45915</v>
      </c>
      <c r="C1109">
        <v>2025</v>
      </c>
      <c r="D1109">
        <v>9</v>
      </c>
      <c r="E1109">
        <v>15</v>
      </c>
      <c r="F1109" t="s">
        <v>10356</v>
      </c>
      <c r="G1109" t="b">
        <v>0</v>
      </c>
      <c r="H1109">
        <v>3</v>
      </c>
    </row>
    <row r="1110" spans="1:8">
      <c r="A1110" t="s">
        <v>5849</v>
      </c>
      <c r="B1110" s="4">
        <v>45537</v>
      </c>
      <c r="C1110">
        <v>2024</v>
      </c>
      <c r="D1110">
        <v>9</v>
      </c>
      <c r="E1110">
        <v>2</v>
      </c>
      <c r="F1110" t="s">
        <v>10356</v>
      </c>
      <c r="G1110" t="b">
        <v>0</v>
      </c>
      <c r="H1110">
        <v>3</v>
      </c>
    </row>
    <row r="1111" spans="1:8">
      <c r="A1111" t="s">
        <v>5854</v>
      </c>
      <c r="B1111" s="4">
        <v>46018</v>
      </c>
      <c r="C1111">
        <v>2025</v>
      </c>
      <c r="D1111">
        <v>12</v>
      </c>
      <c r="E1111">
        <v>27</v>
      </c>
      <c r="F1111" t="s">
        <v>10354</v>
      </c>
      <c r="G1111" t="b">
        <v>1</v>
      </c>
      <c r="H1111">
        <v>4</v>
      </c>
    </row>
    <row r="1112" spans="1:8">
      <c r="A1112" t="s">
        <v>5859</v>
      </c>
      <c r="B1112" s="4">
        <v>45454</v>
      </c>
      <c r="C1112">
        <v>2024</v>
      </c>
      <c r="D1112">
        <v>6</v>
      </c>
      <c r="E1112">
        <v>11</v>
      </c>
      <c r="F1112" t="s">
        <v>10353</v>
      </c>
      <c r="G1112" t="b">
        <v>0</v>
      </c>
      <c r="H1112">
        <v>2</v>
      </c>
    </row>
    <row r="1113" spans="1:8">
      <c r="A1113" t="s">
        <v>5864</v>
      </c>
      <c r="B1113" s="4">
        <v>45610</v>
      </c>
      <c r="C1113">
        <v>2024</v>
      </c>
      <c r="D1113">
        <v>11</v>
      </c>
      <c r="E1113">
        <v>14</v>
      </c>
      <c r="F1113" t="s">
        <v>10350</v>
      </c>
      <c r="G1113" t="b">
        <v>0</v>
      </c>
      <c r="H1113">
        <v>4</v>
      </c>
    </row>
    <row r="1114" spans="1:8">
      <c r="A1114" t="s">
        <v>5869</v>
      </c>
      <c r="B1114" s="4">
        <v>45856</v>
      </c>
      <c r="C1114">
        <v>2025</v>
      </c>
      <c r="D1114">
        <v>7</v>
      </c>
      <c r="E1114">
        <v>18</v>
      </c>
      <c r="F1114" t="s">
        <v>10352</v>
      </c>
      <c r="G1114" t="b">
        <v>0</v>
      </c>
      <c r="H1114">
        <v>3</v>
      </c>
    </row>
    <row r="1115" spans="1:8">
      <c r="A1115" t="s">
        <v>5874</v>
      </c>
      <c r="B1115" s="4">
        <v>45306</v>
      </c>
      <c r="C1115">
        <v>2024</v>
      </c>
      <c r="D1115">
        <v>1</v>
      </c>
      <c r="E1115">
        <v>15</v>
      </c>
      <c r="F1115" t="s">
        <v>10356</v>
      </c>
      <c r="G1115" t="b">
        <v>0</v>
      </c>
      <c r="H1115">
        <v>1</v>
      </c>
    </row>
    <row r="1116" spans="1:8">
      <c r="A1116" t="s">
        <v>5879</v>
      </c>
      <c r="B1116" s="4">
        <v>45857</v>
      </c>
      <c r="C1116">
        <v>2025</v>
      </c>
      <c r="D1116">
        <v>7</v>
      </c>
      <c r="E1116">
        <v>19</v>
      </c>
      <c r="F1116" t="s">
        <v>10354</v>
      </c>
      <c r="G1116" t="b">
        <v>1</v>
      </c>
      <c r="H1116">
        <v>3</v>
      </c>
    </row>
    <row r="1117" spans="1:8">
      <c r="A1117" t="s">
        <v>5884</v>
      </c>
      <c r="B1117" s="4">
        <v>45709</v>
      </c>
      <c r="C1117">
        <v>2025</v>
      </c>
      <c r="D1117">
        <v>2</v>
      </c>
      <c r="E1117">
        <v>21</v>
      </c>
      <c r="F1117" t="s">
        <v>10352</v>
      </c>
      <c r="G1117" t="b">
        <v>0</v>
      </c>
      <c r="H1117">
        <v>1</v>
      </c>
    </row>
    <row r="1118" spans="1:8">
      <c r="A1118" t="s">
        <v>5889</v>
      </c>
      <c r="B1118" s="4">
        <v>45387</v>
      </c>
      <c r="C1118">
        <v>2024</v>
      </c>
      <c r="D1118">
        <v>4</v>
      </c>
      <c r="E1118">
        <v>5</v>
      </c>
      <c r="F1118" t="s">
        <v>10352</v>
      </c>
      <c r="G1118" t="b">
        <v>0</v>
      </c>
      <c r="H1118">
        <v>2</v>
      </c>
    </row>
    <row r="1119" spans="1:8">
      <c r="A1119" t="s">
        <v>5894</v>
      </c>
      <c r="B1119" s="4">
        <v>45522</v>
      </c>
      <c r="C1119">
        <v>2024</v>
      </c>
      <c r="D1119">
        <v>8</v>
      </c>
      <c r="E1119">
        <v>18</v>
      </c>
      <c r="F1119" t="s">
        <v>10355</v>
      </c>
      <c r="G1119" t="b">
        <v>1</v>
      </c>
      <c r="H1119">
        <v>3</v>
      </c>
    </row>
    <row r="1120" spans="1:8">
      <c r="A1120" t="s">
        <v>5899</v>
      </c>
      <c r="B1120" s="4">
        <v>45408</v>
      </c>
      <c r="C1120">
        <v>2024</v>
      </c>
      <c r="D1120">
        <v>4</v>
      </c>
      <c r="E1120">
        <v>26</v>
      </c>
      <c r="F1120" t="s">
        <v>10352</v>
      </c>
      <c r="G1120" t="b">
        <v>0</v>
      </c>
      <c r="H1120">
        <v>2</v>
      </c>
    </row>
    <row r="1121" spans="1:8">
      <c r="A1121" t="s">
        <v>5904</v>
      </c>
      <c r="B1121" s="4">
        <v>45764</v>
      </c>
      <c r="C1121">
        <v>2025</v>
      </c>
      <c r="D1121">
        <v>4</v>
      </c>
      <c r="E1121">
        <v>17</v>
      </c>
      <c r="F1121" t="s">
        <v>10350</v>
      </c>
      <c r="G1121" t="b">
        <v>0</v>
      </c>
      <c r="H1121">
        <v>2</v>
      </c>
    </row>
    <row r="1122" spans="1:8">
      <c r="A1122" t="s">
        <v>5910</v>
      </c>
      <c r="B1122" s="4">
        <v>45412</v>
      </c>
      <c r="C1122">
        <v>2024</v>
      </c>
      <c r="D1122">
        <v>4</v>
      </c>
      <c r="E1122">
        <v>30</v>
      </c>
      <c r="F1122" t="s">
        <v>10353</v>
      </c>
      <c r="G1122" t="b">
        <v>0</v>
      </c>
      <c r="H1122">
        <v>2</v>
      </c>
    </row>
    <row r="1123" spans="1:8">
      <c r="A1123" t="s">
        <v>5915</v>
      </c>
      <c r="B1123" s="4">
        <v>45955</v>
      </c>
      <c r="C1123">
        <v>2025</v>
      </c>
      <c r="D1123">
        <v>10</v>
      </c>
      <c r="E1123">
        <v>25</v>
      </c>
      <c r="F1123" t="s">
        <v>10354</v>
      </c>
      <c r="G1123" t="b">
        <v>1</v>
      </c>
      <c r="H1123">
        <v>4</v>
      </c>
    </row>
    <row r="1124" spans="1:8">
      <c r="A1124" t="s">
        <v>5920</v>
      </c>
      <c r="B1124" s="4">
        <v>45449</v>
      </c>
      <c r="C1124">
        <v>2024</v>
      </c>
      <c r="D1124">
        <v>6</v>
      </c>
      <c r="E1124">
        <v>6</v>
      </c>
      <c r="F1124" t="s">
        <v>10350</v>
      </c>
      <c r="G1124" t="b">
        <v>0</v>
      </c>
      <c r="H1124">
        <v>2</v>
      </c>
    </row>
    <row r="1125" spans="1:8">
      <c r="A1125" t="s">
        <v>5925</v>
      </c>
      <c r="B1125" s="4">
        <v>45802</v>
      </c>
      <c r="C1125">
        <v>2025</v>
      </c>
      <c r="D1125">
        <v>5</v>
      </c>
      <c r="E1125">
        <v>25</v>
      </c>
      <c r="F1125" t="s">
        <v>10355</v>
      </c>
      <c r="G1125" t="b">
        <v>1</v>
      </c>
      <c r="H1125">
        <v>2</v>
      </c>
    </row>
    <row r="1126" spans="1:8">
      <c r="A1126" t="s">
        <v>5930</v>
      </c>
      <c r="B1126" s="4">
        <v>45590</v>
      </c>
      <c r="C1126">
        <v>2024</v>
      </c>
      <c r="D1126">
        <v>10</v>
      </c>
      <c r="E1126">
        <v>25</v>
      </c>
      <c r="F1126" t="s">
        <v>10352</v>
      </c>
      <c r="G1126" t="b">
        <v>0</v>
      </c>
      <c r="H1126">
        <v>4</v>
      </c>
    </row>
    <row r="1127" spans="1:8">
      <c r="A1127" t="s">
        <v>5935</v>
      </c>
      <c r="B1127" s="4">
        <v>45813</v>
      </c>
      <c r="C1127">
        <v>2025</v>
      </c>
      <c r="D1127">
        <v>6</v>
      </c>
      <c r="E1127">
        <v>5</v>
      </c>
      <c r="F1127" t="s">
        <v>10350</v>
      </c>
      <c r="G1127" t="b">
        <v>0</v>
      </c>
      <c r="H1127">
        <v>2</v>
      </c>
    </row>
    <row r="1128" spans="1:8">
      <c r="A1128" t="s">
        <v>5940</v>
      </c>
      <c r="B1128" s="4">
        <v>46014</v>
      </c>
      <c r="C1128">
        <v>2025</v>
      </c>
      <c r="D1128">
        <v>12</v>
      </c>
      <c r="E1128">
        <v>23</v>
      </c>
      <c r="F1128" t="s">
        <v>10353</v>
      </c>
      <c r="G1128" t="b">
        <v>0</v>
      </c>
      <c r="H1128">
        <v>4</v>
      </c>
    </row>
    <row r="1129" spans="1:8">
      <c r="A1129" t="s">
        <v>5945</v>
      </c>
      <c r="B1129" s="4">
        <v>45571</v>
      </c>
      <c r="C1129">
        <v>2024</v>
      </c>
      <c r="D1129">
        <v>10</v>
      </c>
      <c r="E1129">
        <v>6</v>
      </c>
      <c r="F1129" t="s">
        <v>10355</v>
      </c>
      <c r="G1129" t="b">
        <v>1</v>
      </c>
      <c r="H1129">
        <v>4</v>
      </c>
    </row>
    <row r="1130" spans="1:8">
      <c r="A1130" t="s">
        <v>5950</v>
      </c>
      <c r="B1130" s="4">
        <v>45717</v>
      </c>
      <c r="C1130">
        <v>2025</v>
      </c>
      <c r="D1130">
        <v>3</v>
      </c>
      <c r="E1130">
        <v>1</v>
      </c>
      <c r="F1130" t="s">
        <v>10354</v>
      </c>
      <c r="G1130" t="b">
        <v>1</v>
      </c>
      <c r="H1130">
        <v>1</v>
      </c>
    </row>
    <row r="1131" spans="1:8">
      <c r="A1131" t="s">
        <v>5955</v>
      </c>
      <c r="B1131" s="4">
        <v>45786</v>
      </c>
      <c r="C1131">
        <v>2025</v>
      </c>
      <c r="D1131">
        <v>5</v>
      </c>
      <c r="E1131">
        <v>9</v>
      </c>
      <c r="F1131" t="s">
        <v>10352</v>
      </c>
      <c r="G1131" t="b">
        <v>0</v>
      </c>
      <c r="H1131">
        <v>2</v>
      </c>
    </row>
    <row r="1132" spans="1:8">
      <c r="A1132" t="s">
        <v>5960</v>
      </c>
      <c r="B1132" s="4">
        <v>45775</v>
      </c>
      <c r="C1132">
        <v>2025</v>
      </c>
      <c r="D1132">
        <v>4</v>
      </c>
      <c r="E1132">
        <v>28</v>
      </c>
      <c r="F1132" t="s">
        <v>10356</v>
      </c>
      <c r="G1132" t="b">
        <v>0</v>
      </c>
      <c r="H1132">
        <v>2</v>
      </c>
    </row>
    <row r="1133" spans="1:8">
      <c r="A1133" t="s">
        <v>5965</v>
      </c>
      <c r="B1133" s="4">
        <v>45541</v>
      </c>
      <c r="C1133">
        <v>2024</v>
      </c>
      <c r="D1133">
        <v>9</v>
      </c>
      <c r="E1133">
        <v>6</v>
      </c>
      <c r="F1133" t="s">
        <v>10352</v>
      </c>
      <c r="G1133" t="b">
        <v>0</v>
      </c>
      <c r="H1133">
        <v>3</v>
      </c>
    </row>
    <row r="1134" spans="1:8">
      <c r="A1134" t="s">
        <v>5970</v>
      </c>
      <c r="B1134" s="4">
        <v>45759</v>
      </c>
      <c r="C1134">
        <v>2025</v>
      </c>
      <c r="D1134">
        <v>4</v>
      </c>
      <c r="E1134">
        <v>12</v>
      </c>
      <c r="F1134" t="s">
        <v>10354</v>
      </c>
      <c r="G1134" t="b">
        <v>1</v>
      </c>
      <c r="H1134">
        <v>2</v>
      </c>
    </row>
    <row r="1135" spans="1:8">
      <c r="A1135" t="s">
        <v>5975</v>
      </c>
      <c r="B1135" s="4">
        <v>45856</v>
      </c>
      <c r="C1135">
        <v>2025</v>
      </c>
      <c r="D1135">
        <v>7</v>
      </c>
      <c r="E1135">
        <v>18</v>
      </c>
      <c r="F1135" t="s">
        <v>10352</v>
      </c>
      <c r="G1135" t="b">
        <v>0</v>
      </c>
      <c r="H1135">
        <v>3</v>
      </c>
    </row>
    <row r="1136" spans="1:8">
      <c r="A1136" t="s">
        <v>5980</v>
      </c>
      <c r="B1136" s="4">
        <v>45440</v>
      </c>
      <c r="C1136">
        <v>2024</v>
      </c>
      <c r="D1136">
        <v>5</v>
      </c>
      <c r="E1136">
        <v>28</v>
      </c>
      <c r="F1136" t="s">
        <v>10353</v>
      </c>
      <c r="G1136" t="b">
        <v>0</v>
      </c>
      <c r="H1136">
        <v>2</v>
      </c>
    </row>
    <row r="1137" spans="1:8">
      <c r="A1137" t="s">
        <v>5985</v>
      </c>
      <c r="B1137" s="4">
        <v>45684</v>
      </c>
      <c r="C1137">
        <v>2025</v>
      </c>
      <c r="D1137">
        <v>1</v>
      </c>
      <c r="E1137">
        <v>27</v>
      </c>
      <c r="F1137" t="s">
        <v>10356</v>
      </c>
      <c r="G1137" t="b">
        <v>0</v>
      </c>
      <c r="H1137">
        <v>1</v>
      </c>
    </row>
    <row r="1138" spans="1:8">
      <c r="A1138" t="s">
        <v>5990</v>
      </c>
      <c r="B1138" s="4">
        <v>45487</v>
      </c>
      <c r="C1138">
        <v>2024</v>
      </c>
      <c r="D1138">
        <v>7</v>
      </c>
      <c r="E1138">
        <v>14</v>
      </c>
      <c r="F1138" t="s">
        <v>10355</v>
      </c>
      <c r="G1138" t="b">
        <v>1</v>
      </c>
      <c r="H1138">
        <v>3</v>
      </c>
    </row>
    <row r="1139" spans="1:8">
      <c r="A1139" t="s">
        <v>5995</v>
      </c>
      <c r="B1139" s="4">
        <v>45905</v>
      </c>
      <c r="C1139">
        <v>2025</v>
      </c>
      <c r="D1139">
        <v>9</v>
      </c>
      <c r="E1139">
        <v>5</v>
      </c>
      <c r="F1139" t="s">
        <v>10352</v>
      </c>
      <c r="G1139" t="b">
        <v>0</v>
      </c>
      <c r="H1139">
        <v>3</v>
      </c>
    </row>
    <row r="1140" spans="1:8">
      <c r="A1140" t="s">
        <v>6000</v>
      </c>
      <c r="B1140" s="4">
        <v>45812</v>
      </c>
      <c r="C1140">
        <v>2025</v>
      </c>
      <c r="D1140">
        <v>6</v>
      </c>
      <c r="E1140">
        <v>4</v>
      </c>
      <c r="F1140" t="s">
        <v>10351</v>
      </c>
      <c r="G1140" t="b">
        <v>0</v>
      </c>
      <c r="H1140">
        <v>2</v>
      </c>
    </row>
    <row r="1141" spans="1:8">
      <c r="A1141" t="s">
        <v>6005</v>
      </c>
      <c r="B1141" s="4">
        <v>45431</v>
      </c>
      <c r="C1141">
        <v>2024</v>
      </c>
      <c r="D1141">
        <v>5</v>
      </c>
      <c r="E1141">
        <v>19</v>
      </c>
      <c r="F1141" t="s">
        <v>10355</v>
      </c>
      <c r="G1141" t="b">
        <v>1</v>
      </c>
      <c r="H1141">
        <v>2</v>
      </c>
    </row>
    <row r="1142" spans="1:8">
      <c r="A1142" t="s">
        <v>6010</v>
      </c>
      <c r="B1142" s="4">
        <v>45363</v>
      </c>
      <c r="C1142">
        <v>2024</v>
      </c>
      <c r="D1142">
        <v>3</v>
      </c>
      <c r="E1142">
        <v>12</v>
      </c>
      <c r="F1142" t="s">
        <v>10353</v>
      </c>
      <c r="G1142" t="b">
        <v>0</v>
      </c>
      <c r="H1142">
        <v>1</v>
      </c>
    </row>
    <row r="1143" spans="1:8">
      <c r="A1143" t="s">
        <v>6015</v>
      </c>
      <c r="B1143" s="4">
        <v>45574</v>
      </c>
      <c r="C1143">
        <v>2024</v>
      </c>
      <c r="D1143">
        <v>10</v>
      </c>
      <c r="E1143">
        <v>9</v>
      </c>
      <c r="F1143" t="s">
        <v>10351</v>
      </c>
      <c r="G1143" t="b">
        <v>0</v>
      </c>
      <c r="H1143">
        <v>4</v>
      </c>
    </row>
    <row r="1144" spans="1:8">
      <c r="A1144" t="s">
        <v>6020</v>
      </c>
      <c r="B1144" s="4">
        <v>45716</v>
      </c>
      <c r="C1144">
        <v>2025</v>
      </c>
      <c r="D1144">
        <v>2</v>
      </c>
      <c r="E1144">
        <v>28</v>
      </c>
      <c r="F1144" t="s">
        <v>10352</v>
      </c>
      <c r="G1144" t="b">
        <v>0</v>
      </c>
      <c r="H1144">
        <v>1</v>
      </c>
    </row>
    <row r="1145" spans="1:8">
      <c r="A1145" t="s">
        <v>6025</v>
      </c>
      <c r="B1145" s="4">
        <v>45640</v>
      </c>
      <c r="C1145">
        <v>2024</v>
      </c>
      <c r="D1145">
        <v>12</v>
      </c>
      <c r="E1145">
        <v>14</v>
      </c>
      <c r="F1145" t="s">
        <v>10354</v>
      </c>
      <c r="G1145" t="b">
        <v>1</v>
      </c>
      <c r="H1145">
        <v>4</v>
      </c>
    </row>
    <row r="1146" spans="1:8">
      <c r="A1146" t="s">
        <v>6031</v>
      </c>
      <c r="B1146" s="4">
        <v>45811</v>
      </c>
      <c r="C1146">
        <v>2025</v>
      </c>
      <c r="D1146">
        <v>6</v>
      </c>
      <c r="E1146">
        <v>3</v>
      </c>
      <c r="F1146" t="s">
        <v>10353</v>
      </c>
      <c r="G1146" t="b">
        <v>0</v>
      </c>
      <c r="H1146">
        <v>2</v>
      </c>
    </row>
    <row r="1147" spans="1:8">
      <c r="A1147" t="s">
        <v>6036</v>
      </c>
      <c r="B1147" s="4">
        <v>45565</v>
      </c>
      <c r="C1147">
        <v>2024</v>
      </c>
      <c r="D1147">
        <v>9</v>
      </c>
      <c r="E1147">
        <v>30</v>
      </c>
      <c r="F1147" t="s">
        <v>10356</v>
      </c>
      <c r="G1147" t="b">
        <v>0</v>
      </c>
      <c r="H1147">
        <v>3</v>
      </c>
    </row>
    <row r="1148" spans="1:8">
      <c r="A1148" t="s">
        <v>6041</v>
      </c>
      <c r="B1148" s="4">
        <v>45294</v>
      </c>
      <c r="C1148">
        <v>2024</v>
      </c>
      <c r="D1148">
        <v>1</v>
      </c>
      <c r="E1148">
        <v>3</v>
      </c>
      <c r="F1148" t="s">
        <v>10351</v>
      </c>
      <c r="G1148" t="b">
        <v>0</v>
      </c>
      <c r="H1148">
        <v>1</v>
      </c>
    </row>
    <row r="1149" spans="1:8">
      <c r="A1149" t="s">
        <v>6047</v>
      </c>
      <c r="B1149" s="4">
        <v>45581</v>
      </c>
      <c r="C1149">
        <v>2024</v>
      </c>
      <c r="D1149">
        <v>10</v>
      </c>
      <c r="E1149">
        <v>16</v>
      </c>
      <c r="F1149" t="s">
        <v>10351</v>
      </c>
      <c r="G1149" t="b">
        <v>0</v>
      </c>
      <c r="H1149">
        <v>4</v>
      </c>
    </row>
    <row r="1150" spans="1:8">
      <c r="A1150" t="s">
        <v>6052</v>
      </c>
      <c r="B1150" s="4">
        <v>45597</v>
      </c>
      <c r="C1150">
        <v>2024</v>
      </c>
      <c r="D1150">
        <v>11</v>
      </c>
      <c r="E1150">
        <v>1</v>
      </c>
      <c r="F1150" t="s">
        <v>10352</v>
      </c>
      <c r="G1150" t="b">
        <v>0</v>
      </c>
      <c r="H1150">
        <v>4</v>
      </c>
    </row>
    <row r="1151" spans="1:8">
      <c r="A1151" t="s">
        <v>6057</v>
      </c>
      <c r="B1151" s="4">
        <v>45893</v>
      </c>
      <c r="C1151">
        <v>2025</v>
      </c>
      <c r="D1151">
        <v>8</v>
      </c>
      <c r="E1151">
        <v>24</v>
      </c>
      <c r="F1151" t="s">
        <v>10355</v>
      </c>
      <c r="G1151" t="b">
        <v>1</v>
      </c>
      <c r="H1151">
        <v>3</v>
      </c>
    </row>
    <row r="1152" spans="1:8">
      <c r="A1152" t="s">
        <v>6062</v>
      </c>
      <c r="B1152" s="4">
        <v>45885</v>
      </c>
      <c r="C1152">
        <v>2025</v>
      </c>
      <c r="D1152">
        <v>8</v>
      </c>
      <c r="E1152">
        <v>16</v>
      </c>
      <c r="F1152" t="s">
        <v>10354</v>
      </c>
      <c r="G1152" t="b">
        <v>1</v>
      </c>
      <c r="H1152">
        <v>3</v>
      </c>
    </row>
    <row r="1153" spans="1:8">
      <c r="A1153" t="s">
        <v>6067</v>
      </c>
      <c r="B1153" s="4">
        <v>45967</v>
      </c>
      <c r="C1153">
        <v>2025</v>
      </c>
      <c r="D1153">
        <v>11</v>
      </c>
      <c r="E1153">
        <v>6</v>
      </c>
      <c r="F1153" t="s">
        <v>10350</v>
      </c>
      <c r="G1153" t="b">
        <v>0</v>
      </c>
      <c r="H1153">
        <v>4</v>
      </c>
    </row>
    <row r="1154" spans="1:8">
      <c r="A1154" t="s">
        <v>6072</v>
      </c>
      <c r="B1154" s="4">
        <v>45793</v>
      </c>
      <c r="C1154">
        <v>2025</v>
      </c>
      <c r="D1154">
        <v>5</v>
      </c>
      <c r="E1154">
        <v>16</v>
      </c>
      <c r="F1154" t="s">
        <v>10352</v>
      </c>
      <c r="G1154" t="b">
        <v>0</v>
      </c>
      <c r="H1154">
        <v>2</v>
      </c>
    </row>
    <row r="1155" spans="1:8">
      <c r="A1155" t="s">
        <v>6077</v>
      </c>
      <c r="B1155" s="4">
        <v>45444</v>
      </c>
      <c r="C1155">
        <v>2024</v>
      </c>
      <c r="D1155">
        <v>6</v>
      </c>
      <c r="E1155">
        <v>1</v>
      </c>
      <c r="F1155" t="s">
        <v>10354</v>
      </c>
      <c r="G1155" t="b">
        <v>1</v>
      </c>
      <c r="H1155">
        <v>2</v>
      </c>
    </row>
    <row r="1156" spans="1:8">
      <c r="A1156" t="s">
        <v>6082</v>
      </c>
      <c r="B1156" s="4">
        <v>45749</v>
      </c>
      <c r="C1156">
        <v>2025</v>
      </c>
      <c r="D1156">
        <v>4</v>
      </c>
      <c r="E1156">
        <v>2</v>
      </c>
      <c r="F1156" t="s">
        <v>10351</v>
      </c>
      <c r="G1156" t="b">
        <v>0</v>
      </c>
      <c r="H1156">
        <v>2</v>
      </c>
    </row>
    <row r="1157" spans="1:8">
      <c r="A1157" t="s">
        <v>6087</v>
      </c>
      <c r="B1157" s="4">
        <v>45843</v>
      </c>
      <c r="C1157">
        <v>2025</v>
      </c>
      <c r="D1157">
        <v>7</v>
      </c>
      <c r="E1157">
        <v>5</v>
      </c>
      <c r="F1157" t="s">
        <v>10354</v>
      </c>
      <c r="G1157" t="b">
        <v>1</v>
      </c>
      <c r="H1157">
        <v>3</v>
      </c>
    </row>
    <row r="1158" spans="1:8">
      <c r="A1158" t="s">
        <v>6092</v>
      </c>
      <c r="B1158" s="4">
        <v>45787</v>
      </c>
      <c r="C1158">
        <v>2025</v>
      </c>
      <c r="D1158">
        <v>5</v>
      </c>
      <c r="E1158">
        <v>10</v>
      </c>
      <c r="F1158" t="s">
        <v>10354</v>
      </c>
      <c r="G1158" t="b">
        <v>1</v>
      </c>
      <c r="H1158">
        <v>2</v>
      </c>
    </row>
    <row r="1159" spans="1:8">
      <c r="A1159" t="s">
        <v>6097</v>
      </c>
      <c r="B1159" s="4">
        <v>45645</v>
      </c>
      <c r="C1159">
        <v>2024</v>
      </c>
      <c r="D1159">
        <v>12</v>
      </c>
      <c r="E1159">
        <v>19</v>
      </c>
      <c r="F1159" t="s">
        <v>10350</v>
      </c>
      <c r="G1159" t="b">
        <v>0</v>
      </c>
      <c r="H1159">
        <v>4</v>
      </c>
    </row>
    <row r="1160" spans="1:8">
      <c r="A1160" t="s">
        <v>6102</v>
      </c>
      <c r="B1160" s="4">
        <v>45632</v>
      </c>
      <c r="C1160">
        <v>2024</v>
      </c>
      <c r="D1160">
        <v>12</v>
      </c>
      <c r="E1160">
        <v>6</v>
      </c>
      <c r="F1160" t="s">
        <v>10352</v>
      </c>
      <c r="G1160" t="b">
        <v>0</v>
      </c>
      <c r="H1160">
        <v>4</v>
      </c>
    </row>
    <row r="1161" spans="1:8">
      <c r="A1161" t="s">
        <v>6107</v>
      </c>
      <c r="B1161" s="4">
        <v>45857</v>
      </c>
      <c r="C1161">
        <v>2025</v>
      </c>
      <c r="D1161">
        <v>7</v>
      </c>
      <c r="E1161">
        <v>19</v>
      </c>
      <c r="F1161" t="s">
        <v>10354</v>
      </c>
      <c r="G1161" t="b">
        <v>1</v>
      </c>
      <c r="H1161">
        <v>3</v>
      </c>
    </row>
    <row r="1162" spans="1:8">
      <c r="A1162" t="s">
        <v>6112</v>
      </c>
      <c r="B1162" s="4">
        <v>45848</v>
      </c>
      <c r="C1162">
        <v>2025</v>
      </c>
      <c r="D1162">
        <v>7</v>
      </c>
      <c r="E1162">
        <v>10</v>
      </c>
      <c r="F1162" t="s">
        <v>10350</v>
      </c>
      <c r="G1162" t="b">
        <v>0</v>
      </c>
      <c r="H1162">
        <v>3</v>
      </c>
    </row>
    <row r="1163" spans="1:8">
      <c r="A1163" t="s">
        <v>6117</v>
      </c>
      <c r="B1163" s="4">
        <v>45678</v>
      </c>
      <c r="C1163">
        <v>2025</v>
      </c>
      <c r="D1163">
        <v>1</v>
      </c>
      <c r="E1163">
        <v>21</v>
      </c>
      <c r="F1163" t="s">
        <v>10353</v>
      </c>
      <c r="G1163" t="b">
        <v>0</v>
      </c>
      <c r="H1163">
        <v>1</v>
      </c>
    </row>
    <row r="1164" spans="1:8">
      <c r="A1164" t="s">
        <v>6122</v>
      </c>
      <c r="B1164" s="4">
        <v>45758</v>
      </c>
      <c r="C1164">
        <v>2025</v>
      </c>
      <c r="D1164">
        <v>4</v>
      </c>
      <c r="E1164">
        <v>11</v>
      </c>
      <c r="F1164" t="s">
        <v>10352</v>
      </c>
      <c r="G1164" t="b">
        <v>0</v>
      </c>
      <c r="H1164">
        <v>2</v>
      </c>
    </row>
    <row r="1165" spans="1:8">
      <c r="A1165" t="s">
        <v>6127</v>
      </c>
      <c r="B1165" s="4">
        <v>45621</v>
      </c>
      <c r="C1165">
        <v>2024</v>
      </c>
      <c r="D1165">
        <v>11</v>
      </c>
      <c r="E1165">
        <v>25</v>
      </c>
      <c r="F1165" t="s">
        <v>10356</v>
      </c>
      <c r="G1165" t="b">
        <v>0</v>
      </c>
      <c r="H1165">
        <v>4</v>
      </c>
    </row>
    <row r="1166" spans="1:8">
      <c r="A1166" t="s">
        <v>6132</v>
      </c>
      <c r="B1166" s="4">
        <v>45485</v>
      </c>
      <c r="C1166">
        <v>2024</v>
      </c>
      <c r="D1166">
        <v>7</v>
      </c>
      <c r="E1166">
        <v>12</v>
      </c>
      <c r="F1166" t="s">
        <v>10352</v>
      </c>
      <c r="G1166" t="b">
        <v>0</v>
      </c>
      <c r="H1166">
        <v>3</v>
      </c>
    </row>
    <row r="1167" spans="1:8">
      <c r="A1167" t="s">
        <v>6138</v>
      </c>
      <c r="B1167" s="4">
        <v>46006</v>
      </c>
      <c r="C1167">
        <v>2025</v>
      </c>
      <c r="D1167">
        <v>12</v>
      </c>
      <c r="E1167">
        <v>15</v>
      </c>
      <c r="F1167" t="s">
        <v>10356</v>
      </c>
      <c r="G1167" t="b">
        <v>0</v>
      </c>
      <c r="H1167">
        <v>4</v>
      </c>
    </row>
    <row r="1168" spans="1:8">
      <c r="A1168" t="s">
        <v>6143</v>
      </c>
      <c r="B1168" s="4">
        <v>45536</v>
      </c>
      <c r="C1168">
        <v>2024</v>
      </c>
      <c r="D1168">
        <v>9</v>
      </c>
      <c r="E1168">
        <v>1</v>
      </c>
      <c r="F1168" t="s">
        <v>10355</v>
      </c>
      <c r="G1168" t="b">
        <v>1</v>
      </c>
      <c r="H1168">
        <v>3</v>
      </c>
    </row>
    <row r="1169" spans="1:8">
      <c r="A1169" t="s">
        <v>6148</v>
      </c>
      <c r="B1169" s="4">
        <v>45877</v>
      </c>
      <c r="C1169">
        <v>2025</v>
      </c>
      <c r="D1169">
        <v>8</v>
      </c>
      <c r="E1169">
        <v>8</v>
      </c>
      <c r="F1169" t="s">
        <v>10352</v>
      </c>
      <c r="G1169" t="b">
        <v>0</v>
      </c>
      <c r="H1169">
        <v>3</v>
      </c>
    </row>
    <row r="1170" spans="1:8">
      <c r="A1170" t="s">
        <v>6153</v>
      </c>
      <c r="B1170" s="4">
        <v>45684</v>
      </c>
      <c r="C1170">
        <v>2025</v>
      </c>
      <c r="D1170">
        <v>1</v>
      </c>
      <c r="E1170">
        <v>27</v>
      </c>
      <c r="F1170" t="s">
        <v>10356</v>
      </c>
      <c r="G1170" t="b">
        <v>0</v>
      </c>
      <c r="H1170">
        <v>1</v>
      </c>
    </row>
    <row r="1171" spans="1:8">
      <c r="A1171" t="s">
        <v>6158</v>
      </c>
      <c r="B1171" s="4">
        <v>45531</v>
      </c>
      <c r="C1171">
        <v>2024</v>
      </c>
      <c r="D1171">
        <v>8</v>
      </c>
      <c r="E1171">
        <v>27</v>
      </c>
      <c r="F1171" t="s">
        <v>10353</v>
      </c>
      <c r="G1171" t="b">
        <v>0</v>
      </c>
      <c r="H1171">
        <v>3</v>
      </c>
    </row>
    <row r="1172" spans="1:8">
      <c r="A1172" t="s">
        <v>6163</v>
      </c>
      <c r="B1172" s="4">
        <v>45712</v>
      </c>
      <c r="C1172">
        <v>2025</v>
      </c>
      <c r="D1172">
        <v>2</v>
      </c>
      <c r="E1172">
        <v>24</v>
      </c>
      <c r="F1172" t="s">
        <v>10356</v>
      </c>
      <c r="G1172" t="b">
        <v>0</v>
      </c>
      <c r="H1172">
        <v>1</v>
      </c>
    </row>
    <row r="1173" spans="1:8">
      <c r="A1173" t="s">
        <v>6168</v>
      </c>
      <c r="B1173" s="4">
        <v>45336</v>
      </c>
      <c r="C1173">
        <v>2024</v>
      </c>
      <c r="D1173">
        <v>2</v>
      </c>
      <c r="E1173">
        <v>14</v>
      </c>
      <c r="F1173" t="s">
        <v>10351</v>
      </c>
      <c r="G1173" t="b">
        <v>0</v>
      </c>
      <c r="H1173">
        <v>1</v>
      </c>
    </row>
    <row r="1174" spans="1:8">
      <c r="A1174" t="s">
        <v>6173</v>
      </c>
      <c r="B1174" s="4">
        <v>45617</v>
      </c>
      <c r="C1174">
        <v>2024</v>
      </c>
      <c r="D1174">
        <v>11</v>
      </c>
      <c r="E1174">
        <v>21</v>
      </c>
      <c r="F1174" t="s">
        <v>10350</v>
      </c>
      <c r="G1174" t="b">
        <v>0</v>
      </c>
      <c r="H1174">
        <v>4</v>
      </c>
    </row>
    <row r="1175" spans="1:8">
      <c r="A1175" t="s">
        <v>6178</v>
      </c>
      <c r="B1175" s="4">
        <v>45776</v>
      </c>
      <c r="C1175">
        <v>2025</v>
      </c>
      <c r="D1175">
        <v>4</v>
      </c>
      <c r="E1175">
        <v>29</v>
      </c>
      <c r="F1175" t="s">
        <v>10353</v>
      </c>
      <c r="G1175" t="b">
        <v>0</v>
      </c>
      <c r="H1175">
        <v>2</v>
      </c>
    </row>
    <row r="1176" spans="1:8">
      <c r="A1176" t="s">
        <v>6184</v>
      </c>
      <c r="B1176" s="4">
        <v>46014</v>
      </c>
      <c r="C1176">
        <v>2025</v>
      </c>
      <c r="D1176">
        <v>12</v>
      </c>
      <c r="E1176">
        <v>23</v>
      </c>
      <c r="F1176" t="s">
        <v>10353</v>
      </c>
      <c r="G1176" t="b">
        <v>0</v>
      </c>
      <c r="H1176">
        <v>4</v>
      </c>
    </row>
    <row r="1177" spans="1:8">
      <c r="A1177" t="s">
        <v>6189</v>
      </c>
      <c r="B1177" s="4">
        <v>45682</v>
      </c>
      <c r="C1177">
        <v>2025</v>
      </c>
      <c r="D1177">
        <v>1</v>
      </c>
      <c r="E1177">
        <v>25</v>
      </c>
      <c r="F1177" t="s">
        <v>10354</v>
      </c>
      <c r="G1177" t="b">
        <v>1</v>
      </c>
      <c r="H1177">
        <v>1</v>
      </c>
    </row>
    <row r="1178" spans="1:8">
      <c r="A1178" t="s">
        <v>6194</v>
      </c>
      <c r="B1178" s="4">
        <v>45687</v>
      </c>
      <c r="C1178">
        <v>2025</v>
      </c>
      <c r="D1178">
        <v>1</v>
      </c>
      <c r="E1178">
        <v>30</v>
      </c>
      <c r="F1178" t="s">
        <v>10350</v>
      </c>
      <c r="G1178" t="b">
        <v>0</v>
      </c>
      <c r="H1178">
        <v>1</v>
      </c>
    </row>
    <row r="1179" spans="1:8">
      <c r="A1179" t="s">
        <v>6199</v>
      </c>
      <c r="B1179" s="4">
        <v>45971</v>
      </c>
      <c r="C1179">
        <v>2025</v>
      </c>
      <c r="D1179">
        <v>11</v>
      </c>
      <c r="E1179">
        <v>10</v>
      </c>
      <c r="F1179" t="s">
        <v>10356</v>
      </c>
      <c r="G1179" t="b">
        <v>0</v>
      </c>
      <c r="H1179">
        <v>4</v>
      </c>
    </row>
    <row r="1180" spans="1:8">
      <c r="A1180" t="s">
        <v>6205</v>
      </c>
      <c r="B1180" s="4">
        <v>45959</v>
      </c>
      <c r="C1180">
        <v>2025</v>
      </c>
      <c r="D1180">
        <v>10</v>
      </c>
      <c r="E1180">
        <v>29</v>
      </c>
      <c r="F1180" t="s">
        <v>10351</v>
      </c>
      <c r="G1180" t="b">
        <v>0</v>
      </c>
      <c r="H1180">
        <v>4</v>
      </c>
    </row>
    <row r="1181" spans="1:8">
      <c r="A1181" t="s">
        <v>6210</v>
      </c>
      <c r="B1181" s="4">
        <v>45447</v>
      </c>
      <c r="C1181">
        <v>2024</v>
      </c>
      <c r="D1181">
        <v>6</v>
      </c>
      <c r="E1181">
        <v>4</v>
      </c>
      <c r="F1181" t="s">
        <v>10353</v>
      </c>
      <c r="G1181" t="b">
        <v>0</v>
      </c>
      <c r="H1181">
        <v>2</v>
      </c>
    </row>
    <row r="1182" spans="1:8">
      <c r="A1182" t="s">
        <v>6215</v>
      </c>
      <c r="B1182" s="4">
        <v>45799</v>
      </c>
      <c r="C1182">
        <v>2025</v>
      </c>
      <c r="D1182">
        <v>5</v>
      </c>
      <c r="E1182">
        <v>22</v>
      </c>
      <c r="F1182" t="s">
        <v>10350</v>
      </c>
      <c r="G1182" t="b">
        <v>0</v>
      </c>
      <c r="H1182">
        <v>2</v>
      </c>
    </row>
    <row r="1183" spans="1:8">
      <c r="A1183" t="s">
        <v>6220</v>
      </c>
      <c r="B1183" s="4">
        <v>45329</v>
      </c>
      <c r="C1183">
        <v>2024</v>
      </c>
      <c r="D1183">
        <v>2</v>
      </c>
      <c r="E1183">
        <v>7</v>
      </c>
      <c r="F1183" t="s">
        <v>10351</v>
      </c>
      <c r="G1183" t="b">
        <v>0</v>
      </c>
      <c r="H1183">
        <v>1</v>
      </c>
    </row>
    <row r="1184" spans="1:8">
      <c r="A1184" t="s">
        <v>6225</v>
      </c>
      <c r="B1184" s="4">
        <v>45421</v>
      </c>
      <c r="C1184">
        <v>2024</v>
      </c>
      <c r="D1184">
        <v>5</v>
      </c>
      <c r="E1184">
        <v>9</v>
      </c>
      <c r="F1184" t="s">
        <v>10350</v>
      </c>
      <c r="G1184" t="b">
        <v>0</v>
      </c>
      <c r="H1184">
        <v>2</v>
      </c>
    </row>
    <row r="1185" spans="1:8">
      <c r="A1185" t="s">
        <v>6230</v>
      </c>
      <c r="B1185" s="4">
        <v>45806</v>
      </c>
      <c r="C1185">
        <v>2025</v>
      </c>
      <c r="D1185">
        <v>5</v>
      </c>
      <c r="E1185">
        <v>29</v>
      </c>
      <c r="F1185" t="s">
        <v>10350</v>
      </c>
      <c r="G1185" t="b">
        <v>0</v>
      </c>
      <c r="H1185">
        <v>2</v>
      </c>
    </row>
    <row r="1186" spans="1:8">
      <c r="A1186" t="s">
        <v>6235</v>
      </c>
      <c r="B1186" s="4">
        <v>45896</v>
      </c>
      <c r="C1186">
        <v>2025</v>
      </c>
      <c r="D1186">
        <v>8</v>
      </c>
      <c r="E1186">
        <v>27</v>
      </c>
      <c r="F1186" t="s">
        <v>10351</v>
      </c>
      <c r="G1186" t="b">
        <v>0</v>
      </c>
      <c r="H1186">
        <v>3</v>
      </c>
    </row>
    <row r="1187" spans="1:8">
      <c r="A1187" t="s">
        <v>6240</v>
      </c>
      <c r="B1187" s="4">
        <v>45631</v>
      </c>
      <c r="C1187">
        <v>2024</v>
      </c>
      <c r="D1187">
        <v>12</v>
      </c>
      <c r="E1187">
        <v>5</v>
      </c>
      <c r="F1187" t="s">
        <v>10350</v>
      </c>
      <c r="G1187" t="b">
        <v>0</v>
      </c>
      <c r="H1187">
        <v>4</v>
      </c>
    </row>
    <row r="1188" spans="1:8">
      <c r="A1188" t="s">
        <v>6245</v>
      </c>
      <c r="B1188" s="4">
        <v>45394</v>
      </c>
      <c r="C1188">
        <v>2024</v>
      </c>
      <c r="D1188">
        <v>4</v>
      </c>
      <c r="E1188">
        <v>12</v>
      </c>
      <c r="F1188" t="s">
        <v>10352</v>
      </c>
      <c r="G1188" t="b">
        <v>0</v>
      </c>
      <c r="H1188">
        <v>2</v>
      </c>
    </row>
    <row r="1189" spans="1:8">
      <c r="A1189" t="s">
        <v>6250</v>
      </c>
      <c r="B1189" s="4">
        <v>45742</v>
      </c>
      <c r="C1189">
        <v>2025</v>
      </c>
      <c r="D1189">
        <v>3</v>
      </c>
      <c r="E1189">
        <v>26</v>
      </c>
      <c r="F1189" t="s">
        <v>10351</v>
      </c>
      <c r="G1189" t="b">
        <v>0</v>
      </c>
      <c r="H1189">
        <v>1</v>
      </c>
    </row>
    <row r="1190" spans="1:8">
      <c r="A1190" t="s">
        <v>6255</v>
      </c>
      <c r="B1190" s="4">
        <v>45394</v>
      </c>
      <c r="C1190">
        <v>2024</v>
      </c>
      <c r="D1190">
        <v>4</v>
      </c>
      <c r="E1190">
        <v>12</v>
      </c>
      <c r="F1190" t="s">
        <v>10352</v>
      </c>
      <c r="G1190" t="b">
        <v>0</v>
      </c>
      <c r="H1190">
        <v>2</v>
      </c>
    </row>
    <row r="1191" spans="1:8">
      <c r="A1191" t="s">
        <v>6260</v>
      </c>
      <c r="B1191" s="4">
        <v>45830</v>
      </c>
      <c r="C1191">
        <v>2025</v>
      </c>
      <c r="D1191">
        <v>6</v>
      </c>
      <c r="E1191">
        <v>22</v>
      </c>
      <c r="F1191" t="s">
        <v>10355</v>
      </c>
      <c r="G1191" t="b">
        <v>1</v>
      </c>
      <c r="H1191">
        <v>2</v>
      </c>
    </row>
    <row r="1192" spans="1:8">
      <c r="A1192" t="s">
        <v>6265</v>
      </c>
      <c r="B1192" s="4">
        <v>45759</v>
      </c>
      <c r="C1192">
        <v>2025</v>
      </c>
      <c r="D1192">
        <v>4</v>
      </c>
      <c r="E1192">
        <v>12</v>
      </c>
      <c r="F1192" t="s">
        <v>10354</v>
      </c>
      <c r="G1192" t="b">
        <v>1</v>
      </c>
      <c r="H1192">
        <v>2</v>
      </c>
    </row>
    <row r="1193" spans="1:8">
      <c r="A1193" t="s">
        <v>6271</v>
      </c>
      <c r="B1193" s="4">
        <v>45307</v>
      </c>
      <c r="C1193">
        <v>2024</v>
      </c>
      <c r="D1193">
        <v>1</v>
      </c>
      <c r="E1193">
        <v>16</v>
      </c>
      <c r="F1193" t="s">
        <v>10353</v>
      </c>
      <c r="G1193" t="b">
        <v>0</v>
      </c>
      <c r="H1193">
        <v>1</v>
      </c>
    </row>
    <row r="1194" spans="1:8">
      <c r="A1194" t="s">
        <v>6276</v>
      </c>
      <c r="B1194" s="4">
        <v>45439</v>
      </c>
      <c r="C1194">
        <v>2024</v>
      </c>
      <c r="D1194">
        <v>5</v>
      </c>
      <c r="E1194">
        <v>27</v>
      </c>
      <c r="F1194" t="s">
        <v>10356</v>
      </c>
      <c r="G1194" t="b">
        <v>0</v>
      </c>
      <c r="H1194">
        <v>2</v>
      </c>
    </row>
    <row r="1195" spans="1:8">
      <c r="A1195" t="s">
        <v>6281</v>
      </c>
      <c r="B1195" s="4">
        <v>45711</v>
      </c>
      <c r="C1195">
        <v>2025</v>
      </c>
      <c r="D1195">
        <v>2</v>
      </c>
      <c r="E1195">
        <v>23</v>
      </c>
      <c r="F1195" t="s">
        <v>10355</v>
      </c>
      <c r="G1195" t="b">
        <v>1</v>
      </c>
      <c r="H1195">
        <v>1</v>
      </c>
    </row>
    <row r="1196" spans="1:8">
      <c r="A1196" t="s">
        <v>6286</v>
      </c>
      <c r="B1196" s="4">
        <v>45962</v>
      </c>
      <c r="C1196">
        <v>2025</v>
      </c>
      <c r="D1196">
        <v>11</v>
      </c>
      <c r="E1196">
        <v>1</v>
      </c>
      <c r="F1196" t="s">
        <v>10354</v>
      </c>
      <c r="G1196" t="b">
        <v>1</v>
      </c>
      <c r="H1196">
        <v>4</v>
      </c>
    </row>
    <row r="1197" spans="1:8">
      <c r="A1197" t="s">
        <v>6291</v>
      </c>
      <c r="B1197" s="4">
        <v>45450</v>
      </c>
      <c r="C1197">
        <v>2024</v>
      </c>
      <c r="D1197">
        <v>6</v>
      </c>
      <c r="E1197">
        <v>7</v>
      </c>
      <c r="F1197" t="s">
        <v>10352</v>
      </c>
      <c r="G1197" t="b">
        <v>0</v>
      </c>
      <c r="H1197">
        <v>2</v>
      </c>
    </row>
    <row r="1198" spans="1:8">
      <c r="A1198" t="s">
        <v>6296</v>
      </c>
      <c r="B1198" s="4">
        <v>45368</v>
      </c>
      <c r="C1198">
        <v>2024</v>
      </c>
      <c r="D1198">
        <v>3</v>
      </c>
      <c r="E1198">
        <v>17</v>
      </c>
      <c r="F1198" t="s">
        <v>10355</v>
      </c>
      <c r="G1198" t="b">
        <v>1</v>
      </c>
      <c r="H1198">
        <v>1</v>
      </c>
    </row>
    <row r="1199" spans="1:8">
      <c r="A1199" t="s">
        <v>6301</v>
      </c>
      <c r="B1199" s="4">
        <v>45772</v>
      </c>
      <c r="C1199">
        <v>2025</v>
      </c>
      <c r="D1199">
        <v>4</v>
      </c>
      <c r="E1199">
        <v>25</v>
      </c>
      <c r="F1199" t="s">
        <v>10352</v>
      </c>
      <c r="G1199" t="b">
        <v>0</v>
      </c>
      <c r="H1199">
        <v>2</v>
      </c>
    </row>
    <row r="1200" spans="1:8">
      <c r="A1200" t="s">
        <v>6306</v>
      </c>
      <c r="B1200" s="4">
        <v>45563</v>
      </c>
      <c r="C1200">
        <v>2024</v>
      </c>
      <c r="D1200">
        <v>9</v>
      </c>
      <c r="E1200">
        <v>28</v>
      </c>
      <c r="F1200" t="s">
        <v>10354</v>
      </c>
      <c r="G1200" t="b">
        <v>1</v>
      </c>
      <c r="H1200">
        <v>3</v>
      </c>
    </row>
    <row r="1201" spans="1:8">
      <c r="A1201" t="s">
        <v>6311</v>
      </c>
      <c r="B1201" s="4">
        <v>45638</v>
      </c>
      <c r="C1201">
        <v>2024</v>
      </c>
      <c r="D1201">
        <v>12</v>
      </c>
      <c r="E1201">
        <v>12</v>
      </c>
      <c r="F1201" t="s">
        <v>10350</v>
      </c>
      <c r="G1201" t="b">
        <v>0</v>
      </c>
      <c r="H1201">
        <v>4</v>
      </c>
    </row>
    <row r="1202" spans="1:8">
      <c r="A1202" t="s">
        <v>6316</v>
      </c>
      <c r="B1202" s="4">
        <v>45930</v>
      </c>
      <c r="C1202">
        <v>2025</v>
      </c>
      <c r="D1202">
        <v>9</v>
      </c>
      <c r="E1202">
        <v>30</v>
      </c>
      <c r="F1202" t="s">
        <v>10353</v>
      </c>
      <c r="G1202" t="b">
        <v>0</v>
      </c>
      <c r="H1202">
        <v>3</v>
      </c>
    </row>
    <row r="1203" spans="1:8">
      <c r="A1203" t="s">
        <v>6321</v>
      </c>
      <c r="B1203" s="4">
        <v>46001</v>
      </c>
      <c r="C1203">
        <v>2025</v>
      </c>
      <c r="D1203">
        <v>12</v>
      </c>
      <c r="E1203">
        <v>10</v>
      </c>
      <c r="F1203" t="s">
        <v>10351</v>
      </c>
      <c r="G1203" t="b">
        <v>0</v>
      </c>
      <c r="H1203">
        <v>4</v>
      </c>
    </row>
    <row r="1204" spans="1:8">
      <c r="A1204" t="s">
        <v>6326</v>
      </c>
      <c r="B1204" s="4">
        <v>45699</v>
      </c>
      <c r="C1204">
        <v>2025</v>
      </c>
      <c r="D1204">
        <v>2</v>
      </c>
      <c r="E1204">
        <v>11</v>
      </c>
      <c r="F1204" t="s">
        <v>10353</v>
      </c>
      <c r="G1204" t="b">
        <v>0</v>
      </c>
      <c r="H1204">
        <v>1</v>
      </c>
    </row>
    <row r="1205" spans="1:8">
      <c r="A1205" t="s">
        <v>6331</v>
      </c>
      <c r="B1205" s="4">
        <v>45957</v>
      </c>
      <c r="C1205">
        <v>2025</v>
      </c>
      <c r="D1205">
        <v>10</v>
      </c>
      <c r="E1205">
        <v>27</v>
      </c>
      <c r="F1205" t="s">
        <v>10356</v>
      </c>
      <c r="G1205" t="b">
        <v>0</v>
      </c>
      <c r="H1205">
        <v>4</v>
      </c>
    </row>
    <row r="1206" spans="1:8">
      <c r="A1206" t="s">
        <v>6336</v>
      </c>
      <c r="B1206" s="4">
        <v>45374</v>
      </c>
      <c r="C1206">
        <v>2024</v>
      </c>
      <c r="D1206">
        <v>3</v>
      </c>
      <c r="E1206">
        <v>23</v>
      </c>
      <c r="F1206" t="s">
        <v>10354</v>
      </c>
      <c r="G1206" t="b">
        <v>1</v>
      </c>
      <c r="H1206">
        <v>1</v>
      </c>
    </row>
    <row r="1207" spans="1:8">
      <c r="A1207" t="s">
        <v>6341</v>
      </c>
      <c r="B1207" s="4">
        <v>45628</v>
      </c>
      <c r="C1207">
        <v>2024</v>
      </c>
      <c r="D1207">
        <v>12</v>
      </c>
      <c r="E1207">
        <v>2</v>
      </c>
      <c r="F1207" t="s">
        <v>10356</v>
      </c>
      <c r="G1207" t="b">
        <v>0</v>
      </c>
      <c r="H1207">
        <v>4</v>
      </c>
    </row>
    <row r="1208" spans="1:8">
      <c r="A1208" t="s">
        <v>6346</v>
      </c>
      <c r="B1208" s="4">
        <v>45982</v>
      </c>
      <c r="C1208">
        <v>2025</v>
      </c>
      <c r="D1208">
        <v>11</v>
      </c>
      <c r="E1208">
        <v>21</v>
      </c>
      <c r="F1208" t="s">
        <v>10352</v>
      </c>
      <c r="G1208" t="b">
        <v>0</v>
      </c>
      <c r="H1208">
        <v>4</v>
      </c>
    </row>
    <row r="1209" spans="1:8">
      <c r="A1209" t="s">
        <v>6351</v>
      </c>
      <c r="B1209" s="4">
        <v>45838</v>
      </c>
      <c r="C1209">
        <v>2025</v>
      </c>
      <c r="D1209">
        <v>6</v>
      </c>
      <c r="E1209">
        <v>30</v>
      </c>
      <c r="F1209" t="s">
        <v>10356</v>
      </c>
      <c r="G1209" t="b">
        <v>0</v>
      </c>
      <c r="H1209">
        <v>2</v>
      </c>
    </row>
    <row r="1210" spans="1:8">
      <c r="A1210" t="s">
        <v>6357</v>
      </c>
      <c r="B1210" s="4">
        <v>45681</v>
      </c>
      <c r="C1210">
        <v>2025</v>
      </c>
      <c r="D1210">
        <v>1</v>
      </c>
      <c r="E1210">
        <v>24</v>
      </c>
      <c r="F1210" t="s">
        <v>10352</v>
      </c>
      <c r="G1210" t="b">
        <v>0</v>
      </c>
      <c r="H1210">
        <v>1</v>
      </c>
    </row>
    <row r="1211" spans="1:8">
      <c r="A1211" t="s">
        <v>6362</v>
      </c>
      <c r="B1211" s="4">
        <v>45616</v>
      </c>
      <c r="C1211">
        <v>2024</v>
      </c>
      <c r="D1211">
        <v>11</v>
      </c>
      <c r="E1211">
        <v>20</v>
      </c>
      <c r="F1211" t="s">
        <v>10351</v>
      </c>
      <c r="G1211" t="b">
        <v>0</v>
      </c>
      <c r="H1211">
        <v>4</v>
      </c>
    </row>
    <row r="1212" spans="1:8">
      <c r="A1212" t="s">
        <v>6367</v>
      </c>
      <c r="B1212" s="4">
        <v>45933</v>
      </c>
      <c r="C1212">
        <v>2025</v>
      </c>
      <c r="D1212">
        <v>10</v>
      </c>
      <c r="E1212">
        <v>3</v>
      </c>
      <c r="F1212" t="s">
        <v>10352</v>
      </c>
      <c r="G1212" t="b">
        <v>0</v>
      </c>
      <c r="H1212">
        <v>4</v>
      </c>
    </row>
    <row r="1213" spans="1:8">
      <c r="A1213" t="s">
        <v>6372</v>
      </c>
      <c r="B1213" s="4">
        <v>45791</v>
      </c>
      <c r="C1213">
        <v>2025</v>
      </c>
      <c r="D1213">
        <v>5</v>
      </c>
      <c r="E1213">
        <v>14</v>
      </c>
      <c r="F1213" t="s">
        <v>10351</v>
      </c>
      <c r="G1213" t="b">
        <v>0</v>
      </c>
      <c r="H1213">
        <v>2</v>
      </c>
    </row>
    <row r="1214" spans="1:8">
      <c r="A1214" t="s">
        <v>6377</v>
      </c>
      <c r="B1214" s="4">
        <v>45846</v>
      </c>
      <c r="C1214">
        <v>2025</v>
      </c>
      <c r="D1214">
        <v>7</v>
      </c>
      <c r="E1214">
        <v>8</v>
      </c>
      <c r="F1214" t="s">
        <v>10353</v>
      </c>
      <c r="G1214" t="b">
        <v>0</v>
      </c>
      <c r="H1214">
        <v>3</v>
      </c>
    </row>
    <row r="1215" spans="1:8">
      <c r="A1215" t="s">
        <v>6382</v>
      </c>
      <c r="B1215" s="4">
        <v>45328</v>
      </c>
      <c r="C1215">
        <v>2024</v>
      </c>
      <c r="D1215">
        <v>2</v>
      </c>
      <c r="E1215">
        <v>6</v>
      </c>
      <c r="F1215" t="s">
        <v>10353</v>
      </c>
      <c r="G1215" t="b">
        <v>0</v>
      </c>
      <c r="H1215">
        <v>1</v>
      </c>
    </row>
    <row r="1216" spans="1:8">
      <c r="A1216" t="s">
        <v>6387</v>
      </c>
      <c r="B1216" s="4">
        <v>45924</v>
      </c>
      <c r="C1216">
        <v>2025</v>
      </c>
      <c r="D1216">
        <v>9</v>
      </c>
      <c r="E1216">
        <v>24</v>
      </c>
      <c r="F1216" t="s">
        <v>10351</v>
      </c>
      <c r="G1216" t="b">
        <v>0</v>
      </c>
      <c r="H1216">
        <v>3</v>
      </c>
    </row>
    <row r="1217" spans="1:8">
      <c r="A1217" t="s">
        <v>6392</v>
      </c>
      <c r="B1217" s="4">
        <v>45362</v>
      </c>
      <c r="C1217">
        <v>2024</v>
      </c>
      <c r="D1217">
        <v>3</v>
      </c>
      <c r="E1217">
        <v>11</v>
      </c>
      <c r="F1217" t="s">
        <v>10356</v>
      </c>
      <c r="G1217" t="b">
        <v>0</v>
      </c>
      <c r="H1217">
        <v>1</v>
      </c>
    </row>
    <row r="1218" spans="1:8">
      <c r="A1218" t="s">
        <v>6397</v>
      </c>
      <c r="B1218" s="4">
        <v>45532</v>
      </c>
      <c r="C1218">
        <v>2024</v>
      </c>
      <c r="D1218">
        <v>8</v>
      </c>
      <c r="E1218">
        <v>28</v>
      </c>
      <c r="F1218" t="s">
        <v>10351</v>
      </c>
      <c r="G1218" t="b">
        <v>0</v>
      </c>
      <c r="H1218">
        <v>3</v>
      </c>
    </row>
    <row r="1219" spans="1:8">
      <c r="A1219" t="s">
        <v>6402</v>
      </c>
      <c r="B1219" s="4">
        <v>45938</v>
      </c>
      <c r="C1219">
        <v>2025</v>
      </c>
      <c r="D1219">
        <v>10</v>
      </c>
      <c r="E1219">
        <v>8</v>
      </c>
      <c r="F1219" t="s">
        <v>10351</v>
      </c>
      <c r="G1219" t="b">
        <v>0</v>
      </c>
      <c r="H1219">
        <v>4</v>
      </c>
    </row>
    <row r="1220" spans="1:8">
      <c r="A1220" t="s">
        <v>6407</v>
      </c>
      <c r="B1220" s="4">
        <v>45992</v>
      </c>
      <c r="C1220">
        <v>2025</v>
      </c>
      <c r="D1220">
        <v>12</v>
      </c>
      <c r="E1220">
        <v>1</v>
      </c>
      <c r="F1220" t="s">
        <v>10356</v>
      </c>
      <c r="G1220" t="b">
        <v>0</v>
      </c>
      <c r="H1220">
        <v>4</v>
      </c>
    </row>
    <row r="1221" spans="1:8">
      <c r="A1221" t="s">
        <v>6412</v>
      </c>
      <c r="B1221" s="4">
        <v>45586</v>
      </c>
      <c r="C1221">
        <v>2024</v>
      </c>
      <c r="D1221">
        <v>10</v>
      </c>
      <c r="E1221">
        <v>21</v>
      </c>
      <c r="F1221" t="s">
        <v>10356</v>
      </c>
      <c r="G1221" t="b">
        <v>0</v>
      </c>
      <c r="H1221">
        <v>4</v>
      </c>
    </row>
    <row r="1222" spans="1:8">
      <c r="A1222" t="s">
        <v>6417</v>
      </c>
      <c r="B1222" s="4">
        <v>45524</v>
      </c>
      <c r="C1222">
        <v>2024</v>
      </c>
      <c r="D1222">
        <v>8</v>
      </c>
      <c r="E1222">
        <v>20</v>
      </c>
      <c r="F1222" t="s">
        <v>10353</v>
      </c>
      <c r="G1222" t="b">
        <v>0</v>
      </c>
      <c r="H1222">
        <v>3</v>
      </c>
    </row>
    <row r="1223" spans="1:8">
      <c r="A1223" t="s">
        <v>6422</v>
      </c>
      <c r="B1223" s="4">
        <v>45384</v>
      </c>
      <c r="C1223">
        <v>2024</v>
      </c>
      <c r="D1223">
        <v>4</v>
      </c>
      <c r="E1223">
        <v>2</v>
      </c>
      <c r="F1223" t="s">
        <v>10353</v>
      </c>
      <c r="G1223" t="b">
        <v>0</v>
      </c>
      <c r="H1223">
        <v>2</v>
      </c>
    </row>
    <row r="1224" spans="1:8">
      <c r="A1224" t="s">
        <v>6427</v>
      </c>
      <c r="B1224" s="4">
        <v>45736</v>
      </c>
      <c r="C1224">
        <v>2025</v>
      </c>
      <c r="D1224">
        <v>3</v>
      </c>
      <c r="E1224">
        <v>20</v>
      </c>
      <c r="F1224" t="s">
        <v>10350</v>
      </c>
      <c r="G1224" t="b">
        <v>0</v>
      </c>
      <c r="H1224">
        <v>1</v>
      </c>
    </row>
    <row r="1225" spans="1:8">
      <c r="A1225" t="s">
        <v>6432</v>
      </c>
      <c r="B1225" s="4">
        <v>45392</v>
      </c>
      <c r="C1225">
        <v>2024</v>
      </c>
      <c r="D1225">
        <v>4</v>
      </c>
      <c r="E1225">
        <v>10</v>
      </c>
      <c r="F1225" t="s">
        <v>10351</v>
      </c>
      <c r="G1225" t="b">
        <v>0</v>
      </c>
      <c r="H1225">
        <v>2</v>
      </c>
    </row>
    <row r="1226" spans="1:8">
      <c r="A1226" t="s">
        <v>6437</v>
      </c>
      <c r="B1226" s="4">
        <v>45940</v>
      </c>
      <c r="C1226">
        <v>2025</v>
      </c>
      <c r="D1226">
        <v>10</v>
      </c>
      <c r="E1226">
        <v>10</v>
      </c>
      <c r="F1226" t="s">
        <v>10352</v>
      </c>
      <c r="G1226" t="b">
        <v>0</v>
      </c>
      <c r="H1226">
        <v>4</v>
      </c>
    </row>
    <row r="1227" spans="1:8">
      <c r="A1227" t="s">
        <v>6442</v>
      </c>
      <c r="B1227" s="4">
        <v>46012</v>
      </c>
      <c r="C1227">
        <v>2025</v>
      </c>
      <c r="D1227">
        <v>12</v>
      </c>
      <c r="E1227">
        <v>21</v>
      </c>
      <c r="F1227" t="s">
        <v>10355</v>
      </c>
      <c r="G1227" t="b">
        <v>1</v>
      </c>
      <c r="H1227">
        <v>4</v>
      </c>
    </row>
    <row r="1228" spans="1:8">
      <c r="A1228" t="s">
        <v>6447</v>
      </c>
      <c r="B1228" s="4">
        <v>45394</v>
      </c>
      <c r="C1228">
        <v>2024</v>
      </c>
      <c r="D1228">
        <v>4</v>
      </c>
      <c r="E1228">
        <v>12</v>
      </c>
      <c r="F1228" t="s">
        <v>10352</v>
      </c>
      <c r="G1228" t="b">
        <v>0</v>
      </c>
      <c r="H1228">
        <v>2</v>
      </c>
    </row>
    <row r="1229" spans="1:8">
      <c r="A1229" t="s">
        <v>6452</v>
      </c>
      <c r="B1229" s="4">
        <v>45746</v>
      </c>
      <c r="C1229">
        <v>2025</v>
      </c>
      <c r="D1229">
        <v>3</v>
      </c>
      <c r="E1229">
        <v>30</v>
      </c>
      <c r="F1229" t="s">
        <v>10355</v>
      </c>
      <c r="G1229" t="b">
        <v>1</v>
      </c>
      <c r="H1229">
        <v>1</v>
      </c>
    </row>
    <row r="1230" spans="1:8">
      <c r="A1230" t="s">
        <v>6457</v>
      </c>
      <c r="B1230" s="4">
        <v>45462</v>
      </c>
      <c r="C1230">
        <v>2024</v>
      </c>
      <c r="D1230">
        <v>6</v>
      </c>
      <c r="E1230">
        <v>19</v>
      </c>
      <c r="F1230" t="s">
        <v>10351</v>
      </c>
      <c r="G1230" t="b">
        <v>0</v>
      </c>
      <c r="H1230">
        <v>2</v>
      </c>
    </row>
    <row r="1231" spans="1:8">
      <c r="A1231" t="s">
        <v>6462</v>
      </c>
      <c r="B1231" s="4">
        <v>46002</v>
      </c>
      <c r="C1231">
        <v>2025</v>
      </c>
      <c r="D1231">
        <v>12</v>
      </c>
      <c r="E1231">
        <v>11</v>
      </c>
      <c r="F1231" t="s">
        <v>10350</v>
      </c>
      <c r="G1231" t="b">
        <v>0</v>
      </c>
      <c r="H1231">
        <v>4</v>
      </c>
    </row>
    <row r="1232" spans="1:8">
      <c r="A1232" t="s">
        <v>6468</v>
      </c>
      <c r="B1232" s="4">
        <v>45598</v>
      </c>
      <c r="C1232">
        <v>2024</v>
      </c>
      <c r="D1232">
        <v>11</v>
      </c>
      <c r="E1232">
        <v>2</v>
      </c>
      <c r="F1232" t="s">
        <v>10354</v>
      </c>
      <c r="G1232" t="b">
        <v>1</v>
      </c>
      <c r="H1232">
        <v>4</v>
      </c>
    </row>
    <row r="1233" spans="1:8">
      <c r="A1233" t="s">
        <v>6473</v>
      </c>
      <c r="B1233" s="4">
        <v>45321</v>
      </c>
      <c r="C1233">
        <v>2024</v>
      </c>
      <c r="D1233">
        <v>1</v>
      </c>
      <c r="E1233">
        <v>30</v>
      </c>
      <c r="F1233" t="s">
        <v>10353</v>
      </c>
      <c r="G1233" t="b">
        <v>0</v>
      </c>
      <c r="H1233">
        <v>1</v>
      </c>
    </row>
    <row r="1234" spans="1:8">
      <c r="A1234" t="s">
        <v>6478</v>
      </c>
      <c r="B1234" s="4">
        <v>45339</v>
      </c>
      <c r="C1234">
        <v>2024</v>
      </c>
      <c r="D1234">
        <v>2</v>
      </c>
      <c r="E1234">
        <v>17</v>
      </c>
      <c r="F1234" t="s">
        <v>10354</v>
      </c>
      <c r="G1234" t="b">
        <v>1</v>
      </c>
      <c r="H1234">
        <v>1</v>
      </c>
    </row>
    <row r="1235" spans="1:8">
      <c r="A1235" t="s">
        <v>6483</v>
      </c>
      <c r="B1235" s="4">
        <v>45624</v>
      </c>
      <c r="C1235">
        <v>2024</v>
      </c>
      <c r="D1235">
        <v>11</v>
      </c>
      <c r="E1235">
        <v>28</v>
      </c>
      <c r="F1235" t="s">
        <v>10350</v>
      </c>
      <c r="G1235" t="b">
        <v>0</v>
      </c>
      <c r="H1235">
        <v>4</v>
      </c>
    </row>
    <row r="1236" spans="1:8">
      <c r="A1236" t="s">
        <v>6488</v>
      </c>
      <c r="B1236" s="4">
        <v>45349</v>
      </c>
      <c r="C1236">
        <v>2024</v>
      </c>
      <c r="D1236">
        <v>2</v>
      </c>
      <c r="E1236">
        <v>27</v>
      </c>
      <c r="F1236" t="s">
        <v>10353</v>
      </c>
      <c r="G1236" t="b">
        <v>0</v>
      </c>
      <c r="H1236">
        <v>1</v>
      </c>
    </row>
    <row r="1237" spans="1:8">
      <c r="A1237" t="s">
        <v>6493</v>
      </c>
      <c r="B1237" s="4">
        <v>45592</v>
      </c>
      <c r="C1237">
        <v>2024</v>
      </c>
      <c r="D1237">
        <v>10</v>
      </c>
      <c r="E1237">
        <v>27</v>
      </c>
      <c r="F1237" t="s">
        <v>10355</v>
      </c>
      <c r="G1237" t="b">
        <v>1</v>
      </c>
      <c r="H1237">
        <v>4</v>
      </c>
    </row>
    <row r="1238" spans="1:8">
      <c r="A1238" t="s">
        <v>6498</v>
      </c>
      <c r="B1238" s="4">
        <v>45659</v>
      </c>
      <c r="C1238">
        <v>2025</v>
      </c>
      <c r="D1238">
        <v>1</v>
      </c>
      <c r="E1238">
        <v>2</v>
      </c>
      <c r="F1238" t="s">
        <v>10350</v>
      </c>
      <c r="G1238" t="b">
        <v>0</v>
      </c>
      <c r="H1238">
        <v>1</v>
      </c>
    </row>
    <row r="1239" spans="1:8">
      <c r="A1239" t="s">
        <v>6503</v>
      </c>
      <c r="B1239" s="4">
        <v>45675</v>
      </c>
      <c r="C1239">
        <v>2025</v>
      </c>
      <c r="D1239">
        <v>1</v>
      </c>
      <c r="E1239">
        <v>18</v>
      </c>
      <c r="F1239" t="s">
        <v>10354</v>
      </c>
      <c r="G1239" t="b">
        <v>1</v>
      </c>
      <c r="H1239">
        <v>1</v>
      </c>
    </row>
    <row r="1240" spans="1:8">
      <c r="A1240" t="s">
        <v>6508</v>
      </c>
      <c r="B1240" s="4">
        <v>45733</v>
      </c>
      <c r="C1240">
        <v>2025</v>
      </c>
      <c r="D1240">
        <v>3</v>
      </c>
      <c r="E1240">
        <v>17</v>
      </c>
      <c r="F1240" t="s">
        <v>10356</v>
      </c>
      <c r="G1240" t="b">
        <v>0</v>
      </c>
      <c r="H1240">
        <v>1</v>
      </c>
    </row>
    <row r="1241" spans="1:8">
      <c r="A1241" t="s">
        <v>6513</v>
      </c>
      <c r="B1241" s="4">
        <v>45441</v>
      </c>
      <c r="C1241">
        <v>2024</v>
      </c>
      <c r="D1241">
        <v>5</v>
      </c>
      <c r="E1241">
        <v>29</v>
      </c>
      <c r="F1241" t="s">
        <v>10351</v>
      </c>
      <c r="G1241" t="b">
        <v>0</v>
      </c>
      <c r="H1241">
        <v>2</v>
      </c>
    </row>
    <row r="1242" spans="1:8">
      <c r="A1242" t="s">
        <v>6518</v>
      </c>
      <c r="B1242" s="4">
        <v>45542</v>
      </c>
      <c r="C1242">
        <v>2024</v>
      </c>
      <c r="D1242">
        <v>9</v>
      </c>
      <c r="E1242">
        <v>7</v>
      </c>
      <c r="F1242" t="s">
        <v>10354</v>
      </c>
      <c r="G1242" t="b">
        <v>1</v>
      </c>
      <c r="H1242">
        <v>3</v>
      </c>
    </row>
    <row r="1243" spans="1:8">
      <c r="A1243" t="s">
        <v>6523</v>
      </c>
      <c r="B1243" s="4">
        <v>45835</v>
      </c>
      <c r="C1243">
        <v>2025</v>
      </c>
      <c r="D1243">
        <v>6</v>
      </c>
      <c r="E1243">
        <v>27</v>
      </c>
      <c r="F1243" t="s">
        <v>10352</v>
      </c>
      <c r="G1243" t="b">
        <v>0</v>
      </c>
      <c r="H1243">
        <v>2</v>
      </c>
    </row>
    <row r="1244" spans="1:8">
      <c r="A1244" t="s">
        <v>6528</v>
      </c>
      <c r="B1244" s="4">
        <v>45713</v>
      </c>
      <c r="C1244">
        <v>2025</v>
      </c>
      <c r="D1244">
        <v>2</v>
      </c>
      <c r="E1244">
        <v>25</v>
      </c>
      <c r="F1244" t="s">
        <v>10353</v>
      </c>
      <c r="G1244" t="b">
        <v>0</v>
      </c>
      <c r="H1244">
        <v>1</v>
      </c>
    </row>
    <row r="1245" spans="1:8">
      <c r="A1245" t="s">
        <v>6533</v>
      </c>
      <c r="B1245" s="4">
        <v>45871</v>
      </c>
      <c r="C1245">
        <v>2025</v>
      </c>
      <c r="D1245">
        <v>8</v>
      </c>
      <c r="E1245">
        <v>2</v>
      </c>
      <c r="F1245" t="s">
        <v>10354</v>
      </c>
      <c r="G1245" t="b">
        <v>1</v>
      </c>
      <c r="H1245">
        <v>3</v>
      </c>
    </row>
    <row r="1246" spans="1:8">
      <c r="A1246" t="s">
        <v>6538</v>
      </c>
      <c r="B1246" s="4">
        <v>45990</v>
      </c>
      <c r="C1246">
        <v>2025</v>
      </c>
      <c r="D1246">
        <v>11</v>
      </c>
      <c r="E1246">
        <v>29</v>
      </c>
      <c r="F1246" t="s">
        <v>10354</v>
      </c>
      <c r="G1246" t="b">
        <v>1</v>
      </c>
      <c r="H1246">
        <v>4</v>
      </c>
    </row>
    <row r="1247" spans="1:8">
      <c r="A1247" t="s">
        <v>6544</v>
      </c>
      <c r="B1247" s="4">
        <v>45476</v>
      </c>
      <c r="C1247">
        <v>2024</v>
      </c>
      <c r="D1247">
        <v>7</v>
      </c>
      <c r="E1247">
        <v>3</v>
      </c>
      <c r="F1247" t="s">
        <v>10351</v>
      </c>
      <c r="G1247" t="b">
        <v>0</v>
      </c>
      <c r="H1247">
        <v>3</v>
      </c>
    </row>
    <row r="1248" spans="1:8">
      <c r="A1248" t="s">
        <v>6549</v>
      </c>
      <c r="B1248" s="4">
        <v>45466</v>
      </c>
      <c r="C1248">
        <v>2024</v>
      </c>
      <c r="D1248">
        <v>6</v>
      </c>
      <c r="E1248">
        <v>23</v>
      </c>
      <c r="F1248" t="s">
        <v>10355</v>
      </c>
      <c r="G1248" t="b">
        <v>1</v>
      </c>
      <c r="H1248">
        <v>2</v>
      </c>
    </row>
    <row r="1249" spans="1:8">
      <c r="A1249" t="s">
        <v>6554</v>
      </c>
      <c r="B1249" s="4">
        <v>45471</v>
      </c>
      <c r="C1249">
        <v>2024</v>
      </c>
      <c r="D1249">
        <v>6</v>
      </c>
      <c r="E1249">
        <v>28</v>
      </c>
      <c r="F1249" t="s">
        <v>10352</v>
      </c>
      <c r="G1249" t="b">
        <v>0</v>
      </c>
      <c r="H1249">
        <v>2</v>
      </c>
    </row>
    <row r="1250" spans="1:8">
      <c r="A1250" t="s">
        <v>6559</v>
      </c>
      <c r="B1250" s="4">
        <v>45372</v>
      </c>
      <c r="C1250">
        <v>2024</v>
      </c>
      <c r="D1250">
        <v>3</v>
      </c>
      <c r="E1250">
        <v>21</v>
      </c>
      <c r="F1250" t="s">
        <v>10350</v>
      </c>
      <c r="G1250" t="b">
        <v>0</v>
      </c>
      <c r="H1250">
        <v>1</v>
      </c>
    </row>
    <row r="1251" spans="1:8">
      <c r="A1251" t="s">
        <v>6564</v>
      </c>
      <c r="B1251" s="4">
        <v>45916</v>
      </c>
      <c r="C1251">
        <v>2025</v>
      </c>
      <c r="D1251">
        <v>9</v>
      </c>
      <c r="E1251">
        <v>16</v>
      </c>
      <c r="F1251" t="s">
        <v>10353</v>
      </c>
      <c r="G1251" t="b">
        <v>0</v>
      </c>
      <c r="H1251">
        <v>3</v>
      </c>
    </row>
    <row r="1252" spans="1:8">
      <c r="A1252" t="s">
        <v>6570</v>
      </c>
      <c r="B1252" s="4">
        <v>45683</v>
      </c>
      <c r="C1252">
        <v>2025</v>
      </c>
      <c r="D1252">
        <v>1</v>
      </c>
      <c r="E1252">
        <v>26</v>
      </c>
      <c r="F1252" t="s">
        <v>10355</v>
      </c>
      <c r="G1252" t="b">
        <v>1</v>
      </c>
      <c r="H1252">
        <v>1</v>
      </c>
    </row>
    <row r="1253" spans="1:8">
      <c r="A1253" t="s">
        <v>6575</v>
      </c>
      <c r="B1253" s="4">
        <v>45926</v>
      </c>
      <c r="C1253">
        <v>2025</v>
      </c>
      <c r="D1253">
        <v>9</v>
      </c>
      <c r="E1253">
        <v>26</v>
      </c>
      <c r="F1253" t="s">
        <v>10352</v>
      </c>
      <c r="G1253" t="b">
        <v>0</v>
      </c>
      <c r="H1253">
        <v>3</v>
      </c>
    </row>
    <row r="1254" spans="1:8">
      <c r="A1254" t="s">
        <v>6580</v>
      </c>
      <c r="B1254" s="4">
        <v>45991</v>
      </c>
      <c r="C1254">
        <v>2025</v>
      </c>
      <c r="D1254">
        <v>11</v>
      </c>
      <c r="E1254">
        <v>30</v>
      </c>
      <c r="F1254" t="s">
        <v>10355</v>
      </c>
      <c r="G1254" t="b">
        <v>1</v>
      </c>
      <c r="H1254">
        <v>4</v>
      </c>
    </row>
    <row r="1255" spans="1:8">
      <c r="A1255" t="s">
        <v>6585</v>
      </c>
      <c r="B1255" s="4">
        <v>45538</v>
      </c>
      <c r="C1255">
        <v>2024</v>
      </c>
      <c r="D1255">
        <v>9</v>
      </c>
      <c r="E1255">
        <v>3</v>
      </c>
      <c r="F1255" t="s">
        <v>10353</v>
      </c>
      <c r="G1255" t="b">
        <v>0</v>
      </c>
      <c r="H1255">
        <v>3</v>
      </c>
    </row>
    <row r="1256" spans="1:8">
      <c r="A1256" t="s">
        <v>6590</v>
      </c>
      <c r="B1256" s="4">
        <v>45801</v>
      </c>
      <c r="C1256">
        <v>2025</v>
      </c>
      <c r="D1256">
        <v>5</v>
      </c>
      <c r="E1256">
        <v>24</v>
      </c>
      <c r="F1256" t="s">
        <v>10354</v>
      </c>
      <c r="G1256" t="b">
        <v>1</v>
      </c>
      <c r="H1256">
        <v>2</v>
      </c>
    </row>
    <row r="1257" spans="1:8">
      <c r="A1257" t="s">
        <v>6595</v>
      </c>
      <c r="B1257" s="4">
        <v>45889</v>
      </c>
      <c r="C1257">
        <v>2025</v>
      </c>
      <c r="D1257">
        <v>8</v>
      </c>
      <c r="E1257">
        <v>20</v>
      </c>
      <c r="F1257" t="s">
        <v>10351</v>
      </c>
      <c r="G1257" t="b">
        <v>0</v>
      </c>
      <c r="H1257">
        <v>3</v>
      </c>
    </row>
    <row r="1258" spans="1:8">
      <c r="A1258" t="s">
        <v>6600</v>
      </c>
      <c r="B1258" s="4">
        <v>45438</v>
      </c>
      <c r="C1258">
        <v>2024</v>
      </c>
      <c r="D1258">
        <v>5</v>
      </c>
      <c r="E1258">
        <v>26</v>
      </c>
      <c r="F1258" t="s">
        <v>10355</v>
      </c>
      <c r="G1258" t="b">
        <v>1</v>
      </c>
      <c r="H1258">
        <v>2</v>
      </c>
    </row>
    <row r="1259" spans="1:8">
      <c r="A1259" t="s">
        <v>6605</v>
      </c>
      <c r="B1259" s="4">
        <v>45529</v>
      </c>
      <c r="C1259">
        <v>2024</v>
      </c>
      <c r="D1259">
        <v>8</v>
      </c>
      <c r="E1259">
        <v>25</v>
      </c>
      <c r="F1259" t="s">
        <v>10355</v>
      </c>
      <c r="G1259" t="b">
        <v>1</v>
      </c>
      <c r="H1259">
        <v>3</v>
      </c>
    </row>
    <row r="1260" spans="1:8">
      <c r="A1260" t="s">
        <v>6610</v>
      </c>
      <c r="B1260" s="4">
        <v>45764</v>
      </c>
      <c r="C1260">
        <v>2025</v>
      </c>
      <c r="D1260">
        <v>4</v>
      </c>
      <c r="E1260">
        <v>17</v>
      </c>
      <c r="F1260" t="s">
        <v>10350</v>
      </c>
      <c r="G1260" t="b">
        <v>0</v>
      </c>
      <c r="H1260">
        <v>2</v>
      </c>
    </row>
    <row r="1261" spans="1:8">
      <c r="A1261" t="s">
        <v>6616</v>
      </c>
      <c r="B1261" s="4">
        <v>45945</v>
      </c>
      <c r="C1261">
        <v>2025</v>
      </c>
      <c r="D1261">
        <v>10</v>
      </c>
      <c r="E1261">
        <v>15</v>
      </c>
      <c r="F1261" t="s">
        <v>10351</v>
      </c>
      <c r="G1261" t="b">
        <v>0</v>
      </c>
      <c r="H1261">
        <v>4</v>
      </c>
    </row>
    <row r="1262" spans="1:8">
      <c r="A1262" t="s">
        <v>6621</v>
      </c>
      <c r="B1262" s="4">
        <v>45552</v>
      </c>
      <c r="C1262">
        <v>2024</v>
      </c>
      <c r="D1262">
        <v>9</v>
      </c>
      <c r="E1262">
        <v>17</v>
      </c>
      <c r="F1262" t="s">
        <v>10353</v>
      </c>
      <c r="G1262" t="b">
        <v>0</v>
      </c>
      <c r="H1262">
        <v>3</v>
      </c>
    </row>
    <row r="1263" spans="1:8">
      <c r="A1263" t="s">
        <v>6626</v>
      </c>
      <c r="B1263" s="4">
        <v>45762</v>
      </c>
      <c r="C1263">
        <v>2025</v>
      </c>
      <c r="D1263">
        <v>4</v>
      </c>
      <c r="E1263">
        <v>15</v>
      </c>
      <c r="F1263" t="s">
        <v>10353</v>
      </c>
      <c r="G1263" t="b">
        <v>0</v>
      </c>
      <c r="H1263">
        <v>2</v>
      </c>
    </row>
    <row r="1264" spans="1:8">
      <c r="A1264" t="s">
        <v>6631</v>
      </c>
      <c r="B1264" s="4">
        <v>45553</v>
      </c>
      <c r="C1264">
        <v>2024</v>
      </c>
      <c r="D1264">
        <v>9</v>
      </c>
      <c r="E1264">
        <v>18</v>
      </c>
      <c r="F1264" t="s">
        <v>10351</v>
      </c>
      <c r="G1264" t="b">
        <v>0</v>
      </c>
      <c r="H1264">
        <v>3</v>
      </c>
    </row>
    <row r="1265" spans="1:8">
      <c r="A1265" t="s">
        <v>6636</v>
      </c>
      <c r="B1265" s="4">
        <v>45974</v>
      </c>
      <c r="C1265">
        <v>2025</v>
      </c>
      <c r="D1265">
        <v>11</v>
      </c>
      <c r="E1265">
        <v>13</v>
      </c>
      <c r="F1265" t="s">
        <v>10350</v>
      </c>
      <c r="G1265" t="b">
        <v>0</v>
      </c>
      <c r="H1265">
        <v>4</v>
      </c>
    </row>
    <row r="1266" spans="1:8">
      <c r="A1266" t="s">
        <v>6641</v>
      </c>
      <c r="B1266" s="4">
        <v>45301</v>
      </c>
      <c r="C1266">
        <v>2024</v>
      </c>
      <c r="D1266">
        <v>1</v>
      </c>
      <c r="E1266">
        <v>10</v>
      </c>
      <c r="F1266" t="s">
        <v>10351</v>
      </c>
      <c r="G1266" t="b">
        <v>0</v>
      </c>
      <c r="H1266">
        <v>1</v>
      </c>
    </row>
    <row r="1267" spans="1:8">
      <c r="A1267" t="s">
        <v>6646</v>
      </c>
      <c r="B1267" s="4">
        <v>45768</v>
      </c>
      <c r="C1267">
        <v>2025</v>
      </c>
      <c r="D1267">
        <v>4</v>
      </c>
      <c r="E1267">
        <v>21</v>
      </c>
      <c r="F1267" t="s">
        <v>10356</v>
      </c>
      <c r="G1267" t="b">
        <v>0</v>
      </c>
      <c r="H1267">
        <v>2</v>
      </c>
    </row>
    <row r="1268" spans="1:8">
      <c r="A1268" t="s">
        <v>6651</v>
      </c>
      <c r="B1268" s="4">
        <v>45586</v>
      </c>
      <c r="C1268">
        <v>2024</v>
      </c>
      <c r="D1268">
        <v>10</v>
      </c>
      <c r="E1268">
        <v>21</v>
      </c>
      <c r="F1268" t="s">
        <v>10356</v>
      </c>
      <c r="G1268" t="b">
        <v>0</v>
      </c>
      <c r="H1268">
        <v>4</v>
      </c>
    </row>
    <row r="1269" spans="1:8">
      <c r="A1269" t="s">
        <v>6656</v>
      </c>
      <c r="B1269" s="4">
        <v>45985</v>
      </c>
      <c r="C1269">
        <v>2025</v>
      </c>
      <c r="D1269">
        <v>11</v>
      </c>
      <c r="E1269">
        <v>24</v>
      </c>
      <c r="F1269" t="s">
        <v>10356</v>
      </c>
      <c r="G1269" t="b">
        <v>0</v>
      </c>
      <c r="H1269">
        <v>4</v>
      </c>
    </row>
    <row r="1270" spans="1:8">
      <c r="A1270" t="s">
        <v>6661</v>
      </c>
      <c r="B1270" s="4">
        <v>45851</v>
      </c>
      <c r="C1270">
        <v>2025</v>
      </c>
      <c r="D1270">
        <v>7</v>
      </c>
      <c r="E1270">
        <v>13</v>
      </c>
      <c r="F1270" t="s">
        <v>10355</v>
      </c>
      <c r="G1270" t="b">
        <v>1</v>
      </c>
      <c r="H1270">
        <v>3</v>
      </c>
    </row>
    <row r="1271" spans="1:8">
      <c r="A1271" t="s">
        <v>6666</v>
      </c>
      <c r="B1271" s="4">
        <v>45453</v>
      </c>
      <c r="C1271">
        <v>2024</v>
      </c>
      <c r="D1271">
        <v>6</v>
      </c>
      <c r="E1271">
        <v>10</v>
      </c>
      <c r="F1271" t="s">
        <v>10356</v>
      </c>
      <c r="G1271" t="b">
        <v>0</v>
      </c>
      <c r="H1271">
        <v>2</v>
      </c>
    </row>
    <row r="1272" spans="1:8">
      <c r="A1272" t="s">
        <v>6671</v>
      </c>
      <c r="B1272" s="4">
        <v>45367</v>
      </c>
      <c r="C1272">
        <v>2024</v>
      </c>
      <c r="D1272">
        <v>3</v>
      </c>
      <c r="E1272">
        <v>16</v>
      </c>
      <c r="F1272" t="s">
        <v>10354</v>
      </c>
      <c r="G1272" t="b">
        <v>1</v>
      </c>
      <c r="H1272">
        <v>1</v>
      </c>
    </row>
    <row r="1273" spans="1:8">
      <c r="A1273" t="s">
        <v>6676</v>
      </c>
      <c r="B1273" s="4">
        <v>45744</v>
      </c>
      <c r="C1273">
        <v>2025</v>
      </c>
      <c r="D1273">
        <v>3</v>
      </c>
      <c r="E1273">
        <v>28</v>
      </c>
      <c r="F1273" t="s">
        <v>10352</v>
      </c>
      <c r="G1273" t="b">
        <v>0</v>
      </c>
      <c r="H1273">
        <v>1</v>
      </c>
    </row>
    <row r="1274" spans="1:8">
      <c r="A1274" t="s">
        <v>6681</v>
      </c>
      <c r="B1274" s="4">
        <v>45645</v>
      </c>
      <c r="C1274">
        <v>2024</v>
      </c>
      <c r="D1274">
        <v>12</v>
      </c>
      <c r="E1274">
        <v>19</v>
      </c>
      <c r="F1274" t="s">
        <v>10350</v>
      </c>
      <c r="G1274" t="b">
        <v>0</v>
      </c>
      <c r="H1274">
        <v>4</v>
      </c>
    </row>
    <row r="1275" spans="1:8">
      <c r="A1275" t="s">
        <v>6686</v>
      </c>
      <c r="B1275" s="4">
        <v>45893</v>
      </c>
      <c r="C1275">
        <v>2025</v>
      </c>
      <c r="D1275">
        <v>8</v>
      </c>
      <c r="E1275">
        <v>24</v>
      </c>
      <c r="F1275" t="s">
        <v>10355</v>
      </c>
      <c r="G1275" t="b">
        <v>1</v>
      </c>
      <c r="H1275">
        <v>3</v>
      </c>
    </row>
    <row r="1276" spans="1:8">
      <c r="A1276" t="s">
        <v>6691</v>
      </c>
      <c r="B1276" s="4">
        <v>45598</v>
      </c>
      <c r="C1276">
        <v>2024</v>
      </c>
      <c r="D1276">
        <v>11</v>
      </c>
      <c r="E1276">
        <v>2</v>
      </c>
      <c r="F1276" t="s">
        <v>10354</v>
      </c>
      <c r="G1276" t="b">
        <v>1</v>
      </c>
      <c r="H1276">
        <v>4</v>
      </c>
    </row>
    <row r="1277" spans="1:8">
      <c r="A1277" t="s">
        <v>6696</v>
      </c>
      <c r="B1277" s="4">
        <v>45946</v>
      </c>
      <c r="C1277">
        <v>2025</v>
      </c>
      <c r="D1277">
        <v>10</v>
      </c>
      <c r="E1277">
        <v>16</v>
      </c>
      <c r="F1277" t="s">
        <v>10350</v>
      </c>
      <c r="G1277" t="b">
        <v>0</v>
      </c>
      <c r="H1277">
        <v>4</v>
      </c>
    </row>
    <row r="1278" spans="1:8">
      <c r="A1278" t="s">
        <v>6701</v>
      </c>
      <c r="B1278" s="4">
        <v>45726</v>
      </c>
      <c r="C1278">
        <v>2025</v>
      </c>
      <c r="D1278">
        <v>3</v>
      </c>
      <c r="E1278">
        <v>10</v>
      </c>
      <c r="F1278" t="s">
        <v>10356</v>
      </c>
      <c r="G1278" t="b">
        <v>0</v>
      </c>
      <c r="H1278">
        <v>1</v>
      </c>
    </row>
    <row r="1279" spans="1:8">
      <c r="A1279" t="s">
        <v>6706</v>
      </c>
      <c r="B1279" s="4">
        <v>45998</v>
      </c>
      <c r="C1279">
        <v>2025</v>
      </c>
      <c r="D1279">
        <v>12</v>
      </c>
      <c r="E1279">
        <v>7</v>
      </c>
      <c r="F1279" t="s">
        <v>10355</v>
      </c>
      <c r="G1279" t="b">
        <v>1</v>
      </c>
      <c r="H1279">
        <v>4</v>
      </c>
    </row>
    <row r="1280" spans="1:8">
      <c r="A1280" t="s">
        <v>6711</v>
      </c>
      <c r="B1280" s="4">
        <v>45548</v>
      </c>
      <c r="C1280">
        <v>2024</v>
      </c>
      <c r="D1280">
        <v>9</v>
      </c>
      <c r="E1280">
        <v>13</v>
      </c>
      <c r="F1280" t="s">
        <v>10352</v>
      </c>
      <c r="G1280" t="b">
        <v>0</v>
      </c>
      <c r="H1280">
        <v>3</v>
      </c>
    </row>
    <row r="1281" spans="1:8">
      <c r="A1281" t="s">
        <v>6716</v>
      </c>
      <c r="B1281" s="4">
        <v>45759</v>
      </c>
      <c r="C1281">
        <v>2025</v>
      </c>
      <c r="D1281">
        <v>4</v>
      </c>
      <c r="E1281">
        <v>12</v>
      </c>
      <c r="F1281" t="s">
        <v>10354</v>
      </c>
      <c r="G1281" t="b">
        <v>1</v>
      </c>
      <c r="H1281">
        <v>2</v>
      </c>
    </row>
    <row r="1282" spans="1:8">
      <c r="A1282" t="s">
        <v>6721</v>
      </c>
      <c r="B1282" s="4">
        <v>45601</v>
      </c>
      <c r="C1282">
        <v>2024</v>
      </c>
      <c r="D1282">
        <v>11</v>
      </c>
      <c r="E1282">
        <v>5</v>
      </c>
      <c r="F1282" t="s">
        <v>10353</v>
      </c>
      <c r="G1282" t="b">
        <v>0</v>
      </c>
      <c r="H1282">
        <v>4</v>
      </c>
    </row>
    <row r="1283" spans="1:8">
      <c r="A1283" t="s">
        <v>6726</v>
      </c>
      <c r="B1283" s="4">
        <v>45495</v>
      </c>
      <c r="C1283">
        <v>2024</v>
      </c>
      <c r="D1283">
        <v>7</v>
      </c>
      <c r="E1283">
        <v>22</v>
      </c>
      <c r="F1283" t="s">
        <v>10356</v>
      </c>
      <c r="G1283" t="b">
        <v>0</v>
      </c>
      <c r="H1283">
        <v>3</v>
      </c>
    </row>
    <row r="1284" spans="1:8">
      <c r="A1284" t="s">
        <v>6731</v>
      </c>
      <c r="B1284" s="4">
        <v>45685</v>
      </c>
      <c r="C1284">
        <v>2025</v>
      </c>
      <c r="D1284">
        <v>1</v>
      </c>
      <c r="E1284">
        <v>28</v>
      </c>
      <c r="F1284" t="s">
        <v>10353</v>
      </c>
      <c r="G1284" t="b">
        <v>0</v>
      </c>
      <c r="H1284">
        <v>1</v>
      </c>
    </row>
    <row r="1285" spans="1:8">
      <c r="A1285" t="s">
        <v>6736</v>
      </c>
      <c r="B1285" s="4">
        <v>45786</v>
      </c>
      <c r="C1285">
        <v>2025</v>
      </c>
      <c r="D1285">
        <v>5</v>
      </c>
      <c r="E1285">
        <v>9</v>
      </c>
      <c r="F1285" t="s">
        <v>10352</v>
      </c>
      <c r="G1285" t="b">
        <v>0</v>
      </c>
      <c r="H1285">
        <v>2</v>
      </c>
    </row>
    <row r="1286" spans="1:8">
      <c r="A1286" t="s">
        <v>6741</v>
      </c>
      <c r="B1286" s="4">
        <v>45401</v>
      </c>
      <c r="C1286">
        <v>2024</v>
      </c>
      <c r="D1286">
        <v>4</v>
      </c>
      <c r="E1286">
        <v>19</v>
      </c>
      <c r="F1286" t="s">
        <v>10352</v>
      </c>
      <c r="G1286" t="b">
        <v>0</v>
      </c>
      <c r="H1286">
        <v>2</v>
      </c>
    </row>
    <row r="1287" spans="1:8">
      <c r="A1287" t="s">
        <v>6746</v>
      </c>
      <c r="B1287" s="4">
        <v>45534</v>
      </c>
      <c r="C1287">
        <v>2024</v>
      </c>
      <c r="D1287">
        <v>8</v>
      </c>
      <c r="E1287">
        <v>30</v>
      </c>
      <c r="F1287" t="s">
        <v>10352</v>
      </c>
      <c r="G1287" t="b">
        <v>0</v>
      </c>
      <c r="H1287">
        <v>3</v>
      </c>
    </row>
    <row r="1288" spans="1:8">
      <c r="A1288" t="s">
        <v>6751</v>
      </c>
      <c r="B1288" s="4">
        <v>45682</v>
      </c>
      <c r="C1288">
        <v>2025</v>
      </c>
      <c r="D1288">
        <v>1</v>
      </c>
      <c r="E1288">
        <v>25</v>
      </c>
      <c r="F1288" t="s">
        <v>10354</v>
      </c>
      <c r="G1288" t="b">
        <v>1</v>
      </c>
      <c r="H1288">
        <v>1</v>
      </c>
    </row>
    <row r="1289" spans="1:8">
      <c r="A1289" t="s">
        <v>6756</v>
      </c>
      <c r="B1289" s="4">
        <v>45877</v>
      </c>
      <c r="C1289">
        <v>2025</v>
      </c>
      <c r="D1289">
        <v>8</v>
      </c>
      <c r="E1289">
        <v>8</v>
      </c>
      <c r="F1289" t="s">
        <v>10352</v>
      </c>
      <c r="G1289" t="b">
        <v>0</v>
      </c>
      <c r="H1289">
        <v>3</v>
      </c>
    </row>
    <row r="1290" spans="1:8">
      <c r="A1290" t="s">
        <v>6761</v>
      </c>
      <c r="B1290" s="4">
        <v>45659</v>
      </c>
      <c r="C1290">
        <v>2025</v>
      </c>
      <c r="D1290">
        <v>1</v>
      </c>
      <c r="E1290">
        <v>2</v>
      </c>
      <c r="F1290" t="s">
        <v>10350</v>
      </c>
      <c r="G1290" t="b">
        <v>0</v>
      </c>
      <c r="H1290">
        <v>1</v>
      </c>
    </row>
    <row r="1291" spans="1:8">
      <c r="A1291" t="s">
        <v>6766</v>
      </c>
      <c r="B1291" s="4">
        <v>45880</v>
      </c>
      <c r="C1291">
        <v>2025</v>
      </c>
      <c r="D1291">
        <v>8</v>
      </c>
      <c r="E1291">
        <v>11</v>
      </c>
      <c r="F1291" t="s">
        <v>10356</v>
      </c>
      <c r="G1291" t="b">
        <v>0</v>
      </c>
      <c r="H1291">
        <v>3</v>
      </c>
    </row>
    <row r="1292" spans="1:8">
      <c r="A1292" t="s">
        <v>6771</v>
      </c>
      <c r="B1292" s="4">
        <v>45594</v>
      </c>
      <c r="C1292">
        <v>2024</v>
      </c>
      <c r="D1292">
        <v>10</v>
      </c>
      <c r="E1292">
        <v>29</v>
      </c>
      <c r="F1292" t="s">
        <v>10353</v>
      </c>
      <c r="G1292" t="b">
        <v>0</v>
      </c>
      <c r="H1292">
        <v>4</v>
      </c>
    </row>
    <row r="1293" spans="1:8">
      <c r="A1293" t="s">
        <v>6777</v>
      </c>
      <c r="B1293" s="4">
        <v>46008</v>
      </c>
      <c r="C1293">
        <v>2025</v>
      </c>
      <c r="D1293">
        <v>12</v>
      </c>
      <c r="E1293">
        <v>17</v>
      </c>
      <c r="F1293" t="s">
        <v>10351</v>
      </c>
      <c r="G1293" t="b">
        <v>0</v>
      </c>
      <c r="H1293">
        <v>4</v>
      </c>
    </row>
    <row r="1294" spans="1:8">
      <c r="A1294" t="s">
        <v>6782</v>
      </c>
      <c r="B1294" s="4">
        <v>45594</v>
      </c>
      <c r="C1294">
        <v>2024</v>
      </c>
      <c r="D1294">
        <v>10</v>
      </c>
      <c r="E1294">
        <v>29</v>
      </c>
      <c r="F1294" t="s">
        <v>10353</v>
      </c>
      <c r="G1294" t="b">
        <v>0</v>
      </c>
      <c r="H1294">
        <v>4</v>
      </c>
    </row>
    <row r="1295" spans="1:8">
      <c r="A1295" t="s">
        <v>6787</v>
      </c>
      <c r="B1295" s="4">
        <v>45314</v>
      </c>
      <c r="C1295">
        <v>2024</v>
      </c>
      <c r="D1295">
        <v>1</v>
      </c>
      <c r="E1295">
        <v>23</v>
      </c>
      <c r="F1295" t="s">
        <v>10353</v>
      </c>
      <c r="G1295" t="b">
        <v>0</v>
      </c>
      <c r="H1295">
        <v>1</v>
      </c>
    </row>
    <row r="1296" spans="1:8">
      <c r="A1296" t="s">
        <v>6792</v>
      </c>
      <c r="B1296" s="4">
        <v>45966</v>
      </c>
      <c r="C1296">
        <v>2025</v>
      </c>
      <c r="D1296">
        <v>11</v>
      </c>
      <c r="E1296">
        <v>5</v>
      </c>
      <c r="F1296" t="s">
        <v>10351</v>
      </c>
      <c r="G1296" t="b">
        <v>0</v>
      </c>
      <c r="H1296">
        <v>4</v>
      </c>
    </row>
    <row r="1297" spans="1:8">
      <c r="A1297" t="s">
        <v>6797</v>
      </c>
      <c r="B1297" s="4">
        <v>45697</v>
      </c>
      <c r="C1297">
        <v>2025</v>
      </c>
      <c r="D1297">
        <v>2</v>
      </c>
      <c r="E1297">
        <v>9</v>
      </c>
      <c r="F1297" t="s">
        <v>10355</v>
      </c>
      <c r="G1297" t="b">
        <v>1</v>
      </c>
      <c r="H1297">
        <v>1</v>
      </c>
    </row>
    <row r="1298" spans="1:8">
      <c r="A1298" t="s">
        <v>6802</v>
      </c>
      <c r="B1298" s="4">
        <v>45573</v>
      </c>
      <c r="C1298">
        <v>2024</v>
      </c>
      <c r="D1298">
        <v>10</v>
      </c>
      <c r="E1298">
        <v>8</v>
      </c>
      <c r="F1298" t="s">
        <v>10353</v>
      </c>
      <c r="G1298" t="b">
        <v>0</v>
      </c>
      <c r="H1298">
        <v>4</v>
      </c>
    </row>
    <row r="1299" spans="1:8">
      <c r="A1299" t="s">
        <v>6807</v>
      </c>
      <c r="B1299" s="4">
        <v>45300</v>
      </c>
      <c r="C1299">
        <v>2024</v>
      </c>
      <c r="D1299">
        <v>1</v>
      </c>
      <c r="E1299">
        <v>9</v>
      </c>
      <c r="F1299" t="s">
        <v>10353</v>
      </c>
      <c r="G1299" t="b">
        <v>0</v>
      </c>
      <c r="H1299">
        <v>1</v>
      </c>
    </row>
    <row r="1300" spans="1:8">
      <c r="A1300" t="s">
        <v>6812</v>
      </c>
      <c r="B1300" s="4">
        <v>45871</v>
      </c>
      <c r="C1300">
        <v>2025</v>
      </c>
      <c r="D1300">
        <v>8</v>
      </c>
      <c r="E1300">
        <v>2</v>
      </c>
      <c r="F1300" t="s">
        <v>10354</v>
      </c>
      <c r="G1300" t="b">
        <v>1</v>
      </c>
      <c r="H1300">
        <v>3</v>
      </c>
    </row>
    <row r="1301" spans="1:8">
      <c r="A1301" t="s">
        <v>6817</v>
      </c>
      <c r="B1301" s="4">
        <v>45994</v>
      </c>
      <c r="C1301">
        <v>2025</v>
      </c>
      <c r="D1301">
        <v>12</v>
      </c>
      <c r="E1301">
        <v>3</v>
      </c>
      <c r="F1301" t="s">
        <v>10351</v>
      </c>
      <c r="G1301" t="b">
        <v>0</v>
      </c>
      <c r="H1301">
        <v>4</v>
      </c>
    </row>
    <row r="1302" spans="1:8">
      <c r="A1302" t="s">
        <v>6822</v>
      </c>
      <c r="B1302" s="4">
        <v>45342</v>
      </c>
      <c r="C1302">
        <v>2024</v>
      </c>
      <c r="D1302">
        <v>2</v>
      </c>
      <c r="E1302">
        <v>20</v>
      </c>
      <c r="F1302" t="s">
        <v>10353</v>
      </c>
      <c r="G1302" t="b">
        <v>0</v>
      </c>
      <c r="H1302">
        <v>1</v>
      </c>
    </row>
    <row r="1303" spans="1:8">
      <c r="A1303" t="s">
        <v>6827</v>
      </c>
      <c r="B1303" s="4">
        <v>45912</v>
      </c>
      <c r="C1303">
        <v>2025</v>
      </c>
      <c r="D1303">
        <v>9</v>
      </c>
      <c r="E1303">
        <v>12</v>
      </c>
      <c r="F1303" t="s">
        <v>10352</v>
      </c>
      <c r="G1303" t="b">
        <v>0</v>
      </c>
      <c r="H1303">
        <v>3</v>
      </c>
    </row>
    <row r="1304" spans="1:8">
      <c r="A1304" t="s">
        <v>6832</v>
      </c>
      <c r="B1304" s="4">
        <v>45800</v>
      </c>
      <c r="C1304">
        <v>2025</v>
      </c>
      <c r="D1304">
        <v>5</v>
      </c>
      <c r="E1304">
        <v>23</v>
      </c>
      <c r="F1304" t="s">
        <v>10352</v>
      </c>
      <c r="G1304" t="b">
        <v>0</v>
      </c>
      <c r="H1304">
        <v>2</v>
      </c>
    </row>
    <row r="1305" spans="1:8">
      <c r="A1305" t="s">
        <v>6837</v>
      </c>
      <c r="B1305" s="4">
        <v>45585</v>
      </c>
      <c r="C1305">
        <v>2024</v>
      </c>
      <c r="D1305">
        <v>10</v>
      </c>
      <c r="E1305">
        <v>20</v>
      </c>
      <c r="F1305" t="s">
        <v>10355</v>
      </c>
      <c r="G1305" t="b">
        <v>1</v>
      </c>
      <c r="H1305">
        <v>4</v>
      </c>
    </row>
    <row r="1306" spans="1:8">
      <c r="A1306" t="s">
        <v>6842</v>
      </c>
      <c r="B1306" s="4">
        <v>45527</v>
      </c>
      <c r="C1306">
        <v>2024</v>
      </c>
      <c r="D1306">
        <v>8</v>
      </c>
      <c r="E1306">
        <v>23</v>
      </c>
      <c r="F1306" t="s">
        <v>10352</v>
      </c>
      <c r="G1306" t="b">
        <v>0</v>
      </c>
      <c r="H1306">
        <v>3</v>
      </c>
    </row>
    <row r="1307" spans="1:8">
      <c r="A1307" t="s">
        <v>6847</v>
      </c>
      <c r="B1307" s="4">
        <v>45913</v>
      </c>
      <c r="C1307">
        <v>2025</v>
      </c>
      <c r="D1307">
        <v>9</v>
      </c>
      <c r="E1307">
        <v>13</v>
      </c>
      <c r="F1307" t="s">
        <v>10354</v>
      </c>
      <c r="G1307" t="b">
        <v>1</v>
      </c>
      <c r="H1307">
        <v>3</v>
      </c>
    </row>
    <row r="1308" spans="1:8">
      <c r="A1308" t="s">
        <v>6852</v>
      </c>
      <c r="B1308" s="4">
        <v>45652</v>
      </c>
      <c r="C1308">
        <v>2024</v>
      </c>
      <c r="D1308">
        <v>12</v>
      </c>
      <c r="E1308">
        <v>26</v>
      </c>
      <c r="F1308" t="s">
        <v>10350</v>
      </c>
      <c r="G1308" t="b">
        <v>0</v>
      </c>
      <c r="H1308">
        <v>4</v>
      </c>
    </row>
    <row r="1309" spans="1:8">
      <c r="A1309" t="s">
        <v>6857</v>
      </c>
      <c r="B1309" s="4">
        <v>45516</v>
      </c>
      <c r="C1309">
        <v>2024</v>
      </c>
      <c r="D1309">
        <v>8</v>
      </c>
      <c r="E1309">
        <v>12</v>
      </c>
      <c r="F1309" t="s">
        <v>10356</v>
      </c>
      <c r="G1309" t="b">
        <v>0</v>
      </c>
      <c r="H1309">
        <v>3</v>
      </c>
    </row>
    <row r="1310" spans="1:8">
      <c r="A1310" t="s">
        <v>6862</v>
      </c>
      <c r="B1310" s="4">
        <v>45943</v>
      </c>
      <c r="C1310">
        <v>2025</v>
      </c>
      <c r="D1310">
        <v>10</v>
      </c>
      <c r="E1310">
        <v>13</v>
      </c>
      <c r="F1310" t="s">
        <v>10356</v>
      </c>
      <c r="G1310" t="b">
        <v>0</v>
      </c>
      <c r="H1310">
        <v>4</v>
      </c>
    </row>
    <row r="1311" spans="1:8">
      <c r="A1311" t="s">
        <v>6868</v>
      </c>
      <c r="B1311" s="4">
        <v>45486</v>
      </c>
      <c r="C1311">
        <v>2024</v>
      </c>
      <c r="D1311">
        <v>7</v>
      </c>
      <c r="E1311">
        <v>13</v>
      </c>
      <c r="F1311" t="s">
        <v>10354</v>
      </c>
      <c r="G1311" t="b">
        <v>1</v>
      </c>
      <c r="H1311">
        <v>3</v>
      </c>
    </row>
    <row r="1312" spans="1:8">
      <c r="A1312" t="s">
        <v>6873</v>
      </c>
      <c r="B1312" s="4">
        <v>45927</v>
      </c>
      <c r="C1312">
        <v>2025</v>
      </c>
      <c r="D1312">
        <v>9</v>
      </c>
      <c r="E1312">
        <v>27</v>
      </c>
      <c r="F1312" t="s">
        <v>10354</v>
      </c>
      <c r="G1312" t="b">
        <v>1</v>
      </c>
      <c r="H1312">
        <v>3</v>
      </c>
    </row>
    <row r="1313" spans="1:8">
      <c r="A1313" t="s">
        <v>6878</v>
      </c>
      <c r="B1313" s="4">
        <v>45548</v>
      </c>
      <c r="C1313">
        <v>2024</v>
      </c>
      <c r="D1313">
        <v>9</v>
      </c>
      <c r="E1313">
        <v>13</v>
      </c>
      <c r="F1313" t="s">
        <v>10352</v>
      </c>
      <c r="G1313" t="b">
        <v>0</v>
      </c>
      <c r="H1313">
        <v>3</v>
      </c>
    </row>
    <row r="1314" spans="1:8">
      <c r="A1314" t="s">
        <v>6883</v>
      </c>
      <c r="B1314" s="4">
        <v>45986</v>
      </c>
      <c r="C1314">
        <v>2025</v>
      </c>
      <c r="D1314">
        <v>11</v>
      </c>
      <c r="E1314">
        <v>25</v>
      </c>
      <c r="F1314" t="s">
        <v>10353</v>
      </c>
      <c r="G1314" t="b">
        <v>0</v>
      </c>
      <c r="H1314">
        <v>4</v>
      </c>
    </row>
    <row r="1315" spans="1:8">
      <c r="A1315" t="s">
        <v>6888</v>
      </c>
      <c r="B1315" s="4">
        <v>45967</v>
      </c>
      <c r="C1315">
        <v>2025</v>
      </c>
      <c r="D1315">
        <v>11</v>
      </c>
      <c r="E1315">
        <v>6</v>
      </c>
      <c r="F1315" t="s">
        <v>10350</v>
      </c>
      <c r="G1315" t="b">
        <v>0</v>
      </c>
      <c r="H1315">
        <v>4</v>
      </c>
    </row>
    <row r="1316" spans="1:8">
      <c r="A1316" t="s">
        <v>6893</v>
      </c>
      <c r="B1316" s="4">
        <v>45989</v>
      </c>
      <c r="C1316">
        <v>2025</v>
      </c>
      <c r="D1316">
        <v>11</v>
      </c>
      <c r="E1316">
        <v>28</v>
      </c>
      <c r="F1316" t="s">
        <v>10352</v>
      </c>
      <c r="G1316" t="b">
        <v>0</v>
      </c>
      <c r="H1316">
        <v>4</v>
      </c>
    </row>
    <row r="1317" spans="1:8">
      <c r="A1317" t="s">
        <v>6898</v>
      </c>
      <c r="B1317" s="4">
        <v>45432</v>
      </c>
      <c r="C1317">
        <v>2024</v>
      </c>
      <c r="D1317">
        <v>5</v>
      </c>
      <c r="E1317">
        <v>20</v>
      </c>
      <c r="F1317" t="s">
        <v>10356</v>
      </c>
      <c r="G1317" t="b">
        <v>0</v>
      </c>
      <c r="H1317">
        <v>2</v>
      </c>
    </row>
    <row r="1318" spans="1:8">
      <c r="A1318" t="s">
        <v>6903</v>
      </c>
      <c r="B1318" s="4">
        <v>45935</v>
      </c>
      <c r="C1318">
        <v>2025</v>
      </c>
      <c r="D1318">
        <v>10</v>
      </c>
      <c r="E1318">
        <v>5</v>
      </c>
      <c r="F1318" t="s">
        <v>10355</v>
      </c>
      <c r="G1318" t="b">
        <v>1</v>
      </c>
      <c r="H1318">
        <v>4</v>
      </c>
    </row>
    <row r="1319" spans="1:8">
      <c r="A1319" t="s">
        <v>6908</v>
      </c>
      <c r="B1319" s="4">
        <v>45391</v>
      </c>
      <c r="C1319">
        <v>2024</v>
      </c>
      <c r="D1319">
        <v>4</v>
      </c>
      <c r="E1319">
        <v>9</v>
      </c>
      <c r="F1319" t="s">
        <v>10353</v>
      </c>
      <c r="G1319" t="b">
        <v>0</v>
      </c>
      <c r="H1319">
        <v>2</v>
      </c>
    </row>
    <row r="1320" spans="1:8">
      <c r="A1320" t="s">
        <v>6913</v>
      </c>
      <c r="B1320" s="4">
        <v>45934</v>
      </c>
      <c r="C1320">
        <v>2025</v>
      </c>
      <c r="D1320">
        <v>10</v>
      </c>
      <c r="E1320">
        <v>4</v>
      </c>
      <c r="F1320" t="s">
        <v>10354</v>
      </c>
      <c r="G1320" t="b">
        <v>1</v>
      </c>
      <c r="H1320">
        <v>4</v>
      </c>
    </row>
    <row r="1321" spans="1:8">
      <c r="A1321" t="s">
        <v>6918</v>
      </c>
      <c r="B1321" s="4">
        <v>45953</v>
      </c>
      <c r="C1321">
        <v>2025</v>
      </c>
      <c r="D1321">
        <v>10</v>
      </c>
      <c r="E1321">
        <v>23</v>
      </c>
      <c r="F1321" t="s">
        <v>10350</v>
      </c>
      <c r="G1321" t="b">
        <v>0</v>
      </c>
      <c r="H1321">
        <v>4</v>
      </c>
    </row>
    <row r="1322" spans="1:8">
      <c r="A1322" t="s">
        <v>6923</v>
      </c>
      <c r="B1322" s="4">
        <v>45332</v>
      </c>
      <c r="C1322">
        <v>2024</v>
      </c>
      <c r="D1322">
        <v>2</v>
      </c>
      <c r="E1322">
        <v>10</v>
      </c>
      <c r="F1322" t="s">
        <v>10354</v>
      </c>
      <c r="G1322" t="b">
        <v>1</v>
      </c>
      <c r="H1322">
        <v>1</v>
      </c>
    </row>
    <row r="1323" spans="1:8">
      <c r="A1323" t="s">
        <v>6928</v>
      </c>
      <c r="B1323" s="4">
        <v>45608</v>
      </c>
      <c r="C1323">
        <v>2024</v>
      </c>
      <c r="D1323">
        <v>11</v>
      </c>
      <c r="E1323">
        <v>12</v>
      </c>
      <c r="F1323" t="s">
        <v>10353</v>
      </c>
      <c r="G1323" t="b">
        <v>0</v>
      </c>
      <c r="H1323">
        <v>4</v>
      </c>
    </row>
    <row r="1324" spans="1:8">
      <c r="A1324" t="s">
        <v>6933</v>
      </c>
      <c r="B1324" s="4">
        <v>45743</v>
      </c>
      <c r="C1324">
        <v>2025</v>
      </c>
      <c r="D1324">
        <v>3</v>
      </c>
      <c r="E1324">
        <v>27</v>
      </c>
      <c r="F1324" t="s">
        <v>10350</v>
      </c>
      <c r="G1324" t="b">
        <v>0</v>
      </c>
      <c r="H1324">
        <v>1</v>
      </c>
    </row>
    <row r="1325" spans="1:8">
      <c r="A1325" t="s">
        <v>6938</v>
      </c>
      <c r="B1325" s="4">
        <v>45326</v>
      </c>
      <c r="C1325">
        <v>2024</v>
      </c>
      <c r="D1325">
        <v>2</v>
      </c>
      <c r="E1325">
        <v>4</v>
      </c>
      <c r="F1325" t="s">
        <v>10355</v>
      </c>
      <c r="G1325" t="b">
        <v>1</v>
      </c>
      <c r="H1325">
        <v>1</v>
      </c>
    </row>
    <row r="1326" spans="1:8">
      <c r="A1326" t="s">
        <v>6943</v>
      </c>
      <c r="B1326" s="4">
        <v>45885</v>
      </c>
      <c r="C1326">
        <v>2025</v>
      </c>
      <c r="D1326">
        <v>8</v>
      </c>
      <c r="E1326">
        <v>16</v>
      </c>
      <c r="F1326" t="s">
        <v>10354</v>
      </c>
      <c r="G1326" t="b">
        <v>1</v>
      </c>
      <c r="H1326">
        <v>3</v>
      </c>
    </row>
    <row r="1327" spans="1:8">
      <c r="A1327" t="s">
        <v>6948</v>
      </c>
      <c r="B1327" s="4">
        <v>45665</v>
      </c>
      <c r="C1327">
        <v>2025</v>
      </c>
      <c r="D1327">
        <v>1</v>
      </c>
      <c r="E1327">
        <v>8</v>
      </c>
      <c r="F1327" t="s">
        <v>10351</v>
      </c>
      <c r="G1327" t="b">
        <v>0</v>
      </c>
      <c r="H1327">
        <v>1</v>
      </c>
    </row>
    <row r="1328" spans="1:8">
      <c r="A1328" t="s">
        <v>6953</v>
      </c>
      <c r="B1328" s="4">
        <v>45426</v>
      </c>
      <c r="C1328">
        <v>2024</v>
      </c>
      <c r="D1328">
        <v>5</v>
      </c>
      <c r="E1328">
        <v>14</v>
      </c>
      <c r="F1328" t="s">
        <v>10353</v>
      </c>
      <c r="G1328" t="b">
        <v>0</v>
      </c>
      <c r="H1328">
        <v>2</v>
      </c>
    </row>
    <row r="1329" spans="1:8">
      <c r="A1329" t="s">
        <v>6958</v>
      </c>
      <c r="B1329" s="4">
        <v>45384</v>
      </c>
      <c r="C1329">
        <v>2024</v>
      </c>
      <c r="D1329">
        <v>4</v>
      </c>
      <c r="E1329">
        <v>2</v>
      </c>
      <c r="F1329" t="s">
        <v>10353</v>
      </c>
      <c r="G1329" t="b">
        <v>0</v>
      </c>
      <c r="H1329">
        <v>2</v>
      </c>
    </row>
    <row r="1330" spans="1:8">
      <c r="A1330" t="s">
        <v>6963</v>
      </c>
      <c r="B1330" s="4">
        <v>45594</v>
      </c>
      <c r="C1330">
        <v>2024</v>
      </c>
      <c r="D1330">
        <v>10</v>
      </c>
      <c r="E1330">
        <v>29</v>
      </c>
      <c r="F1330" t="s">
        <v>10353</v>
      </c>
      <c r="G1330" t="b">
        <v>0</v>
      </c>
      <c r="H1330">
        <v>4</v>
      </c>
    </row>
    <row r="1331" spans="1:8">
      <c r="A1331" t="s">
        <v>6968</v>
      </c>
      <c r="B1331" s="4">
        <v>45626</v>
      </c>
      <c r="C1331">
        <v>2024</v>
      </c>
      <c r="D1331">
        <v>11</v>
      </c>
      <c r="E1331">
        <v>30</v>
      </c>
      <c r="F1331" t="s">
        <v>10354</v>
      </c>
      <c r="G1331" t="b">
        <v>1</v>
      </c>
      <c r="H1331">
        <v>4</v>
      </c>
    </row>
    <row r="1332" spans="1:8">
      <c r="A1332" t="s">
        <v>6973</v>
      </c>
      <c r="B1332" s="4">
        <v>45717</v>
      </c>
      <c r="C1332">
        <v>2025</v>
      </c>
      <c r="D1332">
        <v>3</v>
      </c>
      <c r="E1332">
        <v>1</v>
      </c>
      <c r="F1332" t="s">
        <v>10354</v>
      </c>
      <c r="G1332" t="b">
        <v>1</v>
      </c>
      <c r="H1332">
        <v>1</v>
      </c>
    </row>
    <row r="1333" spans="1:8">
      <c r="A1333" t="s">
        <v>6978</v>
      </c>
      <c r="B1333" s="4">
        <v>45471</v>
      </c>
      <c r="C1333">
        <v>2024</v>
      </c>
      <c r="D1333">
        <v>6</v>
      </c>
      <c r="E1333">
        <v>28</v>
      </c>
      <c r="F1333" t="s">
        <v>10352</v>
      </c>
      <c r="G1333" t="b">
        <v>0</v>
      </c>
      <c r="H1333">
        <v>2</v>
      </c>
    </row>
    <row r="1334" spans="1:8">
      <c r="A1334" t="s">
        <v>6983</v>
      </c>
      <c r="B1334" s="4">
        <v>45497</v>
      </c>
      <c r="C1334">
        <v>2024</v>
      </c>
      <c r="D1334">
        <v>7</v>
      </c>
      <c r="E1334">
        <v>24</v>
      </c>
      <c r="F1334" t="s">
        <v>10351</v>
      </c>
      <c r="G1334" t="b">
        <v>0</v>
      </c>
      <c r="H1334">
        <v>3</v>
      </c>
    </row>
    <row r="1335" spans="1:8">
      <c r="A1335" t="s">
        <v>6988</v>
      </c>
      <c r="B1335" s="4">
        <v>45427</v>
      </c>
      <c r="C1335">
        <v>2024</v>
      </c>
      <c r="D1335">
        <v>5</v>
      </c>
      <c r="E1335">
        <v>15</v>
      </c>
      <c r="F1335" t="s">
        <v>10351</v>
      </c>
      <c r="G1335" t="b">
        <v>0</v>
      </c>
      <c r="H1335">
        <v>2</v>
      </c>
    </row>
    <row r="1336" spans="1:8">
      <c r="A1336" t="s">
        <v>6993</v>
      </c>
      <c r="B1336" s="4">
        <v>45844</v>
      </c>
      <c r="C1336">
        <v>2025</v>
      </c>
      <c r="D1336">
        <v>7</v>
      </c>
      <c r="E1336">
        <v>6</v>
      </c>
      <c r="F1336" t="s">
        <v>10355</v>
      </c>
      <c r="G1336" t="b">
        <v>1</v>
      </c>
      <c r="H1336">
        <v>3</v>
      </c>
    </row>
    <row r="1337" spans="1:8">
      <c r="A1337" t="s">
        <v>6998</v>
      </c>
      <c r="B1337" s="4">
        <v>45666</v>
      </c>
      <c r="C1337">
        <v>2025</v>
      </c>
      <c r="D1337">
        <v>1</v>
      </c>
      <c r="E1337">
        <v>9</v>
      </c>
      <c r="F1337" t="s">
        <v>10350</v>
      </c>
      <c r="G1337" t="b">
        <v>0</v>
      </c>
      <c r="H1337">
        <v>1</v>
      </c>
    </row>
    <row r="1338" spans="1:8">
      <c r="A1338" t="s">
        <v>7003</v>
      </c>
      <c r="B1338" s="4">
        <v>45835</v>
      </c>
      <c r="C1338">
        <v>2025</v>
      </c>
      <c r="D1338">
        <v>6</v>
      </c>
      <c r="E1338">
        <v>27</v>
      </c>
      <c r="F1338" t="s">
        <v>10352</v>
      </c>
      <c r="G1338" t="b">
        <v>0</v>
      </c>
      <c r="H1338">
        <v>2</v>
      </c>
    </row>
    <row r="1339" spans="1:8">
      <c r="A1339" t="s">
        <v>7008</v>
      </c>
      <c r="B1339" s="4">
        <v>45805</v>
      </c>
      <c r="C1339">
        <v>2025</v>
      </c>
      <c r="D1339">
        <v>5</v>
      </c>
      <c r="E1339">
        <v>28</v>
      </c>
      <c r="F1339" t="s">
        <v>10351</v>
      </c>
      <c r="G1339" t="b">
        <v>0</v>
      </c>
      <c r="H1339">
        <v>2</v>
      </c>
    </row>
    <row r="1340" spans="1:8">
      <c r="A1340" t="s">
        <v>7013</v>
      </c>
      <c r="B1340" s="4">
        <v>45571</v>
      </c>
      <c r="C1340">
        <v>2024</v>
      </c>
      <c r="D1340">
        <v>10</v>
      </c>
      <c r="E1340">
        <v>6</v>
      </c>
      <c r="F1340" t="s">
        <v>10355</v>
      </c>
      <c r="G1340" t="b">
        <v>1</v>
      </c>
      <c r="H1340">
        <v>4</v>
      </c>
    </row>
    <row r="1341" spans="1:8">
      <c r="A1341" t="s">
        <v>7018</v>
      </c>
      <c r="B1341" s="4">
        <v>45460</v>
      </c>
      <c r="C1341">
        <v>2024</v>
      </c>
      <c r="D1341">
        <v>6</v>
      </c>
      <c r="E1341">
        <v>17</v>
      </c>
      <c r="F1341" t="s">
        <v>10356</v>
      </c>
      <c r="G1341" t="b">
        <v>0</v>
      </c>
      <c r="H1341">
        <v>2</v>
      </c>
    </row>
    <row r="1342" spans="1:8">
      <c r="A1342" t="s">
        <v>7023</v>
      </c>
      <c r="B1342" s="4">
        <v>45555</v>
      </c>
      <c r="C1342">
        <v>2024</v>
      </c>
      <c r="D1342">
        <v>9</v>
      </c>
      <c r="E1342">
        <v>20</v>
      </c>
      <c r="F1342" t="s">
        <v>10352</v>
      </c>
      <c r="G1342" t="b">
        <v>0</v>
      </c>
      <c r="H1342">
        <v>3</v>
      </c>
    </row>
    <row r="1343" spans="1:8">
      <c r="A1343" t="s">
        <v>7028</v>
      </c>
      <c r="B1343" s="4">
        <v>45785</v>
      </c>
      <c r="C1343">
        <v>2025</v>
      </c>
      <c r="D1343">
        <v>5</v>
      </c>
      <c r="E1343">
        <v>8</v>
      </c>
      <c r="F1343" t="s">
        <v>10350</v>
      </c>
      <c r="G1343" t="b">
        <v>0</v>
      </c>
      <c r="H1343">
        <v>2</v>
      </c>
    </row>
    <row r="1344" spans="1:8">
      <c r="A1344" t="s">
        <v>7033</v>
      </c>
      <c r="B1344" s="4">
        <v>45594</v>
      </c>
      <c r="C1344">
        <v>2024</v>
      </c>
      <c r="D1344">
        <v>10</v>
      </c>
      <c r="E1344">
        <v>29</v>
      </c>
      <c r="F1344" t="s">
        <v>10353</v>
      </c>
      <c r="G1344" t="b">
        <v>0</v>
      </c>
      <c r="H1344">
        <v>4</v>
      </c>
    </row>
    <row r="1345" spans="1:8">
      <c r="A1345" t="s">
        <v>7038</v>
      </c>
      <c r="B1345" s="4">
        <v>45638</v>
      </c>
      <c r="C1345">
        <v>2024</v>
      </c>
      <c r="D1345">
        <v>12</v>
      </c>
      <c r="E1345">
        <v>12</v>
      </c>
      <c r="F1345" t="s">
        <v>10350</v>
      </c>
      <c r="G1345" t="b">
        <v>0</v>
      </c>
      <c r="H1345">
        <v>4</v>
      </c>
    </row>
    <row r="1346" spans="1:8">
      <c r="A1346" t="s">
        <v>7043</v>
      </c>
      <c r="B1346" s="4">
        <v>45409</v>
      </c>
      <c r="C1346">
        <v>2024</v>
      </c>
      <c r="D1346">
        <v>4</v>
      </c>
      <c r="E1346">
        <v>27</v>
      </c>
      <c r="F1346" t="s">
        <v>10354</v>
      </c>
      <c r="G1346" t="b">
        <v>1</v>
      </c>
      <c r="H1346">
        <v>2</v>
      </c>
    </row>
    <row r="1347" spans="1:8">
      <c r="A1347" t="s">
        <v>7048</v>
      </c>
      <c r="B1347" s="4">
        <v>45771</v>
      </c>
      <c r="C1347">
        <v>2025</v>
      </c>
      <c r="D1347">
        <v>4</v>
      </c>
      <c r="E1347">
        <v>24</v>
      </c>
      <c r="F1347" t="s">
        <v>10350</v>
      </c>
      <c r="G1347" t="b">
        <v>0</v>
      </c>
      <c r="H1347">
        <v>2</v>
      </c>
    </row>
    <row r="1348" spans="1:8">
      <c r="A1348" t="s">
        <v>7053</v>
      </c>
      <c r="B1348" s="4">
        <v>45369</v>
      </c>
      <c r="C1348">
        <v>2024</v>
      </c>
      <c r="D1348">
        <v>3</v>
      </c>
      <c r="E1348">
        <v>18</v>
      </c>
      <c r="F1348" t="s">
        <v>10356</v>
      </c>
      <c r="G1348" t="b">
        <v>0</v>
      </c>
      <c r="H1348">
        <v>1</v>
      </c>
    </row>
    <row r="1349" spans="1:8">
      <c r="A1349" t="s">
        <v>7058</v>
      </c>
      <c r="B1349" s="4">
        <v>45436</v>
      </c>
      <c r="C1349">
        <v>2024</v>
      </c>
      <c r="D1349">
        <v>5</v>
      </c>
      <c r="E1349">
        <v>24</v>
      </c>
      <c r="F1349" t="s">
        <v>10352</v>
      </c>
      <c r="G1349" t="b">
        <v>0</v>
      </c>
      <c r="H1349">
        <v>2</v>
      </c>
    </row>
    <row r="1350" spans="1:8">
      <c r="A1350" t="s">
        <v>7063</v>
      </c>
      <c r="B1350" s="4">
        <v>45523</v>
      </c>
      <c r="C1350">
        <v>2024</v>
      </c>
      <c r="D1350">
        <v>8</v>
      </c>
      <c r="E1350">
        <v>19</v>
      </c>
      <c r="F1350" t="s">
        <v>10356</v>
      </c>
      <c r="G1350" t="b">
        <v>0</v>
      </c>
      <c r="H1350">
        <v>3</v>
      </c>
    </row>
    <row r="1351" spans="1:8">
      <c r="A1351" t="s">
        <v>7068</v>
      </c>
      <c r="B1351" s="4">
        <v>45984</v>
      </c>
      <c r="C1351">
        <v>2025</v>
      </c>
      <c r="D1351">
        <v>11</v>
      </c>
      <c r="E1351">
        <v>23</v>
      </c>
      <c r="F1351" t="s">
        <v>10355</v>
      </c>
      <c r="G1351" t="b">
        <v>1</v>
      </c>
      <c r="H1351">
        <v>4</v>
      </c>
    </row>
    <row r="1352" spans="1:8">
      <c r="A1352" t="s">
        <v>7073</v>
      </c>
      <c r="B1352" s="4">
        <v>45982</v>
      </c>
      <c r="C1352">
        <v>2025</v>
      </c>
      <c r="D1352">
        <v>11</v>
      </c>
      <c r="E1352">
        <v>21</v>
      </c>
      <c r="F1352" t="s">
        <v>10352</v>
      </c>
      <c r="G1352" t="b">
        <v>0</v>
      </c>
      <c r="H1352">
        <v>4</v>
      </c>
    </row>
    <row r="1353" spans="1:8">
      <c r="A1353" t="s">
        <v>7078</v>
      </c>
      <c r="B1353" s="4">
        <v>45698</v>
      </c>
      <c r="C1353">
        <v>2025</v>
      </c>
      <c r="D1353">
        <v>2</v>
      </c>
      <c r="E1353">
        <v>10</v>
      </c>
      <c r="F1353" t="s">
        <v>10356</v>
      </c>
      <c r="G1353" t="b">
        <v>0</v>
      </c>
      <c r="H1353">
        <v>1</v>
      </c>
    </row>
    <row r="1354" spans="1:8">
      <c r="A1354" t="s">
        <v>7083</v>
      </c>
      <c r="B1354" s="4">
        <v>45862</v>
      </c>
      <c r="C1354">
        <v>2025</v>
      </c>
      <c r="D1354">
        <v>7</v>
      </c>
      <c r="E1354">
        <v>24</v>
      </c>
      <c r="F1354" t="s">
        <v>10350</v>
      </c>
      <c r="G1354" t="b">
        <v>0</v>
      </c>
      <c r="H1354">
        <v>3</v>
      </c>
    </row>
    <row r="1355" spans="1:8">
      <c r="A1355" t="s">
        <v>7088</v>
      </c>
      <c r="B1355" s="4">
        <v>45666</v>
      </c>
      <c r="C1355">
        <v>2025</v>
      </c>
      <c r="D1355">
        <v>1</v>
      </c>
      <c r="E1355">
        <v>9</v>
      </c>
      <c r="F1355" t="s">
        <v>10350</v>
      </c>
      <c r="G1355" t="b">
        <v>0</v>
      </c>
      <c r="H1355">
        <v>1</v>
      </c>
    </row>
    <row r="1356" spans="1:8">
      <c r="A1356" t="s">
        <v>7093</v>
      </c>
      <c r="B1356" s="4">
        <v>45384</v>
      </c>
      <c r="C1356">
        <v>2024</v>
      </c>
      <c r="D1356">
        <v>4</v>
      </c>
      <c r="E1356">
        <v>2</v>
      </c>
      <c r="F1356" t="s">
        <v>10353</v>
      </c>
      <c r="G1356" t="b">
        <v>0</v>
      </c>
      <c r="H1356">
        <v>2</v>
      </c>
    </row>
    <row r="1357" spans="1:8">
      <c r="A1357" t="s">
        <v>7098</v>
      </c>
      <c r="B1357" s="4">
        <v>45696</v>
      </c>
      <c r="C1357">
        <v>2025</v>
      </c>
      <c r="D1357">
        <v>2</v>
      </c>
      <c r="E1357">
        <v>8</v>
      </c>
      <c r="F1357" t="s">
        <v>10354</v>
      </c>
      <c r="G1357" t="b">
        <v>1</v>
      </c>
      <c r="H1357">
        <v>1</v>
      </c>
    </row>
    <row r="1358" spans="1:8">
      <c r="A1358" t="s">
        <v>7103</v>
      </c>
      <c r="B1358" s="4">
        <v>45306</v>
      </c>
      <c r="C1358">
        <v>2024</v>
      </c>
      <c r="D1358">
        <v>1</v>
      </c>
      <c r="E1358">
        <v>15</v>
      </c>
      <c r="F1358" t="s">
        <v>10356</v>
      </c>
      <c r="G1358" t="b">
        <v>0</v>
      </c>
      <c r="H1358">
        <v>1</v>
      </c>
    </row>
    <row r="1359" spans="1:8">
      <c r="A1359" t="s">
        <v>7108</v>
      </c>
      <c r="B1359" s="4">
        <v>45562</v>
      </c>
      <c r="C1359">
        <v>2024</v>
      </c>
      <c r="D1359">
        <v>9</v>
      </c>
      <c r="E1359">
        <v>27</v>
      </c>
      <c r="F1359" t="s">
        <v>10352</v>
      </c>
      <c r="G1359" t="b">
        <v>0</v>
      </c>
      <c r="H1359">
        <v>3</v>
      </c>
    </row>
    <row r="1360" spans="1:8">
      <c r="A1360" t="s">
        <v>7113</v>
      </c>
      <c r="B1360" s="4">
        <v>45841</v>
      </c>
      <c r="C1360">
        <v>2025</v>
      </c>
      <c r="D1360">
        <v>7</v>
      </c>
      <c r="E1360">
        <v>3</v>
      </c>
      <c r="F1360" t="s">
        <v>10350</v>
      </c>
      <c r="G1360" t="b">
        <v>0</v>
      </c>
      <c r="H1360">
        <v>3</v>
      </c>
    </row>
    <row r="1361" spans="1:8">
      <c r="A1361" t="s">
        <v>7118</v>
      </c>
      <c r="B1361" s="4">
        <v>45418</v>
      </c>
      <c r="C1361">
        <v>2024</v>
      </c>
      <c r="D1361">
        <v>5</v>
      </c>
      <c r="E1361">
        <v>6</v>
      </c>
      <c r="F1361" t="s">
        <v>10356</v>
      </c>
      <c r="G1361" t="b">
        <v>0</v>
      </c>
      <c r="H1361">
        <v>2</v>
      </c>
    </row>
    <row r="1362" spans="1:8">
      <c r="A1362" t="s">
        <v>7123</v>
      </c>
      <c r="B1362" s="4">
        <v>45757</v>
      </c>
      <c r="C1362">
        <v>2025</v>
      </c>
      <c r="D1362">
        <v>4</v>
      </c>
      <c r="E1362">
        <v>10</v>
      </c>
      <c r="F1362" t="s">
        <v>10350</v>
      </c>
      <c r="G1362" t="b">
        <v>0</v>
      </c>
      <c r="H1362">
        <v>2</v>
      </c>
    </row>
    <row r="1363" spans="1:8">
      <c r="A1363" t="s">
        <v>7128</v>
      </c>
      <c r="B1363" s="4">
        <v>45669</v>
      </c>
      <c r="C1363">
        <v>2025</v>
      </c>
      <c r="D1363">
        <v>1</v>
      </c>
      <c r="E1363">
        <v>12</v>
      </c>
      <c r="F1363" t="s">
        <v>10355</v>
      </c>
      <c r="G1363" t="b">
        <v>1</v>
      </c>
      <c r="H1363">
        <v>1</v>
      </c>
    </row>
    <row r="1364" spans="1:8">
      <c r="A1364" t="s">
        <v>7133</v>
      </c>
      <c r="B1364" s="4">
        <v>45980</v>
      </c>
      <c r="C1364">
        <v>2025</v>
      </c>
      <c r="D1364">
        <v>11</v>
      </c>
      <c r="E1364">
        <v>19</v>
      </c>
      <c r="F1364" t="s">
        <v>10351</v>
      </c>
      <c r="G1364" t="b">
        <v>0</v>
      </c>
      <c r="H1364">
        <v>4</v>
      </c>
    </row>
    <row r="1365" spans="1:8">
      <c r="A1365" t="s">
        <v>7138</v>
      </c>
      <c r="B1365" s="4">
        <v>45980</v>
      </c>
      <c r="C1365">
        <v>2025</v>
      </c>
      <c r="D1365">
        <v>11</v>
      </c>
      <c r="E1365">
        <v>19</v>
      </c>
      <c r="F1365" t="s">
        <v>10351</v>
      </c>
      <c r="G1365" t="b">
        <v>0</v>
      </c>
      <c r="H1365">
        <v>4</v>
      </c>
    </row>
    <row r="1366" spans="1:8">
      <c r="A1366" t="s">
        <v>7143</v>
      </c>
      <c r="B1366" s="4">
        <v>45560</v>
      </c>
      <c r="C1366">
        <v>2024</v>
      </c>
      <c r="D1366">
        <v>9</v>
      </c>
      <c r="E1366">
        <v>25</v>
      </c>
      <c r="F1366" t="s">
        <v>10351</v>
      </c>
      <c r="G1366" t="b">
        <v>0</v>
      </c>
      <c r="H1366">
        <v>3</v>
      </c>
    </row>
    <row r="1367" spans="1:8">
      <c r="A1367" t="s">
        <v>7148</v>
      </c>
      <c r="B1367" s="4">
        <v>45890</v>
      </c>
      <c r="C1367">
        <v>2025</v>
      </c>
      <c r="D1367">
        <v>8</v>
      </c>
      <c r="E1367">
        <v>21</v>
      </c>
      <c r="F1367" t="s">
        <v>10350</v>
      </c>
      <c r="G1367" t="b">
        <v>0</v>
      </c>
      <c r="H1367">
        <v>3</v>
      </c>
    </row>
    <row r="1368" spans="1:8">
      <c r="A1368" t="s">
        <v>7153</v>
      </c>
      <c r="B1368" s="4">
        <v>45682</v>
      </c>
      <c r="C1368">
        <v>2025</v>
      </c>
      <c r="D1368">
        <v>1</v>
      </c>
      <c r="E1368">
        <v>25</v>
      </c>
      <c r="F1368" t="s">
        <v>10354</v>
      </c>
      <c r="G1368" t="b">
        <v>1</v>
      </c>
      <c r="H1368">
        <v>1</v>
      </c>
    </row>
    <row r="1369" spans="1:8">
      <c r="A1369" t="s">
        <v>7158</v>
      </c>
      <c r="B1369" s="4">
        <v>45945</v>
      </c>
      <c r="C1369">
        <v>2025</v>
      </c>
      <c r="D1369">
        <v>10</v>
      </c>
      <c r="E1369">
        <v>15</v>
      </c>
      <c r="F1369" t="s">
        <v>10351</v>
      </c>
      <c r="G1369" t="b">
        <v>0</v>
      </c>
      <c r="H1369">
        <v>4</v>
      </c>
    </row>
    <row r="1370" spans="1:8">
      <c r="A1370" t="s">
        <v>7163</v>
      </c>
      <c r="B1370" s="4">
        <v>45672</v>
      </c>
      <c r="C1370">
        <v>2025</v>
      </c>
      <c r="D1370">
        <v>1</v>
      </c>
      <c r="E1370">
        <v>15</v>
      </c>
      <c r="F1370" t="s">
        <v>10351</v>
      </c>
      <c r="G1370" t="b">
        <v>0</v>
      </c>
      <c r="H1370">
        <v>1</v>
      </c>
    </row>
    <row r="1371" spans="1:8">
      <c r="A1371" t="s">
        <v>7168</v>
      </c>
      <c r="B1371" s="4">
        <v>45402</v>
      </c>
      <c r="C1371">
        <v>2024</v>
      </c>
      <c r="D1371">
        <v>4</v>
      </c>
      <c r="E1371">
        <v>20</v>
      </c>
      <c r="F1371" t="s">
        <v>10354</v>
      </c>
      <c r="G1371" t="b">
        <v>1</v>
      </c>
      <c r="H1371">
        <v>2</v>
      </c>
    </row>
    <row r="1372" spans="1:8">
      <c r="A1372" t="s">
        <v>7173</v>
      </c>
      <c r="B1372" s="4">
        <v>45983</v>
      </c>
      <c r="C1372">
        <v>2025</v>
      </c>
      <c r="D1372">
        <v>11</v>
      </c>
      <c r="E1372">
        <v>22</v>
      </c>
      <c r="F1372" t="s">
        <v>10354</v>
      </c>
      <c r="G1372" t="b">
        <v>1</v>
      </c>
      <c r="H1372">
        <v>4</v>
      </c>
    </row>
    <row r="1373" spans="1:8">
      <c r="A1373" t="s">
        <v>7178</v>
      </c>
      <c r="B1373" s="4">
        <v>45531</v>
      </c>
      <c r="C1373">
        <v>2024</v>
      </c>
      <c r="D1373">
        <v>8</v>
      </c>
      <c r="E1373">
        <v>27</v>
      </c>
      <c r="F1373" t="s">
        <v>10353</v>
      </c>
      <c r="G1373" t="b">
        <v>0</v>
      </c>
      <c r="H1373">
        <v>3</v>
      </c>
    </row>
    <row r="1374" spans="1:8">
      <c r="A1374" t="s">
        <v>7183</v>
      </c>
      <c r="B1374" s="4">
        <v>45774</v>
      </c>
      <c r="C1374">
        <v>2025</v>
      </c>
      <c r="D1374">
        <v>4</v>
      </c>
      <c r="E1374">
        <v>27</v>
      </c>
      <c r="F1374" t="s">
        <v>10355</v>
      </c>
      <c r="G1374" t="b">
        <v>1</v>
      </c>
      <c r="H1374">
        <v>2</v>
      </c>
    </row>
    <row r="1375" spans="1:8">
      <c r="A1375" t="s">
        <v>7188</v>
      </c>
      <c r="B1375" s="4">
        <v>45317</v>
      </c>
      <c r="C1375">
        <v>2024</v>
      </c>
      <c r="D1375">
        <v>1</v>
      </c>
      <c r="E1375">
        <v>26</v>
      </c>
      <c r="F1375" t="s">
        <v>10352</v>
      </c>
      <c r="G1375" t="b">
        <v>0</v>
      </c>
      <c r="H1375">
        <v>1</v>
      </c>
    </row>
    <row r="1376" spans="1:8">
      <c r="A1376" t="s">
        <v>7193</v>
      </c>
      <c r="B1376" s="4">
        <v>45926</v>
      </c>
      <c r="C1376">
        <v>2025</v>
      </c>
      <c r="D1376">
        <v>9</v>
      </c>
      <c r="E1376">
        <v>26</v>
      </c>
      <c r="F1376" t="s">
        <v>10352</v>
      </c>
      <c r="G1376" t="b">
        <v>0</v>
      </c>
      <c r="H1376">
        <v>3</v>
      </c>
    </row>
    <row r="1377" spans="1:8">
      <c r="A1377" t="s">
        <v>7198</v>
      </c>
      <c r="B1377" s="4">
        <v>45866</v>
      </c>
      <c r="C1377">
        <v>2025</v>
      </c>
      <c r="D1377">
        <v>7</v>
      </c>
      <c r="E1377">
        <v>28</v>
      </c>
      <c r="F1377" t="s">
        <v>10356</v>
      </c>
      <c r="G1377" t="b">
        <v>0</v>
      </c>
      <c r="H1377">
        <v>3</v>
      </c>
    </row>
    <row r="1378" spans="1:8">
      <c r="A1378" t="s">
        <v>7203</v>
      </c>
      <c r="B1378" s="4">
        <v>45627</v>
      </c>
      <c r="C1378">
        <v>2024</v>
      </c>
      <c r="D1378">
        <v>12</v>
      </c>
      <c r="E1378">
        <v>1</v>
      </c>
      <c r="F1378" t="s">
        <v>10355</v>
      </c>
      <c r="G1378" t="b">
        <v>1</v>
      </c>
      <c r="H1378">
        <v>4</v>
      </c>
    </row>
    <row r="1379" spans="1:8">
      <c r="A1379" t="s">
        <v>7208</v>
      </c>
      <c r="B1379" s="4">
        <v>45916</v>
      </c>
      <c r="C1379">
        <v>2025</v>
      </c>
      <c r="D1379">
        <v>9</v>
      </c>
      <c r="E1379">
        <v>16</v>
      </c>
      <c r="F1379" t="s">
        <v>10353</v>
      </c>
      <c r="G1379" t="b">
        <v>0</v>
      </c>
      <c r="H1379">
        <v>3</v>
      </c>
    </row>
    <row r="1380" spans="1:8">
      <c r="A1380" t="s">
        <v>7213</v>
      </c>
      <c r="B1380" s="4">
        <v>45518</v>
      </c>
      <c r="C1380">
        <v>2024</v>
      </c>
      <c r="D1380">
        <v>8</v>
      </c>
      <c r="E1380">
        <v>14</v>
      </c>
      <c r="F1380" t="s">
        <v>10351</v>
      </c>
      <c r="G1380" t="b">
        <v>0</v>
      </c>
      <c r="H1380">
        <v>3</v>
      </c>
    </row>
    <row r="1381" spans="1:8">
      <c r="A1381" t="s">
        <v>7218</v>
      </c>
      <c r="B1381" s="4">
        <v>45955</v>
      </c>
      <c r="C1381">
        <v>2025</v>
      </c>
      <c r="D1381">
        <v>10</v>
      </c>
      <c r="E1381">
        <v>25</v>
      </c>
      <c r="F1381" t="s">
        <v>10354</v>
      </c>
      <c r="G1381" t="b">
        <v>1</v>
      </c>
      <c r="H1381">
        <v>4</v>
      </c>
    </row>
    <row r="1382" spans="1:8">
      <c r="A1382" t="s">
        <v>7223</v>
      </c>
      <c r="B1382" s="4">
        <v>45356</v>
      </c>
      <c r="C1382">
        <v>2024</v>
      </c>
      <c r="D1382">
        <v>3</v>
      </c>
      <c r="E1382">
        <v>5</v>
      </c>
      <c r="F1382" t="s">
        <v>10353</v>
      </c>
      <c r="G1382" t="b">
        <v>0</v>
      </c>
      <c r="H1382">
        <v>1</v>
      </c>
    </row>
    <row r="1383" spans="1:8">
      <c r="A1383" t="s">
        <v>7228</v>
      </c>
      <c r="B1383" s="4">
        <v>45942</v>
      </c>
      <c r="C1383">
        <v>2025</v>
      </c>
      <c r="D1383">
        <v>10</v>
      </c>
      <c r="E1383">
        <v>12</v>
      </c>
      <c r="F1383" t="s">
        <v>10355</v>
      </c>
      <c r="G1383" t="b">
        <v>1</v>
      </c>
      <c r="H1383">
        <v>4</v>
      </c>
    </row>
    <row r="1384" spans="1:8">
      <c r="A1384" t="s">
        <v>7233</v>
      </c>
      <c r="B1384" s="4">
        <v>45767</v>
      </c>
      <c r="C1384">
        <v>2025</v>
      </c>
      <c r="D1384">
        <v>4</v>
      </c>
      <c r="E1384">
        <v>20</v>
      </c>
      <c r="F1384" t="s">
        <v>10355</v>
      </c>
      <c r="G1384" t="b">
        <v>1</v>
      </c>
      <c r="H1384">
        <v>2</v>
      </c>
    </row>
    <row r="1385" spans="1:8">
      <c r="A1385" t="s">
        <v>7238</v>
      </c>
      <c r="B1385" s="4">
        <v>46009</v>
      </c>
      <c r="C1385">
        <v>2025</v>
      </c>
      <c r="D1385">
        <v>12</v>
      </c>
      <c r="E1385">
        <v>18</v>
      </c>
      <c r="F1385" t="s">
        <v>10350</v>
      </c>
      <c r="G1385" t="b">
        <v>0</v>
      </c>
      <c r="H1385">
        <v>4</v>
      </c>
    </row>
    <row r="1386" spans="1:8">
      <c r="A1386" t="s">
        <v>7243</v>
      </c>
      <c r="B1386" s="4">
        <v>45601</v>
      </c>
      <c r="C1386">
        <v>2024</v>
      </c>
      <c r="D1386">
        <v>11</v>
      </c>
      <c r="E1386">
        <v>5</v>
      </c>
      <c r="F1386" t="s">
        <v>10353</v>
      </c>
      <c r="G1386" t="b">
        <v>0</v>
      </c>
      <c r="H1386">
        <v>4</v>
      </c>
    </row>
    <row r="1387" spans="1:8">
      <c r="A1387" t="s">
        <v>7248</v>
      </c>
      <c r="B1387" s="4">
        <v>45956</v>
      </c>
      <c r="C1387">
        <v>2025</v>
      </c>
      <c r="D1387">
        <v>10</v>
      </c>
      <c r="E1387">
        <v>26</v>
      </c>
      <c r="F1387" t="s">
        <v>10355</v>
      </c>
      <c r="G1387" t="b">
        <v>1</v>
      </c>
      <c r="H1387">
        <v>4</v>
      </c>
    </row>
    <row r="1388" spans="1:8">
      <c r="A1388" t="s">
        <v>7253</v>
      </c>
      <c r="B1388" s="4">
        <v>45710</v>
      </c>
      <c r="C1388">
        <v>2025</v>
      </c>
      <c r="D1388">
        <v>2</v>
      </c>
      <c r="E1388">
        <v>22</v>
      </c>
      <c r="F1388" t="s">
        <v>10354</v>
      </c>
      <c r="G1388" t="b">
        <v>1</v>
      </c>
      <c r="H1388">
        <v>1</v>
      </c>
    </row>
    <row r="1389" spans="1:8">
      <c r="A1389" t="s">
        <v>7258</v>
      </c>
      <c r="B1389" s="4">
        <v>45411</v>
      </c>
      <c r="C1389">
        <v>2024</v>
      </c>
      <c r="D1389">
        <v>4</v>
      </c>
      <c r="E1389">
        <v>29</v>
      </c>
      <c r="F1389" t="s">
        <v>10356</v>
      </c>
      <c r="G1389" t="b">
        <v>0</v>
      </c>
      <c r="H1389">
        <v>2</v>
      </c>
    </row>
    <row r="1390" spans="1:8">
      <c r="A1390" t="s">
        <v>7263</v>
      </c>
      <c r="B1390" s="4">
        <v>45435</v>
      </c>
      <c r="C1390">
        <v>2024</v>
      </c>
      <c r="D1390">
        <v>5</v>
      </c>
      <c r="E1390">
        <v>23</v>
      </c>
      <c r="F1390" t="s">
        <v>10350</v>
      </c>
      <c r="G1390" t="b">
        <v>0</v>
      </c>
      <c r="H1390">
        <v>2</v>
      </c>
    </row>
    <row r="1391" spans="1:8">
      <c r="A1391" t="s">
        <v>7268</v>
      </c>
      <c r="B1391" s="4">
        <v>45338</v>
      </c>
      <c r="C1391">
        <v>2024</v>
      </c>
      <c r="D1391">
        <v>2</v>
      </c>
      <c r="E1391">
        <v>16</v>
      </c>
      <c r="F1391" t="s">
        <v>10352</v>
      </c>
      <c r="G1391" t="b">
        <v>0</v>
      </c>
      <c r="H1391">
        <v>1</v>
      </c>
    </row>
    <row r="1392" spans="1:8">
      <c r="A1392" t="s">
        <v>7273</v>
      </c>
      <c r="B1392" s="4">
        <v>45330</v>
      </c>
      <c r="C1392">
        <v>2024</v>
      </c>
      <c r="D1392">
        <v>2</v>
      </c>
      <c r="E1392">
        <v>8</v>
      </c>
      <c r="F1392" t="s">
        <v>10350</v>
      </c>
      <c r="G1392" t="b">
        <v>0</v>
      </c>
      <c r="H1392">
        <v>1</v>
      </c>
    </row>
    <row r="1393" spans="1:8">
      <c r="A1393" t="s">
        <v>7278</v>
      </c>
      <c r="B1393" s="4">
        <v>45603</v>
      </c>
      <c r="C1393">
        <v>2024</v>
      </c>
      <c r="D1393">
        <v>11</v>
      </c>
      <c r="E1393">
        <v>7</v>
      </c>
      <c r="F1393" t="s">
        <v>10350</v>
      </c>
      <c r="G1393" t="b">
        <v>0</v>
      </c>
      <c r="H1393">
        <v>4</v>
      </c>
    </row>
    <row r="1394" spans="1:8">
      <c r="A1394" t="s">
        <v>7283</v>
      </c>
      <c r="B1394" s="4">
        <v>45796</v>
      </c>
      <c r="C1394">
        <v>2025</v>
      </c>
      <c r="D1394">
        <v>5</v>
      </c>
      <c r="E1394">
        <v>19</v>
      </c>
      <c r="F1394" t="s">
        <v>10356</v>
      </c>
      <c r="G1394" t="b">
        <v>0</v>
      </c>
      <c r="H1394">
        <v>2</v>
      </c>
    </row>
    <row r="1395" spans="1:8">
      <c r="A1395" t="s">
        <v>7288</v>
      </c>
      <c r="B1395" s="4">
        <v>45410</v>
      </c>
      <c r="C1395">
        <v>2024</v>
      </c>
      <c r="D1395">
        <v>4</v>
      </c>
      <c r="E1395">
        <v>28</v>
      </c>
      <c r="F1395" t="s">
        <v>10355</v>
      </c>
      <c r="G1395" t="b">
        <v>1</v>
      </c>
      <c r="H1395">
        <v>2</v>
      </c>
    </row>
    <row r="1396" spans="1:8">
      <c r="A1396" t="s">
        <v>7293</v>
      </c>
      <c r="B1396" s="4">
        <v>45391</v>
      </c>
      <c r="C1396">
        <v>2024</v>
      </c>
      <c r="D1396">
        <v>4</v>
      </c>
      <c r="E1396">
        <v>9</v>
      </c>
      <c r="F1396" t="s">
        <v>10353</v>
      </c>
      <c r="G1396" t="b">
        <v>0</v>
      </c>
      <c r="H1396">
        <v>2</v>
      </c>
    </row>
    <row r="1397" spans="1:8">
      <c r="A1397" t="s">
        <v>7298</v>
      </c>
      <c r="B1397" s="4">
        <v>45532</v>
      </c>
      <c r="C1397">
        <v>2024</v>
      </c>
      <c r="D1397">
        <v>8</v>
      </c>
      <c r="E1397">
        <v>28</v>
      </c>
      <c r="F1397" t="s">
        <v>10351</v>
      </c>
      <c r="G1397" t="b">
        <v>0</v>
      </c>
      <c r="H1397">
        <v>3</v>
      </c>
    </row>
    <row r="1398" spans="1:8">
      <c r="A1398" t="s">
        <v>7303</v>
      </c>
      <c r="B1398" s="4">
        <v>45842</v>
      </c>
      <c r="C1398">
        <v>2025</v>
      </c>
      <c r="D1398">
        <v>7</v>
      </c>
      <c r="E1398">
        <v>4</v>
      </c>
      <c r="F1398" t="s">
        <v>10352</v>
      </c>
      <c r="G1398" t="b">
        <v>0</v>
      </c>
      <c r="H1398">
        <v>3</v>
      </c>
    </row>
    <row r="1399" spans="1:8">
      <c r="A1399" t="s">
        <v>7308</v>
      </c>
      <c r="B1399" s="4">
        <v>45430</v>
      </c>
      <c r="C1399">
        <v>2024</v>
      </c>
      <c r="D1399">
        <v>5</v>
      </c>
      <c r="E1399">
        <v>18</v>
      </c>
      <c r="F1399" t="s">
        <v>10354</v>
      </c>
      <c r="G1399" t="b">
        <v>1</v>
      </c>
      <c r="H1399">
        <v>2</v>
      </c>
    </row>
    <row r="1400" spans="1:8">
      <c r="A1400" t="s">
        <v>7314</v>
      </c>
      <c r="B1400" s="4">
        <v>45689</v>
      </c>
      <c r="C1400">
        <v>2025</v>
      </c>
      <c r="D1400">
        <v>2</v>
      </c>
      <c r="E1400">
        <v>1</v>
      </c>
      <c r="F1400" t="s">
        <v>10354</v>
      </c>
      <c r="G1400" t="b">
        <v>1</v>
      </c>
      <c r="H1400">
        <v>1</v>
      </c>
    </row>
    <row r="1401" spans="1:8">
      <c r="A1401" t="s">
        <v>7319</v>
      </c>
      <c r="B1401" s="4">
        <v>45756</v>
      </c>
      <c r="C1401">
        <v>2025</v>
      </c>
      <c r="D1401">
        <v>4</v>
      </c>
      <c r="E1401">
        <v>9</v>
      </c>
      <c r="F1401" t="s">
        <v>10351</v>
      </c>
      <c r="G1401" t="b">
        <v>0</v>
      </c>
      <c r="H1401">
        <v>2</v>
      </c>
    </row>
    <row r="1402" spans="1:8">
      <c r="A1402" t="s">
        <v>7324</v>
      </c>
      <c r="B1402" s="4">
        <v>45671</v>
      </c>
      <c r="C1402">
        <v>2025</v>
      </c>
      <c r="D1402">
        <v>1</v>
      </c>
      <c r="E1402">
        <v>14</v>
      </c>
      <c r="F1402" t="s">
        <v>10353</v>
      </c>
      <c r="G1402" t="b">
        <v>0</v>
      </c>
      <c r="H1402">
        <v>1</v>
      </c>
    </row>
    <row r="1403" spans="1:8">
      <c r="A1403" t="s">
        <v>7329</v>
      </c>
      <c r="B1403" s="4">
        <v>45978</v>
      </c>
      <c r="C1403">
        <v>2025</v>
      </c>
      <c r="D1403">
        <v>11</v>
      </c>
      <c r="E1403">
        <v>17</v>
      </c>
      <c r="F1403" t="s">
        <v>10356</v>
      </c>
      <c r="G1403" t="b">
        <v>0</v>
      </c>
      <c r="H1403">
        <v>4</v>
      </c>
    </row>
    <row r="1404" spans="1:8">
      <c r="A1404" t="s">
        <v>7334</v>
      </c>
      <c r="B1404" s="4">
        <v>46005</v>
      </c>
      <c r="C1404">
        <v>2025</v>
      </c>
      <c r="D1404">
        <v>12</v>
      </c>
      <c r="E1404">
        <v>14</v>
      </c>
      <c r="F1404" t="s">
        <v>10355</v>
      </c>
      <c r="G1404" t="b">
        <v>1</v>
      </c>
      <c r="H1404">
        <v>4</v>
      </c>
    </row>
    <row r="1405" spans="1:8">
      <c r="A1405" t="s">
        <v>7339</v>
      </c>
      <c r="B1405" s="4">
        <v>45845</v>
      </c>
      <c r="C1405">
        <v>2025</v>
      </c>
      <c r="D1405">
        <v>7</v>
      </c>
      <c r="E1405">
        <v>7</v>
      </c>
      <c r="F1405" t="s">
        <v>10356</v>
      </c>
      <c r="G1405" t="b">
        <v>0</v>
      </c>
      <c r="H1405">
        <v>3</v>
      </c>
    </row>
    <row r="1406" spans="1:8">
      <c r="A1406" t="s">
        <v>7344</v>
      </c>
      <c r="B1406" s="4">
        <v>45721</v>
      </c>
      <c r="C1406">
        <v>2025</v>
      </c>
      <c r="D1406">
        <v>3</v>
      </c>
      <c r="E1406">
        <v>5</v>
      </c>
      <c r="F1406" t="s">
        <v>10351</v>
      </c>
      <c r="G1406" t="b">
        <v>0</v>
      </c>
      <c r="H1406">
        <v>1</v>
      </c>
    </row>
    <row r="1407" spans="1:8">
      <c r="A1407" t="s">
        <v>7349</v>
      </c>
      <c r="B1407" s="4">
        <v>45893</v>
      </c>
      <c r="C1407">
        <v>2025</v>
      </c>
      <c r="D1407">
        <v>8</v>
      </c>
      <c r="E1407">
        <v>24</v>
      </c>
      <c r="F1407" t="s">
        <v>10355</v>
      </c>
      <c r="G1407" t="b">
        <v>1</v>
      </c>
      <c r="H1407">
        <v>3</v>
      </c>
    </row>
    <row r="1408" spans="1:8">
      <c r="A1408" t="s">
        <v>7354</v>
      </c>
      <c r="B1408" s="4">
        <v>45450</v>
      </c>
      <c r="C1408">
        <v>2024</v>
      </c>
      <c r="D1408">
        <v>6</v>
      </c>
      <c r="E1408">
        <v>7</v>
      </c>
      <c r="F1408" t="s">
        <v>10352</v>
      </c>
      <c r="G1408" t="b">
        <v>0</v>
      </c>
      <c r="H1408">
        <v>2</v>
      </c>
    </row>
    <row r="1409" spans="1:8">
      <c r="A1409" t="s">
        <v>7359</v>
      </c>
      <c r="B1409" s="4">
        <v>45716</v>
      </c>
      <c r="C1409">
        <v>2025</v>
      </c>
      <c r="D1409">
        <v>2</v>
      </c>
      <c r="E1409">
        <v>28</v>
      </c>
      <c r="F1409" t="s">
        <v>10352</v>
      </c>
      <c r="G1409" t="b">
        <v>0</v>
      </c>
      <c r="H1409">
        <v>1</v>
      </c>
    </row>
    <row r="1410" spans="1:8">
      <c r="A1410" t="s">
        <v>7364</v>
      </c>
      <c r="B1410" s="4">
        <v>45962</v>
      </c>
      <c r="C1410">
        <v>2025</v>
      </c>
      <c r="D1410">
        <v>11</v>
      </c>
      <c r="E1410">
        <v>1</v>
      </c>
      <c r="F1410" t="s">
        <v>10354</v>
      </c>
      <c r="G1410" t="b">
        <v>1</v>
      </c>
      <c r="H1410">
        <v>4</v>
      </c>
    </row>
    <row r="1411" spans="1:8">
      <c r="A1411" t="s">
        <v>7369</v>
      </c>
      <c r="B1411" s="4">
        <v>45393</v>
      </c>
      <c r="C1411">
        <v>2024</v>
      </c>
      <c r="D1411">
        <v>4</v>
      </c>
      <c r="E1411">
        <v>11</v>
      </c>
      <c r="F1411" t="s">
        <v>10350</v>
      </c>
      <c r="G1411" t="b">
        <v>0</v>
      </c>
      <c r="H1411">
        <v>2</v>
      </c>
    </row>
    <row r="1412" spans="1:8">
      <c r="A1412" t="s">
        <v>7374</v>
      </c>
      <c r="B1412" s="4">
        <v>45793</v>
      </c>
      <c r="C1412">
        <v>2025</v>
      </c>
      <c r="D1412">
        <v>5</v>
      </c>
      <c r="E1412">
        <v>16</v>
      </c>
      <c r="F1412" t="s">
        <v>10352</v>
      </c>
      <c r="G1412" t="b">
        <v>0</v>
      </c>
      <c r="H1412">
        <v>2</v>
      </c>
    </row>
    <row r="1413" spans="1:8">
      <c r="A1413" t="s">
        <v>7379</v>
      </c>
      <c r="B1413" s="4">
        <v>45922</v>
      </c>
      <c r="C1413">
        <v>2025</v>
      </c>
      <c r="D1413">
        <v>9</v>
      </c>
      <c r="E1413">
        <v>22</v>
      </c>
      <c r="F1413" t="s">
        <v>10356</v>
      </c>
      <c r="G1413" t="b">
        <v>0</v>
      </c>
      <c r="H1413">
        <v>3</v>
      </c>
    </row>
    <row r="1414" spans="1:8">
      <c r="A1414" t="s">
        <v>7384</v>
      </c>
      <c r="B1414" s="4">
        <v>45709</v>
      </c>
      <c r="C1414">
        <v>2025</v>
      </c>
      <c r="D1414">
        <v>2</v>
      </c>
      <c r="E1414">
        <v>21</v>
      </c>
      <c r="F1414" t="s">
        <v>10352</v>
      </c>
      <c r="G1414" t="b">
        <v>0</v>
      </c>
      <c r="H1414">
        <v>1</v>
      </c>
    </row>
    <row r="1415" spans="1:8">
      <c r="A1415" t="s">
        <v>7389</v>
      </c>
      <c r="B1415" s="4">
        <v>45578</v>
      </c>
      <c r="C1415">
        <v>2024</v>
      </c>
      <c r="D1415">
        <v>10</v>
      </c>
      <c r="E1415">
        <v>13</v>
      </c>
      <c r="F1415" t="s">
        <v>10355</v>
      </c>
      <c r="G1415" t="b">
        <v>1</v>
      </c>
      <c r="H1415">
        <v>4</v>
      </c>
    </row>
    <row r="1416" spans="1:8">
      <c r="A1416" t="s">
        <v>7394</v>
      </c>
      <c r="B1416" s="4">
        <v>45325</v>
      </c>
      <c r="C1416">
        <v>2024</v>
      </c>
      <c r="D1416">
        <v>2</v>
      </c>
      <c r="E1416">
        <v>3</v>
      </c>
      <c r="F1416" t="s">
        <v>10354</v>
      </c>
      <c r="G1416" t="b">
        <v>1</v>
      </c>
      <c r="H1416">
        <v>1</v>
      </c>
    </row>
    <row r="1417" spans="1:8">
      <c r="A1417" t="s">
        <v>7399</v>
      </c>
      <c r="B1417" s="4">
        <v>45998</v>
      </c>
      <c r="C1417">
        <v>2025</v>
      </c>
      <c r="D1417">
        <v>12</v>
      </c>
      <c r="E1417">
        <v>7</v>
      </c>
      <c r="F1417" t="s">
        <v>10355</v>
      </c>
      <c r="G1417" t="b">
        <v>1</v>
      </c>
      <c r="H1417">
        <v>4</v>
      </c>
    </row>
    <row r="1418" spans="1:8">
      <c r="A1418" t="s">
        <v>7404</v>
      </c>
      <c r="B1418" s="4">
        <v>45671</v>
      </c>
      <c r="C1418">
        <v>2025</v>
      </c>
      <c r="D1418">
        <v>1</v>
      </c>
      <c r="E1418">
        <v>14</v>
      </c>
      <c r="F1418" t="s">
        <v>10353</v>
      </c>
      <c r="G1418" t="b">
        <v>0</v>
      </c>
      <c r="H1418">
        <v>1</v>
      </c>
    </row>
    <row r="1419" spans="1:8">
      <c r="A1419" t="s">
        <v>7409</v>
      </c>
      <c r="B1419" s="4">
        <v>45514</v>
      </c>
      <c r="C1419">
        <v>2024</v>
      </c>
      <c r="D1419">
        <v>8</v>
      </c>
      <c r="E1419">
        <v>10</v>
      </c>
      <c r="F1419" t="s">
        <v>10354</v>
      </c>
      <c r="G1419" t="b">
        <v>1</v>
      </c>
      <c r="H1419">
        <v>3</v>
      </c>
    </row>
    <row r="1420" spans="1:8">
      <c r="A1420" t="s">
        <v>7414</v>
      </c>
      <c r="B1420" s="4">
        <v>45746</v>
      </c>
      <c r="C1420">
        <v>2025</v>
      </c>
      <c r="D1420">
        <v>3</v>
      </c>
      <c r="E1420">
        <v>30</v>
      </c>
      <c r="F1420" t="s">
        <v>10355</v>
      </c>
      <c r="G1420" t="b">
        <v>1</v>
      </c>
      <c r="H1420">
        <v>1</v>
      </c>
    </row>
    <row r="1421" spans="1:8">
      <c r="A1421" t="s">
        <v>7419</v>
      </c>
      <c r="B1421" s="4">
        <v>45747</v>
      </c>
      <c r="C1421">
        <v>2025</v>
      </c>
      <c r="D1421">
        <v>3</v>
      </c>
      <c r="E1421">
        <v>31</v>
      </c>
      <c r="F1421" t="s">
        <v>10356</v>
      </c>
      <c r="G1421" t="b">
        <v>0</v>
      </c>
      <c r="H1421">
        <v>1</v>
      </c>
    </row>
    <row r="1422" spans="1:8">
      <c r="A1422" t="s">
        <v>7424</v>
      </c>
      <c r="B1422" s="4">
        <v>45533</v>
      </c>
      <c r="C1422">
        <v>2024</v>
      </c>
      <c r="D1422">
        <v>8</v>
      </c>
      <c r="E1422">
        <v>29</v>
      </c>
      <c r="F1422" t="s">
        <v>10350</v>
      </c>
      <c r="G1422" t="b">
        <v>0</v>
      </c>
      <c r="H1422">
        <v>3</v>
      </c>
    </row>
    <row r="1423" spans="1:8">
      <c r="A1423" t="s">
        <v>7429</v>
      </c>
      <c r="B1423" s="4">
        <v>45663</v>
      </c>
      <c r="C1423">
        <v>2025</v>
      </c>
      <c r="D1423">
        <v>1</v>
      </c>
      <c r="E1423">
        <v>6</v>
      </c>
      <c r="F1423" t="s">
        <v>10356</v>
      </c>
      <c r="G1423" t="b">
        <v>0</v>
      </c>
      <c r="H1423">
        <v>1</v>
      </c>
    </row>
    <row r="1424" spans="1:8">
      <c r="A1424" t="s">
        <v>7434</v>
      </c>
      <c r="B1424" s="4">
        <v>45393</v>
      </c>
      <c r="C1424">
        <v>2024</v>
      </c>
      <c r="D1424">
        <v>4</v>
      </c>
      <c r="E1424">
        <v>11</v>
      </c>
      <c r="F1424" t="s">
        <v>10350</v>
      </c>
      <c r="G1424" t="b">
        <v>0</v>
      </c>
      <c r="H1424">
        <v>2</v>
      </c>
    </row>
    <row r="1425" spans="1:8">
      <c r="A1425" t="s">
        <v>7439</v>
      </c>
      <c r="B1425" s="4">
        <v>45994</v>
      </c>
      <c r="C1425">
        <v>2025</v>
      </c>
      <c r="D1425">
        <v>12</v>
      </c>
      <c r="E1425">
        <v>3</v>
      </c>
      <c r="F1425" t="s">
        <v>10351</v>
      </c>
      <c r="G1425" t="b">
        <v>0</v>
      </c>
      <c r="H1425">
        <v>4</v>
      </c>
    </row>
    <row r="1426" spans="1:8">
      <c r="A1426" t="s">
        <v>7444</v>
      </c>
      <c r="B1426" s="4">
        <v>45668</v>
      </c>
      <c r="C1426">
        <v>2025</v>
      </c>
      <c r="D1426">
        <v>1</v>
      </c>
      <c r="E1426">
        <v>11</v>
      </c>
      <c r="F1426" t="s">
        <v>10354</v>
      </c>
      <c r="G1426" t="b">
        <v>1</v>
      </c>
      <c r="H1426">
        <v>1</v>
      </c>
    </row>
    <row r="1427" spans="1:8">
      <c r="A1427" t="s">
        <v>7449</v>
      </c>
      <c r="B1427" s="4">
        <v>45849</v>
      </c>
      <c r="C1427">
        <v>2025</v>
      </c>
      <c r="D1427">
        <v>7</v>
      </c>
      <c r="E1427">
        <v>11</v>
      </c>
      <c r="F1427" t="s">
        <v>10352</v>
      </c>
      <c r="G1427" t="b">
        <v>0</v>
      </c>
      <c r="H1427">
        <v>3</v>
      </c>
    </row>
    <row r="1428" spans="1:8">
      <c r="A1428" t="s">
        <v>7454</v>
      </c>
      <c r="B1428" s="4">
        <v>45952</v>
      </c>
      <c r="C1428">
        <v>2025</v>
      </c>
      <c r="D1428">
        <v>10</v>
      </c>
      <c r="E1428">
        <v>22</v>
      </c>
      <c r="F1428" t="s">
        <v>10351</v>
      </c>
      <c r="G1428" t="b">
        <v>0</v>
      </c>
      <c r="H1428">
        <v>4</v>
      </c>
    </row>
    <row r="1429" spans="1:8">
      <c r="A1429" t="s">
        <v>7459</v>
      </c>
      <c r="B1429" s="4">
        <v>45659</v>
      </c>
      <c r="C1429">
        <v>2025</v>
      </c>
      <c r="D1429">
        <v>1</v>
      </c>
      <c r="E1429">
        <v>2</v>
      </c>
      <c r="F1429" t="s">
        <v>10350</v>
      </c>
      <c r="G1429" t="b">
        <v>0</v>
      </c>
      <c r="H1429">
        <v>1</v>
      </c>
    </row>
    <row r="1430" spans="1:8">
      <c r="A1430" t="s">
        <v>7464</v>
      </c>
      <c r="B1430" s="4">
        <v>45354</v>
      </c>
      <c r="C1430">
        <v>2024</v>
      </c>
      <c r="D1430">
        <v>3</v>
      </c>
      <c r="E1430">
        <v>3</v>
      </c>
      <c r="F1430" t="s">
        <v>10355</v>
      </c>
      <c r="G1430" t="b">
        <v>1</v>
      </c>
      <c r="H1430">
        <v>1</v>
      </c>
    </row>
    <row r="1431" spans="1:8">
      <c r="A1431" t="s">
        <v>7469</v>
      </c>
      <c r="B1431" s="4">
        <v>45699</v>
      </c>
      <c r="C1431">
        <v>2025</v>
      </c>
      <c r="D1431">
        <v>2</v>
      </c>
      <c r="E1431">
        <v>11</v>
      </c>
      <c r="F1431" t="s">
        <v>10353</v>
      </c>
      <c r="G1431" t="b">
        <v>0</v>
      </c>
      <c r="H1431">
        <v>1</v>
      </c>
    </row>
    <row r="1432" spans="1:8">
      <c r="A1432" t="s">
        <v>7474</v>
      </c>
      <c r="B1432" s="4">
        <v>45574</v>
      </c>
      <c r="C1432">
        <v>2024</v>
      </c>
      <c r="D1432">
        <v>10</v>
      </c>
      <c r="E1432">
        <v>9</v>
      </c>
      <c r="F1432" t="s">
        <v>10351</v>
      </c>
      <c r="G1432" t="b">
        <v>0</v>
      </c>
      <c r="H1432">
        <v>4</v>
      </c>
    </row>
    <row r="1433" spans="1:8">
      <c r="A1433" t="s">
        <v>7479</v>
      </c>
      <c r="B1433" s="4">
        <v>45486</v>
      </c>
      <c r="C1433">
        <v>2024</v>
      </c>
      <c r="D1433">
        <v>7</v>
      </c>
      <c r="E1433">
        <v>13</v>
      </c>
      <c r="F1433" t="s">
        <v>10354</v>
      </c>
      <c r="G1433" t="b">
        <v>1</v>
      </c>
      <c r="H1433">
        <v>3</v>
      </c>
    </row>
    <row r="1434" spans="1:8">
      <c r="A1434" t="s">
        <v>7484</v>
      </c>
      <c r="B1434" s="4">
        <v>45417</v>
      </c>
      <c r="C1434">
        <v>2024</v>
      </c>
      <c r="D1434">
        <v>5</v>
      </c>
      <c r="E1434">
        <v>5</v>
      </c>
      <c r="F1434" t="s">
        <v>10355</v>
      </c>
      <c r="G1434" t="b">
        <v>1</v>
      </c>
      <c r="H1434">
        <v>2</v>
      </c>
    </row>
    <row r="1435" spans="1:8">
      <c r="A1435" t="s">
        <v>7489</v>
      </c>
      <c r="B1435" s="4">
        <v>45757</v>
      </c>
      <c r="C1435">
        <v>2025</v>
      </c>
      <c r="D1435">
        <v>4</v>
      </c>
      <c r="E1435">
        <v>10</v>
      </c>
      <c r="F1435" t="s">
        <v>10350</v>
      </c>
      <c r="G1435" t="b">
        <v>0</v>
      </c>
      <c r="H1435">
        <v>2</v>
      </c>
    </row>
    <row r="1436" spans="1:8">
      <c r="A1436" t="s">
        <v>7494</v>
      </c>
      <c r="B1436" s="4">
        <v>45385</v>
      </c>
      <c r="C1436">
        <v>2024</v>
      </c>
      <c r="D1436">
        <v>4</v>
      </c>
      <c r="E1436">
        <v>3</v>
      </c>
      <c r="F1436" t="s">
        <v>10351</v>
      </c>
      <c r="G1436" t="b">
        <v>0</v>
      </c>
      <c r="H1436">
        <v>2</v>
      </c>
    </row>
    <row r="1437" spans="1:8">
      <c r="A1437" t="s">
        <v>7499</v>
      </c>
      <c r="B1437" s="4">
        <v>45970</v>
      </c>
      <c r="C1437">
        <v>2025</v>
      </c>
      <c r="D1437">
        <v>11</v>
      </c>
      <c r="E1437">
        <v>9</v>
      </c>
      <c r="F1437" t="s">
        <v>10355</v>
      </c>
      <c r="G1437" t="b">
        <v>1</v>
      </c>
      <c r="H1437">
        <v>4</v>
      </c>
    </row>
    <row r="1438" spans="1:8">
      <c r="A1438" t="s">
        <v>7504</v>
      </c>
      <c r="B1438" s="4">
        <v>45509</v>
      </c>
      <c r="C1438">
        <v>2024</v>
      </c>
      <c r="D1438">
        <v>8</v>
      </c>
      <c r="E1438">
        <v>5</v>
      </c>
      <c r="F1438" t="s">
        <v>10356</v>
      </c>
      <c r="G1438" t="b">
        <v>0</v>
      </c>
      <c r="H1438">
        <v>3</v>
      </c>
    </row>
    <row r="1439" spans="1:8">
      <c r="A1439" t="s">
        <v>7509</v>
      </c>
      <c r="B1439" s="4">
        <v>45949</v>
      </c>
      <c r="C1439">
        <v>2025</v>
      </c>
      <c r="D1439">
        <v>10</v>
      </c>
      <c r="E1439">
        <v>19</v>
      </c>
      <c r="F1439" t="s">
        <v>10355</v>
      </c>
      <c r="G1439" t="b">
        <v>1</v>
      </c>
      <c r="H1439">
        <v>4</v>
      </c>
    </row>
    <row r="1440" spans="1:8">
      <c r="A1440" t="s">
        <v>7514</v>
      </c>
      <c r="B1440" s="4">
        <v>45946</v>
      </c>
      <c r="C1440">
        <v>2025</v>
      </c>
      <c r="D1440">
        <v>10</v>
      </c>
      <c r="E1440">
        <v>16</v>
      </c>
      <c r="F1440" t="s">
        <v>10350</v>
      </c>
      <c r="G1440" t="b">
        <v>0</v>
      </c>
      <c r="H1440">
        <v>4</v>
      </c>
    </row>
    <row r="1441" spans="1:8">
      <c r="A1441" t="s">
        <v>7519</v>
      </c>
      <c r="B1441" s="4">
        <v>45903</v>
      </c>
      <c r="C1441">
        <v>2025</v>
      </c>
      <c r="D1441">
        <v>9</v>
      </c>
      <c r="E1441">
        <v>3</v>
      </c>
      <c r="F1441" t="s">
        <v>10351</v>
      </c>
      <c r="G1441" t="b">
        <v>0</v>
      </c>
      <c r="H1441">
        <v>3</v>
      </c>
    </row>
    <row r="1442" spans="1:8">
      <c r="A1442" t="s">
        <v>7524</v>
      </c>
      <c r="B1442" s="4">
        <v>45313</v>
      </c>
      <c r="C1442">
        <v>2024</v>
      </c>
      <c r="D1442">
        <v>1</v>
      </c>
      <c r="E1442">
        <v>22</v>
      </c>
      <c r="F1442" t="s">
        <v>10356</v>
      </c>
      <c r="G1442" t="b">
        <v>0</v>
      </c>
      <c r="H1442">
        <v>1</v>
      </c>
    </row>
    <row r="1443" spans="1:8">
      <c r="A1443" t="s">
        <v>7529</v>
      </c>
      <c r="B1443" s="4">
        <v>45343</v>
      </c>
      <c r="C1443">
        <v>2024</v>
      </c>
      <c r="D1443">
        <v>2</v>
      </c>
      <c r="E1443">
        <v>21</v>
      </c>
      <c r="F1443" t="s">
        <v>10351</v>
      </c>
      <c r="G1443" t="b">
        <v>0</v>
      </c>
      <c r="H1443">
        <v>1</v>
      </c>
    </row>
    <row r="1444" spans="1:8">
      <c r="A1444" t="s">
        <v>7534</v>
      </c>
      <c r="B1444" s="4">
        <v>45633</v>
      </c>
      <c r="C1444">
        <v>2024</v>
      </c>
      <c r="D1444">
        <v>12</v>
      </c>
      <c r="E1444">
        <v>7</v>
      </c>
      <c r="F1444" t="s">
        <v>10354</v>
      </c>
      <c r="G1444" t="b">
        <v>1</v>
      </c>
      <c r="H1444">
        <v>4</v>
      </c>
    </row>
    <row r="1445" spans="1:8">
      <c r="A1445" t="s">
        <v>7539</v>
      </c>
      <c r="B1445" s="4">
        <v>45541</v>
      </c>
      <c r="C1445">
        <v>2024</v>
      </c>
      <c r="D1445">
        <v>9</v>
      </c>
      <c r="E1445">
        <v>6</v>
      </c>
      <c r="F1445" t="s">
        <v>10352</v>
      </c>
      <c r="G1445" t="b">
        <v>0</v>
      </c>
      <c r="H1445">
        <v>3</v>
      </c>
    </row>
    <row r="1446" spans="1:8">
      <c r="A1446" t="s">
        <v>7544</v>
      </c>
      <c r="B1446" s="4">
        <v>45420</v>
      </c>
      <c r="C1446">
        <v>2024</v>
      </c>
      <c r="D1446">
        <v>5</v>
      </c>
      <c r="E1446">
        <v>8</v>
      </c>
      <c r="F1446" t="s">
        <v>10351</v>
      </c>
      <c r="G1446" t="b">
        <v>0</v>
      </c>
      <c r="H1446">
        <v>2</v>
      </c>
    </row>
    <row r="1447" spans="1:8">
      <c r="A1447" t="s">
        <v>7549</v>
      </c>
      <c r="B1447" s="4">
        <v>45870</v>
      </c>
      <c r="C1447">
        <v>2025</v>
      </c>
      <c r="D1447">
        <v>8</v>
      </c>
      <c r="E1447">
        <v>1</v>
      </c>
      <c r="F1447" t="s">
        <v>10352</v>
      </c>
      <c r="G1447" t="b">
        <v>0</v>
      </c>
      <c r="H1447">
        <v>3</v>
      </c>
    </row>
    <row r="1448" spans="1:8">
      <c r="A1448" t="s">
        <v>7554</v>
      </c>
      <c r="B1448" s="4">
        <v>45502</v>
      </c>
      <c r="C1448">
        <v>2024</v>
      </c>
      <c r="D1448">
        <v>7</v>
      </c>
      <c r="E1448">
        <v>29</v>
      </c>
      <c r="F1448" t="s">
        <v>10356</v>
      </c>
      <c r="G1448" t="b">
        <v>0</v>
      </c>
      <c r="H1448">
        <v>3</v>
      </c>
    </row>
    <row r="1449" spans="1:8">
      <c r="A1449" t="s">
        <v>7559</v>
      </c>
      <c r="B1449" s="4">
        <v>45362</v>
      </c>
      <c r="C1449">
        <v>2024</v>
      </c>
      <c r="D1449">
        <v>3</v>
      </c>
      <c r="E1449">
        <v>11</v>
      </c>
      <c r="F1449" t="s">
        <v>10356</v>
      </c>
      <c r="G1449" t="b">
        <v>0</v>
      </c>
      <c r="H1449">
        <v>1</v>
      </c>
    </row>
    <row r="1450" spans="1:8">
      <c r="A1450" t="s">
        <v>7564</v>
      </c>
      <c r="B1450" s="4">
        <v>45859</v>
      </c>
      <c r="C1450">
        <v>2025</v>
      </c>
      <c r="D1450">
        <v>7</v>
      </c>
      <c r="E1450">
        <v>21</v>
      </c>
      <c r="F1450" t="s">
        <v>10356</v>
      </c>
      <c r="G1450" t="b">
        <v>0</v>
      </c>
      <c r="H1450">
        <v>3</v>
      </c>
    </row>
    <row r="1451" spans="1:8">
      <c r="A1451" t="s">
        <v>7569</v>
      </c>
      <c r="B1451" s="4">
        <v>45504</v>
      </c>
      <c r="C1451">
        <v>2024</v>
      </c>
      <c r="D1451">
        <v>7</v>
      </c>
      <c r="E1451">
        <v>31</v>
      </c>
      <c r="F1451" t="s">
        <v>10351</v>
      </c>
      <c r="G1451" t="b">
        <v>0</v>
      </c>
      <c r="H1451">
        <v>3</v>
      </c>
    </row>
    <row r="1452" spans="1:8">
      <c r="A1452" t="s">
        <v>7574</v>
      </c>
      <c r="B1452" s="4">
        <v>45892</v>
      </c>
      <c r="C1452">
        <v>2025</v>
      </c>
      <c r="D1452">
        <v>8</v>
      </c>
      <c r="E1452">
        <v>23</v>
      </c>
      <c r="F1452" t="s">
        <v>10354</v>
      </c>
      <c r="G1452" t="b">
        <v>1</v>
      </c>
      <c r="H1452">
        <v>3</v>
      </c>
    </row>
    <row r="1453" spans="1:8">
      <c r="A1453" t="s">
        <v>7580</v>
      </c>
      <c r="B1453" s="4">
        <v>45513</v>
      </c>
      <c r="C1453">
        <v>2024</v>
      </c>
      <c r="D1453">
        <v>8</v>
      </c>
      <c r="E1453">
        <v>9</v>
      </c>
      <c r="F1453" t="s">
        <v>10352</v>
      </c>
      <c r="G1453" t="b">
        <v>0</v>
      </c>
      <c r="H1453">
        <v>3</v>
      </c>
    </row>
    <row r="1454" spans="1:8">
      <c r="A1454" t="s">
        <v>7585</v>
      </c>
      <c r="B1454" s="4">
        <v>45530</v>
      </c>
      <c r="C1454">
        <v>2024</v>
      </c>
      <c r="D1454">
        <v>8</v>
      </c>
      <c r="E1454">
        <v>26</v>
      </c>
      <c r="F1454" t="s">
        <v>10356</v>
      </c>
      <c r="G1454" t="b">
        <v>0</v>
      </c>
      <c r="H1454">
        <v>3</v>
      </c>
    </row>
    <row r="1455" spans="1:8">
      <c r="A1455" t="s">
        <v>7590</v>
      </c>
      <c r="B1455" s="4">
        <v>45628</v>
      </c>
      <c r="C1455">
        <v>2024</v>
      </c>
      <c r="D1455">
        <v>12</v>
      </c>
      <c r="E1455">
        <v>2</v>
      </c>
      <c r="F1455" t="s">
        <v>10356</v>
      </c>
      <c r="G1455" t="b">
        <v>0</v>
      </c>
      <c r="H1455">
        <v>4</v>
      </c>
    </row>
    <row r="1456" spans="1:8">
      <c r="A1456" t="s">
        <v>7596</v>
      </c>
      <c r="B1456" s="4">
        <v>45443</v>
      </c>
      <c r="C1456">
        <v>2024</v>
      </c>
      <c r="D1456">
        <v>5</v>
      </c>
      <c r="E1456">
        <v>31</v>
      </c>
      <c r="F1456" t="s">
        <v>10352</v>
      </c>
      <c r="G1456" t="b">
        <v>0</v>
      </c>
      <c r="H1456">
        <v>2</v>
      </c>
    </row>
    <row r="1457" spans="1:8">
      <c r="A1457" t="s">
        <v>7601</v>
      </c>
      <c r="B1457" s="4">
        <v>45902</v>
      </c>
      <c r="C1457">
        <v>2025</v>
      </c>
      <c r="D1457">
        <v>9</v>
      </c>
      <c r="E1457">
        <v>2</v>
      </c>
      <c r="F1457" t="s">
        <v>10353</v>
      </c>
      <c r="G1457" t="b">
        <v>0</v>
      </c>
      <c r="H1457">
        <v>3</v>
      </c>
    </row>
    <row r="1458" spans="1:8">
      <c r="A1458" t="s">
        <v>7606</v>
      </c>
      <c r="B1458" s="4">
        <v>45294</v>
      </c>
      <c r="C1458">
        <v>2024</v>
      </c>
      <c r="D1458">
        <v>1</v>
      </c>
      <c r="E1458">
        <v>3</v>
      </c>
      <c r="F1458" t="s">
        <v>10351</v>
      </c>
      <c r="G1458" t="b">
        <v>0</v>
      </c>
      <c r="H1458">
        <v>1</v>
      </c>
    </row>
    <row r="1459" spans="1:8">
      <c r="A1459" t="s">
        <v>7611</v>
      </c>
      <c r="B1459" s="4">
        <v>45575</v>
      </c>
      <c r="C1459">
        <v>2024</v>
      </c>
      <c r="D1459">
        <v>10</v>
      </c>
      <c r="E1459">
        <v>10</v>
      </c>
      <c r="F1459" t="s">
        <v>10350</v>
      </c>
      <c r="G1459" t="b">
        <v>0</v>
      </c>
      <c r="H1459">
        <v>4</v>
      </c>
    </row>
    <row r="1460" spans="1:8">
      <c r="A1460" t="s">
        <v>7616</v>
      </c>
      <c r="B1460" s="4">
        <v>45440</v>
      </c>
      <c r="C1460">
        <v>2024</v>
      </c>
      <c r="D1460">
        <v>5</v>
      </c>
      <c r="E1460">
        <v>28</v>
      </c>
      <c r="F1460" t="s">
        <v>10353</v>
      </c>
      <c r="G1460" t="b">
        <v>0</v>
      </c>
      <c r="H1460">
        <v>2</v>
      </c>
    </row>
    <row r="1461" spans="1:8">
      <c r="A1461" t="s">
        <v>7621</v>
      </c>
      <c r="B1461" s="4">
        <v>45425</v>
      </c>
      <c r="C1461">
        <v>2024</v>
      </c>
      <c r="D1461">
        <v>5</v>
      </c>
      <c r="E1461">
        <v>13</v>
      </c>
      <c r="F1461" t="s">
        <v>10356</v>
      </c>
      <c r="G1461" t="b">
        <v>0</v>
      </c>
      <c r="H1461">
        <v>2</v>
      </c>
    </row>
    <row r="1462" spans="1:8">
      <c r="A1462" t="s">
        <v>7626</v>
      </c>
      <c r="B1462" s="4">
        <v>45845</v>
      </c>
      <c r="C1462">
        <v>2025</v>
      </c>
      <c r="D1462">
        <v>7</v>
      </c>
      <c r="E1462">
        <v>7</v>
      </c>
      <c r="F1462" t="s">
        <v>10356</v>
      </c>
      <c r="G1462" t="b">
        <v>0</v>
      </c>
      <c r="H1462">
        <v>3</v>
      </c>
    </row>
    <row r="1463" spans="1:8">
      <c r="A1463" t="s">
        <v>7631</v>
      </c>
      <c r="B1463" s="4">
        <v>45548</v>
      </c>
      <c r="C1463">
        <v>2024</v>
      </c>
      <c r="D1463">
        <v>9</v>
      </c>
      <c r="E1463">
        <v>13</v>
      </c>
      <c r="F1463" t="s">
        <v>10352</v>
      </c>
      <c r="G1463" t="b">
        <v>0</v>
      </c>
      <c r="H1463">
        <v>3</v>
      </c>
    </row>
    <row r="1464" spans="1:8">
      <c r="A1464" t="s">
        <v>7636</v>
      </c>
      <c r="B1464" s="4">
        <v>45470</v>
      </c>
      <c r="C1464">
        <v>2024</v>
      </c>
      <c r="D1464">
        <v>6</v>
      </c>
      <c r="E1464">
        <v>27</v>
      </c>
      <c r="F1464" t="s">
        <v>10350</v>
      </c>
      <c r="G1464" t="b">
        <v>0</v>
      </c>
      <c r="H1464">
        <v>2</v>
      </c>
    </row>
    <row r="1465" spans="1:8">
      <c r="A1465" t="s">
        <v>7641</v>
      </c>
      <c r="B1465" s="4">
        <v>45404</v>
      </c>
      <c r="C1465">
        <v>2024</v>
      </c>
      <c r="D1465">
        <v>4</v>
      </c>
      <c r="E1465">
        <v>22</v>
      </c>
      <c r="F1465" t="s">
        <v>10356</v>
      </c>
      <c r="G1465" t="b">
        <v>0</v>
      </c>
      <c r="H1465">
        <v>2</v>
      </c>
    </row>
    <row r="1466" spans="1:8">
      <c r="A1466" t="s">
        <v>7646</v>
      </c>
      <c r="B1466" s="4">
        <v>45968</v>
      </c>
      <c r="C1466">
        <v>2025</v>
      </c>
      <c r="D1466">
        <v>11</v>
      </c>
      <c r="E1466">
        <v>7</v>
      </c>
      <c r="F1466" t="s">
        <v>10352</v>
      </c>
      <c r="G1466" t="b">
        <v>0</v>
      </c>
      <c r="H1466">
        <v>4</v>
      </c>
    </row>
    <row r="1467" spans="1:8">
      <c r="A1467" t="s">
        <v>7651</v>
      </c>
      <c r="B1467" s="4">
        <v>45318</v>
      </c>
      <c r="C1467">
        <v>2024</v>
      </c>
      <c r="D1467">
        <v>1</v>
      </c>
      <c r="E1467">
        <v>27</v>
      </c>
      <c r="F1467" t="s">
        <v>10354</v>
      </c>
      <c r="G1467" t="b">
        <v>1</v>
      </c>
      <c r="H1467">
        <v>1</v>
      </c>
    </row>
    <row r="1468" spans="1:8">
      <c r="A1468" t="s">
        <v>7656</v>
      </c>
      <c r="B1468" s="4">
        <v>45426</v>
      </c>
      <c r="C1468">
        <v>2024</v>
      </c>
      <c r="D1468">
        <v>5</v>
      </c>
      <c r="E1468">
        <v>14</v>
      </c>
      <c r="F1468" t="s">
        <v>10353</v>
      </c>
      <c r="G1468" t="b">
        <v>0</v>
      </c>
      <c r="H1468">
        <v>2</v>
      </c>
    </row>
    <row r="1469" spans="1:8">
      <c r="A1469" t="s">
        <v>7661</v>
      </c>
      <c r="B1469" s="4">
        <v>45307</v>
      </c>
      <c r="C1469">
        <v>2024</v>
      </c>
      <c r="D1469">
        <v>1</v>
      </c>
      <c r="E1469">
        <v>16</v>
      </c>
      <c r="F1469" t="s">
        <v>10353</v>
      </c>
      <c r="G1469" t="b">
        <v>0</v>
      </c>
      <c r="H1469">
        <v>1</v>
      </c>
    </row>
    <row r="1470" spans="1:8">
      <c r="A1470" t="s">
        <v>7666</v>
      </c>
      <c r="B1470" s="4">
        <v>45658</v>
      </c>
      <c r="C1470">
        <v>2025</v>
      </c>
      <c r="D1470">
        <v>1</v>
      </c>
      <c r="E1470">
        <v>1</v>
      </c>
      <c r="F1470" t="s">
        <v>10351</v>
      </c>
      <c r="G1470" t="b">
        <v>0</v>
      </c>
      <c r="H1470">
        <v>1</v>
      </c>
    </row>
    <row r="1471" spans="1:8">
      <c r="A1471" t="s">
        <v>7671</v>
      </c>
      <c r="B1471" s="4">
        <v>45535</v>
      </c>
      <c r="C1471">
        <v>2024</v>
      </c>
      <c r="D1471">
        <v>8</v>
      </c>
      <c r="E1471">
        <v>31</v>
      </c>
      <c r="F1471" t="s">
        <v>10354</v>
      </c>
      <c r="G1471" t="b">
        <v>1</v>
      </c>
      <c r="H1471">
        <v>3</v>
      </c>
    </row>
    <row r="1472" spans="1:8">
      <c r="A1472" t="s">
        <v>7676</v>
      </c>
      <c r="B1472" s="4">
        <v>45894</v>
      </c>
      <c r="C1472">
        <v>2025</v>
      </c>
      <c r="D1472">
        <v>8</v>
      </c>
      <c r="E1472">
        <v>25</v>
      </c>
      <c r="F1472" t="s">
        <v>10356</v>
      </c>
      <c r="G1472" t="b">
        <v>0</v>
      </c>
      <c r="H1472">
        <v>3</v>
      </c>
    </row>
    <row r="1473" spans="1:8">
      <c r="A1473" t="s">
        <v>7681</v>
      </c>
      <c r="B1473" s="4">
        <v>45623</v>
      </c>
      <c r="C1473">
        <v>2024</v>
      </c>
      <c r="D1473">
        <v>11</v>
      </c>
      <c r="E1473">
        <v>27</v>
      </c>
      <c r="F1473" t="s">
        <v>10351</v>
      </c>
      <c r="G1473" t="b">
        <v>0</v>
      </c>
      <c r="H1473">
        <v>4</v>
      </c>
    </row>
    <row r="1474" spans="1:8">
      <c r="A1474" t="s">
        <v>7686</v>
      </c>
      <c r="B1474" s="4">
        <v>45308</v>
      </c>
      <c r="C1474">
        <v>2024</v>
      </c>
      <c r="D1474">
        <v>1</v>
      </c>
      <c r="E1474">
        <v>17</v>
      </c>
      <c r="F1474" t="s">
        <v>10351</v>
      </c>
      <c r="G1474" t="b">
        <v>0</v>
      </c>
      <c r="H1474">
        <v>1</v>
      </c>
    </row>
    <row r="1475" spans="1:8">
      <c r="A1475" t="s">
        <v>7691</v>
      </c>
      <c r="B1475" s="4">
        <v>45470</v>
      </c>
      <c r="C1475">
        <v>2024</v>
      </c>
      <c r="D1475">
        <v>6</v>
      </c>
      <c r="E1475">
        <v>27</v>
      </c>
      <c r="F1475" t="s">
        <v>10350</v>
      </c>
      <c r="G1475" t="b">
        <v>0</v>
      </c>
      <c r="H1475">
        <v>2</v>
      </c>
    </row>
    <row r="1476" spans="1:8">
      <c r="A1476" t="s">
        <v>7696</v>
      </c>
      <c r="B1476" s="4">
        <v>45563</v>
      </c>
      <c r="C1476">
        <v>2024</v>
      </c>
      <c r="D1476">
        <v>9</v>
      </c>
      <c r="E1476">
        <v>28</v>
      </c>
      <c r="F1476" t="s">
        <v>10354</v>
      </c>
      <c r="G1476" t="b">
        <v>1</v>
      </c>
      <c r="H1476">
        <v>3</v>
      </c>
    </row>
    <row r="1477" spans="1:8">
      <c r="A1477" t="s">
        <v>7701</v>
      </c>
      <c r="B1477" s="4">
        <v>45345</v>
      </c>
      <c r="C1477">
        <v>2024</v>
      </c>
      <c r="D1477">
        <v>2</v>
      </c>
      <c r="E1477">
        <v>23</v>
      </c>
      <c r="F1477" t="s">
        <v>10352</v>
      </c>
      <c r="G1477" t="b">
        <v>0</v>
      </c>
      <c r="H1477">
        <v>1</v>
      </c>
    </row>
    <row r="1478" spans="1:8">
      <c r="A1478" t="s">
        <v>7706</v>
      </c>
      <c r="B1478" s="4">
        <v>45421</v>
      </c>
      <c r="C1478">
        <v>2024</v>
      </c>
      <c r="D1478">
        <v>5</v>
      </c>
      <c r="E1478">
        <v>9</v>
      </c>
      <c r="F1478" t="s">
        <v>10350</v>
      </c>
      <c r="G1478" t="b">
        <v>0</v>
      </c>
      <c r="H1478">
        <v>2</v>
      </c>
    </row>
    <row r="1479" spans="1:8">
      <c r="A1479" t="s">
        <v>7711</v>
      </c>
      <c r="B1479" s="4">
        <v>45723</v>
      </c>
      <c r="C1479">
        <v>2025</v>
      </c>
      <c r="D1479">
        <v>3</v>
      </c>
      <c r="E1479">
        <v>7</v>
      </c>
      <c r="F1479" t="s">
        <v>10352</v>
      </c>
      <c r="G1479" t="b">
        <v>0</v>
      </c>
      <c r="H1479">
        <v>1</v>
      </c>
    </row>
    <row r="1480" spans="1:8">
      <c r="A1480" t="s">
        <v>7716</v>
      </c>
      <c r="B1480" s="4">
        <v>45830</v>
      </c>
      <c r="C1480">
        <v>2025</v>
      </c>
      <c r="D1480">
        <v>6</v>
      </c>
      <c r="E1480">
        <v>22</v>
      </c>
      <c r="F1480" t="s">
        <v>10355</v>
      </c>
      <c r="G1480" t="b">
        <v>1</v>
      </c>
      <c r="H1480">
        <v>2</v>
      </c>
    </row>
    <row r="1481" spans="1:8">
      <c r="A1481" t="s">
        <v>7721</v>
      </c>
      <c r="B1481" s="4">
        <v>45408</v>
      </c>
      <c r="C1481">
        <v>2024</v>
      </c>
      <c r="D1481">
        <v>4</v>
      </c>
      <c r="E1481">
        <v>26</v>
      </c>
      <c r="F1481" t="s">
        <v>10352</v>
      </c>
      <c r="G1481" t="b">
        <v>0</v>
      </c>
      <c r="H1481">
        <v>2</v>
      </c>
    </row>
    <row r="1482" spans="1:8">
      <c r="A1482" t="s">
        <v>7726</v>
      </c>
      <c r="B1482" s="4">
        <v>45357</v>
      </c>
      <c r="C1482">
        <v>2024</v>
      </c>
      <c r="D1482">
        <v>3</v>
      </c>
      <c r="E1482">
        <v>6</v>
      </c>
      <c r="F1482" t="s">
        <v>10351</v>
      </c>
      <c r="G1482" t="b">
        <v>0</v>
      </c>
      <c r="H1482">
        <v>1</v>
      </c>
    </row>
    <row r="1483" spans="1:8">
      <c r="A1483" t="s">
        <v>7731</v>
      </c>
      <c r="B1483" s="4">
        <v>45779</v>
      </c>
      <c r="C1483">
        <v>2025</v>
      </c>
      <c r="D1483">
        <v>5</v>
      </c>
      <c r="E1483">
        <v>2</v>
      </c>
      <c r="F1483" t="s">
        <v>10352</v>
      </c>
      <c r="G1483" t="b">
        <v>0</v>
      </c>
      <c r="H1483">
        <v>2</v>
      </c>
    </row>
    <row r="1484" spans="1:8">
      <c r="A1484" t="s">
        <v>7736</v>
      </c>
      <c r="B1484" s="4">
        <v>45751</v>
      </c>
      <c r="C1484">
        <v>2025</v>
      </c>
      <c r="D1484">
        <v>4</v>
      </c>
      <c r="E1484">
        <v>4</v>
      </c>
      <c r="F1484" t="s">
        <v>10352</v>
      </c>
      <c r="G1484" t="b">
        <v>0</v>
      </c>
      <c r="H1484">
        <v>2</v>
      </c>
    </row>
    <row r="1485" spans="1:8">
      <c r="A1485" t="s">
        <v>7741</v>
      </c>
      <c r="B1485" s="4">
        <v>45662</v>
      </c>
      <c r="C1485">
        <v>2025</v>
      </c>
      <c r="D1485">
        <v>1</v>
      </c>
      <c r="E1485">
        <v>5</v>
      </c>
      <c r="F1485" t="s">
        <v>10355</v>
      </c>
      <c r="G1485" t="b">
        <v>1</v>
      </c>
      <c r="H1485">
        <v>1</v>
      </c>
    </row>
    <row r="1486" spans="1:8">
      <c r="A1486" t="s">
        <v>7746</v>
      </c>
      <c r="B1486" s="4">
        <v>45817</v>
      </c>
      <c r="C1486">
        <v>2025</v>
      </c>
      <c r="D1486">
        <v>6</v>
      </c>
      <c r="E1486">
        <v>9</v>
      </c>
      <c r="F1486" t="s">
        <v>10356</v>
      </c>
      <c r="G1486" t="b">
        <v>0</v>
      </c>
      <c r="H1486">
        <v>2</v>
      </c>
    </row>
    <row r="1487" spans="1:8">
      <c r="A1487" t="s">
        <v>7751</v>
      </c>
      <c r="B1487" s="4">
        <v>45899</v>
      </c>
      <c r="C1487">
        <v>2025</v>
      </c>
      <c r="D1487">
        <v>8</v>
      </c>
      <c r="E1487">
        <v>30</v>
      </c>
      <c r="F1487" t="s">
        <v>10354</v>
      </c>
      <c r="G1487" t="b">
        <v>1</v>
      </c>
      <c r="H1487">
        <v>3</v>
      </c>
    </row>
    <row r="1488" spans="1:8">
      <c r="A1488" t="s">
        <v>7756</v>
      </c>
      <c r="B1488" s="4">
        <v>45403</v>
      </c>
      <c r="C1488">
        <v>2024</v>
      </c>
      <c r="D1488">
        <v>4</v>
      </c>
      <c r="E1488">
        <v>21</v>
      </c>
      <c r="F1488" t="s">
        <v>10355</v>
      </c>
      <c r="G1488" t="b">
        <v>1</v>
      </c>
      <c r="H1488">
        <v>2</v>
      </c>
    </row>
    <row r="1489" spans="1:8">
      <c r="A1489" t="s">
        <v>7761</v>
      </c>
      <c r="B1489" s="4">
        <v>45754</v>
      </c>
      <c r="C1489">
        <v>2025</v>
      </c>
      <c r="D1489">
        <v>4</v>
      </c>
      <c r="E1489">
        <v>7</v>
      </c>
      <c r="F1489" t="s">
        <v>10356</v>
      </c>
      <c r="G1489" t="b">
        <v>0</v>
      </c>
      <c r="H1489">
        <v>2</v>
      </c>
    </row>
    <row r="1490" spans="1:8">
      <c r="A1490" t="s">
        <v>7766</v>
      </c>
      <c r="B1490" s="4">
        <v>45807</v>
      </c>
      <c r="C1490">
        <v>2025</v>
      </c>
      <c r="D1490">
        <v>5</v>
      </c>
      <c r="E1490">
        <v>30</v>
      </c>
      <c r="F1490" t="s">
        <v>10352</v>
      </c>
      <c r="G1490" t="b">
        <v>0</v>
      </c>
      <c r="H1490">
        <v>2</v>
      </c>
    </row>
    <row r="1491" spans="1:8">
      <c r="A1491" t="s">
        <v>7771</v>
      </c>
      <c r="B1491" s="4">
        <v>45518</v>
      </c>
      <c r="C1491">
        <v>2024</v>
      </c>
      <c r="D1491">
        <v>8</v>
      </c>
      <c r="E1491">
        <v>14</v>
      </c>
      <c r="F1491" t="s">
        <v>10351</v>
      </c>
      <c r="G1491" t="b">
        <v>0</v>
      </c>
      <c r="H1491">
        <v>3</v>
      </c>
    </row>
    <row r="1492" spans="1:8">
      <c r="A1492" t="s">
        <v>7776</v>
      </c>
      <c r="B1492" s="4">
        <v>45921</v>
      </c>
      <c r="C1492">
        <v>2025</v>
      </c>
      <c r="D1492">
        <v>9</v>
      </c>
      <c r="E1492">
        <v>21</v>
      </c>
      <c r="F1492" t="s">
        <v>10355</v>
      </c>
      <c r="G1492" t="b">
        <v>1</v>
      </c>
      <c r="H1492">
        <v>3</v>
      </c>
    </row>
    <row r="1493" spans="1:8">
      <c r="A1493" t="s">
        <v>7781</v>
      </c>
      <c r="B1493" s="4">
        <v>45336</v>
      </c>
      <c r="C1493">
        <v>2024</v>
      </c>
      <c r="D1493">
        <v>2</v>
      </c>
      <c r="E1493">
        <v>14</v>
      </c>
      <c r="F1493" t="s">
        <v>10351</v>
      </c>
      <c r="G1493" t="b">
        <v>0</v>
      </c>
      <c r="H1493">
        <v>1</v>
      </c>
    </row>
    <row r="1494" spans="1:8">
      <c r="A1494" t="s">
        <v>7786</v>
      </c>
      <c r="B1494" s="4">
        <v>45966</v>
      </c>
      <c r="C1494">
        <v>2025</v>
      </c>
      <c r="D1494">
        <v>11</v>
      </c>
      <c r="E1494">
        <v>5</v>
      </c>
      <c r="F1494" t="s">
        <v>10351</v>
      </c>
      <c r="G1494" t="b">
        <v>0</v>
      </c>
      <c r="H1494">
        <v>4</v>
      </c>
    </row>
    <row r="1495" spans="1:8">
      <c r="A1495" t="s">
        <v>7791</v>
      </c>
      <c r="B1495" s="4">
        <v>45825</v>
      </c>
      <c r="C1495">
        <v>2025</v>
      </c>
      <c r="D1495">
        <v>6</v>
      </c>
      <c r="E1495">
        <v>17</v>
      </c>
      <c r="F1495" t="s">
        <v>10353</v>
      </c>
      <c r="G1495" t="b">
        <v>0</v>
      </c>
      <c r="H1495">
        <v>2</v>
      </c>
    </row>
    <row r="1496" spans="1:8">
      <c r="A1496" t="s">
        <v>7796</v>
      </c>
      <c r="B1496" s="4">
        <v>45600</v>
      </c>
      <c r="C1496">
        <v>2024</v>
      </c>
      <c r="D1496">
        <v>11</v>
      </c>
      <c r="E1496">
        <v>4</v>
      </c>
      <c r="F1496" t="s">
        <v>10356</v>
      </c>
      <c r="G1496" t="b">
        <v>0</v>
      </c>
      <c r="H1496">
        <v>4</v>
      </c>
    </row>
    <row r="1497" spans="1:8">
      <c r="A1497" t="s">
        <v>7801</v>
      </c>
      <c r="B1497" s="4">
        <v>45761</v>
      </c>
      <c r="C1497">
        <v>2025</v>
      </c>
      <c r="D1497">
        <v>4</v>
      </c>
      <c r="E1497">
        <v>14</v>
      </c>
      <c r="F1497" t="s">
        <v>10356</v>
      </c>
      <c r="G1497" t="b">
        <v>0</v>
      </c>
      <c r="H1497">
        <v>2</v>
      </c>
    </row>
    <row r="1498" spans="1:8">
      <c r="A1498" t="s">
        <v>7806</v>
      </c>
      <c r="B1498" s="4">
        <v>45950</v>
      </c>
      <c r="C1498">
        <v>2025</v>
      </c>
      <c r="D1498">
        <v>10</v>
      </c>
      <c r="E1498">
        <v>20</v>
      </c>
      <c r="F1498" t="s">
        <v>10356</v>
      </c>
      <c r="G1498" t="b">
        <v>0</v>
      </c>
      <c r="H1498">
        <v>4</v>
      </c>
    </row>
    <row r="1499" spans="1:8">
      <c r="A1499" t="s">
        <v>7811</v>
      </c>
      <c r="B1499" s="4">
        <v>45323</v>
      </c>
      <c r="C1499">
        <v>2024</v>
      </c>
      <c r="D1499">
        <v>2</v>
      </c>
      <c r="E1499">
        <v>1</v>
      </c>
      <c r="F1499" t="s">
        <v>10350</v>
      </c>
      <c r="G1499" t="b">
        <v>0</v>
      </c>
      <c r="H1499">
        <v>1</v>
      </c>
    </row>
    <row r="1500" spans="1:8">
      <c r="A1500" t="s">
        <v>7816</v>
      </c>
      <c r="B1500" s="4">
        <v>45354</v>
      </c>
      <c r="C1500">
        <v>2024</v>
      </c>
      <c r="D1500">
        <v>3</v>
      </c>
      <c r="E1500">
        <v>3</v>
      </c>
      <c r="F1500" t="s">
        <v>10355</v>
      </c>
      <c r="G1500" t="b">
        <v>1</v>
      </c>
      <c r="H1500">
        <v>1</v>
      </c>
    </row>
    <row r="1501" spans="1:8">
      <c r="A1501" t="s">
        <v>7821</v>
      </c>
      <c r="B1501" s="4">
        <v>45782</v>
      </c>
      <c r="C1501">
        <v>2025</v>
      </c>
      <c r="D1501">
        <v>5</v>
      </c>
      <c r="E1501">
        <v>5</v>
      </c>
      <c r="F1501" t="s">
        <v>10356</v>
      </c>
      <c r="G1501" t="b">
        <v>0</v>
      </c>
      <c r="H1501">
        <v>2</v>
      </c>
    </row>
    <row r="1502" spans="1:8">
      <c r="A1502" t="s">
        <v>7826</v>
      </c>
      <c r="B1502" s="4">
        <v>45703</v>
      </c>
      <c r="C1502">
        <v>2025</v>
      </c>
      <c r="D1502">
        <v>2</v>
      </c>
      <c r="E1502">
        <v>15</v>
      </c>
      <c r="F1502" t="s">
        <v>10354</v>
      </c>
      <c r="G1502" t="b">
        <v>1</v>
      </c>
      <c r="H1502">
        <v>1</v>
      </c>
    </row>
    <row r="1503" spans="1:8">
      <c r="A1503" t="s">
        <v>7831</v>
      </c>
      <c r="B1503" s="4">
        <v>45728</v>
      </c>
      <c r="C1503">
        <v>2025</v>
      </c>
      <c r="D1503">
        <v>3</v>
      </c>
      <c r="E1503">
        <v>12</v>
      </c>
      <c r="F1503" t="s">
        <v>10351</v>
      </c>
      <c r="G1503" t="b">
        <v>0</v>
      </c>
      <c r="H1503">
        <v>1</v>
      </c>
    </row>
    <row r="1504" spans="1:8">
      <c r="A1504" t="s">
        <v>7836</v>
      </c>
      <c r="B1504" s="4">
        <v>45994</v>
      </c>
      <c r="C1504">
        <v>2025</v>
      </c>
      <c r="D1504">
        <v>12</v>
      </c>
      <c r="E1504">
        <v>3</v>
      </c>
      <c r="F1504" t="s">
        <v>10351</v>
      </c>
      <c r="G1504" t="b">
        <v>0</v>
      </c>
      <c r="H1504">
        <v>4</v>
      </c>
    </row>
    <row r="1505" spans="1:8">
      <c r="A1505" t="s">
        <v>7842</v>
      </c>
      <c r="B1505" s="4">
        <v>45402</v>
      </c>
      <c r="C1505">
        <v>2024</v>
      </c>
      <c r="D1505">
        <v>4</v>
      </c>
      <c r="E1505">
        <v>20</v>
      </c>
      <c r="F1505" t="s">
        <v>10354</v>
      </c>
      <c r="G1505" t="b">
        <v>1</v>
      </c>
      <c r="H1505">
        <v>2</v>
      </c>
    </row>
    <row r="1506" spans="1:8">
      <c r="A1506" t="s">
        <v>7847</v>
      </c>
      <c r="B1506" s="4">
        <v>45794</v>
      </c>
      <c r="C1506">
        <v>2025</v>
      </c>
      <c r="D1506">
        <v>5</v>
      </c>
      <c r="E1506">
        <v>17</v>
      </c>
      <c r="F1506" t="s">
        <v>10354</v>
      </c>
      <c r="G1506" t="b">
        <v>1</v>
      </c>
      <c r="H1506">
        <v>2</v>
      </c>
    </row>
    <row r="1507" spans="1:8">
      <c r="A1507" t="s">
        <v>7852</v>
      </c>
      <c r="B1507" s="4">
        <v>46021</v>
      </c>
      <c r="C1507">
        <v>2025</v>
      </c>
      <c r="D1507">
        <v>12</v>
      </c>
      <c r="E1507">
        <v>30</v>
      </c>
      <c r="F1507" t="s">
        <v>10353</v>
      </c>
      <c r="G1507" t="b">
        <v>0</v>
      </c>
      <c r="H1507">
        <v>4</v>
      </c>
    </row>
    <row r="1508" spans="1:8">
      <c r="A1508" t="s">
        <v>7857</v>
      </c>
      <c r="B1508" s="4">
        <v>45746</v>
      </c>
      <c r="C1508">
        <v>2025</v>
      </c>
      <c r="D1508">
        <v>3</v>
      </c>
      <c r="E1508">
        <v>30</v>
      </c>
      <c r="F1508" t="s">
        <v>10355</v>
      </c>
      <c r="G1508" t="b">
        <v>1</v>
      </c>
      <c r="H1508">
        <v>1</v>
      </c>
    </row>
    <row r="1509" spans="1:8">
      <c r="A1509" t="s">
        <v>7862</v>
      </c>
      <c r="B1509" s="4">
        <v>45367</v>
      </c>
      <c r="C1509">
        <v>2024</v>
      </c>
      <c r="D1509">
        <v>3</v>
      </c>
      <c r="E1509">
        <v>16</v>
      </c>
      <c r="F1509" t="s">
        <v>10354</v>
      </c>
      <c r="G1509" t="b">
        <v>1</v>
      </c>
      <c r="H1509">
        <v>1</v>
      </c>
    </row>
    <row r="1510" spans="1:8">
      <c r="A1510" t="s">
        <v>7867</v>
      </c>
      <c r="B1510" s="4">
        <v>45374</v>
      </c>
      <c r="C1510">
        <v>2024</v>
      </c>
      <c r="D1510">
        <v>3</v>
      </c>
      <c r="E1510">
        <v>23</v>
      </c>
      <c r="F1510" t="s">
        <v>10354</v>
      </c>
      <c r="G1510" t="b">
        <v>1</v>
      </c>
      <c r="H1510">
        <v>1</v>
      </c>
    </row>
    <row r="1511" spans="1:8">
      <c r="A1511" t="s">
        <v>7872</v>
      </c>
      <c r="B1511" s="4">
        <v>45621</v>
      </c>
      <c r="C1511">
        <v>2024</v>
      </c>
      <c r="D1511">
        <v>11</v>
      </c>
      <c r="E1511">
        <v>25</v>
      </c>
      <c r="F1511" t="s">
        <v>10356</v>
      </c>
      <c r="G1511" t="b">
        <v>0</v>
      </c>
      <c r="H1511">
        <v>4</v>
      </c>
    </row>
    <row r="1512" spans="1:8">
      <c r="A1512" t="s">
        <v>7877</v>
      </c>
      <c r="B1512" s="4">
        <v>45914</v>
      </c>
      <c r="C1512">
        <v>2025</v>
      </c>
      <c r="D1512">
        <v>9</v>
      </c>
      <c r="E1512">
        <v>14</v>
      </c>
      <c r="F1512" t="s">
        <v>10355</v>
      </c>
      <c r="G1512" t="b">
        <v>1</v>
      </c>
      <c r="H1512">
        <v>3</v>
      </c>
    </row>
    <row r="1513" spans="1:8">
      <c r="A1513" t="s">
        <v>7882</v>
      </c>
      <c r="B1513" s="4">
        <v>45443</v>
      </c>
      <c r="C1513">
        <v>2024</v>
      </c>
      <c r="D1513">
        <v>5</v>
      </c>
      <c r="E1513">
        <v>31</v>
      </c>
      <c r="F1513" t="s">
        <v>10352</v>
      </c>
      <c r="G1513" t="b">
        <v>0</v>
      </c>
      <c r="H1513">
        <v>2</v>
      </c>
    </row>
    <row r="1514" spans="1:8">
      <c r="A1514" t="s">
        <v>7887</v>
      </c>
      <c r="B1514" s="4">
        <v>45359</v>
      </c>
      <c r="C1514">
        <v>2024</v>
      </c>
      <c r="D1514">
        <v>3</v>
      </c>
      <c r="E1514">
        <v>8</v>
      </c>
      <c r="F1514" t="s">
        <v>10352</v>
      </c>
      <c r="G1514" t="b">
        <v>0</v>
      </c>
      <c r="H1514">
        <v>1</v>
      </c>
    </row>
    <row r="1515" spans="1:8">
      <c r="A1515" t="s">
        <v>7892</v>
      </c>
      <c r="B1515" s="4">
        <v>45421</v>
      </c>
      <c r="C1515">
        <v>2024</v>
      </c>
      <c r="D1515">
        <v>5</v>
      </c>
      <c r="E1515">
        <v>9</v>
      </c>
      <c r="F1515" t="s">
        <v>10350</v>
      </c>
      <c r="G1515" t="b">
        <v>0</v>
      </c>
      <c r="H1515">
        <v>2</v>
      </c>
    </row>
    <row r="1516" spans="1:8">
      <c r="A1516" t="s">
        <v>7897</v>
      </c>
      <c r="B1516" s="4">
        <v>45573</v>
      </c>
      <c r="C1516">
        <v>2024</v>
      </c>
      <c r="D1516">
        <v>10</v>
      </c>
      <c r="E1516">
        <v>8</v>
      </c>
      <c r="F1516" t="s">
        <v>10353</v>
      </c>
      <c r="G1516" t="b">
        <v>0</v>
      </c>
      <c r="H1516">
        <v>4</v>
      </c>
    </row>
    <row r="1517" spans="1:8">
      <c r="A1517" t="s">
        <v>7902</v>
      </c>
      <c r="B1517" s="4">
        <v>45931</v>
      </c>
      <c r="C1517">
        <v>2025</v>
      </c>
      <c r="D1517">
        <v>10</v>
      </c>
      <c r="E1517">
        <v>1</v>
      </c>
      <c r="F1517" t="s">
        <v>10351</v>
      </c>
      <c r="G1517" t="b">
        <v>0</v>
      </c>
      <c r="H1517">
        <v>4</v>
      </c>
    </row>
    <row r="1518" spans="1:8">
      <c r="A1518" t="s">
        <v>7907</v>
      </c>
      <c r="B1518" s="4">
        <v>45940</v>
      </c>
      <c r="C1518">
        <v>2025</v>
      </c>
      <c r="D1518">
        <v>10</v>
      </c>
      <c r="E1518">
        <v>10</v>
      </c>
      <c r="F1518" t="s">
        <v>10352</v>
      </c>
      <c r="G1518" t="b">
        <v>0</v>
      </c>
      <c r="H1518">
        <v>4</v>
      </c>
    </row>
    <row r="1519" spans="1:8">
      <c r="A1519" t="s">
        <v>7912</v>
      </c>
      <c r="B1519" s="4">
        <v>45891</v>
      </c>
      <c r="C1519">
        <v>2025</v>
      </c>
      <c r="D1519">
        <v>8</v>
      </c>
      <c r="E1519">
        <v>22</v>
      </c>
      <c r="F1519" t="s">
        <v>10352</v>
      </c>
      <c r="G1519" t="b">
        <v>0</v>
      </c>
      <c r="H1519">
        <v>3</v>
      </c>
    </row>
    <row r="1520" spans="1:8">
      <c r="A1520" t="s">
        <v>7917</v>
      </c>
      <c r="B1520" s="4">
        <v>45853</v>
      </c>
      <c r="C1520">
        <v>2025</v>
      </c>
      <c r="D1520">
        <v>7</v>
      </c>
      <c r="E1520">
        <v>15</v>
      </c>
      <c r="F1520" t="s">
        <v>10353</v>
      </c>
      <c r="G1520" t="b">
        <v>0</v>
      </c>
      <c r="H1520">
        <v>3</v>
      </c>
    </row>
    <row r="1521" spans="1:8">
      <c r="A1521" t="s">
        <v>7922</v>
      </c>
      <c r="B1521" s="4">
        <v>46021</v>
      </c>
      <c r="C1521">
        <v>2025</v>
      </c>
      <c r="D1521">
        <v>12</v>
      </c>
      <c r="E1521">
        <v>30</v>
      </c>
      <c r="F1521" t="s">
        <v>10353</v>
      </c>
      <c r="G1521" t="b">
        <v>0</v>
      </c>
      <c r="H1521">
        <v>4</v>
      </c>
    </row>
    <row r="1522" spans="1:8">
      <c r="A1522" t="s">
        <v>7927</v>
      </c>
      <c r="B1522" s="4">
        <v>45624</v>
      </c>
      <c r="C1522">
        <v>2024</v>
      </c>
      <c r="D1522">
        <v>11</v>
      </c>
      <c r="E1522">
        <v>28</v>
      </c>
      <c r="F1522" t="s">
        <v>10350</v>
      </c>
      <c r="G1522" t="b">
        <v>0</v>
      </c>
      <c r="H1522">
        <v>4</v>
      </c>
    </row>
    <row r="1523" spans="1:8">
      <c r="A1523" t="s">
        <v>7932</v>
      </c>
      <c r="B1523" s="4">
        <v>45682</v>
      </c>
      <c r="C1523">
        <v>2025</v>
      </c>
      <c r="D1523">
        <v>1</v>
      </c>
      <c r="E1523">
        <v>25</v>
      </c>
      <c r="F1523" t="s">
        <v>10354</v>
      </c>
      <c r="G1523" t="b">
        <v>1</v>
      </c>
      <c r="H1523">
        <v>1</v>
      </c>
    </row>
    <row r="1524" spans="1:8">
      <c r="A1524" t="s">
        <v>7937</v>
      </c>
      <c r="B1524" s="4">
        <v>45903</v>
      </c>
      <c r="C1524">
        <v>2025</v>
      </c>
      <c r="D1524">
        <v>9</v>
      </c>
      <c r="E1524">
        <v>3</v>
      </c>
      <c r="F1524" t="s">
        <v>10351</v>
      </c>
      <c r="G1524" t="b">
        <v>0</v>
      </c>
      <c r="H1524">
        <v>3</v>
      </c>
    </row>
    <row r="1525" spans="1:8">
      <c r="A1525" t="s">
        <v>7942</v>
      </c>
      <c r="B1525" s="4">
        <v>45835</v>
      </c>
      <c r="C1525">
        <v>2025</v>
      </c>
      <c r="D1525">
        <v>6</v>
      </c>
      <c r="E1525">
        <v>27</v>
      </c>
      <c r="F1525" t="s">
        <v>10352</v>
      </c>
      <c r="G1525" t="b">
        <v>0</v>
      </c>
      <c r="H1525">
        <v>2</v>
      </c>
    </row>
    <row r="1526" spans="1:8">
      <c r="A1526" t="s">
        <v>7947</v>
      </c>
      <c r="B1526" s="4">
        <v>45593</v>
      </c>
      <c r="C1526">
        <v>2024</v>
      </c>
      <c r="D1526">
        <v>10</v>
      </c>
      <c r="E1526">
        <v>28</v>
      </c>
      <c r="F1526" t="s">
        <v>10356</v>
      </c>
      <c r="G1526" t="b">
        <v>0</v>
      </c>
      <c r="H1526">
        <v>4</v>
      </c>
    </row>
    <row r="1527" spans="1:8">
      <c r="A1527" t="s">
        <v>7952</v>
      </c>
      <c r="B1527" s="4">
        <v>45756</v>
      </c>
      <c r="C1527">
        <v>2025</v>
      </c>
      <c r="D1527">
        <v>4</v>
      </c>
      <c r="E1527">
        <v>9</v>
      </c>
      <c r="F1527" t="s">
        <v>10351</v>
      </c>
      <c r="G1527" t="b">
        <v>0</v>
      </c>
      <c r="H1527">
        <v>2</v>
      </c>
    </row>
    <row r="1528" spans="1:8">
      <c r="A1528" t="s">
        <v>7957</v>
      </c>
      <c r="B1528" s="4">
        <v>45809</v>
      </c>
      <c r="C1528">
        <v>2025</v>
      </c>
      <c r="D1528">
        <v>6</v>
      </c>
      <c r="E1528">
        <v>1</v>
      </c>
      <c r="F1528" t="s">
        <v>10355</v>
      </c>
      <c r="G1528" t="b">
        <v>1</v>
      </c>
      <c r="H1528">
        <v>2</v>
      </c>
    </row>
    <row r="1529" spans="1:8">
      <c r="A1529" t="s">
        <v>7962</v>
      </c>
      <c r="B1529" s="4">
        <v>45911</v>
      </c>
      <c r="C1529">
        <v>2025</v>
      </c>
      <c r="D1529">
        <v>9</v>
      </c>
      <c r="E1529">
        <v>11</v>
      </c>
      <c r="F1529" t="s">
        <v>10350</v>
      </c>
      <c r="G1529" t="b">
        <v>0</v>
      </c>
      <c r="H1529">
        <v>3</v>
      </c>
    </row>
    <row r="1530" spans="1:8">
      <c r="A1530" t="s">
        <v>7967</v>
      </c>
      <c r="B1530" s="4">
        <v>45732</v>
      </c>
      <c r="C1530">
        <v>2025</v>
      </c>
      <c r="D1530">
        <v>3</v>
      </c>
      <c r="E1530">
        <v>16</v>
      </c>
      <c r="F1530" t="s">
        <v>10355</v>
      </c>
      <c r="G1530" t="b">
        <v>1</v>
      </c>
      <c r="H1530">
        <v>1</v>
      </c>
    </row>
    <row r="1531" spans="1:8">
      <c r="A1531" t="s">
        <v>7972</v>
      </c>
      <c r="B1531" s="4">
        <v>45393</v>
      </c>
      <c r="C1531">
        <v>2024</v>
      </c>
      <c r="D1531">
        <v>4</v>
      </c>
      <c r="E1531">
        <v>11</v>
      </c>
      <c r="F1531" t="s">
        <v>10350</v>
      </c>
      <c r="G1531" t="b">
        <v>0</v>
      </c>
      <c r="H1531">
        <v>2</v>
      </c>
    </row>
    <row r="1532" spans="1:8">
      <c r="A1532" t="s">
        <v>7977</v>
      </c>
      <c r="B1532" s="4">
        <v>46010</v>
      </c>
      <c r="C1532">
        <v>2025</v>
      </c>
      <c r="D1532">
        <v>12</v>
      </c>
      <c r="E1532">
        <v>19</v>
      </c>
      <c r="F1532" t="s">
        <v>10352</v>
      </c>
      <c r="G1532" t="b">
        <v>0</v>
      </c>
      <c r="H1532">
        <v>4</v>
      </c>
    </row>
    <row r="1533" spans="1:8">
      <c r="A1533" t="s">
        <v>7982</v>
      </c>
      <c r="B1533" s="4">
        <v>45409</v>
      </c>
      <c r="C1533">
        <v>2024</v>
      </c>
      <c r="D1533">
        <v>4</v>
      </c>
      <c r="E1533">
        <v>27</v>
      </c>
      <c r="F1533" t="s">
        <v>10354</v>
      </c>
      <c r="G1533" t="b">
        <v>1</v>
      </c>
      <c r="H1533">
        <v>2</v>
      </c>
    </row>
    <row r="1534" spans="1:8">
      <c r="A1534" t="s">
        <v>7987</v>
      </c>
      <c r="B1534" s="4">
        <v>45962</v>
      </c>
      <c r="C1534">
        <v>2025</v>
      </c>
      <c r="D1534">
        <v>11</v>
      </c>
      <c r="E1534">
        <v>1</v>
      </c>
      <c r="F1534" t="s">
        <v>10354</v>
      </c>
      <c r="G1534" t="b">
        <v>1</v>
      </c>
      <c r="H1534">
        <v>4</v>
      </c>
    </row>
    <row r="1535" spans="1:8">
      <c r="A1535" t="s">
        <v>7992</v>
      </c>
      <c r="B1535" s="4">
        <v>45958</v>
      </c>
      <c r="C1535">
        <v>2025</v>
      </c>
      <c r="D1535">
        <v>10</v>
      </c>
      <c r="E1535">
        <v>28</v>
      </c>
      <c r="F1535" t="s">
        <v>10353</v>
      </c>
      <c r="G1535" t="b">
        <v>0</v>
      </c>
      <c r="H1535">
        <v>4</v>
      </c>
    </row>
    <row r="1536" spans="1:8">
      <c r="A1536" t="s">
        <v>7997</v>
      </c>
      <c r="B1536" s="4">
        <v>45856</v>
      </c>
      <c r="C1536">
        <v>2025</v>
      </c>
      <c r="D1536">
        <v>7</v>
      </c>
      <c r="E1536">
        <v>18</v>
      </c>
      <c r="F1536" t="s">
        <v>10352</v>
      </c>
      <c r="G1536" t="b">
        <v>0</v>
      </c>
      <c r="H1536">
        <v>3</v>
      </c>
    </row>
    <row r="1537" spans="1:8">
      <c r="A1537" t="s">
        <v>8002</v>
      </c>
      <c r="B1537" s="4">
        <v>45512</v>
      </c>
      <c r="C1537">
        <v>2024</v>
      </c>
      <c r="D1537">
        <v>8</v>
      </c>
      <c r="E1537">
        <v>8</v>
      </c>
      <c r="F1537" t="s">
        <v>10350</v>
      </c>
      <c r="G1537" t="b">
        <v>0</v>
      </c>
      <c r="H1537">
        <v>3</v>
      </c>
    </row>
    <row r="1538" spans="1:8">
      <c r="A1538" t="s">
        <v>8007</v>
      </c>
      <c r="B1538" s="4">
        <v>45732</v>
      </c>
      <c r="C1538">
        <v>2025</v>
      </c>
      <c r="D1538">
        <v>3</v>
      </c>
      <c r="E1538">
        <v>16</v>
      </c>
      <c r="F1538" t="s">
        <v>10355</v>
      </c>
      <c r="G1538" t="b">
        <v>1</v>
      </c>
      <c r="H1538">
        <v>1</v>
      </c>
    </row>
    <row r="1539" spans="1:8">
      <c r="A1539" t="s">
        <v>8012</v>
      </c>
      <c r="B1539" s="4">
        <v>45754</v>
      </c>
      <c r="C1539">
        <v>2025</v>
      </c>
      <c r="D1539">
        <v>4</v>
      </c>
      <c r="E1539">
        <v>7</v>
      </c>
      <c r="F1539" t="s">
        <v>10356</v>
      </c>
      <c r="G1539" t="b">
        <v>0</v>
      </c>
      <c r="H1539">
        <v>2</v>
      </c>
    </row>
    <row r="1540" spans="1:8">
      <c r="A1540" t="s">
        <v>8017</v>
      </c>
      <c r="B1540" s="4">
        <v>45525</v>
      </c>
      <c r="C1540">
        <v>2024</v>
      </c>
      <c r="D1540">
        <v>8</v>
      </c>
      <c r="E1540">
        <v>21</v>
      </c>
      <c r="F1540" t="s">
        <v>10351</v>
      </c>
      <c r="G1540" t="b">
        <v>0</v>
      </c>
      <c r="H1540">
        <v>3</v>
      </c>
    </row>
    <row r="1541" spans="1:8">
      <c r="A1541" t="s">
        <v>8022</v>
      </c>
      <c r="B1541" s="4">
        <v>45715</v>
      </c>
      <c r="C1541">
        <v>2025</v>
      </c>
      <c r="D1541">
        <v>2</v>
      </c>
      <c r="E1541">
        <v>27</v>
      </c>
      <c r="F1541" t="s">
        <v>10350</v>
      </c>
      <c r="G1541" t="b">
        <v>0</v>
      </c>
      <c r="H1541">
        <v>1</v>
      </c>
    </row>
    <row r="1542" spans="1:8">
      <c r="A1542" t="s">
        <v>8027</v>
      </c>
      <c r="B1542" s="4">
        <v>45639</v>
      </c>
      <c r="C1542">
        <v>2024</v>
      </c>
      <c r="D1542">
        <v>12</v>
      </c>
      <c r="E1542">
        <v>13</v>
      </c>
      <c r="F1542" t="s">
        <v>10352</v>
      </c>
      <c r="G1542" t="b">
        <v>0</v>
      </c>
      <c r="H1542">
        <v>4</v>
      </c>
    </row>
    <row r="1543" spans="1:8">
      <c r="A1543" t="s">
        <v>8032</v>
      </c>
      <c r="B1543" s="4">
        <v>45756</v>
      </c>
      <c r="C1543">
        <v>2025</v>
      </c>
      <c r="D1543">
        <v>4</v>
      </c>
      <c r="E1543">
        <v>9</v>
      </c>
      <c r="F1543" t="s">
        <v>10351</v>
      </c>
      <c r="G1543" t="b">
        <v>0</v>
      </c>
      <c r="H1543">
        <v>2</v>
      </c>
    </row>
    <row r="1544" spans="1:8">
      <c r="A1544" t="s">
        <v>8037</v>
      </c>
      <c r="B1544" s="4">
        <v>45700</v>
      </c>
      <c r="C1544">
        <v>2025</v>
      </c>
      <c r="D1544">
        <v>2</v>
      </c>
      <c r="E1544">
        <v>12</v>
      </c>
      <c r="F1544" t="s">
        <v>10351</v>
      </c>
      <c r="G1544" t="b">
        <v>0</v>
      </c>
      <c r="H1544">
        <v>1</v>
      </c>
    </row>
    <row r="1545" spans="1:8">
      <c r="A1545" t="s">
        <v>8042</v>
      </c>
      <c r="B1545" s="4">
        <v>45717</v>
      </c>
      <c r="C1545">
        <v>2025</v>
      </c>
      <c r="D1545">
        <v>3</v>
      </c>
      <c r="E1545">
        <v>1</v>
      </c>
      <c r="F1545" t="s">
        <v>10354</v>
      </c>
      <c r="G1545" t="b">
        <v>1</v>
      </c>
      <c r="H1545">
        <v>1</v>
      </c>
    </row>
    <row r="1546" spans="1:8">
      <c r="A1546" t="s">
        <v>8047</v>
      </c>
      <c r="B1546" s="4">
        <v>45389</v>
      </c>
      <c r="C1546">
        <v>2024</v>
      </c>
      <c r="D1546">
        <v>4</v>
      </c>
      <c r="E1546">
        <v>7</v>
      </c>
      <c r="F1546" t="s">
        <v>10355</v>
      </c>
      <c r="G1546" t="b">
        <v>1</v>
      </c>
      <c r="H1546">
        <v>2</v>
      </c>
    </row>
    <row r="1547" spans="1:8">
      <c r="A1547" t="s">
        <v>8052</v>
      </c>
      <c r="B1547" s="4">
        <v>45612</v>
      </c>
      <c r="C1547">
        <v>2024</v>
      </c>
      <c r="D1547">
        <v>11</v>
      </c>
      <c r="E1547">
        <v>16</v>
      </c>
      <c r="F1547" t="s">
        <v>10354</v>
      </c>
      <c r="G1547" t="b">
        <v>1</v>
      </c>
      <c r="H1547">
        <v>4</v>
      </c>
    </row>
    <row r="1548" spans="1:8">
      <c r="A1548" t="s">
        <v>8057</v>
      </c>
      <c r="B1548" s="4">
        <v>45729</v>
      </c>
      <c r="C1548">
        <v>2025</v>
      </c>
      <c r="D1548">
        <v>3</v>
      </c>
      <c r="E1548">
        <v>13</v>
      </c>
      <c r="F1548" t="s">
        <v>10350</v>
      </c>
      <c r="G1548" t="b">
        <v>0</v>
      </c>
      <c r="H1548">
        <v>1</v>
      </c>
    </row>
    <row r="1549" spans="1:8">
      <c r="A1549" t="s">
        <v>8062</v>
      </c>
      <c r="B1549" s="4">
        <v>45612</v>
      </c>
      <c r="C1549">
        <v>2024</v>
      </c>
      <c r="D1549">
        <v>11</v>
      </c>
      <c r="E1549">
        <v>16</v>
      </c>
      <c r="F1549" t="s">
        <v>10354</v>
      </c>
      <c r="G1549" t="b">
        <v>1</v>
      </c>
      <c r="H1549">
        <v>4</v>
      </c>
    </row>
    <row r="1550" spans="1:8">
      <c r="A1550" t="s">
        <v>8067</v>
      </c>
      <c r="B1550" s="4">
        <v>45973</v>
      </c>
      <c r="C1550">
        <v>2025</v>
      </c>
      <c r="D1550">
        <v>11</v>
      </c>
      <c r="E1550">
        <v>12</v>
      </c>
      <c r="F1550" t="s">
        <v>10351</v>
      </c>
      <c r="G1550" t="b">
        <v>0</v>
      </c>
      <c r="H1550">
        <v>4</v>
      </c>
    </row>
    <row r="1551" spans="1:8">
      <c r="A1551" t="s">
        <v>8072</v>
      </c>
      <c r="B1551" s="4">
        <v>45553</v>
      </c>
      <c r="C1551">
        <v>2024</v>
      </c>
      <c r="D1551">
        <v>9</v>
      </c>
      <c r="E1551">
        <v>18</v>
      </c>
      <c r="F1551" t="s">
        <v>10351</v>
      </c>
      <c r="G1551" t="b">
        <v>0</v>
      </c>
      <c r="H1551">
        <v>3</v>
      </c>
    </row>
    <row r="1552" spans="1:8">
      <c r="A1552" t="s">
        <v>8077</v>
      </c>
      <c r="B1552" s="4">
        <v>45675</v>
      </c>
      <c r="C1552">
        <v>2025</v>
      </c>
      <c r="D1552">
        <v>1</v>
      </c>
      <c r="E1552">
        <v>18</v>
      </c>
      <c r="F1552" t="s">
        <v>10354</v>
      </c>
      <c r="G1552" t="b">
        <v>1</v>
      </c>
      <c r="H1552">
        <v>1</v>
      </c>
    </row>
    <row r="1553" spans="1:8">
      <c r="A1553" t="s">
        <v>8082</v>
      </c>
      <c r="B1553" s="4">
        <v>45448</v>
      </c>
      <c r="C1553">
        <v>2024</v>
      </c>
      <c r="D1553">
        <v>6</v>
      </c>
      <c r="E1553">
        <v>5</v>
      </c>
      <c r="F1553" t="s">
        <v>10351</v>
      </c>
      <c r="G1553" t="b">
        <v>0</v>
      </c>
      <c r="H1553">
        <v>2</v>
      </c>
    </row>
    <row r="1554" spans="1:8">
      <c r="A1554" t="s">
        <v>8087</v>
      </c>
      <c r="B1554" s="4">
        <v>45995</v>
      </c>
      <c r="C1554">
        <v>2025</v>
      </c>
      <c r="D1554">
        <v>12</v>
      </c>
      <c r="E1554">
        <v>4</v>
      </c>
      <c r="F1554" t="s">
        <v>10350</v>
      </c>
      <c r="G1554" t="b">
        <v>0</v>
      </c>
      <c r="H1554">
        <v>4</v>
      </c>
    </row>
    <row r="1555" spans="1:8">
      <c r="A1555" t="s">
        <v>8092</v>
      </c>
      <c r="B1555" s="4">
        <v>45777</v>
      </c>
      <c r="C1555">
        <v>2025</v>
      </c>
      <c r="D1555">
        <v>4</v>
      </c>
      <c r="E1555">
        <v>30</v>
      </c>
      <c r="F1555" t="s">
        <v>10351</v>
      </c>
      <c r="G1555" t="b">
        <v>0</v>
      </c>
      <c r="H1555">
        <v>2</v>
      </c>
    </row>
    <row r="1556" spans="1:8">
      <c r="A1556" t="s">
        <v>8097</v>
      </c>
      <c r="B1556" s="4">
        <v>45360</v>
      </c>
      <c r="C1556">
        <v>2024</v>
      </c>
      <c r="D1556">
        <v>3</v>
      </c>
      <c r="E1556">
        <v>9</v>
      </c>
      <c r="F1556" t="s">
        <v>10354</v>
      </c>
      <c r="G1556" t="b">
        <v>1</v>
      </c>
      <c r="H1556">
        <v>1</v>
      </c>
    </row>
    <row r="1557" spans="1:8">
      <c r="A1557" t="s">
        <v>8102</v>
      </c>
      <c r="B1557" s="4">
        <v>45385</v>
      </c>
      <c r="C1557">
        <v>2024</v>
      </c>
      <c r="D1557">
        <v>4</v>
      </c>
      <c r="E1557">
        <v>3</v>
      </c>
      <c r="F1557" t="s">
        <v>10351</v>
      </c>
      <c r="G1557" t="b">
        <v>0</v>
      </c>
      <c r="H1557">
        <v>2</v>
      </c>
    </row>
    <row r="1558" spans="1:8">
      <c r="A1558" t="s">
        <v>8107</v>
      </c>
      <c r="B1558" s="4">
        <v>45379</v>
      </c>
      <c r="C1558">
        <v>2024</v>
      </c>
      <c r="D1558">
        <v>3</v>
      </c>
      <c r="E1558">
        <v>28</v>
      </c>
      <c r="F1558" t="s">
        <v>10350</v>
      </c>
      <c r="G1558" t="b">
        <v>0</v>
      </c>
      <c r="H1558">
        <v>1</v>
      </c>
    </row>
    <row r="1559" spans="1:8">
      <c r="A1559" t="s">
        <v>8112</v>
      </c>
      <c r="B1559" s="4">
        <v>45387</v>
      </c>
      <c r="C1559">
        <v>2024</v>
      </c>
      <c r="D1559">
        <v>4</v>
      </c>
      <c r="E1559">
        <v>5</v>
      </c>
      <c r="F1559" t="s">
        <v>10352</v>
      </c>
      <c r="G1559" t="b">
        <v>0</v>
      </c>
      <c r="H1559">
        <v>2</v>
      </c>
    </row>
    <row r="1560" spans="1:8">
      <c r="A1560" t="s">
        <v>8117</v>
      </c>
      <c r="B1560" s="4">
        <v>45734</v>
      </c>
      <c r="C1560">
        <v>2025</v>
      </c>
      <c r="D1560">
        <v>3</v>
      </c>
      <c r="E1560">
        <v>18</v>
      </c>
      <c r="F1560" t="s">
        <v>10353</v>
      </c>
      <c r="G1560" t="b">
        <v>0</v>
      </c>
      <c r="H1560">
        <v>1</v>
      </c>
    </row>
    <row r="1561" spans="1:8">
      <c r="A1561" t="s">
        <v>8122</v>
      </c>
      <c r="B1561" s="4">
        <v>45390</v>
      </c>
      <c r="C1561">
        <v>2024</v>
      </c>
      <c r="D1561">
        <v>4</v>
      </c>
      <c r="E1561">
        <v>8</v>
      </c>
      <c r="F1561" t="s">
        <v>10356</v>
      </c>
      <c r="G1561" t="b">
        <v>0</v>
      </c>
      <c r="H1561">
        <v>2</v>
      </c>
    </row>
    <row r="1562" spans="1:8">
      <c r="A1562" t="s">
        <v>8127</v>
      </c>
      <c r="B1562" s="4">
        <v>45673</v>
      </c>
      <c r="C1562">
        <v>2025</v>
      </c>
      <c r="D1562">
        <v>1</v>
      </c>
      <c r="E1562">
        <v>16</v>
      </c>
      <c r="F1562" t="s">
        <v>10350</v>
      </c>
      <c r="G1562" t="b">
        <v>0</v>
      </c>
      <c r="H1562">
        <v>1</v>
      </c>
    </row>
    <row r="1563" spans="1:8">
      <c r="A1563" t="s">
        <v>8132</v>
      </c>
      <c r="B1563" s="4">
        <v>45425</v>
      </c>
      <c r="C1563">
        <v>2024</v>
      </c>
      <c r="D1563">
        <v>5</v>
      </c>
      <c r="E1563">
        <v>13</v>
      </c>
      <c r="F1563" t="s">
        <v>10356</v>
      </c>
      <c r="G1563" t="b">
        <v>0</v>
      </c>
      <c r="H1563">
        <v>2</v>
      </c>
    </row>
    <row r="1564" spans="1:8">
      <c r="A1564" t="s">
        <v>8137</v>
      </c>
      <c r="B1564" s="4">
        <v>45861</v>
      </c>
      <c r="C1564">
        <v>2025</v>
      </c>
      <c r="D1564">
        <v>7</v>
      </c>
      <c r="E1564">
        <v>23</v>
      </c>
      <c r="F1564" t="s">
        <v>10351</v>
      </c>
      <c r="G1564" t="b">
        <v>0</v>
      </c>
      <c r="H1564">
        <v>3</v>
      </c>
    </row>
    <row r="1565" spans="1:8">
      <c r="A1565" t="s">
        <v>8142</v>
      </c>
      <c r="B1565" s="4">
        <v>45353</v>
      </c>
      <c r="C1565">
        <v>2024</v>
      </c>
      <c r="D1565">
        <v>3</v>
      </c>
      <c r="E1565">
        <v>2</v>
      </c>
      <c r="F1565" t="s">
        <v>10354</v>
      </c>
      <c r="G1565" t="b">
        <v>1</v>
      </c>
      <c r="H1565">
        <v>1</v>
      </c>
    </row>
    <row r="1566" spans="1:8">
      <c r="A1566" t="s">
        <v>8147</v>
      </c>
      <c r="B1566" s="4">
        <v>45892</v>
      </c>
      <c r="C1566">
        <v>2025</v>
      </c>
      <c r="D1566">
        <v>8</v>
      </c>
      <c r="E1566">
        <v>23</v>
      </c>
      <c r="F1566" t="s">
        <v>10354</v>
      </c>
      <c r="G1566" t="b">
        <v>1</v>
      </c>
      <c r="H1566">
        <v>3</v>
      </c>
    </row>
    <row r="1567" spans="1:8">
      <c r="A1567" t="s">
        <v>8152</v>
      </c>
      <c r="B1567" s="4">
        <v>45867</v>
      </c>
      <c r="C1567">
        <v>2025</v>
      </c>
      <c r="D1567">
        <v>7</v>
      </c>
      <c r="E1567">
        <v>29</v>
      </c>
      <c r="F1567" t="s">
        <v>10353</v>
      </c>
      <c r="G1567" t="b">
        <v>0</v>
      </c>
      <c r="H1567">
        <v>3</v>
      </c>
    </row>
    <row r="1568" spans="1:8">
      <c r="A1568" t="s">
        <v>8157</v>
      </c>
      <c r="B1568" s="4">
        <v>45867</v>
      </c>
      <c r="C1568">
        <v>2025</v>
      </c>
      <c r="D1568">
        <v>7</v>
      </c>
      <c r="E1568">
        <v>29</v>
      </c>
      <c r="F1568" t="s">
        <v>10353</v>
      </c>
      <c r="G1568" t="b">
        <v>0</v>
      </c>
      <c r="H1568">
        <v>3</v>
      </c>
    </row>
    <row r="1569" spans="1:8">
      <c r="A1569" t="s">
        <v>8162</v>
      </c>
      <c r="B1569" s="4">
        <v>45629</v>
      </c>
      <c r="C1569">
        <v>2024</v>
      </c>
      <c r="D1569">
        <v>12</v>
      </c>
      <c r="E1569">
        <v>3</v>
      </c>
      <c r="F1569" t="s">
        <v>10353</v>
      </c>
      <c r="G1569" t="b">
        <v>0</v>
      </c>
      <c r="H1569">
        <v>4</v>
      </c>
    </row>
    <row r="1570" spans="1:8">
      <c r="A1570" t="s">
        <v>8167</v>
      </c>
      <c r="B1570" s="4">
        <v>45978</v>
      </c>
      <c r="C1570">
        <v>2025</v>
      </c>
      <c r="D1570">
        <v>11</v>
      </c>
      <c r="E1570">
        <v>17</v>
      </c>
      <c r="F1570" t="s">
        <v>10356</v>
      </c>
      <c r="G1570" t="b">
        <v>0</v>
      </c>
      <c r="H1570">
        <v>4</v>
      </c>
    </row>
    <row r="1571" spans="1:8">
      <c r="A1571" t="s">
        <v>8172</v>
      </c>
      <c r="B1571" s="4">
        <v>45417</v>
      </c>
      <c r="C1571">
        <v>2024</v>
      </c>
      <c r="D1571">
        <v>5</v>
      </c>
      <c r="E1571">
        <v>5</v>
      </c>
      <c r="F1571" t="s">
        <v>10355</v>
      </c>
      <c r="G1571" t="b">
        <v>1</v>
      </c>
      <c r="H1571">
        <v>2</v>
      </c>
    </row>
    <row r="1572" spans="1:8">
      <c r="A1572" t="s">
        <v>8177</v>
      </c>
      <c r="B1572" s="4">
        <v>45712</v>
      </c>
      <c r="C1572">
        <v>2025</v>
      </c>
      <c r="D1572">
        <v>2</v>
      </c>
      <c r="E1572">
        <v>24</v>
      </c>
      <c r="F1572" t="s">
        <v>10356</v>
      </c>
      <c r="G1572" t="b">
        <v>0</v>
      </c>
      <c r="H1572">
        <v>1</v>
      </c>
    </row>
    <row r="1573" spans="1:8">
      <c r="A1573" t="s">
        <v>8182</v>
      </c>
      <c r="B1573" s="4">
        <v>45654</v>
      </c>
      <c r="C1573">
        <v>2024</v>
      </c>
      <c r="D1573">
        <v>12</v>
      </c>
      <c r="E1573">
        <v>28</v>
      </c>
      <c r="F1573" t="s">
        <v>10354</v>
      </c>
      <c r="G1573" t="b">
        <v>1</v>
      </c>
      <c r="H1573">
        <v>4</v>
      </c>
    </row>
    <row r="1574" spans="1:8">
      <c r="A1574" t="s">
        <v>8187</v>
      </c>
      <c r="B1574" s="4">
        <v>45973</v>
      </c>
      <c r="C1574">
        <v>2025</v>
      </c>
      <c r="D1574">
        <v>11</v>
      </c>
      <c r="E1574">
        <v>12</v>
      </c>
      <c r="F1574" t="s">
        <v>10351</v>
      </c>
      <c r="G1574" t="b">
        <v>0</v>
      </c>
      <c r="H1574">
        <v>4</v>
      </c>
    </row>
    <row r="1575" spans="1:8">
      <c r="A1575" t="s">
        <v>8192</v>
      </c>
      <c r="B1575" s="4">
        <v>45725</v>
      </c>
      <c r="C1575">
        <v>2025</v>
      </c>
      <c r="D1575">
        <v>3</v>
      </c>
      <c r="E1575">
        <v>9</v>
      </c>
      <c r="F1575" t="s">
        <v>10355</v>
      </c>
      <c r="G1575" t="b">
        <v>1</v>
      </c>
      <c r="H1575">
        <v>1</v>
      </c>
    </row>
    <row r="1576" spans="1:8">
      <c r="A1576" t="s">
        <v>8197</v>
      </c>
      <c r="B1576" s="4">
        <v>45344</v>
      </c>
      <c r="C1576">
        <v>2024</v>
      </c>
      <c r="D1576">
        <v>2</v>
      </c>
      <c r="E1576">
        <v>22</v>
      </c>
      <c r="F1576" t="s">
        <v>10350</v>
      </c>
      <c r="G1576" t="b">
        <v>0</v>
      </c>
      <c r="H1576">
        <v>1</v>
      </c>
    </row>
    <row r="1577" spans="1:8">
      <c r="A1577" t="s">
        <v>8202</v>
      </c>
      <c r="B1577" s="4">
        <v>45586</v>
      </c>
      <c r="C1577">
        <v>2024</v>
      </c>
      <c r="D1577">
        <v>10</v>
      </c>
      <c r="E1577">
        <v>21</v>
      </c>
      <c r="F1577" t="s">
        <v>10356</v>
      </c>
      <c r="G1577" t="b">
        <v>0</v>
      </c>
      <c r="H1577">
        <v>4</v>
      </c>
    </row>
    <row r="1578" spans="1:8">
      <c r="A1578" t="s">
        <v>8207</v>
      </c>
      <c r="B1578" s="4">
        <v>45906</v>
      </c>
      <c r="C1578">
        <v>2025</v>
      </c>
      <c r="D1578">
        <v>9</v>
      </c>
      <c r="E1578">
        <v>6</v>
      </c>
      <c r="F1578" t="s">
        <v>10354</v>
      </c>
      <c r="G1578" t="b">
        <v>1</v>
      </c>
      <c r="H1578">
        <v>3</v>
      </c>
    </row>
    <row r="1579" spans="1:8">
      <c r="A1579" t="s">
        <v>8213</v>
      </c>
      <c r="B1579" s="4">
        <v>45611</v>
      </c>
      <c r="C1579">
        <v>2024</v>
      </c>
      <c r="D1579">
        <v>11</v>
      </c>
      <c r="E1579">
        <v>15</v>
      </c>
      <c r="F1579" t="s">
        <v>10352</v>
      </c>
      <c r="G1579" t="b">
        <v>0</v>
      </c>
      <c r="H1579">
        <v>4</v>
      </c>
    </row>
    <row r="1580" spans="1:8">
      <c r="A1580" t="s">
        <v>8218</v>
      </c>
      <c r="B1580" s="4">
        <v>45652</v>
      </c>
      <c r="C1580">
        <v>2024</v>
      </c>
      <c r="D1580">
        <v>12</v>
      </c>
      <c r="E1580">
        <v>26</v>
      </c>
      <c r="F1580" t="s">
        <v>10350</v>
      </c>
      <c r="G1580" t="b">
        <v>0</v>
      </c>
      <c r="H1580">
        <v>4</v>
      </c>
    </row>
    <row r="1581" spans="1:8">
      <c r="A1581" t="s">
        <v>8223</v>
      </c>
      <c r="B1581" s="4">
        <v>45398</v>
      </c>
      <c r="C1581">
        <v>2024</v>
      </c>
      <c r="D1581">
        <v>4</v>
      </c>
      <c r="E1581">
        <v>16</v>
      </c>
      <c r="F1581" t="s">
        <v>10353</v>
      </c>
      <c r="G1581" t="b">
        <v>0</v>
      </c>
      <c r="H1581">
        <v>2</v>
      </c>
    </row>
    <row r="1582" spans="1:8">
      <c r="A1582" t="s">
        <v>8228</v>
      </c>
      <c r="B1582" s="4">
        <v>45883</v>
      </c>
      <c r="C1582">
        <v>2025</v>
      </c>
      <c r="D1582">
        <v>8</v>
      </c>
      <c r="E1582">
        <v>14</v>
      </c>
      <c r="F1582" t="s">
        <v>10350</v>
      </c>
      <c r="G1582" t="b">
        <v>0</v>
      </c>
      <c r="H1582">
        <v>3</v>
      </c>
    </row>
    <row r="1583" spans="1:8">
      <c r="A1583" t="s">
        <v>8233</v>
      </c>
      <c r="B1583" s="4">
        <v>45811</v>
      </c>
      <c r="C1583">
        <v>2025</v>
      </c>
      <c r="D1583">
        <v>6</v>
      </c>
      <c r="E1583">
        <v>3</v>
      </c>
      <c r="F1583" t="s">
        <v>10353</v>
      </c>
      <c r="G1583" t="b">
        <v>0</v>
      </c>
      <c r="H1583">
        <v>2</v>
      </c>
    </row>
    <row r="1584" spans="1:8">
      <c r="A1584" t="s">
        <v>8238</v>
      </c>
      <c r="B1584" s="4">
        <v>45509</v>
      </c>
      <c r="C1584">
        <v>2024</v>
      </c>
      <c r="D1584">
        <v>8</v>
      </c>
      <c r="E1584">
        <v>5</v>
      </c>
      <c r="F1584" t="s">
        <v>10356</v>
      </c>
      <c r="G1584" t="b">
        <v>0</v>
      </c>
      <c r="H1584">
        <v>3</v>
      </c>
    </row>
    <row r="1585" spans="1:8">
      <c r="A1585" t="s">
        <v>8243</v>
      </c>
      <c r="B1585" s="4">
        <v>45450</v>
      </c>
      <c r="C1585">
        <v>2024</v>
      </c>
      <c r="D1585">
        <v>6</v>
      </c>
      <c r="E1585">
        <v>7</v>
      </c>
      <c r="F1585" t="s">
        <v>10352</v>
      </c>
      <c r="G1585" t="b">
        <v>0</v>
      </c>
      <c r="H1585">
        <v>2</v>
      </c>
    </row>
    <row r="1586" spans="1:8">
      <c r="A1586" t="s">
        <v>8248</v>
      </c>
      <c r="B1586" s="4">
        <v>45964</v>
      </c>
      <c r="C1586">
        <v>2025</v>
      </c>
      <c r="D1586">
        <v>11</v>
      </c>
      <c r="E1586">
        <v>3</v>
      </c>
      <c r="F1586" t="s">
        <v>10356</v>
      </c>
      <c r="G1586" t="b">
        <v>0</v>
      </c>
      <c r="H1586">
        <v>4</v>
      </c>
    </row>
    <row r="1587" spans="1:8">
      <c r="A1587" t="s">
        <v>8253</v>
      </c>
      <c r="B1587" s="4">
        <v>45785</v>
      </c>
      <c r="C1587">
        <v>2025</v>
      </c>
      <c r="D1587">
        <v>5</v>
      </c>
      <c r="E1587">
        <v>8</v>
      </c>
      <c r="F1587" t="s">
        <v>10350</v>
      </c>
      <c r="G1587" t="b">
        <v>0</v>
      </c>
      <c r="H1587">
        <v>2</v>
      </c>
    </row>
    <row r="1588" spans="1:8">
      <c r="A1588" t="s">
        <v>8258</v>
      </c>
      <c r="B1588" s="4">
        <v>45521</v>
      </c>
      <c r="C1588">
        <v>2024</v>
      </c>
      <c r="D1588">
        <v>8</v>
      </c>
      <c r="E1588">
        <v>17</v>
      </c>
      <c r="F1588" t="s">
        <v>10354</v>
      </c>
      <c r="G1588" t="b">
        <v>1</v>
      </c>
      <c r="H1588">
        <v>3</v>
      </c>
    </row>
    <row r="1589" spans="1:8">
      <c r="A1589" t="s">
        <v>8263</v>
      </c>
      <c r="B1589" s="4">
        <v>45402</v>
      </c>
      <c r="C1589">
        <v>2024</v>
      </c>
      <c r="D1589">
        <v>4</v>
      </c>
      <c r="E1589">
        <v>20</v>
      </c>
      <c r="F1589" t="s">
        <v>10354</v>
      </c>
      <c r="G1589" t="b">
        <v>1</v>
      </c>
      <c r="H1589">
        <v>2</v>
      </c>
    </row>
    <row r="1590" spans="1:8">
      <c r="A1590" t="s">
        <v>8269</v>
      </c>
      <c r="B1590" s="4">
        <v>45650</v>
      </c>
      <c r="C1590">
        <v>2024</v>
      </c>
      <c r="D1590">
        <v>12</v>
      </c>
      <c r="E1590">
        <v>24</v>
      </c>
      <c r="F1590" t="s">
        <v>10353</v>
      </c>
      <c r="G1590" t="b">
        <v>0</v>
      </c>
      <c r="H1590">
        <v>4</v>
      </c>
    </row>
    <row r="1591" spans="1:8">
      <c r="A1591" t="s">
        <v>8274</v>
      </c>
      <c r="B1591" s="4">
        <v>45861</v>
      </c>
      <c r="C1591">
        <v>2025</v>
      </c>
      <c r="D1591">
        <v>7</v>
      </c>
      <c r="E1591">
        <v>23</v>
      </c>
      <c r="F1591" t="s">
        <v>10351</v>
      </c>
      <c r="G1591" t="b">
        <v>0</v>
      </c>
      <c r="H1591">
        <v>3</v>
      </c>
    </row>
    <row r="1592" spans="1:8">
      <c r="A1592" t="s">
        <v>8279</v>
      </c>
      <c r="B1592" s="4">
        <v>45668</v>
      </c>
      <c r="C1592">
        <v>2025</v>
      </c>
      <c r="D1592">
        <v>1</v>
      </c>
      <c r="E1592">
        <v>11</v>
      </c>
      <c r="F1592" t="s">
        <v>10354</v>
      </c>
      <c r="G1592" t="b">
        <v>1</v>
      </c>
      <c r="H1592">
        <v>1</v>
      </c>
    </row>
    <row r="1593" spans="1:8">
      <c r="A1593" t="s">
        <v>8284</v>
      </c>
      <c r="B1593" s="4">
        <v>45409</v>
      </c>
      <c r="C1593">
        <v>2024</v>
      </c>
      <c r="D1593">
        <v>4</v>
      </c>
      <c r="E1593">
        <v>27</v>
      </c>
      <c r="F1593" t="s">
        <v>10354</v>
      </c>
      <c r="G1593" t="b">
        <v>1</v>
      </c>
      <c r="H1593">
        <v>2</v>
      </c>
    </row>
    <row r="1594" spans="1:8">
      <c r="A1594" t="s">
        <v>8289</v>
      </c>
      <c r="B1594" s="4">
        <v>45577</v>
      </c>
      <c r="C1594">
        <v>2024</v>
      </c>
      <c r="D1594">
        <v>10</v>
      </c>
      <c r="E1594">
        <v>12</v>
      </c>
      <c r="F1594" t="s">
        <v>10354</v>
      </c>
      <c r="G1594" t="b">
        <v>1</v>
      </c>
      <c r="H1594">
        <v>4</v>
      </c>
    </row>
    <row r="1595" spans="1:8">
      <c r="A1595" t="s">
        <v>8294</v>
      </c>
      <c r="B1595" s="4">
        <v>45879</v>
      </c>
      <c r="C1595">
        <v>2025</v>
      </c>
      <c r="D1595">
        <v>8</v>
      </c>
      <c r="E1595">
        <v>10</v>
      </c>
      <c r="F1595" t="s">
        <v>10355</v>
      </c>
      <c r="G1595" t="b">
        <v>1</v>
      </c>
      <c r="H1595">
        <v>3</v>
      </c>
    </row>
    <row r="1596" spans="1:8">
      <c r="A1596" t="s">
        <v>8299</v>
      </c>
      <c r="B1596" s="4">
        <v>45523</v>
      </c>
      <c r="C1596">
        <v>2024</v>
      </c>
      <c r="D1596">
        <v>8</v>
      </c>
      <c r="E1596">
        <v>19</v>
      </c>
      <c r="F1596" t="s">
        <v>10356</v>
      </c>
      <c r="G1596" t="b">
        <v>0</v>
      </c>
      <c r="H1596">
        <v>3</v>
      </c>
    </row>
    <row r="1597" spans="1:8">
      <c r="A1597" t="s">
        <v>8304</v>
      </c>
      <c r="B1597" s="4">
        <v>45731</v>
      </c>
      <c r="C1597">
        <v>2025</v>
      </c>
      <c r="D1597">
        <v>3</v>
      </c>
      <c r="E1597">
        <v>15</v>
      </c>
      <c r="F1597" t="s">
        <v>10354</v>
      </c>
      <c r="G1597" t="b">
        <v>1</v>
      </c>
      <c r="H1597">
        <v>1</v>
      </c>
    </row>
    <row r="1598" spans="1:8">
      <c r="A1598" t="s">
        <v>8309</v>
      </c>
      <c r="B1598" s="4">
        <v>45866</v>
      </c>
      <c r="C1598">
        <v>2025</v>
      </c>
      <c r="D1598">
        <v>7</v>
      </c>
      <c r="E1598">
        <v>28</v>
      </c>
      <c r="F1598" t="s">
        <v>10356</v>
      </c>
      <c r="G1598" t="b">
        <v>0</v>
      </c>
      <c r="H1598">
        <v>3</v>
      </c>
    </row>
    <row r="1599" spans="1:8">
      <c r="A1599" t="s">
        <v>8314</v>
      </c>
      <c r="B1599" s="4">
        <v>45928</v>
      </c>
      <c r="C1599">
        <v>2025</v>
      </c>
      <c r="D1599">
        <v>9</v>
      </c>
      <c r="E1599">
        <v>28</v>
      </c>
      <c r="F1599" t="s">
        <v>10355</v>
      </c>
      <c r="G1599" t="b">
        <v>1</v>
      </c>
      <c r="H1599">
        <v>3</v>
      </c>
    </row>
    <row r="1600" spans="1:8">
      <c r="A1600" t="s">
        <v>8319</v>
      </c>
      <c r="B1600" s="4">
        <v>45920</v>
      </c>
      <c r="C1600">
        <v>2025</v>
      </c>
      <c r="D1600">
        <v>9</v>
      </c>
      <c r="E1600">
        <v>20</v>
      </c>
      <c r="F1600" t="s">
        <v>10354</v>
      </c>
      <c r="G1600" t="b">
        <v>1</v>
      </c>
      <c r="H1600">
        <v>3</v>
      </c>
    </row>
    <row r="1601" spans="1:8">
      <c r="A1601" t="s">
        <v>8324</v>
      </c>
      <c r="B1601" s="4">
        <v>45983</v>
      </c>
      <c r="C1601">
        <v>2025</v>
      </c>
      <c r="D1601">
        <v>11</v>
      </c>
      <c r="E1601">
        <v>22</v>
      </c>
      <c r="F1601" t="s">
        <v>10354</v>
      </c>
      <c r="G1601" t="b">
        <v>1</v>
      </c>
      <c r="H1601">
        <v>4</v>
      </c>
    </row>
    <row r="1602" spans="1:8">
      <c r="A1602" t="s">
        <v>8329</v>
      </c>
      <c r="B1602" s="4">
        <v>45950</v>
      </c>
      <c r="C1602">
        <v>2025</v>
      </c>
      <c r="D1602">
        <v>10</v>
      </c>
      <c r="E1602">
        <v>20</v>
      </c>
      <c r="F1602" t="s">
        <v>10356</v>
      </c>
      <c r="G1602" t="b">
        <v>0</v>
      </c>
      <c r="H1602">
        <v>4</v>
      </c>
    </row>
    <row r="1603" spans="1:8">
      <c r="A1603" t="s">
        <v>8334</v>
      </c>
      <c r="B1603" s="4">
        <v>45862</v>
      </c>
      <c r="C1603">
        <v>2025</v>
      </c>
      <c r="D1603">
        <v>7</v>
      </c>
      <c r="E1603">
        <v>24</v>
      </c>
      <c r="F1603" t="s">
        <v>10350</v>
      </c>
      <c r="G1603" t="b">
        <v>0</v>
      </c>
      <c r="H1603">
        <v>3</v>
      </c>
    </row>
    <row r="1604" spans="1:8">
      <c r="A1604" t="s">
        <v>8339</v>
      </c>
      <c r="B1604" s="4">
        <v>45318</v>
      </c>
      <c r="C1604">
        <v>2024</v>
      </c>
      <c r="D1604">
        <v>1</v>
      </c>
      <c r="E1604">
        <v>27</v>
      </c>
      <c r="F1604" t="s">
        <v>10354</v>
      </c>
      <c r="G1604" t="b">
        <v>1</v>
      </c>
      <c r="H1604">
        <v>1</v>
      </c>
    </row>
    <row r="1605" spans="1:8">
      <c r="A1605" t="s">
        <v>8344</v>
      </c>
      <c r="B1605" s="4">
        <v>45915</v>
      </c>
      <c r="C1605">
        <v>2025</v>
      </c>
      <c r="D1605">
        <v>9</v>
      </c>
      <c r="E1605">
        <v>15</v>
      </c>
      <c r="F1605" t="s">
        <v>10356</v>
      </c>
      <c r="G1605" t="b">
        <v>0</v>
      </c>
      <c r="H1605">
        <v>3</v>
      </c>
    </row>
    <row r="1606" spans="1:8">
      <c r="A1606" t="s">
        <v>8349</v>
      </c>
      <c r="B1606" s="4">
        <v>45965</v>
      </c>
      <c r="C1606">
        <v>2025</v>
      </c>
      <c r="D1606">
        <v>11</v>
      </c>
      <c r="E1606">
        <v>4</v>
      </c>
      <c r="F1606" t="s">
        <v>10353</v>
      </c>
      <c r="G1606" t="b">
        <v>0</v>
      </c>
      <c r="H1606">
        <v>4</v>
      </c>
    </row>
    <row r="1607" spans="1:8">
      <c r="A1607" t="s">
        <v>8354</v>
      </c>
      <c r="B1607" s="4">
        <v>46002</v>
      </c>
      <c r="C1607">
        <v>2025</v>
      </c>
      <c r="D1607">
        <v>12</v>
      </c>
      <c r="E1607">
        <v>11</v>
      </c>
      <c r="F1607" t="s">
        <v>10350</v>
      </c>
      <c r="G1607" t="b">
        <v>0</v>
      </c>
      <c r="H1607">
        <v>4</v>
      </c>
    </row>
    <row r="1608" spans="1:8">
      <c r="A1608" t="s">
        <v>8359</v>
      </c>
      <c r="B1608" s="4">
        <v>45565</v>
      </c>
      <c r="C1608">
        <v>2024</v>
      </c>
      <c r="D1608">
        <v>9</v>
      </c>
      <c r="E1608">
        <v>30</v>
      </c>
      <c r="F1608" t="s">
        <v>10356</v>
      </c>
      <c r="G1608" t="b">
        <v>0</v>
      </c>
      <c r="H1608">
        <v>3</v>
      </c>
    </row>
    <row r="1609" spans="1:8">
      <c r="A1609" t="s">
        <v>8364</v>
      </c>
      <c r="B1609" s="4">
        <v>45321</v>
      </c>
      <c r="C1609">
        <v>2024</v>
      </c>
      <c r="D1609">
        <v>1</v>
      </c>
      <c r="E1609">
        <v>30</v>
      </c>
      <c r="F1609" t="s">
        <v>10353</v>
      </c>
      <c r="G1609" t="b">
        <v>0</v>
      </c>
      <c r="H1609">
        <v>1</v>
      </c>
    </row>
    <row r="1610" spans="1:8">
      <c r="A1610" t="s">
        <v>8369</v>
      </c>
      <c r="B1610" s="4">
        <v>45476</v>
      </c>
      <c r="C1610">
        <v>2024</v>
      </c>
      <c r="D1610">
        <v>7</v>
      </c>
      <c r="E1610">
        <v>3</v>
      </c>
      <c r="F1610" t="s">
        <v>10351</v>
      </c>
      <c r="G1610" t="b">
        <v>0</v>
      </c>
      <c r="H1610">
        <v>3</v>
      </c>
    </row>
    <row r="1611" spans="1:8">
      <c r="A1611" t="s">
        <v>8374</v>
      </c>
      <c r="B1611" s="4">
        <v>45571</v>
      </c>
      <c r="C1611">
        <v>2024</v>
      </c>
      <c r="D1611">
        <v>10</v>
      </c>
      <c r="E1611">
        <v>6</v>
      </c>
      <c r="F1611" t="s">
        <v>10355</v>
      </c>
      <c r="G1611" t="b">
        <v>1</v>
      </c>
      <c r="H1611">
        <v>4</v>
      </c>
    </row>
    <row r="1612" spans="1:8">
      <c r="A1612" t="s">
        <v>8379</v>
      </c>
      <c r="B1612" s="4">
        <v>46011</v>
      </c>
      <c r="C1612">
        <v>2025</v>
      </c>
      <c r="D1612">
        <v>12</v>
      </c>
      <c r="E1612">
        <v>20</v>
      </c>
      <c r="F1612" t="s">
        <v>10354</v>
      </c>
      <c r="G1612" t="b">
        <v>1</v>
      </c>
      <c r="H1612">
        <v>4</v>
      </c>
    </row>
    <row r="1613" spans="1:8">
      <c r="A1613" t="s">
        <v>8384</v>
      </c>
      <c r="B1613" s="4">
        <v>45608</v>
      </c>
      <c r="C1613">
        <v>2024</v>
      </c>
      <c r="D1613">
        <v>11</v>
      </c>
      <c r="E1613">
        <v>12</v>
      </c>
      <c r="F1613" t="s">
        <v>10353</v>
      </c>
      <c r="G1613" t="b">
        <v>0</v>
      </c>
      <c r="H1613">
        <v>4</v>
      </c>
    </row>
    <row r="1614" spans="1:8">
      <c r="A1614" t="s">
        <v>8389</v>
      </c>
      <c r="B1614" s="4">
        <v>45639</v>
      </c>
      <c r="C1614">
        <v>2024</v>
      </c>
      <c r="D1614">
        <v>12</v>
      </c>
      <c r="E1614">
        <v>13</v>
      </c>
      <c r="F1614" t="s">
        <v>10352</v>
      </c>
      <c r="G1614" t="b">
        <v>0</v>
      </c>
      <c r="H1614">
        <v>4</v>
      </c>
    </row>
    <row r="1615" spans="1:8">
      <c r="A1615" t="s">
        <v>8394</v>
      </c>
      <c r="B1615" s="4">
        <v>45651</v>
      </c>
      <c r="C1615">
        <v>2024</v>
      </c>
      <c r="D1615">
        <v>12</v>
      </c>
      <c r="E1615">
        <v>25</v>
      </c>
      <c r="F1615" t="s">
        <v>10351</v>
      </c>
      <c r="G1615" t="b">
        <v>0</v>
      </c>
      <c r="H1615">
        <v>4</v>
      </c>
    </row>
    <row r="1616" spans="1:8">
      <c r="A1616" t="s">
        <v>8399</v>
      </c>
      <c r="B1616" s="4">
        <v>45298</v>
      </c>
      <c r="C1616">
        <v>2024</v>
      </c>
      <c r="D1616">
        <v>1</v>
      </c>
      <c r="E1616">
        <v>7</v>
      </c>
      <c r="F1616" t="s">
        <v>10355</v>
      </c>
      <c r="G1616" t="b">
        <v>1</v>
      </c>
      <c r="H1616">
        <v>1</v>
      </c>
    </row>
    <row r="1617" spans="1:8">
      <c r="A1617" t="s">
        <v>8404</v>
      </c>
      <c r="B1617" s="4">
        <v>45477</v>
      </c>
      <c r="C1617">
        <v>2024</v>
      </c>
      <c r="D1617">
        <v>7</v>
      </c>
      <c r="E1617">
        <v>4</v>
      </c>
      <c r="F1617" t="s">
        <v>10350</v>
      </c>
      <c r="G1617" t="b">
        <v>0</v>
      </c>
      <c r="H1617">
        <v>3</v>
      </c>
    </row>
    <row r="1618" spans="1:8">
      <c r="A1618" t="s">
        <v>8409</v>
      </c>
      <c r="B1618" s="4">
        <v>45438</v>
      </c>
      <c r="C1618">
        <v>2024</v>
      </c>
      <c r="D1618">
        <v>5</v>
      </c>
      <c r="E1618">
        <v>26</v>
      </c>
      <c r="F1618" t="s">
        <v>10355</v>
      </c>
      <c r="G1618" t="b">
        <v>1</v>
      </c>
      <c r="H1618">
        <v>2</v>
      </c>
    </row>
    <row r="1619" spans="1:8">
      <c r="A1619" t="s">
        <v>8414</v>
      </c>
      <c r="B1619" s="4">
        <v>45871</v>
      </c>
      <c r="C1619">
        <v>2025</v>
      </c>
      <c r="D1619">
        <v>8</v>
      </c>
      <c r="E1619">
        <v>2</v>
      </c>
      <c r="F1619" t="s">
        <v>10354</v>
      </c>
      <c r="G1619" t="b">
        <v>1</v>
      </c>
      <c r="H1619">
        <v>3</v>
      </c>
    </row>
    <row r="1620" spans="1:8">
      <c r="A1620" t="s">
        <v>8419</v>
      </c>
      <c r="B1620" s="4">
        <v>45965</v>
      </c>
      <c r="C1620">
        <v>2025</v>
      </c>
      <c r="D1620">
        <v>11</v>
      </c>
      <c r="E1620">
        <v>4</v>
      </c>
      <c r="F1620" t="s">
        <v>10353</v>
      </c>
      <c r="G1620" t="b">
        <v>0</v>
      </c>
      <c r="H1620">
        <v>4</v>
      </c>
    </row>
    <row r="1621" spans="1:8">
      <c r="A1621" t="s">
        <v>8424</v>
      </c>
      <c r="B1621" s="4">
        <v>45702</v>
      </c>
      <c r="C1621">
        <v>2025</v>
      </c>
      <c r="D1621">
        <v>2</v>
      </c>
      <c r="E1621">
        <v>14</v>
      </c>
      <c r="F1621" t="s">
        <v>10352</v>
      </c>
      <c r="G1621" t="b">
        <v>0</v>
      </c>
      <c r="H1621">
        <v>1</v>
      </c>
    </row>
    <row r="1622" spans="1:8">
      <c r="A1622" t="s">
        <v>8429</v>
      </c>
      <c r="B1622" s="4">
        <v>45363</v>
      </c>
      <c r="C1622">
        <v>2024</v>
      </c>
      <c r="D1622">
        <v>3</v>
      </c>
      <c r="E1622">
        <v>12</v>
      </c>
      <c r="F1622" t="s">
        <v>10353</v>
      </c>
      <c r="G1622" t="b">
        <v>0</v>
      </c>
      <c r="H1622">
        <v>1</v>
      </c>
    </row>
    <row r="1623" spans="1:8">
      <c r="A1623" t="s">
        <v>8434</v>
      </c>
      <c r="B1623" s="4">
        <v>45437</v>
      </c>
      <c r="C1623">
        <v>2024</v>
      </c>
      <c r="D1623">
        <v>5</v>
      </c>
      <c r="E1623">
        <v>25</v>
      </c>
      <c r="F1623" t="s">
        <v>10354</v>
      </c>
      <c r="G1623" t="b">
        <v>1</v>
      </c>
      <c r="H1623">
        <v>2</v>
      </c>
    </row>
    <row r="1624" spans="1:8">
      <c r="A1624" t="s">
        <v>8439</v>
      </c>
      <c r="B1624" s="4">
        <v>45940</v>
      </c>
      <c r="C1624">
        <v>2025</v>
      </c>
      <c r="D1624">
        <v>10</v>
      </c>
      <c r="E1624">
        <v>10</v>
      </c>
      <c r="F1624" t="s">
        <v>10352</v>
      </c>
      <c r="G1624" t="b">
        <v>0</v>
      </c>
      <c r="H1624">
        <v>4</v>
      </c>
    </row>
    <row r="1625" spans="1:8">
      <c r="A1625" t="s">
        <v>8444</v>
      </c>
      <c r="B1625" s="4">
        <v>45323</v>
      </c>
      <c r="C1625">
        <v>2024</v>
      </c>
      <c r="D1625">
        <v>2</v>
      </c>
      <c r="E1625">
        <v>1</v>
      </c>
      <c r="F1625" t="s">
        <v>10350</v>
      </c>
      <c r="G1625" t="b">
        <v>0</v>
      </c>
      <c r="H1625">
        <v>1</v>
      </c>
    </row>
    <row r="1626" spans="1:8">
      <c r="A1626" t="s">
        <v>8449</v>
      </c>
      <c r="B1626" s="4">
        <v>45385</v>
      </c>
      <c r="C1626">
        <v>2024</v>
      </c>
      <c r="D1626">
        <v>4</v>
      </c>
      <c r="E1626">
        <v>3</v>
      </c>
      <c r="F1626" t="s">
        <v>10351</v>
      </c>
      <c r="G1626" t="b">
        <v>0</v>
      </c>
      <c r="H1626">
        <v>2</v>
      </c>
    </row>
    <row r="1627" spans="1:8">
      <c r="A1627" t="s">
        <v>8454</v>
      </c>
      <c r="B1627" s="4">
        <v>45835</v>
      </c>
      <c r="C1627">
        <v>2025</v>
      </c>
      <c r="D1627">
        <v>6</v>
      </c>
      <c r="E1627">
        <v>27</v>
      </c>
      <c r="F1627" t="s">
        <v>10352</v>
      </c>
      <c r="G1627" t="b">
        <v>0</v>
      </c>
      <c r="H1627">
        <v>2</v>
      </c>
    </row>
    <row r="1628" spans="1:8">
      <c r="A1628" t="s">
        <v>8459</v>
      </c>
      <c r="B1628" s="4">
        <v>45512</v>
      </c>
      <c r="C1628">
        <v>2024</v>
      </c>
      <c r="D1628">
        <v>8</v>
      </c>
      <c r="E1628">
        <v>8</v>
      </c>
      <c r="F1628" t="s">
        <v>10350</v>
      </c>
      <c r="G1628" t="b">
        <v>0</v>
      </c>
      <c r="H1628">
        <v>3</v>
      </c>
    </row>
    <row r="1629" spans="1:8">
      <c r="A1629" t="s">
        <v>8464</v>
      </c>
      <c r="B1629" s="4">
        <v>45677</v>
      </c>
      <c r="C1629">
        <v>2025</v>
      </c>
      <c r="D1629">
        <v>1</v>
      </c>
      <c r="E1629">
        <v>20</v>
      </c>
      <c r="F1629" t="s">
        <v>10356</v>
      </c>
      <c r="G1629" t="b">
        <v>0</v>
      </c>
      <c r="H1629">
        <v>1</v>
      </c>
    </row>
    <row r="1630" spans="1:8">
      <c r="A1630" t="s">
        <v>8469</v>
      </c>
      <c r="B1630" s="4">
        <v>45721</v>
      </c>
      <c r="C1630">
        <v>2025</v>
      </c>
      <c r="D1630">
        <v>3</v>
      </c>
      <c r="E1630">
        <v>5</v>
      </c>
      <c r="F1630" t="s">
        <v>10351</v>
      </c>
      <c r="G1630" t="b">
        <v>0</v>
      </c>
      <c r="H1630">
        <v>1</v>
      </c>
    </row>
    <row r="1631" spans="1:8">
      <c r="A1631" t="s">
        <v>8474</v>
      </c>
      <c r="B1631" s="4">
        <v>45756</v>
      </c>
      <c r="C1631">
        <v>2025</v>
      </c>
      <c r="D1631">
        <v>4</v>
      </c>
      <c r="E1631">
        <v>9</v>
      </c>
      <c r="F1631" t="s">
        <v>10351</v>
      </c>
      <c r="G1631" t="b">
        <v>0</v>
      </c>
      <c r="H1631">
        <v>2</v>
      </c>
    </row>
    <row r="1632" spans="1:8">
      <c r="A1632" t="s">
        <v>8479</v>
      </c>
      <c r="B1632" s="4">
        <v>45641</v>
      </c>
      <c r="C1632">
        <v>2024</v>
      </c>
      <c r="D1632">
        <v>12</v>
      </c>
      <c r="E1632">
        <v>15</v>
      </c>
      <c r="F1632" t="s">
        <v>10355</v>
      </c>
      <c r="G1632" t="b">
        <v>1</v>
      </c>
      <c r="H1632">
        <v>4</v>
      </c>
    </row>
    <row r="1633" spans="1:8">
      <c r="A1633" t="s">
        <v>8484</v>
      </c>
      <c r="B1633" s="4">
        <v>45453</v>
      </c>
      <c r="C1633">
        <v>2024</v>
      </c>
      <c r="D1633">
        <v>6</v>
      </c>
      <c r="E1633">
        <v>10</v>
      </c>
      <c r="F1633" t="s">
        <v>10356</v>
      </c>
      <c r="G1633" t="b">
        <v>0</v>
      </c>
      <c r="H1633">
        <v>2</v>
      </c>
    </row>
    <row r="1634" spans="1:8">
      <c r="A1634" t="s">
        <v>8489</v>
      </c>
      <c r="B1634" s="4">
        <v>45670</v>
      </c>
      <c r="C1634">
        <v>2025</v>
      </c>
      <c r="D1634">
        <v>1</v>
      </c>
      <c r="E1634">
        <v>13</v>
      </c>
      <c r="F1634" t="s">
        <v>10356</v>
      </c>
      <c r="G1634" t="b">
        <v>0</v>
      </c>
      <c r="H1634">
        <v>1</v>
      </c>
    </row>
    <row r="1635" spans="1:8">
      <c r="A1635" t="s">
        <v>8494</v>
      </c>
      <c r="B1635" s="4">
        <v>45611</v>
      </c>
      <c r="C1635">
        <v>2024</v>
      </c>
      <c r="D1635">
        <v>11</v>
      </c>
      <c r="E1635">
        <v>15</v>
      </c>
      <c r="F1635" t="s">
        <v>10352</v>
      </c>
      <c r="G1635" t="b">
        <v>0</v>
      </c>
      <c r="H1635">
        <v>4</v>
      </c>
    </row>
    <row r="1636" spans="1:8">
      <c r="A1636" t="s">
        <v>8499</v>
      </c>
      <c r="B1636" s="4">
        <v>45624</v>
      </c>
      <c r="C1636">
        <v>2024</v>
      </c>
      <c r="D1636">
        <v>11</v>
      </c>
      <c r="E1636">
        <v>28</v>
      </c>
      <c r="F1636" t="s">
        <v>10350</v>
      </c>
      <c r="G1636" t="b">
        <v>0</v>
      </c>
      <c r="H1636">
        <v>4</v>
      </c>
    </row>
    <row r="1637" spans="1:8">
      <c r="A1637" t="s">
        <v>8504</v>
      </c>
      <c r="B1637" s="4">
        <v>45873</v>
      </c>
      <c r="C1637">
        <v>2025</v>
      </c>
      <c r="D1637">
        <v>8</v>
      </c>
      <c r="E1637">
        <v>4</v>
      </c>
      <c r="F1637" t="s">
        <v>10356</v>
      </c>
      <c r="G1637" t="b">
        <v>0</v>
      </c>
      <c r="H1637">
        <v>3</v>
      </c>
    </row>
    <row r="1638" spans="1:8">
      <c r="A1638" t="s">
        <v>8509</v>
      </c>
      <c r="B1638" s="4">
        <v>45902</v>
      </c>
      <c r="C1638">
        <v>2025</v>
      </c>
      <c r="D1638">
        <v>9</v>
      </c>
      <c r="E1638">
        <v>2</v>
      </c>
      <c r="F1638" t="s">
        <v>10353</v>
      </c>
      <c r="G1638" t="b">
        <v>0</v>
      </c>
      <c r="H1638">
        <v>3</v>
      </c>
    </row>
    <row r="1639" spans="1:8">
      <c r="A1639" t="s">
        <v>8514</v>
      </c>
      <c r="B1639" s="4">
        <v>45378</v>
      </c>
      <c r="C1639">
        <v>2024</v>
      </c>
      <c r="D1639">
        <v>3</v>
      </c>
      <c r="E1639">
        <v>27</v>
      </c>
      <c r="F1639" t="s">
        <v>10351</v>
      </c>
      <c r="G1639" t="b">
        <v>0</v>
      </c>
      <c r="H1639">
        <v>1</v>
      </c>
    </row>
    <row r="1640" spans="1:8">
      <c r="A1640" t="s">
        <v>8519</v>
      </c>
      <c r="B1640" s="4">
        <v>45345</v>
      </c>
      <c r="C1640">
        <v>2024</v>
      </c>
      <c r="D1640">
        <v>2</v>
      </c>
      <c r="E1640">
        <v>23</v>
      </c>
      <c r="F1640" t="s">
        <v>10352</v>
      </c>
      <c r="G1640" t="b">
        <v>0</v>
      </c>
      <c r="H1640">
        <v>1</v>
      </c>
    </row>
    <row r="1641" spans="1:8">
      <c r="A1641" t="s">
        <v>8524</v>
      </c>
      <c r="B1641" s="4">
        <v>45451</v>
      </c>
      <c r="C1641">
        <v>2024</v>
      </c>
      <c r="D1641">
        <v>6</v>
      </c>
      <c r="E1641">
        <v>8</v>
      </c>
      <c r="F1641" t="s">
        <v>10354</v>
      </c>
      <c r="G1641" t="b">
        <v>1</v>
      </c>
      <c r="H1641">
        <v>2</v>
      </c>
    </row>
    <row r="1642" spans="1:8">
      <c r="A1642" t="s">
        <v>8529</v>
      </c>
      <c r="B1642" s="4">
        <v>45453</v>
      </c>
      <c r="C1642">
        <v>2024</v>
      </c>
      <c r="D1642">
        <v>6</v>
      </c>
      <c r="E1642">
        <v>10</v>
      </c>
      <c r="F1642" t="s">
        <v>10356</v>
      </c>
      <c r="G1642" t="b">
        <v>0</v>
      </c>
      <c r="H1642">
        <v>2</v>
      </c>
    </row>
    <row r="1643" spans="1:8">
      <c r="A1643" t="s">
        <v>8534</v>
      </c>
      <c r="B1643" s="4">
        <v>45924</v>
      </c>
      <c r="C1643">
        <v>2025</v>
      </c>
      <c r="D1643">
        <v>9</v>
      </c>
      <c r="E1643">
        <v>24</v>
      </c>
      <c r="F1643" t="s">
        <v>10351</v>
      </c>
      <c r="G1643" t="b">
        <v>0</v>
      </c>
      <c r="H1643">
        <v>3</v>
      </c>
    </row>
    <row r="1644" spans="1:8">
      <c r="A1644" t="s">
        <v>8539</v>
      </c>
      <c r="B1644" s="4">
        <v>45342</v>
      </c>
      <c r="C1644">
        <v>2024</v>
      </c>
      <c r="D1644">
        <v>2</v>
      </c>
      <c r="E1644">
        <v>20</v>
      </c>
      <c r="F1644" t="s">
        <v>10353</v>
      </c>
      <c r="G1644" t="b">
        <v>0</v>
      </c>
      <c r="H1644">
        <v>1</v>
      </c>
    </row>
    <row r="1645" spans="1:8">
      <c r="A1645" t="s">
        <v>8544</v>
      </c>
      <c r="B1645" s="4">
        <v>45982</v>
      </c>
      <c r="C1645">
        <v>2025</v>
      </c>
      <c r="D1645">
        <v>11</v>
      </c>
      <c r="E1645">
        <v>21</v>
      </c>
      <c r="F1645" t="s">
        <v>10352</v>
      </c>
      <c r="G1645" t="b">
        <v>0</v>
      </c>
      <c r="H1645">
        <v>4</v>
      </c>
    </row>
    <row r="1646" spans="1:8">
      <c r="A1646" t="s">
        <v>8549</v>
      </c>
      <c r="B1646" s="4">
        <v>45375</v>
      </c>
      <c r="C1646">
        <v>2024</v>
      </c>
      <c r="D1646">
        <v>3</v>
      </c>
      <c r="E1646">
        <v>24</v>
      </c>
      <c r="F1646" t="s">
        <v>10355</v>
      </c>
      <c r="G1646" t="b">
        <v>1</v>
      </c>
      <c r="H1646">
        <v>1</v>
      </c>
    </row>
    <row r="1647" spans="1:8">
      <c r="A1647" t="s">
        <v>8554</v>
      </c>
      <c r="B1647" s="4">
        <v>45570</v>
      </c>
      <c r="C1647">
        <v>2024</v>
      </c>
      <c r="D1647">
        <v>10</v>
      </c>
      <c r="E1647">
        <v>5</v>
      </c>
      <c r="F1647" t="s">
        <v>10354</v>
      </c>
      <c r="G1647" t="b">
        <v>1</v>
      </c>
      <c r="H1647">
        <v>4</v>
      </c>
    </row>
    <row r="1648" spans="1:8">
      <c r="A1648" t="s">
        <v>8559</v>
      </c>
      <c r="B1648" s="4">
        <v>45745</v>
      </c>
      <c r="C1648">
        <v>2025</v>
      </c>
      <c r="D1648">
        <v>3</v>
      </c>
      <c r="E1648">
        <v>29</v>
      </c>
      <c r="F1648" t="s">
        <v>10354</v>
      </c>
      <c r="G1648" t="b">
        <v>1</v>
      </c>
      <c r="H1648">
        <v>1</v>
      </c>
    </row>
    <row r="1649" spans="1:8">
      <c r="A1649" t="s">
        <v>8564</v>
      </c>
      <c r="B1649" s="4">
        <v>45969</v>
      </c>
      <c r="C1649">
        <v>2025</v>
      </c>
      <c r="D1649">
        <v>11</v>
      </c>
      <c r="E1649">
        <v>8</v>
      </c>
      <c r="F1649" t="s">
        <v>10354</v>
      </c>
      <c r="G1649" t="b">
        <v>1</v>
      </c>
      <c r="H1649">
        <v>4</v>
      </c>
    </row>
    <row r="1650" spans="1:8">
      <c r="A1650" t="s">
        <v>8569</v>
      </c>
      <c r="B1650" s="4">
        <v>45726</v>
      </c>
      <c r="C1650">
        <v>2025</v>
      </c>
      <c r="D1650">
        <v>3</v>
      </c>
      <c r="E1650">
        <v>10</v>
      </c>
      <c r="F1650" t="s">
        <v>10356</v>
      </c>
      <c r="G1650" t="b">
        <v>0</v>
      </c>
      <c r="H1650">
        <v>1</v>
      </c>
    </row>
    <row r="1651" spans="1:8">
      <c r="A1651" t="s">
        <v>8574</v>
      </c>
      <c r="B1651" s="4">
        <v>45789</v>
      </c>
      <c r="C1651">
        <v>2025</v>
      </c>
      <c r="D1651">
        <v>5</v>
      </c>
      <c r="E1651">
        <v>12</v>
      </c>
      <c r="F1651" t="s">
        <v>10356</v>
      </c>
      <c r="G1651" t="b">
        <v>0</v>
      </c>
      <c r="H1651">
        <v>2</v>
      </c>
    </row>
    <row r="1652" spans="1:8">
      <c r="A1652" t="s">
        <v>8579</v>
      </c>
      <c r="B1652" s="4">
        <v>45913</v>
      </c>
      <c r="C1652">
        <v>2025</v>
      </c>
      <c r="D1652">
        <v>9</v>
      </c>
      <c r="E1652">
        <v>13</v>
      </c>
      <c r="F1652" t="s">
        <v>10354</v>
      </c>
      <c r="G1652" t="b">
        <v>1</v>
      </c>
      <c r="H1652">
        <v>3</v>
      </c>
    </row>
    <row r="1653" spans="1:8">
      <c r="A1653" t="s">
        <v>8584</v>
      </c>
      <c r="B1653" s="4">
        <v>45744</v>
      </c>
      <c r="C1653">
        <v>2025</v>
      </c>
      <c r="D1653">
        <v>3</v>
      </c>
      <c r="E1653">
        <v>28</v>
      </c>
      <c r="F1653" t="s">
        <v>10352</v>
      </c>
      <c r="G1653" t="b">
        <v>0</v>
      </c>
      <c r="H1653">
        <v>1</v>
      </c>
    </row>
    <row r="1654" spans="1:8">
      <c r="A1654" t="s">
        <v>8589</v>
      </c>
      <c r="B1654" s="4">
        <v>45716</v>
      </c>
      <c r="C1654">
        <v>2025</v>
      </c>
      <c r="D1654">
        <v>2</v>
      </c>
      <c r="E1654">
        <v>28</v>
      </c>
      <c r="F1654" t="s">
        <v>10352</v>
      </c>
      <c r="G1654" t="b">
        <v>0</v>
      </c>
      <c r="H1654">
        <v>1</v>
      </c>
    </row>
    <row r="1655" spans="1:8">
      <c r="A1655" t="s">
        <v>8594</v>
      </c>
      <c r="B1655" s="4">
        <v>45571</v>
      </c>
      <c r="C1655">
        <v>2024</v>
      </c>
      <c r="D1655">
        <v>10</v>
      </c>
      <c r="E1655">
        <v>6</v>
      </c>
      <c r="F1655" t="s">
        <v>10355</v>
      </c>
      <c r="G1655" t="b">
        <v>1</v>
      </c>
      <c r="H1655">
        <v>4</v>
      </c>
    </row>
    <row r="1656" spans="1:8">
      <c r="A1656" t="s">
        <v>8599</v>
      </c>
      <c r="B1656" s="4">
        <v>45512</v>
      </c>
      <c r="C1656">
        <v>2024</v>
      </c>
      <c r="D1656">
        <v>8</v>
      </c>
      <c r="E1656">
        <v>8</v>
      </c>
      <c r="F1656" t="s">
        <v>10350</v>
      </c>
      <c r="G1656" t="b">
        <v>0</v>
      </c>
      <c r="H1656">
        <v>3</v>
      </c>
    </row>
    <row r="1657" spans="1:8">
      <c r="A1657" t="s">
        <v>8604</v>
      </c>
      <c r="B1657" s="4">
        <v>45816</v>
      </c>
      <c r="C1657">
        <v>2025</v>
      </c>
      <c r="D1657">
        <v>6</v>
      </c>
      <c r="E1657">
        <v>8</v>
      </c>
      <c r="F1657" t="s">
        <v>10355</v>
      </c>
      <c r="G1657" t="b">
        <v>1</v>
      </c>
      <c r="H1657">
        <v>2</v>
      </c>
    </row>
    <row r="1658" spans="1:8">
      <c r="A1658" t="s">
        <v>8609</v>
      </c>
      <c r="B1658" s="4">
        <v>45408</v>
      </c>
      <c r="C1658">
        <v>2024</v>
      </c>
      <c r="D1658">
        <v>4</v>
      </c>
      <c r="E1658">
        <v>26</v>
      </c>
      <c r="F1658" t="s">
        <v>10352</v>
      </c>
      <c r="G1658" t="b">
        <v>0</v>
      </c>
      <c r="H1658">
        <v>2</v>
      </c>
    </row>
    <row r="1659" spans="1:8">
      <c r="A1659" t="s">
        <v>8614</v>
      </c>
      <c r="B1659" s="4">
        <v>45645</v>
      </c>
      <c r="C1659">
        <v>2024</v>
      </c>
      <c r="D1659">
        <v>12</v>
      </c>
      <c r="E1659">
        <v>19</v>
      </c>
      <c r="F1659" t="s">
        <v>10350</v>
      </c>
      <c r="G1659" t="b">
        <v>0</v>
      </c>
      <c r="H1659">
        <v>4</v>
      </c>
    </row>
    <row r="1660" spans="1:8">
      <c r="A1660" t="s">
        <v>8619</v>
      </c>
      <c r="B1660" s="4">
        <v>45732</v>
      </c>
      <c r="C1660">
        <v>2025</v>
      </c>
      <c r="D1660">
        <v>3</v>
      </c>
      <c r="E1660">
        <v>16</v>
      </c>
      <c r="F1660" t="s">
        <v>10355</v>
      </c>
      <c r="G1660" t="b">
        <v>1</v>
      </c>
      <c r="H1660">
        <v>1</v>
      </c>
    </row>
    <row r="1661" spans="1:8">
      <c r="A1661" t="s">
        <v>8624</v>
      </c>
      <c r="B1661" s="4">
        <v>45405</v>
      </c>
      <c r="C1661">
        <v>2024</v>
      </c>
      <c r="D1661">
        <v>4</v>
      </c>
      <c r="E1661">
        <v>23</v>
      </c>
      <c r="F1661" t="s">
        <v>10353</v>
      </c>
      <c r="G1661" t="b">
        <v>0</v>
      </c>
      <c r="H1661">
        <v>2</v>
      </c>
    </row>
    <row r="1662" spans="1:8">
      <c r="A1662" t="s">
        <v>8629</v>
      </c>
      <c r="B1662" s="4">
        <v>45582</v>
      </c>
      <c r="C1662">
        <v>2024</v>
      </c>
      <c r="D1662">
        <v>10</v>
      </c>
      <c r="E1662">
        <v>17</v>
      </c>
      <c r="F1662" t="s">
        <v>10350</v>
      </c>
      <c r="G1662" t="b">
        <v>0</v>
      </c>
      <c r="H1662">
        <v>4</v>
      </c>
    </row>
    <row r="1663" spans="1:8">
      <c r="A1663" t="s">
        <v>8634</v>
      </c>
      <c r="B1663" s="4">
        <v>45986</v>
      </c>
      <c r="C1663">
        <v>2025</v>
      </c>
      <c r="D1663">
        <v>11</v>
      </c>
      <c r="E1663">
        <v>25</v>
      </c>
      <c r="F1663" t="s">
        <v>10353</v>
      </c>
      <c r="G1663" t="b">
        <v>0</v>
      </c>
      <c r="H1663">
        <v>4</v>
      </c>
    </row>
    <row r="1664" spans="1:8">
      <c r="A1664" t="s">
        <v>8639</v>
      </c>
      <c r="B1664" s="4">
        <v>45986</v>
      </c>
      <c r="C1664">
        <v>2025</v>
      </c>
      <c r="D1664">
        <v>11</v>
      </c>
      <c r="E1664">
        <v>25</v>
      </c>
      <c r="F1664" t="s">
        <v>10353</v>
      </c>
      <c r="G1664" t="b">
        <v>0</v>
      </c>
      <c r="H1664">
        <v>4</v>
      </c>
    </row>
    <row r="1665" spans="1:8">
      <c r="A1665" t="s">
        <v>8644</v>
      </c>
      <c r="B1665" s="4">
        <v>45899</v>
      </c>
      <c r="C1665">
        <v>2025</v>
      </c>
      <c r="D1665">
        <v>8</v>
      </c>
      <c r="E1665">
        <v>30</v>
      </c>
      <c r="F1665" t="s">
        <v>10354</v>
      </c>
      <c r="G1665" t="b">
        <v>1</v>
      </c>
      <c r="H1665">
        <v>3</v>
      </c>
    </row>
    <row r="1666" spans="1:8">
      <c r="A1666" t="s">
        <v>8649</v>
      </c>
      <c r="B1666" s="4">
        <v>45790</v>
      </c>
      <c r="C1666">
        <v>2025</v>
      </c>
      <c r="D1666">
        <v>5</v>
      </c>
      <c r="E1666">
        <v>13</v>
      </c>
      <c r="F1666" t="s">
        <v>10353</v>
      </c>
      <c r="G1666" t="b">
        <v>0</v>
      </c>
      <c r="H1666">
        <v>2</v>
      </c>
    </row>
    <row r="1667" spans="1:8">
      <c r="A1667" t="s">
        <v>8654</v>
      </c>
      <c r="B1667" s="4">
        <v>45831</v>
      </c>
      <c r="C1667">
        <v>2025</v>
      </c>
      <c r="D1667">
        <v>6</v>
      </c>
      <c r="E1667">
        <v>23</v>
      </c>
      <c r="F1667" t="s">
        <v>10356</v>
      </c>
      <c r="G1667" t="b">
        <v>0</v>
      </c>
      <c r="H1667">
        <v>2</v>
      </c>
    </row>
    <row r="1668" spans="1:8">
      <c r="A1668" t="s">
        <v>8660</v>
      </c>
      <c r="B1668" s="4">
        <v>45975</v>
      </c>
      <c r="C1668">
        <v>2025</v>
      </c>
      <c r="D1668">
        <v>11</v>
      </c>
      <c r="E1668">
        <v>14</v>
      </c>
      <c r="F1668" t="s">
        <v>10352</v>
      </c>
      <c r="G1668" t="b">
        <v>0</v>
      </c>
      <c r="H1668">
        <v>4</v>
      </c>
    </row>
    <row r="1669" spans="1:8">
      <c r="A1669" t="s">
        <v>8665</v>
      </c>
      <c r="B1669" s="4">
        <v>45607</v>
      </c>
      <c r="C1669">
        <v>2024</v>
      </c>
      <c r="D1669">
        <v>11</v>
      </c>
      <c r="E1669">
        <v>11</v>
      </c>
      <c r="F1669" t="s">
        <v>10356</v>
      </c>
      <c r="G1669" t="b">
        <v>0</v>
      </c>
      <c r="H1669">
        <v>4</v>
      </c>
    </row>
    <row r="1670" spans="1:8">
      <c r="A1670" t="s">
        <v>8670</v>
      </c>
      <c r="B1670" s="4">
        <v>45338</v>
      </c>
      <c r="C1670">
        <v>2024</v>
      </c>
      <c r="D1670">
        <v>2</v>
      </c>
      <c r="E1670">
        <v>16</v>
      </c>
      <c r="F1670" t="s">
        <v>10352</v>
      </c>
      <c r="G1670" t="b">
        <v>0</v>
      </c>
      <c r="H1670">
        <v>1</v>
      </c>
    </row>
    <row r="1671" spans="1:8">
      <c r="A1671" t="s">
        <v>8675</v>
      </c>
      <c r="B1671" s="4">
        <v>45517</v>
      </c>
      <c r="C1671">
        <v>2024</v>
      </c>
      <c r="D1671">
        <v>8</v>
      </c>
      <c r="E1671">
        <v>13</v>
      </c>
      <c r="F1671" t="s">
        <v>10353</v>
      </c>
      <c r="G1671" t="b">
        <v>0</v>
      </c>
      <c r="H1671">
        <v>3</v>
      </c>
    </row>
    <row r="1672" spans="1:8">
      <c r="A1672" t="s">
        <v>8680</v>
      </c>
      <c r="B1672" s="4">
        <v>45696</v>
      </c>
      <c r="C1672">
        <v>2025</v>
      </c>
      <c r="D1672">
        <v>2</v>
      </c>
      <c r="E1672">
        <v>8</v>
      </c>
      <c r="F1672" t="s">
        <v>10354</v>
      </c>
      <c r="G1672" t="b">
        <v>1</v>
      </c>
      <c r="H1672">
        <v>1</v>
      </c>
    </row>
    <row r="1673" spans="1:8">
      <c r="A1673" t="s">
        <v>8685</v>
      </c>
      <c r="B1673" s="4">
        <v>45905</v>
      </c>
      <c r="C1673">
        <v>2025</v>
      </c>
      <c r="D1673">
        <v>9</v>
      </c>
      <c r="E1673">
        <v>5</v>
      </c>
      <c r="F1673" t="s">
        <v>10352</v>
      </c>
      <c r="G1673" t="b">
        <v>0</v>
      </c>
      <c r="H1673">
        <v>3</v>
      </c>
    </row>
    <row r="1674" spans="1:8">
      <c r="A1674" t="s">
        <v>8690</v>
      </c>
      <c r="B1674" s="4">
        <v>45348</v>
      </c>
      <c r="C1674">
        <v>2024</v>
      </c>
      <c r="D1674">
        <v>2</v>
      </c>
      <c r="E1674">
        <v>26</v>
      </c>
      <c r="F1674" t="s">
        <v>10356</v>
      </c>
      <c r="G1674" t="b">
        <v>0</v>
      </c>
      <c r="H1674">
        <v>1</v>
      </c>
    </row>
    <row r="1675" spans="1:8">
      <c r="A1675" t="s">
        <v>8695</v>
      </c>
      <c r="B1675" s="4">
        <v>45299</v>
      </c>
      <c r="C1675">
        <v>2024</v>
      </c>
      <c r="D1675">
        <v>1</v>
      </c>
      <c r="E1675">
        <v>8</v>
      </c>
      <c r="F1675" t="s">
        <v>10356</v>
      </c>
      <c r="G1675" t="b">
        <v>0</v>
      </c>
      <c r="H1675">
        <v>1</v>
      </c>
    </row>
    <row r="1676" spans="1:8">
      <c r="A1676" t="s">
        <v>8700</v>
      </c>
      <c r="B1676" s="4">
        <v>45501</v>
      </c>
      <c r="C1676">
        <v>2024</v>
      </c>
      <c r="D1676">
        <v>7</v>
      </c>
      <c r="E1676">
        <v>28</v>
      </c>
      <c r="F1676" t="s">
        <v>10355</v>
      </c>
      <c r="G1676" t="b">
        <v>1</v>
      </c>
      <c r="H1676">
        <v>3</v>
      </c>
    </row>
    <row r="1677" spans="1:8">
      <c r="A1677" t="s">
        <v>8705</v>
      </c>
      <c r="B1677" s="4">
        <v>45600</v>
      </c>
      <c r="C1677">
        <v>2024</v>
      </c>
      <c r="D1677">
        <v>11</v>
      </c>
      <c r="E1677">
        <v>4</v>
      </c>
      <c r="F1677" t="s">
        <v>10356</v>
      </c>
      <c r="G1677" t="b">
        <v>0</v>
      </c>
      <c r="H1677">
        <v>4</v>
      </c>
    </row>
    <row r="1678" spans="1:8">
      <c r="A1678" t="s">
        <v>8710</v>
      </c>
      <c r="B1678" s="4">
        <v>45508</v>
      </c>
      <c r="C1678">
        <v>2024</v>
      </c>
      <c r="D1678">
        <v>8</v>
      </c>
      <c r="E1678">
        <v>4</v>
      </c>
      <c r="F1678" t="s">
        <v>10355</v>
      </c>
      <c r="G1678" t="b">
        <v>1</v>
      </c>
      <c r="H1678">
        <v>3</v>
      </c>
    </row>
    <row r="1679" spans="1:8">
      <c r="A1679" t="s">
        <v>8715</v>
      </c>
      <c r="B1679" s="4">
        <v>45432</v>
      </c>
      <c r="C1679">
        <v>2024</v>
      </c>
      <c r="D1679">
        <v>5</v>
      </c>
      <c r="E1679">
        <v>20</v>
      </c>
      <c r="F1679" t="s">
        <v>10356</v>
      </c>
      <c r="G1679" t="b">
        <v>0</v>
      </c>
      <c r="H1679">
        <v>2</v>
      </c>
    </row>
    <row r="1680" spans="1:8">
      <c r="A1680" t="s">
        <v>8720</v>
      </c>
      <c r="B1680" s="4">
        <v>45553</v>
      </c>
      <c r="C1680">
        <v>2024</v>
      </c>
      <c r="D1680">
        <v>9</v>
      </c>
      <c r="E1680">
        <v>18</v>
      </c>
      <c r="F1680" t="s">
        <v>10351</v>
      </c>
      <c r="G1680" t="b">
        <v>0</v>
      </c>
      <c r="H1680">
        <v>3</v>
      </c>
    </row>
    <row r="1681" spans="1:8">
      <c r="A1681" t="s">
        <v>8725</v>
      </c>
      <c r="B1681" s="4">
        <v>45588</v>
      </c>
      <c r="C1681">
        <v>2024</v>
      </c>
      <c r="D1681">
        <v>10</v>
      </c>
      <c r="E1681">
        <v>23</v>
      </c>
      <c r="F1681" t="s">
        <v>10351</v>
      </c>
      <c r="G1681" t="b">
        <v>0</v>
      </c>
      <c r="H1681">
        <v>4</v>
      </c>
    </row>
    <row r="1682" spans="1:8">
      <c r="A1682" t="s">
        <v>8730</v>
      </c>
      <c r="B1682" s="4">
        <v>45627</v>
      </c>
      <c r="C1682">
        <v>2024</v>
      </c>
      <c r="D1682">
        <v>12</v>
      </c>
      <c r="E1682">
        <v>1</v>
      </c>
      <c r="F1682" t="s">
        <v>10355</v>
      </c>
      <c r="G1682" t="b">
        <v>1</v>
      </c>
      <c r="H1682">
        <v>4</v>
      </c>
    </row>
    <row r="1683" spans="1:8">
      <c r="A1683" t="s">
        <v>8735</v>
      </c>
      <c r="B1683" s="4">
        <v>45414</v>
      </c>
      <c r="C1683">
        <v>2024</v>
      </c>
      <c r="D1683">
        <v>5</v>
      </c>
      <c r="E1683">
        <v>2</v>
      </c>
      <c r="F1683" t="s">
        <v>10350</v>
      </c>
      <c r="G1683" t="b">
        <v>0</v>
      </c>
      <c r="H1683">
        <v>2</v>
      </c>
    </row>
    <row r="1684" spans="1:8">
      <c r="A1684" t="s">
        <v>8740</v>
      </c>
      <c r="B1684" s="4">
        <v>45299</v>
      </c>
      <c r="C1684">
        <v>2024</v>
      </c>
      <c r="D1684">
        <v>1</v>
      </c>
      <c r="E1684">
        <v>8</v>
      </c>
      <c r="F1684" t="s">
        <v>10356</v>
      </c>
      <c r="G1684" t="b">
        <v>0</v>
      </c>
      <c r="H1684">
        <v>1</v>
      </c>
    </row>
    <row r="1685" spans="1:8">
      <c r="A1685" t="s">
        <v>8745</v>
      </c>
      <c r="B1685" s="4">
        <v>45801</v>
      </c>
      <c r="C1685">
        <v>2025</v>
      </c>
      <c r="D1685">
        <v>5</v>
      </c>
      <c r="E1685">
        <v>24</v>
      </c>
      <c r="F1685" t="s">
        <v>10354</v>
      </c>
      <c r="G1685" t="b">
        <v>1</v>
      </c>
      <c r="H1685">
        <v>2</v>
      </c>
    </row>
    <row r="1686" spans="1:8">
      <c r="A1686" t="s">
        <v>8750</v>
      </c>
      <c r="B1686" s="4">
        <v>45732</v>
      </c>
      <c r="C1686">
        <v>2025</v>
      </c>
      <c r="D1686">
        <v>3</v>
      </c>
      <c r="E1686">
        <v>16</v>
      </c>
      <c r="F1686" t="s">
        <v>10355</v>
      </c>
      <c r="G1686" t="b">
        <v>1</v>
      </c>
      <c r="H1686">
        <v>1</v>
      </c>
    </row>
    <row r="1687" spans="1:8">
      <c r="A1687" t="s">
        <v>8755</v>
      </c>
      <c r="B1687" s="4">
        <v>45471</v>
      </c>
      <c r="C1687">
        <v>2024</v>
      </c>
      <c r="D1687">
        <v>6</v>
      </c>
      <c r="E1687">
        <v>28</v>
      </c>
      <c r="F1687" t="s">
        <v>10352</v>
      </c>
      <c r="G1687" t="b">
        <v>0</v>
      </c>
      <c r="H1687">
        <v>2</v>
      </c>
    </row>
    <row r="1688" spans="1:8">
      <c r="A1688" t="s">
        <v>8760</v>
      </c>
      <c r="B1688" s="4">
        <v>45424</v>
      </c>
      <c r="C1688">
        <v>2024</v>
      </c>
      <c r="D1688">
        <v>5</v>
      </c>
      <c r="E1688">
        <v>12</v>
      </c>
      <c r="F1688" t="s">
        <v>10355</v>
      </c>
      <c r="G1688" t="b">
        <v>1</v>
      </c>
      <c r="H1688">
        <v>2</v>
      </c>
    </row>
    <row r="1689" spans="1:8">
      <c r="A1689" t="s">
        <v>8765</v>
      </c>
      <c r="B1689" s="4">
        <v>45681</v>
      </c>
      <c r="C1689">
        <v>2025</v>
      </c>
      <c r="D1689">
        <v>1</v>
      </c>
      <c r="E1689">
        <v>24</v>
      </c>
      <c r="F1689" t="s">
        <v>10352</v>
      </c>
      <c r="G1689" t="b">
        <v>0</v>
      </c>
      <c r="H1689">
        <v>1</v>
      </c>
    </row>
    <row r="1690" spans="1:8">
      <c r="A1690" t="s">
        <v>8770</v>
      </c>
      <c r="B1690" s="4">
        <v>45837</v>
      </c>
      <c r="C1690">
        <v>2025</v>
      </c>
      <c r="D1690">
        <v>6</v>
      </c>
      <c r="E1690">
        <v>29</v>
      </c>
      <c r="F1690" t="s">
        <v>10355</v>
      </c>
      <c r="G1690" t="b">
        <v>1</v>
      </c>
      <c r="H1690">
        <v>2</v>
      </c>
    </row>
    <row r="1691" spans="1:8">
      <c r="A1691" t="s">
        <v>8775</v>
      </c>
      <c r="B1691" s="4">
        <v>46012</v>
      </c>
      <c r="C1691">
        <v>2025</v>
      </c>
      <c r="D1691">
        <v>12</v>
      </c>
      <c r="E1691">
        <v>21</v>
      </c>
      <c r="F1691" t="s">
        <v>10355</v>
      </c>
      <c r="G1691" t="b">
        <v>1</v>
      </c>
      <c r="H1691">
        <v>4</v>
      </c>
    </row>
    <row r="1692" spans="1:8">
      <c r="A1692" t="s">
        <v>8780</v>
      </c>
      <c r="B1692" s="4">
        <v>45527</v>
      </c>
      <c r="C1692">
        <v>2024</v>
      </c>
      <c r="D1692">
        <v>8</v>
      </c>
      <c r="E1692">
        <v>23</v>
      </c>
      <c r="F1692" t="s">
        <v>10352</v>
      </c>
      <c r="G1692" t="b">
        <v>0</v>
      </c>
      <c r="H1692">
        <v>3</v>
      </c>
    </row>
    <row r="1693" spans="1:8">
      <c r="A1693" t="s">
        <v>8785</v>
      </c>
      <c r="B1693" s="4">
        <v>45804</v>
      </c>
      <c r="C1693">
        <v>2025</v>
      </c>
      <c r="D1693">
        <v>5</v>
      </c>
      <c r="E1693">
        <v>27</v>
      </c>
      <c r="F1693" t="s">
        <v>10353</v>
      </c>
      <c r="G1693" t="b">
        <v>0</v>
      </c>
      <c r="H1693">
        <v>2</v>
      </c>
    </row>
    <row r="1694" spans="1:8">
      <c r="A1694" t="s">
        <v>8790</v>
      </c>
      <c r="B1694" s="4">
        <v>45864</v>
      </c>
      <c r="C1694">
        <v>2025</v>
      </c>
      <c r="D1694">
        <v>7</v>
      </c>
      <c r="E1694">
        <v>26</v>
      </c>
      <c r="F1694" t="s">
        <v>10354</v>
      </c>
      <c r="G1694" t="b">
        <v>1</v>
      </c>
      <c r="H1694">
        <v>3</v>
      </c>
    </row>
    <row r="1695" spans="1:8">
      <c r="A1695" t="s">
        <v>8795</v>
      </c>
      <c r="B1695" s="4">
        <v>45976</v>
      </c>
      <c r="C1695">
        <v>2025</v>
      </c>
      <c r="D1695">
        <v>11</v>
      </c>
      <c r="E1695">
        <v>15</v>
      </c>
      <c r="F1695" t="s">
        <v>10354</v>
      </c>
      <c r="G1695" t="b">
        <v>1</v>
      </c>
      <c r="H1695">
        <v>4</v>
      </c>
    </row>
    <row r="1696" spans="1:8">
      <c r="A1696" t="s">
        <v>8800</v>
      </c>
      <c r="B1696" s="4">
        <v>45654</v>
      </c>
      <c r="C1696">
        <v>2024</v>
      </c>
      <c r="D1696">
        <v>12</v>
      </c>
      <c r="E1696">
        <v>28</v>
      </c>
      <c r="F1696" t="s">
        <v>10354</v>
      </c>
      <c r="G1696" t="b">
        <v>1</v>
      </c>
      <c r="H1696">
        <v>4</v>
      </c>
    </row>
    <row r="1697" spans="1:8">
      <c r="A1697" t="s">
        <v>8805</v>
      </c>
      <c r="B1697" s="4">
        <v>45365</v>
      </c>
      <c r="C1697">
        <v>2024</v>
      </c>
      <c r="D1697">
        <v>3</v>
      </c>
      <c r="E1697">
        <v>14</v>
      </c>
      <c r="F1697" t="s">
        <v>10350</v>
      </c>
      <c r="G1697" t="b">
        <v>0</v>
      </c>
      <c r="H1697">
        <v>1</v>
      </c>
    </row>
    <row r="1698" spans="1:8">
      <c r="A1698" t="s">
        <v>8811</v>
      </c>
      <c r="B1698" s="4">
        <v>45698</v>
      </c>
      <c r="C1698">
        <v>2025</v>
      </c>
      <c r="D1698">
        <v>2</v>
      </c>
      <c r="E1698">
        <v>10</v>
      </c>
      <c r="F1698" t="s">
        <v>10356</v>
      </c>
      <c r="G1698" t="b">
        <v>0</v>
      </c>
      <c r="H1698">
        <v>1</v>
      </c>
    </row>
    <row r="1699" spans="1:8">
      <c r="A1699" t="s">
        <v>8816</v>
      </c>
      <c r="B1699" s="4">
        <v>45335</v>
      </c>
      <c r="C1699">
        <v>2024</v>
      </c>
      <c r="D1699">
        <v>2</v>
      </c>
      <c r="E1699">
        <v>13</v>
      </c>
      <c r="F1699" t="s">
        <v>10353</v>
      </c>
      <c r="G1699" t="b">
        <v>0</v>
      </c>
      <c r="H1699">
        <v>1</v>
      </c>
    </row>
    <row r="1700" spans="1:8">
      <c r="A1700" t="s">
        <v>8821</v>
      </c>
      <c r="B1700" s="4">
        <v>45738</v>
      </c>
      <c r="C1700">
        <v>2025</v>
      </c>
      <c r="D1700">
        <v>3</v>
      </c>
      <c r="E1700">
        <v>22</v>
      </c>
      <c r="F1700" t="s">
        <v>10354</v>
      </c>
      <c r="G1700" t="b">
        <v>1</v>
      </c>
      <c r="H1700">
        <v>1</v>
      </c>
    </row>
    <row r="1701" spans="1:8">
      <c r="A1701" t="s">
        <v>8826</v>
      </c>
      <c r="B1701" s="4">
        <v>45311</v>
      </c>
      <c r="C1701">
        <v>2024</v>
      </c>
      <c r="D1701">
        <v>1</v>
      </c>
      <c r="E1701">
        <v>20</v>
      </c>
      <c r="F1701" t="s">
        <v>10354</v>
      </c>
      <c r="G1701" t="b">
        <v>1</v>
      </c>
      <c r="H1701">
        <v>1</v>
      </c>
    </row>
    <row r="1702" spans="1:8">
      <c r="A1702" t="s">
        <v>8831</v>
      </c>
      <c r="B1702" s="4">
        <v>45762</v>
      </c>
      <c r="C1702">
        <v>2025</v>
      </c>
      <c r="D1702">
        <v>4</v>
      </c>
      <c r="E1702">
        <v>15</v>
      </c>
      <c r="F1702" t="s">
        <v>10353</v>
      </c>
      <c r="G1702" t="b">
        <v>0</v>
      </c>
      <c r="H1702">
        <v>2</v>
      </c>
    </row>
    <row r="1703" spans="1:8">
      <c r="A1703" t="s">
        <v>8836</v>
      </c>
      <c r="B1703" s="4">
        <v>45371</v>
      </c>
      <c r="C1703">
        <v>2024</v>
      </c>
      <c r="D1703">
        <v>3</v>
      </c>
      <c r="E1703">
        <v>20</v>
      </c>
      <c r="F1703" t="s">
        <v>10351</v>
      </c>
      <c r="G1703" t="b">
        <v>0</v>
      </c>
      <c r="H1703">
        <v>1</v>
      </c>
    </row>
    <row r="1704" spans="1:8">
      <c r="A1704" t="s">
        <v>8841</v>
      </c>
      <c r="B1704" s="4">
        <v>45612</v>
      </c>
      <c r="C1704">
        <v>2024</v>
      </c>
      <c r="D1704">
        <v>11</v>
      </c>
      <c r="E1704">
        <v>16</v>
      </c>
      <c r="F1704" t="s">
        <v>10354</v>
      </c>
      <c r="G1704" t="b">
        <v>1</v>
      </c>
      <c r="H1704">
        <v>4</v>
      </c>
    </row>
    <row r="1705" spans="1:8">
      <c r="A1705" t="s">
        <v>8846</v>
      </c>
      <c r="B1705" s="4">
        <v>45881</v>
      </c>
      <c r="C1705">
        <v>2025</v>
      </c>
      <c r="D1705">
        <v>8</v>
      </c>
      <c r="E1705">
        <v>12</v>
      </c>
      <c r="F1705" t="s">
        <v>10353</v>
      </c>
      <c r="G1705" t="b">
        <v>0</v>
      </c>
      <c r="H1705">
        <v>3</v>
      </c>
    </row>
    <row r="1706" spans="1:8">
      <c r="A1706" t="s">
        <v>8851</v>
      </c>
      <c r="B1706" s="4">
        <v>45731</v>
      </c>
      <c r="C1706">
        <v>2025</v>
      </c>
      <c r="D1706">
        <v>3</v>
      </c>
      <c r="E1706">
        <v>15</v>
      </c>
      <c r="F1706" t="s">
        <v>10354</v>
      </c>
      <c r="G1706" t="b">
        <v>1</v>
      </c>
      <c r="H1706">
        <v>1</v>
      </c>
    </row>
    <row r="1707" spans="1:8">
      <c r="A1707" t="s">
        <v>8856</v>
      </c>
      <c r="B1707" s="4">
        <v>45879</v>
      </c>
      <c r="C1707">
        <v>2025</v>
      </c>
      <c r="D1707">
        <v>8</v>
      </c>
      <c r="E1707">
        <v>10</v>
      </c>
      <c r="F1707" t="s">
        <v>10355</v>
      </c>
      <c r="G1707" t="b">
        <v>1</v>
      </c>
      <c r="H1707">
        <v>3</v>
      </c>
    </row>
    <row r="1708" spans="1:8">
      <c r="A1708" t="s">
        <v>8861</v>
      </c>
      <c r="B1708" s="4">
        <v>45706</v>
      </c>
      <c r="C1708">
        <v>2025</v>
      </c>
      <c r="D1708">
        <v>2</v>
      </c>
      <c r="E1708">
        <v>18</v>
      </c>
      <c r="F1708" t="s">
        <v>10353</v>
      </c>
      <c r="G1708" t="b">
        <v>0</v>
      </c>
      <c r="H1708">
        <v>1</v>
      </c>
    </row>
    <row r="1709" spans="1:8">
      <c r="A1709" t="s">
        <v>8866</v>
      </c>
      <c r="B1709" s="4">
        <v>46018</v>
      </c>
      <c r="C1709">
        <v>2025</v>
      </c>
      <c r="D1709">
        <v>12</v>
      </c>
      <c r="E1709">
        <v>27</v>
      </c>
      <c r="F1709" t="s">
        <v>10354</v>
      </c>
      <c r="G1709" t="b">
        <v>1</v>
      </c>
      <c r="H1709">
        <v>4</v>
      </c>
    </row>
    <row r="1710" spans="1:8">
      <c r="A1710" t="s">
        <v>8871</v>
      </c>
      <c r="B1710" s="4">
        <v>45947</v>
      </c>
      <c r="C1710">
        <v>2025</v>
      </c>
      <c r="D1710">
        <v>10</v>
      </c>
      <c r="E1710">
        <v>17</v>
      </c>
      <c r="F1710" t="s">
        <v>10352</v>
      </c>
      <c r="G1710" t="b">
        <v>0</v>
      </c>
      <c r="H1710">
        <v>4</v>
      </c>
    </row>
    <row r="1711" spans="1:8">
      <c r="A1711" t="s">
        <v>8876</v>
      </c>
      <c r="B1711" s="4">
        <v>45719</v>
      </c>
      <c r="C1711">
        <v>2025</v>
      </c>
      <c r="D1711">
        <v>3</v>
      </c>
      <c r="E1711">
        <v>3</v>
      </c>
      <c r="F1711" t="s">
        <v>10356</v>
      </c>
      <c r="G1711" t="b">
        <v>0</v>
      </c>
      <c r="H1711">
        <v>1</v>
      </c>
    </row>
    <row r="1712" spans="1:8">
      <c r="A1712" t="s">
        <v>8881</v>
      </c>
      <c r="B1712" s="4">
        <v>45588</v>
      </c>
      <c r="C1712">
        <v>2024</v>
      </c>
      <c r="D1712">
        <v>10</v>
      </c>
      <c r="E1712">
        <v>23</v>
      </c>
      <c r="F1712" t="s">
        <v>10351</v>
      </c>
      <c r="G1712" t="b">
        <v>0</v>
      </c>
      <c r="H1712">
        <v>4</v>
      </c>
    </row>
    <row r="1713" spans="1:8">
      <c r="A1713" t="s">
        <v>8886</v>
      </c>
      <c r="B1713" s="4">
        <v>45409</v>
      </c>
      <c r="C1713">
        <v>2024</v>
      </c>
      <c r="D1713">
        <v>4</v>
      </c>
      <c r="E1713">
        <v>27</v>
      </c>
      <c r="F1713" t="s">
        <v>10354</v>
      </c>
      <c r="G1713" t="b">
        <v>1</v>
      </c>
      <c r="H1713">
        <v>2</v>
      </c>
    </row>
    <row r="1714" spans="1:8">
      <c r="A1714" t="s">
        <v>8891</v>
      </c>
      <c r="B1714" s="4">
        <v>45706</v>
      </c>
      <c r="C1714">
        <v>2025</v>
      </c>
      <c r="D1714">
        <v>2</v>
      </c>
      <c r="E1714">
        <v>18</v>
      </c>
      <c r="F1714" t="s">
        <v>10353</v>
      </c>
      <c r="G1714" t="b">
        <v>0</v>
      </c>
      <c r="H1714">
        <v>1</v>
      </c>
    </row>
    <row r="1715" spans="1:8">
      <c r="A1715" t="s">
        <v>8896</v>
      </c>
      <c r="B1715" s="4">
        <v>45313</v>
      </c>
      <c r="C1715">
        <v>2024</v>
      </c>
      <c r="D1715">
        <v>1</v>
      </c>
      <c r="E1715">
        <v>22</v>
      </c>
      <c r="F1715" t="s">
        <v>10356</v>
      </c>
      <c r="G1715" t="b">
        <v>0</v>
      </c>
      <c r="H1715">
        <v>1</v>
      </c>
    </row>
    <row r="1716" spans="1:8">
      <c r="A1716" t="s">
        <v>8901</v>
      </c>
      <c r="B1716" s="4">
        <v>45624</v>
      </c>
      <c r="C1716">
        <v>2024</v>
      </c>
      <c r="D1716">
        <v>11</v>
      </c>
      <c r="E1716">
        <v>28</v>
      </c>
      <c r="F1716" t="s">
        <v>10350</v>
      </c>
      <c r="G1716" t="b">
        <v>0</v>
      </c>
      <c r="H1716">
        <v>4</v>
      </c>
    </row>
    <row r="1717" spans="1:8">
      <c r="A1717" t="s">
        <v>8906</v>
      </c>
      <c r="B1717" s="4">
        <v>45467</v>
      </c>
      <c r="C1717">
        <v>2024</v>
      </c>
      <c r="D1717">
        <v>6</v>
      </c>
      <c r="E1717">
        <v>24</v>
      </c>
      <c r="F1717" t="s">
        <v>10356</v>
      </c>
      <c r="G1717" t="b">
        <v>0</v>
      </c>
      <c r="H1717">
        <v>2</v>
      </c>
    </row>
    <row r="1718" spans="1:8">
      <c r="A1718" t="s">
        <v>8911</v>
      </c>
      <c r="B1718" s="4">
        <v>45924</v>
      </c>
      <c r="C1718">
        <v>2025</v>
      </c>
      <c r="D1718">
        <v>9</v>
      </c>
      <c r="E1718">
        <v>24</v>
      </c>
      <c r="F1718" t="s">
        <v>10351</v>
      </c>
      <c r="G1718" t="b">
        <v>0</v>
      </c>
      <c r="H1718">
        <v>3</v>
      </c>
    </row>
    <row r="1719" spans="1:8">
      <c r="A1719" t="s">
        <v>8917</v>
      </c>
      <c r="B1719" s="4">
        <v>45763</v>
      </c>
      <c r="C1719">
        <v>2025</v>
      </c>
      <c r="D1719">
        <v>4</v>
      </c>
      <c r="E1719">
        <v>16</v>
      </c>
      <c r="F1719" t="s">
        <v>10351</v>
      </c>
      <c r="G1719" t="b">
        <v>0</v>
      </c>
      <c r="H1719">
        <v>2</v>
      </c>
    </row>
    <row r="1720" spans="1:8">
      <c r="A1720" t="s">
        <v>8922</v>
      </c>
      <c r="B1720" s="4">
        <v>45998</v>
      </c>
      <c r="C1720">
        <v>2025</v>
      </c>
      <c r="D1720">
        <v>12</v>
      </c>
      <c r="E1720">
        <v>7</v>
      </c>
      <c r="F1720" t="s">
        <v>10355</v>
      </c>
      <c r="G1720" t="b">
        <v>1</v>
      </c>
      <c r="H1720">
        <v>4</v>
      </c>
    </row>
    <row r="1721" spans="1:8">
      <c r="A1721" t="s">
        <v>8927</v>
      </c>
      <c r="B1721" s="4">
        <v>45662</v>
      </c>
      <c r="C1721">
        <v>2025</v>
      </c>
      <c r="D1721">
        <v>1</v>
      </c>
      <c r="E1721">
        <v>5</v>
      </c>
      <c r="F1721" t="s">
        <v>10355</v>
      </c>
      <c r="G1721" t="b">
        <v>1</v>
      </c>
      <c r="H1721">
        <v>1</v>
      </c>
    </row>
    <row r="1722" spans="1:8">
      <c r="A1722" t="s">
        <v>8932</v>
      </c>
      <c r="B1722" s="4">
        <v>45382</v>
      </c>
      <c r="C1722">
        <v>2024</v>
      </c>
      <c r="D1722">
        <v>3</v>
      </c>
      <c r="E1722">
        <v>31</v>
      </c>
      <c r="F1722" t="s">
        <v>10355</v>
      </c>
      <c r="G1722" t="b">
        <v>1</v>
      </c>
      <c r="H1722">
        <v>1</v>
      </c>
    </row>
    <row r="1723" spans="1:8">
      <c r="A1723" t="s">
        <v>8937</v>
      </c>
      <c r="B1723" s="4">
        <v>45739</v>
      </c>
      <c r="C1723">
        <v>2025</v>
      </c>
      <c r="D1723">
        <v>3</v>
      </c>
      <c r="E1723">
        <v>23</v>
      </c>
      <c r="F1723" t="s">
        <v>10355</v>
      </c>
      <c r="G1723" t="b">
        <v>1</v>
      </c>
      <c r="H1723">
        <v>1</v>
      </c>
    </row>
    <row r="1724" spans="1:8">
      <c r="A1724" t="s">
        <v>8942</v>
      </c>
      <c r="B1724" s="4">
        <v>45400</v>
      </c>
      <c r="C1724">
        <v>2024</v>
      </c>
      <c r="D1724">
        <v>4</v>
      </c>
      <c r="E1724">
        <v>18</v>
      </c>
      <c r="F1724" t="s">
        <v>10350</v>
      </c>
      <c r="G1724" t="b">
        <v>0</v>
      </c>
      <c r="H1724">
        <v>2</v>
      </c>
    </row>
    <row r="1725" spans="1:8">
      <c r="A1725" t="s">
        <v>8947</v>
      </c>
      <c r="B1725" s="4">
        <v>45541</v>
      </c>
      <c r="C1725">
        <v>2024</v>
      </c>
      <c r="D1725">
        <v>9</v>
      </c>
      <c r="E1725">
        <v>6</v>
      </c>
      <c r="F1725" t="s">
        <v>10352</v>
      </c>
      <c r="G1725" t="b">
        <v>0</v>
      </c>
      <c r="H1725">
        <v>3</v>
      </c>
    </row>
    <row r="1726" spans="1:8">
      <c r="A1726" t="s">
        <v>8952</v>
      </c>
      <c r="B1726" s="4">
        <v>45738</v>
      </c>
      <c r="C1726">
        <v>2025</v>
      </c>
      <c r="D1726">
        <v>3</v>
      </c>
      <c r="E1726">
        <v>22</v>
      </c>
      <c r="F1726" t="s">
        <v>10354</v>
      </c>
      <c r="G1726" t="b">
        <v>1</v>
      </c>
      <c r="H1726">
        <v>1</v>
      </c>
    </row>
    <row r="1727" spans="1:8">
      <c r="A1727" t="s">
        <v>8957</v>
      </c>
      <c r="B1727" s="4">
        <v>45895</v>
      </c>
      <c r="C1727">
        <v>2025</v>
      </c>
      <c r="D1727">
        <v>8</v>
      </c>
      <c r="E1727">
        <v>26</v>
      </c>
      <c r="F1727" t="s">
        <v>10353</v>
      </c>
      <c r="G1727" t="b">
        <v>0</v>
      </c>
      <c r="H1727">
        <v>3</v>
      </c>
    </row>
    <row r="1728" spans="1:8">
      <c r="A1728" t="s">
        <v>8962</v>
      </c>
      <c r="B1728" s="4">
        <v>45702</v>
      </c>
      <c r="C1728">
        <v>2025</v>
      </c>
      <c r="D1728">
        <v>2</v>
      </c>
      <c r="E1728">
        <v>14</v>
      </c>
      <c r="F1728" t="s">
        <v>10352</v>
      </c>
      <c r="G1728" t="b">
        <v>0</v>
      </c>
      <c r="H1728">
        <v>1</v>
      </c>
    </row>
    <row r="1729" spans="1:8">
      <c r="A1729" t="s">
        <v>8967</v>
      </c>
      <c r="B1729" s="4">
        <v>45828</v>
      </c>
      <c r="C1729">
        <v>2025</v>
      </c>
      <c r="D1729">
        <v>6</v>
      </c>
      <c r="E1729">
        <v>20</v>
      </c>
      <c r="F1729" t="s">
        <v>10352</v>
      </c>
      <c r="G1729" t="b">
        <v>0</v>
      </c>
      <c r="H1729">
        <v>2</v>
      </c>
    </row>
    <row r="1730" spans="1:8">
      <c r="A1730" t="s">
        <v>8972</v>
      </c>
      <c r="B1730" s="4">
        <v>45372</v>
      </c>
      <c r="C1730">
        <v>2024</v>
      </c>
      <c r="D1730">
        <v>3</v>
      </c>
      <c r="E1730">
        <v>21</v>
      </c>
      <c r="F1730" t="s">
        <v>10350</v>
      </c>
      <c r="G1730" t="b">
        <v>0</v>
      </c>
      <c r="H1730">
        <v>1</v>
      </c>
    </row>
    <row r="1731" spans="1:8">
      <c r="A1731" t="s">
        <v>8977</v>
      </c>
      <c r="B1731" s="4">
        <v>45697</v>
      </c>
      <c r="C1731">
        <v>2025</v>
      </c>
      <c r="D1731">
        <v>2</v>
      </c>
      <c r="E1731">
        <v>9</v>
      </c>
      <c r="F1731" t="s">
        <v>10355</v>
      </c>
      <c r="G1731" t="b">
        <v>1</v>
      </c>
      <c r="H1731">
        <v>1</v>
      </c>
    </row>
    <row r="1732" spans="1:8">
      <c r="A1732" t="s">
        <v>8982</v>
      </c>
      <c r="B1732" s="4">
        <v>45609</v>
      </c>
      <c r="C1732">
        <v>2024</v>
      </c>
      <c r="D1732">
        <v>11</v>
      </c>
      <c r="E1732">
        <v>13</v>
      </c>
      <c r="F1732" t="s">
        <v>10351</v>
      </c>
      <c r="G1732" t="b">
        <v>0</v>
      </c>
      <c r="H1732">
        <v>4</v>
      </c>
    </row>
    <row r="1733" spans="1:8">
      <c r="A1733" t="s">
        <v>8987</v>
      </c>
      <c r="B1733" s="4">
        <v>45639</v>
      </c>
      <c r="C1733">
        <v>2024</v>
      </c>
      <c r="D1733">
        <v>12</v>
      </c>
      <c r="E1733">
        <v>13</v>
      </c>
      <c r="F1733" t="s">
        <v>10352</v>
      </c>
      <c r="G1733" t="b">
        <v>0</v>
      </c>
      <c r="H1733">
        <v>4</v>
      </c>
    </row>
    <row r="1734" spans="1:8">
      <c r="A1734" t="s">
        <v>8992</v>
      </c>
      <c r="B1734" s="4">
        <v>45518</v>
      </c>
      <c r="C1734">
        <v>2024</v>
      </c>
      <c r="D1734">
        <v>8</v>
      </c>
      <c r="E1734">
        <v>14</v>
      </c>
      <c r="F1734" t="s">
        <v>10351</v>
      </c>
      <c r="G1734" t="b">
        <v>0</v>
      </c>
      <c r="H1734">
        <v>3</v>
      </c>
    </row>
    <row r="1735" spans="1:8">
      <c r="A1735" t="s">
        <v>8997</v>
      </c>
      <c r="B1735" s="4">
        <v>45633</v>
      </c>
      <c r="C1735">
        <v>2024</v>
      </c>
      <c r="D1735">
        <v>12</v>
      </c>
      <c r="E1735">
        <v>7</v>
      </c>
      <c r="F1735" t="s">
        <v>10354</v>
      </c>
      <c r="G1735" t="b">
        <v>1</v>
      </c>
      <c r="H1735">
        <v>4</v>
      </c>
    </row>
    <row r="1736" spans="1:8">
      <c r="A1736" t="s">
        <v>9002</v>
      </c>
      <c r="B1736" s="4">
        <v>45464</v>
      </c>
      <c r="C1736">
        <v>2024</v>
      </c>
      <c r="D1736">
        <v>6</v>
      </c>
      <c r="E1736">
        <v>21</v>
      </c>
      <c r="F1736" t="s">
        <v>10352</v>
      </c>
      <c r="G1736" t="b">
        <v>0</v>
      </c>
      <c r="H1736">
        <v>2</v>
      </c>
    </row>
    <row r="1737" spans="1:8">
      <c r="A1737" t="s">
        <v>9007</v>
      </c>
      <c r="B1737" s="4">
        <v>45370</v>
      </c>
      <c r="C1737">
        <v>2024</v>
      </c>
      <c r="D1737">
        <v>3</v>
      </c>
      <c r="E1737">
        <v>19</v>
      </c>
      <c r="F1737" t="s">
        <v>10353</v>
      </c>
      <c r="G1737" t="b">
        <v>0</v>
      </c>
      <c r="H1737">
        <v>1</v>
      </c>
    </row>
    <row r="1738" spans="1:8">
      <c r="A1738" t="s">
        <v>9012</v>
      </c>
      <c r="B1738" s="4">
        <v>45814</v>
      </c>
      <c r="C1738">
        <v>2025</v>
      </c>
      <c r="D1738">
        <v>6</v>
      </c>
      <c r="E1738">
        <v>6</v>
      </c>
      <c r="F1738" t="s">
        <v>10352</v>
      </c>
      <c r="G1738" t="b">
        <v>0</v>
      </c>
      <c r="H1738">
        <v>2</v>
      </c>
    </row>
    <row r="1739" spans="1:8">
      <c r="A1739" t="s">
        <v>9017</v>
      </c>
      <c r="B1739" s="4">
        <v>45940</v>
      </c>
      <c r="C1739">
        <v>2025</v>
      </c>
      <c r="D1739">
        <v>10</v>
      </c>
      <c r="E1739">
        <v>10</v>
      </c>
      <c r="F1739" t="s">
        <v>10352</v>
      </c>
      <c r="G1739" t="b">
        <v>0</v>
      </c>
      <c r="H1739">
        <v>4</v>
      </c>
    </row>
    <row r="1740" spans="1:8">
      <c r="A1740" t="s">
        <v>9022</v>
      </c>
      <c r="B1740" s="4">
        <v>45408</v>
      </c>
      <c r="C1740">
        <v>2024</v>
      </c>
      <c r="D1740">
        <v>4</v>
      </c>
      <c r="E1740">
        <v>26</v>
      </c>
      <c r="F1740" t="s">
        <v>10352</v>
      </c>
      <c r="G1740" t="b">
        <v>0</v>
      </c>
      <c r="H1740">
        <v>2</v>
      </c>
    </row>
    <row r="1741" spans="1:8">
      <c r="A1741" t="s">
        <v>9027</v>
      </c>
      <c r="B1741" s="4">
        <v>45835</v>
      </c>
      <c r="C1741">
        <v>2025</v>
      </c>
      <c r="D1741">
        <v>6</v>
      </c>
      <c r="E1741">
        <v>27</v>
      </c>
      <c r="F1741" t="s">
        <v>10352</v>
      </c>
      <c r="G1741" t="b">
        <v>0</v>
      </c>
      <c r="H1741">
        <v>2</v>
      </c>
    </row>
    <row r="1742" spans="1:8">
      <c r="A1742" t="s">
        <v>9032</v>
      </c>
      <c r="B1742" s="4">
        <v>45814</v>
      </c>
      <c r="C1742">
        <v>2025</v>
      </c>
      <c r="D1742">
        <v>6</v>
      </c>
      <c r="E1742">
        <v>6</v>
      </c>
      <c r="F1742" t="s">
        <v>10352</v>
      </c>
      <c r="G1742" t="b">
        <v>0</v>
      </c>
      <c r="H1742">
        <v>2</v>
      </c>
    </row>
    <row r="1743" spans="1:8">
      <c r="A1743" t="s">
        <v>9037</v>
      </c>
      <c r="B1743" s="4">
        <v>45490</v>
      </c>
      <c r="C1743">
        <v>2024</v>
      </c>
      <c r="D1743">
        <v>7</v>
      </c>
      <c r="E1743">
        <v>17</v>
      </c>
      <c r="F1743" t="s">
        <v>10351</v>
      </c>
      <c r="G1743" t="b">
        <v>0</v>
      </c>
      <c r="H1743">
        <v>3</v>
      </c>
    </row>
    <row r="1744" spans="1:8">
      <c r="A1744" t="s">
        <v>9042</v>
      </c>
      <c r="B1744" s="4">
        <v>45649</v>
      </c>
      <c r="C1744">
        <v>2024</v>
      </c>
      <c r="D1744">
        <v>12</v>
      </c>
      <c r="E1744">
        <v>23</v>
      </c>
      <c r="F1744" t="s">
        <v>10356</v>
      </c>
      <c r="G1744" t="b">
        <v>0</v>
      </c>
      <c r="H1744">
        <v>4</v>
      </c>
    </row>
    <row r="1745" spans="1:8">
      <c r="A1745" t="s">
        <v>9047</v>
      </c>
      <c r="B1745" s="4">
        <v>45651</v>
      </c>
      <c r="C1745">
        <v>2024</v>
      </c>
      <c r="D1745">
        <v>12</v>
      </c>
      <c r="E1745">
        <v>25</v>
      </c>
      <c r="F1745" t="s">
        <v>10351</v>
      </c>
      <c r="G1745" t="b">
        <v>0</v>
      </c>
      <c r="H1745">
        <v>4</v>
      </c>
    </row>
    <row r="1746" spans="1:8">
      <c r="A1746" t="s">
        <v>9052</v>
      </c>
      <c r="B1746" s="4">
        <v>45952</v>
      </c>
      <c r="C1746">
        <v>2025</v>
      </c>
      <c r="D1746">
        <v>10</v>
      </c>
      <c r="E1746">
        <v>22</v>
      </c>
      <c r="F1746" t="s">
        <v>10351</v>
      </c>
      <c r="G1746" t="b">
        <v>0</v>
      </c>
      <c r="H1746">
        <v>4</v>
      </c>
    </row>
    <row r="1747" spans="1:8">
      <c r="A1747" t="s">
        <v>9057</v>
      </c>
      <c r="B1747" s="4">
        <v>45443</v>
      </c>
      <c r="C1747">
        <v>2024</v>
      </c>
      <c r="D1747">
        <v>5</v>
      </c>
      <c r="E1747">
        <v>31</v>
      </c>
      <c r="F1747" t="s">
        <v>10352</v>
      </c>
      <c r="G1747" t="b">
        <v>0</v>
      </c>
      <c r="H1747">
        <v>2</v>
      </c>
    </row>
    <row r="1748" spans="1:8">
      <c r="A1748" t="s">
        <v>9062</v>
      </c>
      <c r="B1748" s="4">
        <v>45533</v>
      </c>
      <c r="C1748">
        <v>2024</v>
      </c>
      <c r="D1748">
        <v>8</v>
      </c>
      <c r="E1748">
        <v>29</v>
      </c>
      <c r="F1748" t="s">
        <v>10350</v>
      </c>
      <c r="G1748" t="b">
        <v>0</v>
      </c>
      <c r="H1748">
        <v>3</v>
      </c>
    </row>
    <row r="1749" spans="1:8">
      <c r="A1749" t="s">
        <v>9067</v>
      </c>
      <c r="B1749" s="4">
        <v>45397</v>
      </c>
      <c r="C1749">
        <v>2024</v>
      </c>
      <c r="D1749">
        <v>4</v>
      </c>
      <c r="E1749">
        <v>15</v>
      </c>
      <c r="F1749" t="s">
        <v>10356</v>
      </c>
      <c r="G1749" t="b">
        <v>0</v>
      </c>
      <c r="H1749">
        <v>2</v>
      </c>
    </row>
    <row r="1750" spans="1:8">
      <c r="A1750" t="s">
        <v>9072</v>
      </c>
      <c r="B1750" s="4">
        <v>45441</v>
      </c>
      <c r="C1750">
        <v>2024</v>
      </c>
      <c r="D1750">
        <v>5</v>
      </c>
      <c r="E1750">
        <v>29</v>
      </c>
      <c r="F1750" t="s">
        <v>10351</v>
      </c>
      <c r="G1750" t="b">
        <v>0</v>
      </c>
      <c r="H1750">
        <v>2</v>
      </c>
    </row>
    <row r="1751" spans="1:8">
      <c r="A1751" t="s">
        <v>9077</v>
      </c>
      <c r="B1751" s="4">
        <v>45554</v>
      </c>
      <c r="C1751">
        <v>2024</v>
      </c>
      <c r="D1751">
        <v>9</v>
      </c>
      <c r="E1751">
        <v>19</v>
      </c>
      <c r="F1751" t="s">
        <v>10350</v>
      </c>
      <c r="G1751" t="b">
        <v>0</v>
      </c>
      <c r="H1751">
        <v>3</v>
      </c>
    </row>
    <row r="1752" spans="1:8">
      <c r="A1752" t="s">
        <v>9082</v>
      </c>
      <c r="B1752" s="4">
        <v>45494</v>
      </c>
      <c r="C1752">
        <v>2024</v>
      </c>
      <c r="D1752">
        <v>7</v>
      </c>
      <c r="E1752">
        <v>21</v>
      </c>
      <c r="F1752" t="s">
        <v>10355</v>
      </c>
      <c r="G1752" t="b">
        <v>1</v>
      </c>
      <c r="H1752">
        <v>3</v>
      </c>
    </row>
    <row r="1753" spans="1:8">
      <c r="A1753" t="s">
        <v>9087</v>
      </c>
      <c r="B1753" s="4">
        <v>45469</v>
      </c>
      <c r="C1753">
        <v>2024</v>
      </c>
      <c r="D1753">
        <v>6</v>
      </c>
      <c r="E1753">
        <v>26</v>
      </c>
      <c r="F1753" t="s">
        <v>10351</v>
      </c>
      <c r="G1753" t="b">
        <v>0</v>
      </c>
      <c r="H1753">
        <v>2</v>
      </c>
    </row>
    <row r="1754" spans="1:8">
      <c r="A1754" t="s">
        <v>9092</v>
      </c>
      <c r="B1754" s="4">
        <v>45908</v>
      </c>
      <c r="C1754">
        <v>2025</v>
      </c>
      <c r="D1754">
        <v>9</v>
      </c>
      <c r="E1754">
        <v>8</v>
      </c>
      <c r="F1754" t="s">
        <v>10356</v>
      </c>
      <c r="G1754" t="b">
        <v>0</v>
      </c>
      <c r="H1754">
        <v>3</v>
      </c>
    </row>
    <row r="1755" spans="1:8">
      <c r="A1755" t="s">
        <v>9097</v>
      </c>
      <c r="B1755" s="4">
        <v>45448</v>
      </c>
      <c r="C1755">
        <v>2024</v>
      </c>
      <c r="D1755">
        <v>6</v>
      </c>
      <c r="E1755">
        <v>5</v>
      </c>
      <c r="F1755" t="s">
        <v>10351</v>
      </c>
      <c r="G1755" t="b">
        <v>0</v>
      </c>
      <c r="H1755">
        <v>2</v>
      </c>
    </row>
    <row r="1756" spans="1:8">
      <c r="A1756" t="s">
        <v>9102</v>
      </c>
      <c r="B1756" s="4">
        <v>45963</v>
      </c>
      <c r="C1756">
        <v>2025</v>
      </c>
      <c r="D1756">
        <v>11</v>
      </c>
      <c r="E1756">
        <v>2</v>
      </c>
      <c r="F1756" t="s">
        <v>10355</v>
      </c>
      <c r="G1756" t="b">
        <v>1</v>
      </c>
      <c r="H1756">
        <v>4</v>
      </c>
    </row>
    <row r="1757" spans="1:8">
      <c r="A1757" t="s">
        <v>9107</v>
      </c>
      <c r="B1757" s="4">
        <v>45369</v>
      </c>
      <c r="C1757">
        <v>2024</v>
      </c>
      <c r="D1757">
        <v>3</v>
      </c>
      <c r="E1757">
        <v>18</v>
      </c>
      <c r="F1757" t="s">
        <v>10356</v>
      </c>
      <c r="G1757" t="b">
        <v>0</v>
      </c>
      <c r="H1757">
        <v>1</v>
      </c>
    </row>
    <row r="1758" spans="1:8">
      <c r="A1758" t="s">
        <v>9112</v>
      </c>
      <c r="B1758" s="4">
        <v>45473</v>
      </c>
      <c r="C1758">
        <v>2024</v>
      </c>
      <c r="D1758">
        <v>6</v>
      </c>
      <c r="E1758">
        <v>30</v>
      </c>
      <c r="F1758" t="s">
        <v>10355</v>
      </c>
      <c r="G1758" t="b">
        <v>1</v>
      </c>
      <c r="H1758">
        <v>2</v>
      </c>
    </row>
    <row r="1759" spans="1:8">
      <c r="A1759" t="s">
        <v>9117</v>
      </c>
      <c r="B1759" s="4">
        <v>45935</v>
      </c>
      <c r="C1759">
        <v>2025</v>
      </c>
      <c r="D1759">
        <v>10</v>
      </c>
      <c r="E1759">
        <v>5</v>
      </c>
      <c r="F1759" t="s">
        <v>10355</v>
      </c>
      <c r="G1759" t="b">
        <v>1</v>
      </c>
      <c r="H1759">
        <v>4</v>
      </c>
    </row>
    <row r="1760" spans="1:8">
      <c r="A1760" t="s">
        <v>9122</v>
      </c>
      <c r="B1760" s="4">
        <v>45797</v>
      </c>
      <c r="C1760">
        <v>2025</v>
      </c>
      <c r="D1760">
        <v>5</v>
      </c>
      <c r="E1760">
        <v>20</v>
      </c>
      <c r="F1760" t="s">
        <v>10353</v>
      </c>
      <c r="G1760" t="b">
        <v>0</v>
      </c>
      <c r="H1760">
        <v>2</v>
      </c>
    </row>
    <row r="1761" spans="1:8">
      <c r="A1761" t="s">
        <v>9127</v>
      </c>
      <c r="B1761" s="4">
        <v>45767</v>
      </c>
      <c r="C1761">
        <v>2025</v>
      </c>
      <c r="D1761">
        <v>4</v>
      </c>
      <c r="E1761">
        <v>20</v>
      </c>
      <c r="F1761" t="s">
        <v>10355</v>
      </c>
      <c r="G1761" t="b">
        <v>1</v>
      </c>
      <c r="H1761">
        <v>2</v>
      </c>
    </row>
    <row r="1762" spans="1:8">
      <c r="A1762" t="s">
        <v>9132</v>
      </c>
      <c r="B1762" s="4">
        <v>45869</v>
      </c>
      <c r="C1762">
        <v>2025</v>
      </c>
      <c r="D1762">
        <v>7</v>
      </c>
      <c r="E1762">
        <v>31</v>
      </c>
      <c r="F1762" t="s">
        <v>10350</v>
      </c>
      <c r="G1762" t="b">
        <v>0</v>
      </c>
      <c r="H1762">
        <v>3</v>
      </c>
    </row>
    <row r="1763" spans="1:8">
      <c r="A1763" t="s">
        <v>9137</v>
      </c>
      <c r="B1763" s="4">
        <v>45885</v>
      </c>
      <c r="C1763">
        <v>2025</v>
      </c>
      <c r="D1763">
        <v>8</v>
      </c>
      <c r="E1763">
        <v>16</v>
      </c>
      <c r="F1763" t="s">
        <v>10354</v>
      </c>
      <c r="G1763" t="b">
        <v>1</v>
      </c>
      <c r="H1763">
        <v>3</v>
      </c>
    </row>
    <row r="1764" spans="1:8">
      <c r="A1764" t="s">
        <v>9142</v>
      </c>
      <c r="B1764" s="4">
        <v>45751</v>
      </c>
      <c r="C1764">
        <v>2025</v>
      </c>
      <c r="D1764">
        <v>4</v>
      </c>
      <c r="E1764">
        <v>4</v>
      </c>
      <c r="F1764" t="s">
        <v>10352</v>
      </c>
      <c r="G1764" t="b">
        <v>0</v>
      </c>
      <c r="H1764">
        <v>2</v>
      </c>
    </row>
    <row r="1765" spans="1:8">
      <c r="A1765" t="s">
        <v>9147</v>
      </c>
      <c r="B1765" s="4">
        <v>45989</v>
      </c>
      <c r="C1765">
        <v>2025</v>
      </c>
      <c r="D1765">
        <v>11</v>
      </c>
      <c r="E1765">
        <v>28</v>
      </c>
      <c r="F1765" t="s">
        <v>10352</v>
      </c>
      <c r="G1765" t="b">
        <v>0</v>
      </c>
      <c r="H1765">
        <v>4</v>
      </c>
    </row>
    <row r="1766" spans="1:8">
      <c r="A1766" t="s">
        <v>9152</v>
      </c>
      <c r="B1766" s="4">
        <v>45870</v>
      </c>
      <c r="C1766">
        <v>2025</v>
      </c>
      <c r="D1766">
        <v>8</v>
      </c>
      <c r="E1766">
        <v>1</v>
      </c>
      <c r="F1766" t="s">
        <v>10352</v>
      </c>
      <c r="G1766" t="b">
        <v>0</v>
      </c>
      <c r="H1766">
        <v>3</v>
      </c>
    </row>
    <row r="1767" spans="1:8">
      <c r="A1767" t="s">
        <v>9157</v>
      </c>
      <c r="B1767" s="4">
        <v>45950</v>
      </c>
      <c r="C1767">
        <v>2025</v>
      </c>
      <c r="D1767">
        <v>10</v>
      </c>
      <c r="E1767">
        <v>20</v>
      </c>
      <c r="F1767" t="s">
        <v>10356</v>
      </c>
      <c r="G1767" t="b">
        <v>0</v>
      </c>
      <c r="H1767">
        <v>4</v>
      </c>
    </row>
    <row r="1768" spans="1:8">
      <c r="A1768" t="s">
        <v>9162</v>
      </c>
      <c r="B1768" s="4">
        <v>45942</v>
      </c>
      <c r="C1768">
        <v>2025</v>
      </c>
      <c r="D1768">
        <v>10</v>
      </c>
      <c r="E1768">
        <v>12</v>
      </c>
      <c r="F1768" t="s">
        <v>10355</v>
      </c>
      <c r="G1768" t="b">
        <v>1</v>
      </c>
      <c r="H1768">
        <v>4</v>
      </c>
    </row>
    <row r="1769" spans="1:8">
      <c r="A1769" t="s">
        <v>9167</v>
      </c>
      <c r="B1769" s="4">
        <v>45931</v>
      </c>
      <c r="C1769">
        <v>2025</v>
      </c>
      <c r="D1769">
        <v>10</v>
      </c>
      <c r="E1769">
        <v>1</v>
      </c>
      <c r="F1769" t="s">
        <v>10351</v>
      </c>
      <c r="G1769" t="b">
        <v>0</v>
      </c>
      <c r="H1769">
        <v>4</v>
      </c>
    </row>
    <row r="1770" spans="1:8">
      <c r="A1770" t="s">
        <v>9172</v>
      </c>
      <c r="B1770" s="4">
        <v>45622</v>
      </c>
      <c r="C1770">
        <v>2024</v>
      </c>
      <c r="D1770">
        <v>11</v>
      </c>
      <c r="E1770">
        <v>26</v>
      </c>
      <c r="F1770" t="s">
        <v>10353</v>
      </c>
      <c r="G1770" t="b">
        <v>0</v>
      </c>
      <c r="H1770">
        <v>4</v>
      </c>
    </row>
    <row r="1771" spans="1:8">
      <c r="A1771" t="s">
        <v>9177</v>
      </c>
      <c r="B1771" s="4">
        <v>45934</v>
      </c>
      <c r="C1771">
        <v>2025</v>
      </c>
      <c r="D1771">
        <v>10</v>
      </c>
      <c r="E1771">
        <v>4</v>
      </c>
      <c r="F1771" t="s">
        <v>10354</v>
      </c>
      <c r="G1771" t="b">
        <v>1</v>
      </c>
      <c r="H1771">
        <v>4</v>
      </c>
    </row>
    <row r="1772" spans="1:8">
      <c r="A1772" t="s">
        <v>9182</v>
      </c>
      <c r="B1772" s="4">
        <v>45615</v>
      </c>
      <c r="C1772">
        <v>2024</v>
      </c>
      <c r="D1772">
        <v>11</v>
      </c>
      <c r="E1772">
        <v>19</v>
      </c>
      <c r="F1772" t="s">
        <v>10353</v>
      </c>
      <c r="G1772" t="b">
        <v>0</v>
      </c>
      <c r="H1772">
        <v>4</v>
      </c>
    </row>
    <row r="1773" spans="1:8">
      <c r="A1773" t="s">
        <v>9187</v>
      </c>
      <c r="B1773" s="4">
        <v>45446</v>
      </c>
      <c r="C1773">
        <v>2024</v>
      </c>
      <c r="D1773">
        <v>6</v>
      </c>
      <c r="E1773">
        <v>3</v>
      </c>
      <c r="F1773" t="s">
        <v>10356</v>
      </c>
      <c r="G1773" t="b">
        <v>0</v>
      </c>
      <c r="H1773">
        <v>2</v>
      </c>
    </row>
    <row r="1774" spans="1:8">
      <c r="A1774" t="s">
        <v>9192</v>
      </c>
      <c r="B1774" s="4">
        <v>45742</v>
      </c>
      <c r="C1774">
        <v>2025</v>
      </c>
      <c r="D1774">
        <v>3</v>
      </c>
      <c r="E1774">
        <v>26</v>
      </c>
      <c r="F1774" t="s">
        <v>10351</v>
      </c>
      <c r="G1774" t="b">
        <v>0</v>
      </c>
      <c r="H1774">
        <v>1</v>
      </c>
    </row>
    <row r="1775" spans="1:8">
      <c r="A1775" t="s">
        <v>9197</v>
      </c>
      <c r="B1775" s="4">
        <v>45361</v>
      </c>
      <c r="C1775">
        <v>2024</v>
      </c>
      <c r="D1775">
        <v>3</v>
      </c>
      <c r="E1775">
        <v>10</v>
      </c>
      <c r="F1775" t="s">
        <v>10355</v>
      </c>
      <c r="G1775" t="b">
        <v>1</v>
      </c>
      <c r="H1775">
        <v>1</v>
      </c>
    </row>
    <row r="1776" spans="1:8">
      <c r="A1776" t="s">
        <v>9202</v>
      </c>
      <c r="B1776" s="4">
        <v>45772</v>
      </c>
      <c r="C1776">
        <v>2025</v>
      </c>
      <c r="D1776">
        <v>4</v>
      </c>
      <c r="E1776">
        <v>25</v>
      </c>
      <c r="F1776" t="s">
        <v>10352</v>
      </c>
      <c r="G1776" t="b">
        <v>0</v>
      </c>
      <c r="H1776">
        <v>2</v>
      </c>
    </row>
    <row r="1777" spans="1:8">
      <c r="A1777" t="s">
        <v>9207</v>
      </c>
      <c r="B1777" s="4">
        <v>45744</v>
      </c>
      <c r="C1777">
        <v>2025</v>
      </c>
      <c r="D1777">
        <v>3</v>
      </c>
      <c r="E1777">
        <v>28</v>
      </c>
      <c r="F1777" t="s">
        <v>10352</v>
      </c>
      <c r="G1777" t="b">
        <v>0</v>
      </c>
      <c r="H1777">
        <v>1</v>
      </c>
    </row>
    <row r="1778" spans="1:8">
      <c r="A1778" t="s">
        <v>9212</v>
      </c>
      <c r="B1778" s="4">
        <v>45938</v>
      </c>
      <c r="C1778">
        <v>2025</v>
      </c>
      <c r="D1778">
        <v>10</v>
      </c>
      <c r="E1778">
        <v>8</v>
      </c>
      <c r="F1778" t="s">
        <v>10351</v>
      </c>
      <c r="G1778" t="b">
        <v>0</v>
      </c>
      <c r="H1778">
        <v>4</v>
      </c>
    </row>
    <row r="1779" spans="1:8">
      <c r="A1779" t="s">
        <v>9217</v>
      </c>
      <c r="B1779" s="4">
        <v>45602</v>
      </c>
      <c r="C1779">
        <v>2024</v>
      </c>
      <c r="D1779">
        <v>11</v>
      </c>
      <c r="E1779">
        <v>6</v>
      </c>
      <c r="F1779" t="s">
        <v>10351</v>
      </c>
      <c r="G1779" t="b">
        <v>0</v>
      </c>
      <c r="H1779">
        <v>4</v>
      </c>
    </row>
    <row r="1780" spans="1:8">
      <c r="A1780" t="s">
        <v>9222</v>
      </c>
      <c r="B1780" s="4">
        <v>45573</v>
      </c>
      <c r="C1780">
        <v>2024</v>
      </c>
      <c r="D1780">
        <v>10</v>
      </c>
      <c r="E1780">
        <v>8</v>
      </c>
      <c r="F1780" t="s">
        <v>10353</v>
      </c>
      <c r="G1780" t="b">
        <v>0</v>
      </c>
      <c r="H1780">
        <v>4</v>
      </c>
    </row>
    <row r="1781" spans="1:8">
      <c r="A1781" t="s">
        <v>9228</v>
      </c>
      <c r="B1781" s="4">
        <v>45897</v>
      </c>
      <c r="C1781">
        <v>2025</v>
      </c>
      <c r="D1781">
        <v>8</v>
      </c>
      <c r="E1781">
        <v>28</v>
      </c>
      <c r="F1781" t="s">
        <v>10350</v>
      </c>
      <c r="G1781" t="b">
        <v>0</v>
      </c>
      <c r="H1781">
        <v>3</v>
      </c>
    </row>
    <row r="1782" spans="1:8">
      <c r="A1782" t="s">
        <v>9233</v>
      </c>
      <c r="B1782" s="4">
        <v>45349</v>
      </c>
      <c r="C1782">
        <v>2024</v>
      </c>
      <c r="D1782">
        <v>2</v>
      </c>
      <c r="E1782">
        <v>27</v>
      </c>
      <c r="F1782" t="s">
        <v>10353</v>
      </c>
      <c r="G1782" t="b">
        <v>0</v>
      </c>
      <c r="H1782">
        <v>1</v>
      </c>
    </row>
    <row r="1783" spans="1:8">
      <c r="A1783" t="s">
        <v>9238</v>
      </c>
      <c r="B1783" s="4">
        <v>45652</v>
      </c>
      <c r="C1783">
        <v>2024</v>
      </c>
      <c r="D1783">
        <v>12</v>
      </c>
      <c r="E1783">
        <v>26</v>
      </c>
      <c r="F1783" t="s">
        <v>10350</v>
      </c>
      <c r="G1783" t="b">
        <v>0</v>
      </c>
      <c r="H1783">
        <v>4</v>
      </c>
    </row>
    <row r="1784" spans="1:8">
      <c r="A1784" t="s">
        <v>9243</v>
      </c>
      <c r="B1784" s="4">
        <v>45811</v>
      </c>
      <c r="C1784">
        <v>2025</v>
      </c>
      <c r="D1784">
        <v>6</v>
      </c>
      <c r="E1784">
        <v>3</v>
      </c>
      <c r="F1784" t="s">
        <v>10353</v>
      </c>
      <c r="G1784" t="b">
        <v>0</v>
      </c>
      <c r="H1784">
        <v>2</v>
      </c>
    </row>
    <row r="1785" spans="1:8">
      <c r="A1785" t="s">
        <v>9248</v>
      </c>
      <c r="B1785" s="4">
        <v>45367</v>
      </c>
      <c r="C1785">
        <v>2024</v>
      </c>
      <c r="D1785">
        <v>3</v>
      </c>
      <c r="E1785">
        <v>16</v>
      </c>
      <c r="F1785" t="s">
        <v>10354</v>
      </c>
      <c r="G1785" t="b">
        <v>1</v>
      </c>
      <c r="H1785">
        <v>1</v>
      </c>
    </row>
    <row r="1786" spans="1:8">
      <c r="A1786" t="s">
        <v>9253</v>
      </c>
      <c r="B1786" s="4">
        <v>45609</v>
      </c>
      <c r="C1786">
        <v>2024</v>
      </c>
      <c r="D1786">
        <v>11</v>
      </c>
      <c r="E1786">
        <v>13</v>
      </c>
      <c r="F1786" t="s">
        <v>10351</v>
      </c>
      <c r="G1786" t="b">
        <v>0</v>
      </c>
      <c r="H1786">
        <v>4</v>
      </c>
    </row>
    <row r="1787" spans="1:8">
      <c r="A1787" t="s">
        <v>9258</v>
      </c>
      <c r="B1787" s="4">
        <v>45764</v>
      </c>
      <c r="C1787">
        <v>2025</v>
      </c>
      <c r="D1787">
        <v>4</v>
      </c>
      <c r="E1787">
        <v>17</v>
      </c>
      <c r="F1787" t="s">
        <v>10350</v>
      </c>
      <c r="G1787" t="b">
        <v>0</v>
      </c>
      <c r="H1787">
        <v>2</v>
      </c>
    </row>
    <row r="1788" spans="1:8">
      <c r="A1788" t="s">
        <v>9263</v>
      </c>
      <c r="B1788" s="4">
        <v>45754</v>
      </c>
      <c r="C1788">
        <v>2025</v>
      </c>
      <c r="D1788">
        <v>4</v>
      </c>
      <c r="E1788">
        <v>7</v>
      </c>
      <c r="F1788" t="s">
        <v>10356</v>
      </c>
      <c r="G1788" t="b">
        <v>0</v>
      </c>
      <c r="H1788">
        <v>2</v>
      </c>
    </row>
    <row r="1789" spans="1:8">
      <c r="A1789" t="s">
        <v>9268</v>
      </c>
      <c r="B1789" s="4">
        <v>45330</v>
      </c>
      <c r="C1789">
        <v>2024</v>
      </c>
      <c r="D1789">
        <v>2</v>
      </c>
      <c r="E1789">
        <v>8</v>
      </c>
      <c r="F1789" t="s">
        <v>10350</v>
      </c>
      <c r="G1789" t="b">
        <v>0</v>
      </c>
      <c r="H1789">
        <v>1</v>
      </c>
    </row>
    <row r="1790" spans="1:8">
      <c r="A1790" t="s">
        <v>9273</v>
      </c>
      <c r="B1790" s="4">
        <v>45350</v>
      </c>
      <c r="C1790">
        <v>2024</v>
      </c>
      <c r="D1790">
        <v>2</v>
      </c>
      <c r="E1790">
        <v>28</v>
      </c>
      <c r="F1790" t="s">
        <v>10351</v>
      </c>
      <c r="G1790" t="b">
        <v>0</v>
      </c>
      <c r="H1790">
        <v>1</v>
      </c>
    </row>
    <row r="1791" spans="1:8">
      <c r="A1791" t="s">
        <v>9278</v>
      </c>
      <c r="B1791" s="4">
        <v>45669</v>
      </c>
      <c r="C1791">
        <v>2025</v>
      </c>
      <c r="D1791">
        <v>1</v>
      </c>
      <c r="E1791">
        <v>12</v>
      </c>
      <c r="F1791" t="s">
        <v>10355</v>
      </c>
      <c r="G1791" t="b">
        <v>1</v>
      </c>
      <c r="H1791">
        <v>1</v>
      </c>
    </row>
    <row r="1792" spans="1:8">
      <c r="A1792" t="s">
        <v>9283</v>
      </c>
      <c r="B1792" s="4">
        <v>45585</v>
      </c>
      <c r="C1792">
        <v>2024</v>
      </c>
      <c r="D1792">
        <v>10</v>
      </c>
      <c r="E1792">
        <v>20</v>
      </c>
      <c r="F1792" t="s">
        <v>10355</v>
      </c>
      <c r="G1792" t="b">
        <v>1</v>
      </c>
      <c r="H1792">
        <v>4</v>
      </c>
    </row>
    <row r="1793" spans="1:8">
      <c r="A1793" t="s">
        <v>9288</v>
      </c>
      <c r="B1793" s="4">
        <v>45370</v>
      </c>
      <c r="C1793">
        <v>2024</v>
      </c>
      <c r="D1793">
        <v>3</v>
      </c>
      <c r="E1793">
        <v>19</v>
      </c>
      <c r="F1793" t="s">
        <v>10353</v>
      </c>
      <c r="G1793" t="b">
        <v>0</v>
      </c>
      <c r="H1793">
        <v>1</v>
      </c>
    </row>
    <row r="1794" spans="1:8">
      <c r="A1794" t="s">
        <v>9293</v>
      </c>
      <c r="B1794" s="4">
        <v>45952</v>
      </c>
      <c r="C1794">
        <v>2025</v>
      </c>
      <c r="D1794">
        <v>10</v>
      </c>
      <c r="E1794">
        <v>22</v>
      </c>
      <c r="F1794" t="s">
        <v>10351</v>
      </c>
      <c r="G1794" t="b">
        <v>0</v>
      </c>
      <c r="H1794">
        <v>4</v>
      </c>
    </row>
    <row r="1795" spans="1:8">
      <c r="A1795" t="s">
        <v>9298</v>
      </c>
      <c r="B1795" s="4">
        <v>45384</v>
      </c>
      <c r="C1795">
        <v>2024</v>
      </c>
      <c r="D1795">
        <v>4</v>
      </c>
      <c r="E1795">
        <v>2</v>
      </c>
      <c r="F1795" t="s">
        <v>10353</v>
      </c>
      <c r="G1795" t="b">
        <v>0</v>
      </c>
      <c r="H1795">
        <v>2</v>
      </c>
    </row>
    <row r="1796" spans="1:8">
      <c r="A1796" t="s">
        <v>9303</v>
      </c>
      <c r="B1796" s="4">
        <v>45921</v>
      </c>
      <c r="C1796">
        <v>2025</v>
      </c>
      <c r="D1796">
        <v>9</v>
      </c>
      <c r="E1796">
        <v>21</v>
      </c>
      <c r="F1796" t="s">
        <v>10355</v>
      </c>
      <c r="G1796" t="b">
        <v>1</v>
      </c>
      <c r="H1796">
        <v>3</v>
      </c>
    </row>
    <row r="1797" spans="1:8">
      <c r="A1797" t="s">
        <v>9308</v>
      </c>
      <c r="B1797" s="4">
        <v>45900</v>
      </c>
      <c r="C1797">
        <v>2025</v>
      </c>
      <c r="D1797">
        <v>8</v>
      </c>
      <c r="E1797">
        <v>31</v>
      </c>
      <c r="F1797" t="s">
        <v>10355</v>
      </c>
      <c r="G1797" t="b">
        <v>1</v>
      </c>
      <c r="H1797">
        <v>3</v>
      </c>
    </row>
    <row r="1798" spans="1:8">
      <c r="A1798" t="s">
        <v>9313</v>
      </c>
      <c r="B1798" s="4">
        <v>45811</v>
      </c>
      <c r="C1798">
        <v>2025</v>
      </c>
      <c r="D1798">
        <v>6</v>
      </c>
      <c r="E1798">
        <v>3</v>
      </c>
      <c r="F1798" t="s">
        <v>10353</v>
      </c>
      <c r="G1798" t="b">
        <v>0</v>
      </c>
      <c r="H1798">
        <v>2</v>
      </c>
    </row>
    <row r="1799" spans="1:8">
      <c r="A1799" t="s">
        <v>9318</v>
      </c>
      <c r="B1799" s="4">
        <v>45685</v>
      </c>
      <c r="C1799">
        <v>2025</v>
      </c>
      <c r="D1799">
        <v>1</v>
      </c>
      <c r="E1799">
        <v>28</v>
      </c>
      <c r="F1799" t="s">
        <v>10353</v>
      </c>
      <c r="G1799" t="b">
        <v>0</v>
      </c>
      <c r="H1799">
        <v>1</v>
      </c>
    </row>
    <row r="1800" spans="1:8">
      <c r="A1800" t="s">
        <v>9323</v>
      </c>
      <c r="B1800" s="4">
        <v>45765</v>
      </c>
      <c r="C1800">
        <v>2025</v>
      </c>
      <c r="D1800">
        <v>4</v>
      </c>
      <c r="E1800">
        <v>18</v>
      </c>
      <c r="F1800" t="s">
        <v>10352</v>
      </c>
      <c r="G1800" t="b">
        <v>0</v>
      </c>
      <c r="H1800">
        <v>2</v>
      </c>
    </row>
    <row r="1801" spans="1:8">
      <c r="A1801" t="s">
        <v>9328</v>
      </c>
      <c r="B1801" s="4">
        <v>45886</v>
      </c>
      <c r="C1801">
        <v>2025</v>
      </c>
      <c r="D1801">
        <v>8</v>
      </c>
      <c r="E1801">
        <v>17</v>
      </c>
      <c r="F1801" t="s">
        <v>10355</v>
      </c>
      <c r="G1801" t="b">
        <v>1</v>
      </c>
      <c r="H1801">
        <v>3</v>
      </c>
    </row>
    <row r="1802" spans="1:8">
      <c r="A1802" t="s">
        <v>9333</v>
      </c>
      <c r="B1802" s="4">
        <v>45859</v>
      </c>
      <c r="C1802">
        <v>2025</v>
      </c>
      <c r="D1802">
        <v>7</v>
      </c>
      <c r="E1802">
        <v>21</v>
      </c>
      <c r="F1802" t="s">
        <v>10356</v>
      </c>
      <c r="G1802" t="b">
        <v>0</v>
      </c>
      <c r="H1802">
        <v>3</v>
      </c>
    </row>
    <row r="1803" spans="1:8">
      <c r="A1803" t="s">
        <v>9338</v>
      </c>
      <c r="B1803" s="4">
        <v>45334</v>
      </c>
      <c r="C1803">
        <v>2024</v>
      </c>
      <c r="D1803">
        <v>2</v>
      </c>
      <c r="E1803">
        <v>12</v>
      </c>
      <c r="F1803" t="s">
        <v>10356</v>
      </c>
      <c r="G1803" t="b">
        <v>0</v>
      </c>
      <c r="H1803">
        <v>1</v>
      </c>
    </row>
    <row r="1804" spans="1:8">
      <c r="A1804" t="s">
        <v>9343</v>
      </c>
      <c r="B1804" s="4">
        <v>45752</v>
      </c>
      <c r="C1804">
        <v>2025</v>
      </c>
      <c r="D1804">
        <v>4</v>
      </c>
      <c r="E1804">
        <v>5</v>
      </c>
      <c r="F1804" t="s">
        <v>10354</v>
      </c>
      <c r="G1804" t="b">
        <v>1</v>
      </c>
      <c r="H1804">
        <v>2</v>
      </c>
    </row>
    <row r="1805" spans="1:8">
      <c r="A1805" t="s">
        <v>9348</v>
      </c>
      <c r="B1805" s="4">
        <v>45877</v>
      </c>
      <c r="C1805">
        <v>2025</v>
      </c>
      <c r="D1805">
        <v>8</v>
      </c>
      <c r="E1805">
        <v>8</v>
      </c>
      <c r="F1805" t="s">
        <v>10352</v>
      </c>
      <c r="G1805" t="b">
        <v>0</v>
      </c>
      <c r="H1805">
        <v>3</v>
      </c>
    </row>
    <row r="1806" spans="1:8">
      <c r="A1806" t="s">
        <v>9353</v>
      </c>
      <c r="B1806" s="4">
        <v>45959</v>
      </c>
      <c r="C1806">
        <v>2025</v>
      </c>
      <c r="D1806">
        <v>10</v>
      </c>
      <c r="E1806">
        <v>29</v>
      </c>
      <c r="F1806" t="s">
        <v>10351</v>
      </c>
      <c r="G1806" t="b">
        <v>0</v>
      </c>
      <c r="H1806">
        <v>4</v>
      </c>
    </row>
    <row r="1807" spans="1:8">
      <c r="A1807" t="s">
        <v>9358</v>
      </c>
      <c r="B1807" s="4">
        <v>45484</v>
      </c>
      <c r="C1807">
        <v>2024</v>
      </c>
      <c r="D1807">
        <v>7</v>
      </c>
      <c r="E1807">
        <v>11</v>
      </c>
      <c r="F1807" t="s">
        <v>10350</v>
      </c>
      <c r="G1807" t="b">
        <v>0</v>
      </c>
      <c r="H1807">
        <v>3</v>
      </c>
    </row>
    <row r="1808" spans="1:8">
      <c r="A1808" t="s">
        <v>9363</v>
      </c>
      <c r="B1808" s="4">
        <v>45621</v>
      </c>
      <c r="C1808">
        <v>2024</v>
      </c>
      <c r="D1808">
        <v>11</v>
      </c>
      <c r="E1808">
        <v>25</v>
      </c>
      <c r="F1808" t="s">
        <v>10356</v>
      </c>
      <c r="G1808" t="b">
        <v>0</v>
      </c>
      <c r="H1808">
        <v>4</v>
      </c>
    </row>
    <row r="1809" spans="1:8">
      <c r="A1809" t="s">
        <v>9368</v>
      </c>
      <c r="B1809" s="4">
        <v>45911</v>
      </c>
      <c r="C1809">
        <v>2025</v>
      </c>
      <c r="D1809">
        <v>9</v>
      </c>
      <c r="E1809">
        <v>11</v>
      </c>
      <c r="F1809" t="s">
        <v>10350</v>
      </c>
      <c r="G1809" t="b">
        <v>0</v>
      </c>
      <c r="H1809">
        <v>3</v>
      </c>
    </row>
    <row r="1810" spans="1:8">
      <c r="A1810" t="s">
        <v>9373</v>
      </c>
      <c r="B1810" s="4">
        <v>45779</v>
      </c>
      <c r="C1810">
        <v>2025</v>
      </c>
      <c r="D1810">
        <v>5</v>
      </c>
      <c r="E1810">
        <v>2</v>
      </c>
      <c r="F1810" t="s">
        <v>10352</v>
      </c>
      <c r="G1810" t="b">
        <v>0</v>
      </c>
      <c r="H1810">
        <v>2</v>
      </c>
    </row>
    <row r="1811" spans="1:8">
      <c r="A1811" t="s">
        <v>9378</v>
      </c>
      <c r="B1811" s="4">
        <v>45805</v>
      </c>
      <c r="C1811">
        <v>2025</v>
      </c>
      <c r="D1811">
        <v>5</v>
      </c>
      <c r="E1811">
        <v>28</v>
      </c>
      <c r="F1811" t="s">
        <v>10351</v>
      </c>
      <c r="G1811" t="b">
        <v>0</v>
      </c>
      <c r="H1811">
        <v>2</v>
      </c>
    </row>
    <row r="1812" spans="1:8">
      <c r="A1812" t="s">
        <v>9383</v>
      </c>
      <c r="B1812" s="4">
        <v>45446</v>
      </c>
      <c r="C1812">
        <v>2024</v>
      </c>
      <c r="D1812">
        <v>6</v>
      </c>
      <c r="E1812">
        <v>3</v>
      </c>
      <c r="F1812" t="s">
        <v>10356</v>
      </c>
      <c r="G1812" t="b">
        <v>0</v>
      </c>
      <c r="H1812">
        <v>2</v>
      </c>
    </row>
    <row r="1813" spans="1:8">
      <c r="A1813" t="s">
        <v>9388</v>
      </c>
      <c r="B1813" s="4">
        <v>45355</v>
      </c>
      <c r="C1813">
        <v>2024</v>
      </c>
      <c r="D1813">
        <v>3</v>
      </c>
      <c r="E1813">
        <v>4</v>
      </c>
      <c r="F1813" t="s">
        <v>10356</v>
      </c>
      <c r="G1813" t="b">
        <v>0</v>
      </c>
      <c r="H1813">
        <v>1</v>
      </c>
    </row>
    <row r="1814" spans="1:8">
      <c r="A1814" t="s">
        <v>9393</v>
      </c>
      <c r="B1814" s="4">
        <v>45753</v>
      </c>
      <c r="C1814">
        <v>2025</v>
      </c>
      <c r="D1814">
        <v>4</v>
      </c>
      <c r="E1814">
        <v>6</v>
      </c>
      <c r="F1814" t="s">
        <v>10355</v>
      </c>
      <c r="G1814" t="b">
        <v>1</v>
      </c>
      <c r="H1814">
        <v>2</v>
      </c>
    </row>
    <row r="1815" spans="1:8">
      <c r="A1815" t="s">
        <v>9398</v>
      </c>
      <c r="B1815" s="4">
        <v>45397</v>
      </c>
      <c r="C1815">
        <v>2024</v>
      </c>
      <c r="D1815">
        <v>4</v>
      </c>
      <c r="E1815">
        <v>15</v>
      </c>
      <c r="F1815" t="s">
        <v>10356</v>
      </c>
      <c r="G1815" t="b">
        <v>0</v>
      </c>
      <c r="H1815">
        <v>2</v>
      </c>
    </row>
    <row r="1816" spans="1:8">
      <c r="A1816" t="s">
        <v>9403</v>
      </c>
      <c r="B1816" s="4">
        <v>45643</v>
      </c>
      <c r="C1816">
        <v>2024</v>
      </c>
      <c r="D1816">
        <v>12</v>
      </c>
      <c r="E1816">
        <v>17</v>
      </c>
      <c r="F1816" t="s">
        <v>10353</v>
      </c>
      <c r="G1816" t="b">
        <v>0</v>
      </c>
      <c r="H1816">
        <v>4</v>
      </c>
    </row>
    <row r="1817" spans="1:8">
      <c r="A1817" t="s">
        <v>9408</v>
      </c>
      <c r="B1817" s="4">
        <v>45378</v>
      </c>
      <c r="C1817">
        <v>2024</v>
      </c>
      <c r="D1817">
        <v>3</v>
      </c>
      <c r="E1817">
        <v>27</v>
      </c>
      <c r="F1817" t="s">
        <v>10351</v>
      </c>
      <c r="G1817" t="b">
        <v>0</v>
      </c>
      <c r="H1817">
        <v>1</v>
      </c>
    </row>
    <row r="1818" spans="1:8">
      <c r="A1818" t="s">
        <v>9413</v>
      </c>
      <c r="B1818" s="4">
        <v>45808</v>
      </c>
      <c r="C1818">
        <v>2025</v>
      </c>
      <c r="D1818">
        <v>5</v>
      </c>
      <c r="E1818">
        <v>31</v>
      </c>
      <c r="F1818" t="s">
        <v>10354</v>
      </c>
      <c r="G1818" t="b">
        <v>1</v>
      </c>
      <c r="H1818">
        <v>2</v>
      </c>
    </row>
    <row r="1819" spans="1:8">
      <c r="A1819" t="s">
        <v>9418</v>
      </c>
      <c r="B1819" s="4">
        <v>45953</v>
      </c>
      <c r="C1819">
        <v>2025</v>
      </c>
      <c r="D1819">
        <v>10</v>
      </c>
      <c r="E1819">
        <v>23</v>
      </c>
      <c r="F1819" t="s">
        <v>10350</v>
      </c>
      <c r="G1819" t="b">
        <v>0</v>
      </c>
      <c r="H1819">
        <v>4</v>
      </c>
    </row>
    <row r="1820" spans="1:8">
      <c r="A1820" t="s">
        <v>9423</v>
      </c>
      <c r="B1820" s="4">
        <v>45468</v>
      </c>
      <c r="C1820">
        <v>2024</v>
      </c>
      <c r="D1820">
        <v>6</v>
      </c>
      <c r="E1820">
        <v>25</v>
      </c>
      <c r="F1820" t="s">
        <v>10353</v>
      </c>
      <c r="G1820" t="b">
        <v>0</v>
      </c>
      <c r="H1820">
        <v>2</v>
      </c>
    </row>
    <row r="1821" spans="1:8">
      <c r="A1821" t="s">
        <v>9428</v>
      </c>
      <c r="B1821" s="4">
        <v>45332</v>
      </c>
      <c r="C1821">
        <v>2024</v>
      </c>
      <c r="D1821">
        <v>2</v>
      </c>
      <c r="E1821">
        <v>10</v>
      </c>
      <c r="F1821" t="s">
        <v>10354</v>
      </c>
      <c r="G1821" t="b">
        <v>1</v>
      </c>
      <c r="H1821">
        <v>1</v>
      </c>
    </row>
    <row r="1822" spans="1:8">
      <c r="A1822" t="s">
        <v>9433</v>
      </c>
      <c r="B1822" s="4">
        <v>45545</v>
      </c>
      <c r="C1822">
        <v>2024</v>
      </c>
      <c r="D1822">
        <v>9</v>
      </c>
      <c r="E1822">
        <v>10</v>
      </c>
      <c r="F1822" t="s">
        <v>10353</v>
      </c>
      <c r="G1822" t="b">
        <v>0</v>
      </c>
      <c r="H1822">
        <v>3</v>
      </c>
    </row>
    <row r="1823" spans="1:8">
      <c r="A1823" t="s">
        <v>9438</v>
      </c>
      <c r="B1823" s="4">
        <v>46016</v>
      </c>
      <c r="C1823">
        <v>2025</v>
      </c>
      <c r="D1823">
        <v>12</v>
      </c>
      <c r="E1823">
        <v>25</v>
      </c>
      <c r="F1823" t="s">
        <v>10350</v>
      </c>
      <c r="G1823" t="b">
        <v>0</v>
      </c>
      <c r="H1823">
        <v>4</v>
      </c>
    </row>
    <row r="1824" spans="1:8">
      <c r="A1824" t="s">
        <v>9443</v>
      </c>
      <c r="B1824" s="4">
        <v>45740</v>
      </c>
      <c r="C1824">
        <v>2025</v>
      </c>
      <c r="D1824">
        <v>3</v>
      </c>
      <c r="E1824">
        <v>24</v>
      </c>
      <c r="F1824" t="s">
        <v>10356</v>
      </c>
      <c r="G1824" t="b">
        <v>0</v>
      </c>
      <c r="H1824">
        <v>1</v>
      </c>
    </row>
    <row r="1825" spans="1:8">
      <c r="A1825" t="s">
        <v>9448</v>
      </c>
      <c r="B1825" s="4">
        <v>45741</v>
      </c>
      <c r="C1825">
        <v>2025</v>
      </c>
      <c r="D1825">
        <v>3</v>
      </c>
      <c r="E1825">
        <v>25</v>
      </c>
      <c r="F1825" t="s">
        <v>10353</v>
      </c>
      <c r="G1825" t="b">
        <v>0</v>
      </c>
      <c r="H1825">
        <v>1</v>
      </c>
    </row>
    <row r="1826" spans="1:8">
      <c r="A1826" t="s">
        <v>9453</v>
      </c>
      <c r="B1826" s="4">
        <v>45828</v>
      </c>
      <c r="C1826">
        <v>2025</v>
      </c>
      <c r="D1826">
        <v>6</v>
      </c>
      <c r="E1826">
        <v>20</v>
      </c>
      <c r="F1826" t="s">
        <v>10352</v>
      </c>
      <c r="G1826" t="b">
        <v>0</v>
      </c>
      <c r="H1826">
        <v>2</v>
      </c>
    </row>
    <row r="1827" spans="1:8">
      <c r="A1827" t="s">
        <v>9458</v>
      </c>
      <c r="B1827" s="4">
        <v>45827</v>
      </c>
      <c r="C1827">
        <v>2025</v>
      </c>
      <c r="D1827">
        <v>6</v>
      </c>
      <c r="E1827">
        <v>19</v>
      </c>
      <c r="F1827" t="s">
        <v>10350</v>
      </c>
      <c r="G1827" t="b">
        <v>0</v>
      </c>
      <c r="H1827">
        <v>2</v>
      </c>
    </row>
    <row r="1828" spans="1:8">
      <c r="A1828" t="s">
        <v>9463</v>
      </c>
      <c r="B1828" s="4">
        <v>45916</v>
      </c>
      <c r="C1828">
        <v>2025</v>
      </c>
      <c r="D1828">
        <v>9</v>
      </c>
      <c r="E1828">
        <v>16</v>
      </c>
      <c r="F1828" t="s">
        <v>10353</v>
      </c>
      <c r="G1828" t="b">
        <v>0</v>
      </c>
      <c r="H1828">
        <v>3</v>
      </c>
    </row>
    <row r="1829" spans="1:8">
      <c r="A1829" t="s">
        <v>9468</v>
      </c>
      <c r="B1829" s="4">
        <v>45454</v>
      </c>
      <c r="C1829">
        <v>2024</v>
      </c>
      <c r="D1829">
        <v>6</v>
      </c>
      <c r="E1829">
        <v>11</v>
      </c>
      <c r="F1829" t="s">
        <v>10353</v>
      </c>
      <c r="G1829" t="b">
        <v>0</v>
      </c>
      <c r="H1829">
        <v>2</v>
      </c>
    </row>
    <row r="1830" spans="1:8">
      <c r="A1830" t="s">
        <v>9473</v>
      </c>
      <c r="B1830" s="4">
        <v>45664</v>
      </c>
      <c r="C1830">
        <v>2025</v>
      </c>
      <c r="D1830">
        <v>1</v>
      </c>
      <c r="E1830">
        <v>7</v>
      </c>
      <c r="F1830" t="s">
        <v>10353</v>
      </c>
      <c r="G1830" t="b">
        <v>0</v>
      </c>
      <c r="H1830">
        <v>1</v>
      </c>
    </row>
    <row r="1831" spans="1:8">
      <c r="A1831" t="s">
        <v>9478</v>
      </c>
      <c r="B1831" s="4">
        <v>45673</v>
      </c>
      <c r="C1831">
        <v>2025</v>
      </c>
      <c r="D1831">
        <v>1</v>
      </c>
      <c r="E1831">
        <v>16</v>
      </c>
      <c r="F1831" t="s">
        <v>10350</v>
      </c>
      <c r="G1831" t="b">
        <v>0</v>
      </c>
      <c r="H1831">
        <v>1</v>
      </c>
    </row>
    <row r="1832" spans="1:8">
      <c r="A1832" t="s">
        <v>9483</v>
      </c>
      <c r="B1832" s="4">
        <v>45581</v>
      </c>
      <c r="C1832">
        <v>2024</v>
      </c>
      <c r="D1832">
        <v>10</v>
      </c>
      <c r="E1832">
        <v>16</v>
      </c>
      <c r="F1832" t="s">
        <v>10351</v>
      </c>
      <c r="G1832" t="b">
        <v>0</v>
      </c>
      <c r="H1832">
        <v>4</v>
      </c>
    </row>
    <row r="1833" spans="1:8">
      <c r="A1833" t="s">
        <v>9488</v>
      </c>
      <c r="B1833" s="4">
        <v>45688</v>
      </c>
      <c r="C1833">
        <v>2025</v>
      </c>
      <c r="D1833">
        <v>1</v>
      </c>
      <c r="E1833">
        <v>31</v>
      </c>
      <c r="F1833" t="s">
        <v>10352</v>
      </c>
      <c r="G1833" t="b">
        <v>0</v>
      </c>
      <c r="H1833">
        <v>1</v>
      </c>
    </row>
    <row r="1834" spans="1:8">
      <c r="A1834" t="s">
        <v>9493</v>
      </c>
      <c r="B1834" s="4">
        <v>45710</v>
      </c>
      <c r="C1834">
        <v>2025</v>
      </c>
      <c r="D1834">
        <v>2</v>
      </c>
      <c r="E1834">
        <v>22</v>
      </c>
      <c r="F1834" t="s">
        <v>10354</v>
      </c>
      <c r="G1834" t="b">
        <v>1</v>
      </c>
      <c r="H1834">
        <v>1</v>
      </c>
    </row>
    <row r="1835" spans="1:8">
      <c r="A1835" t="s">
        <v>9498</v>
      </c>
      <c r="B1835" s="4">
        <v>45638</v>
      </c>
      <c r="C1835">
        <v>2024</v>
      </c>
      <c r="D1835">
        <v>12</v>
      </c>
      <c r="E1835">
        <v>12</v>
      </c>
      <c r="F1835" t="s">
        <v>10350</v>
      </c>
      <c r="G1835" t="b">
        <v>0</v>
      </c>
      <c r="H1835">
        <v>4</v>
      </c>
    </row>
    <row r="1836" spans="1:8">
      <c r="A1836" t="s">
        <v>9503</v>
      </c>
      <c r="B1836" s="4">
        <v>45987</v>
      </c>
      <c r="C1836">
        <v>2025</v>
      </c>
      <c r="D1836">
        <v>11</v>
      </c>
      <c r="E1836">
        <v>26</v>
      </c>
      <c r="F1836" t="s">
        <v>10351</v>
      </c>
      <c r="G1836" t="b">
        <v>0</v>
      </c>
      <c r="H1836">
        <v>4</v>
      </c>
    </row>
    <row r="1837" spans="1:8">
      <c r="A1837" t="s">
        <v>9508</v>
      </c>
      <c r="B1837" s="4">
        <v>45904</v>
      </c>
      <c r="C1837">
        <v>2025</v>
      </c>
      <c r="D1837">
        <v>9</v>
      </c>
      <c r="E1837">
        <v>4</v>
      </c>
      <c r="F1837" t="s">
        <v>10350</v>
      </c>
      <c r="G1837" t="b">
        <v>0</v>
      </c>
      <c r="H1837">
        <v>3</v>
      </c>
    </row>
    <row r="1838" spans="1:8">
      <c r="A1838" t="s">
        <v>9513</v>
      </c>
      <c r="B1838" s="4">
        <v>45345</v>
      </c>
      <c r="C1838">
        <v>2024</v>
      </c>
      <c r="D1838">
        <v>2</v>
      </c>
      <c r="E1838">
        <v>23</v>
      </c>
      <c r="F1838" t="s">
        <v>10352</v>
      </c>
      <c r="G1838" t="b">
        <v>0</v>
      </c>
      <c r="H1838">
        <v>1</v>
      </c>
    </row>
    <row r="1839" spans="1:8">
      <c r="A1839" t="s">
        <v>9518</v>
      </c>
      <c r="B1839" s="4">
        <v>45938</v>
      </c>
      <c r="C1839">
        <v>2025</v>
      </c>
      <c r="D1839">
        <v>10</v>
      </c>
      <c r="E1839">
        <v>8</v>
      </c>
      <c r="F1839" t="s">
        <v>10351</v>
      </c>
      <c r="G1839" t="b">
        <v>0</v>
      </c>
      <c r="H1839">
        <v>4</v>
      </c>
    </row>
    <row r="1840" spans="1:8">
      <c r="A1840" t="s">
        <v>9523</v>
      </c>
      <c r="B1840" s="4">
        <v>45954</v>
      </c>
      <c r="C1840">
        <v>2025</v>
      </c>
      <c r="D1840">
        <v>10</v>
      </c>
      <c r="E1840">
        <v>24</v>
      </c>
      <c r="F1840" t="s">
        <v>10352</v>
      </c>
      <c r="G1840" t="b">
        <v>0</v>
      </c>
      <c r="H1840">
        <v>4</v>
      </c>
    </row>
    <row r="1841" spans="1:8">
      <c r="A1841" t="s">
        <v>9528</v>
      </c>
      <c r="B1841" s="4">
        <v>45634</v>
      </c>
      <c r="C1841">
        <v>2024</v>
      </c>
      <c r="D1841">
        <v>12</v>
      </c>
      <c r="E1841">
        <v>8</v>
      </c>
      <c r="F1841" t="s">
        <v>10355</v>
      </c>
      <c r="G1841" t="b">
        <v>1</v>
      </c>
      <c r="H1841">
        <v>4</v>
      </c>
    </row>
    <row r="1842" spans="1:8">
      <c r="A1842" t="s">
        <v>9533</v>
      </c>
      <c r="B1842" s="4">
        <v>45359</v>
      </c>
      <c r="C1842">
        <v>2024</v>
      </c>
      <c r="D1842">
        <v>3</v>
      </c>
      <c r="E1842">
        <v>8</v>
      </c>
      <c r="F1842" t="s">
        <v>10352</v>
      </c>
      <c r="G1842" t="b">
        <v>0</v>
      </c>
      <c r="H1842">
        <v>1</v>
      </c>
    </row>
    <row r="1843" spans="1:8">
      <c r="A1843" t="s">
        <v>9539</v>
      </c>
      <c r="B1843" s="4">
        <v>45629</v>
      </c>
      <c r="C1843">
        <v>2024</v>
      </c>
      <c r="D1843">
        <v>12</v>
      </c>
      <c r="E1843">
        <v>3</v>
      </c>
      <c r="F1843" t="s">
        <v>10353</v>
      </c>
      <c r="G1843" t="b">
        <v>0</v>
      </c>
      <c r="H1843">
        <v>4</v>
      </c>
    </row>
    <row r="1844" spans="1:8">
      <c r="A1844" t="s">
        <v>9544</v>
      </c>
      <c r="B1844" s="4">
        <v>45388</v>
      </c>
      <c r="C1844">
        <v>2024</v>
      </c>
      <c r="D1844">
        <v>4</v>
      </c>
      <c r="E1844">
        <v>6</v>
      </c>
      <c r="F1844" t="s">
        <v>10354</v>
      </c>
      <c r="G1844" t="b">
        <v>1</v>
      </c>
      <c r="H1844">
        <v>2</v>
      </c>
    </row>
    <row r="1845" spans="1:8">
      <c r="A1845" t="s">
        <v>9549</v>
      </c>
      <c r="B1845" s="4">
        <v>45863</v>
      </c>
      <c r="C1845">
        <v>2025</v>
      </c>
      <c r="D1845">
        <v>7</v>
      </c>
      <c r="E1845">
        <v>25</v>
      </c>
      <c r="F1845" t="s">
        <v>10352</v>
      </c>
      <c r="G1845" t="b">
        <v>0</v>
      </c>
      <c r="H1845">
        <v>3</v>
      </c>
    </row>
    <row r="1846" spans="1:8">
      <c r="A1846" t="s">
        <v>9554</v>
      </c>
      <c r="B1846" s="4">
        <v>45986</v>
      </c>
      <c r="C1846">
        <v>2025</v>
      </c>
      <c r="D1846">
        <v>11</v>
      </c>
      <c r="E1846">
        <v>25</v>
      </c>
      <c r="F1846" t="s">
        <v>10353</v>
      </c>
      <c r="G1846" t="b">
        <v>0</v>
      </c>
      <c r="H1846">
        <v>4</v>
      </c>
    </row>
    <row r="1847" spans="1:8">
      <c r="A1847" t="s">
        <v>9559</v>
      </c>
      <c r="B1847" s="4">
        <v>45687</v>
      </c>
      <c r="C1847">
        <v>2025</v>
      </c>
      <c r="D1847">
        <v>1</v>
      </c>
      <c r="E1847">
        <v>30</v>
      </c>
      <c r="F1847" t="s">
        <v>10350</v>
      </c>
      <c r="G1847" t="b">
        <v>0</v>
      </c>
      <c r="H1847">
        <v>1</v>
      </c>
    </row>
    <row r="1848" spans="1:8">
      <c r="A1848" t="s">
        <v>9564</v>
      </c>
      <c r="B1848" s="4">
        <v>45582</v>
      </c>
      <c r="C1848">
        <v>2024</v>
      </c>
      <c r="D1848">
        <v>10</v>
      </c>
      <c r="E1848">
        <v>17</v>
      </c>
      <c r="F1848" t="s">
        <v>10350</v>
      </c>
      <c r="G1848" t="b">
        <v>0</v>
      </c>
      <c r="H1848">
        <v>4</v>
      </c>
    </row>
    <row r="1849" spans="1:8">
      <c r="A1849" t="s">
        <v>9569</v>
      </c>
      <c r="B1849" s="4">
        <v>45550</v>
      </c>
      <c r="C1849">
        <v>2024</v>
      </c>
      <c r="D1849">
        <v>9</v>
      </c>
      <c r="E1849">
        <v>15</v>
      </c>
      <c r="F1849" t="s">
        <v>10355</v>
      </c>
      <c r="G1849" t="b">
        <v>1</v>
      </c>
      <c r="H1849">
        <v>3</v>
      </c>
    </row>
    <row r="1850" spans="1:8">
      <c r="A1850" t="s">
        <v>9574</v>
      </c>
      <c r="B1850" s="4">
        <v>45964</v>
      </c>
      <c r="C1850">
        <v>2025</v>
      </c>
      <c r="D1850">
        <v>11</v>
      </c>
      <c r="E1850">
        <v>3</v>
      </c>
      <c r="F1850" t="s">
        <v>10356</v>
      </c>
      <c r="G1850" t="b">
        <v>0</v>
      </c>
      <c r="H1850">
        <v>4</v>
      </c>
    </row>
    <row r="1851" spans="1:8">
      <c r="A1851" t="s">
        <v>9579</v>
      </c>
      <c r="B1851" s="4">
        <v>45909</v>
      </c>
      <c r="C1851">
        <v>2025</v>
      </c>
      <c r="D1851">
        <v>9</v>
      </c>
      <c r="E1851">
        <v>9</v>
      </c>
      <c r="F1851" t="s">
        <v>10353</v>
      </c>
      <c r="G1851" t="b">
        <v>0</v>
      </c>
      <c r="H1851">
        <v>3</v>
      </c>
    </row>
    <row r="1852" spans="1:8">
      <c r="A1852" t="s">
        <v>9584</v>
      </c>
      <c r="B1852" s="4">
        <v>45445</v>
      </c>
      <c r="C1852">
        <v>2024</v>
      </c>
      <c r="D1852">
        <v>6</v>
      </c>
      <c r="E1852">
        <v>2</v>
      </c>
      <c r="F1852" t="s">
        <v>10355</v>
      </c>
      <c r="G1852" t="b">
        <v>1</v>
      </c>
      <c r="H1852">
        <v>2</v>
      </c>
    </row>
    <row r="1853" spans="1:8">
      <c r="A1853" t="s">
        <v>9589</v>
      </c>
      <c r="B1853" s="4">
        <v>45633</v>
      </c>
      <c r="C1853">
        <v>2024</v>
      </c>
      <c r="D1853">
        <v>12</v>
      </c>
      <c r="E1853">
        <v>7</v>
      </c>
      <c r="F1853" t="s">
        <v>10354</v>
      </c>
      <c r="G1853" t="b">
        <v>1</v>
      </c>
      <c r="H1853">
        <v>4</v>
      </c>
    </row>
    <row r="1854" spans="1:8">
      <c r="A1854" t="s">
        <v>9594</v>
      </c>
      <c r="B1854" s="4">
        <v>45375</v>
      </c>
      <c r="C1854">
        <v>2024</v>
      </c>
      <c r="D1854">
        <v>3</v>
      </c>
      <c r="E1854">
        <v>24</v>
      </c>
      <c r="F1854" t="s">
        <v>10355</v>
      </c>
      <c r="G1854" t="b">
        <v>1</v>
      </c>
      <c r="H1854">
        <v>1</v>
      </c>
    </row>
    <row r="1855" spans="1:8">
      <c r="A1855" t="s">
        <v>9599</v>
      </c>
      <c r="B1855" s="4">
        <v>45888</v>
      </c>
      <c r="C1855">
        <v>2025</v>
      </c>
      <c r="D1855">
        <v>8</v>
      </c>
      <c r="E1855">
        <v>19</v>
      </c>
      <c r="F1855" t="s">
        <v>10353</v>
      </c>
      <c r="G1855" t="b">
        <v>0</v>
      </c>
      <c r="H1855">
        <v>3</v>
      </c>
    </row>
    <row r="1856" spans="1:8">
      <c r="A1856" t="s">
        <v>9604</v>
      </c>
      <c r="B1856" s="4">
        <v>45971</v>
      </c>
      <c r="C1856">
        <v>2025</v>
      </c>
      <c r="D1856">
        <v>11</v>
      </c>
      <c r="E1856">
        <v>10</v>
      </c>
      <c r="F1856" t="s">
        <v>10356</v>
      </c>
      <c r="G1856" t="b">
        <v>0</v>
      </c>
      <c r="H1856">
        <v>4</v>
      </c>
    </row>
    <row r="1857" spans="1:8">
      <c r="A1857" t="s">
        <v>9609</v>
      </c>
      <c r="B1857" s="4">
        <v>45436</v>
      </c>
      <c r="C1857">
        <v>2024</v>
      </c>
      <c r="D1857">
        <v>5</v>
      </c>
      <c r="E1857">
        <v>24</v>
      </c>
      <c r="F1857" t="s">
        <v>10352</v>
      </c>
      <c r="G1857" t="b">
        <v>0</v>
      </c>
      <c r="H1857">
        <v>2</v>
      </c>
    </row>
    <row r="1858" spans="1:8">
      <c r="A1858" t="s">
        <v>9614</v>
      </c>
      <c r="B1858" s="4">
        <v>45650</v>
      </c>
      <c r="C1858">
        <v>2024</v>
      </c>
      <c r="D1858">
        <v>12</v>
      </c>
      <c r="E1858">
        <v>24</v>
      </c>
      <c r="F1858" t="s">
        <v>10353</v>
      </c>
      <c r="G1858" t="b">
        <v>0</v>
      </c>
      <c r="H1858">
        <v>4</v>
      </c>
    </row>
    <row r="1859" spans="1:8">
      <c r="A1859" t="s">
        <v>9619</v>
      </c>
      <c r="B1859" s="4">
        <v>45609</v>
      </c>
      <c r="C1859">
        <v>2024</v>
      </c>
      <c r="D1859">
        <v>11</v>
      </c>
      <c r="E1859">
        <v>13</v>
      </c>
      <c r="F1859" t="s">
        <v>10351</v>
      </c>
      <c r="G1859" t="b">
        <v>0</v>
      </c>
      <c r="H1859">
        <v>4</v>
      </c>
    </row>
    <row r="1860" spans="1:8">
      <c r="A1860" t="s">
        <v>9624</v>
      </c>
      <c r="B1860" s="4">
        <v>45963</v>
      </c>
      <c r="C1860">
        <v>2025</v>
      </c>
      <c r="D1860">
        <v>11</v>
      </c>
      <c r="E1860">
        <v>2</v>
      </c>
      <c r="F1860" t="s">
        <v>10355</v>
      </c>
      <c r="G1860" t="b">
        <v>1</v>
      </c>
      <c r="H1860">
        <v>4</v>
      </c>
    </row>
    <row r="1861" spans="1:8">
      <c r="A1861" t="s">
        <v>9629</v>
      </c>
      <c r="B1861" s="4">
        <v>46007</v>
      </c>
      <c r="C1861">
        <v>2025</v>
      </c>
      <c r="D1861">
        <v>12</v>
      </c>
      <c r="E1861">
        <v>16</v>
      </c>
      <c r="F1861" t="s">
        <v>10353</v>
      </c>
      <c r="G1861" t="b">
        <v>0</v>
      </c>
      <c r="H1861">
        <v>4</v>
      </c>
    </row>
    <row r="1862" spans="1:8">
      <c r="A1862" t="s">
        <v>9634</v>
      </c>
      <c r="B1862" s="4">
        <v>45970</v>
      </c>
      <c r="C1862">
        <v>2025</v>
      </c>
      <c r="D1862">
        <v>11</v>
      </c>
      <c r="E1862">
        <v>9</v>
      </c>
      <c r="F1862" t="s">
        <v>10355</v>
      </c>
      <c r="G1862" t="b">
        <v>1</v>
      </c>
      <c r="H1862">
        <v>4</v>
      </c>
    </row>
    <row r="1863" spans="1:8">
      <c r="A1863" t="s">
        <v>9639</v>
      </c>
      <c r="B1863" s="4">
        <v>45693</v>
      </c>
      <c r="C1863">
        <v>2025</v>
      </c>
      <c r="D1863">
        <v>2</v>
      </c>
      <c r="E1863">
        <v>5</v>
      </c>
      <c r="F1863" t="s">
        <v>10351</v>
      </c>
      <c r="G1863" t="b">
        <v>0</v>
      </c>
      <c r="H1863">
        <v>1</v>
      </c>
    </row>
    <row r="1864" spans="1:8">
      <c r="A1864" t="s">
        <v>9644</v>
      </c>
      <c r="B1864" s="4">
        <v>45424</v>
      </c>
      <c r="C1864">
        <v>2024</v>
      </c>
      <c r="D1864">
        <v>5</v>
      </c>
      <c r="E1864">
        <v>12</v>
      </c>
      <c r="F1864" t="s">
        <v>10355</v>
      </c>
      <c r="G1864" t="b">
        <v>1</v>
      </c>
      <c r="H1864">
        <v>2</v>
      </c>
    </row>
    <row r="1865" spans="1:8">
      <c r="A1865" t="s">
        <v>9650</v>
      </c>
      <c r="B1865" s="4">
        <v>45901</v>
      </c>
      <c r="C1865">
        <v>2025</v>
      </c>
      <c r="D1865">
        <v>9</v>
      </c>
      <c r="E1865">
        <v>1</v>
      </c>
      <c r="F1865" t="s">
        <v>10356</v>
      </c>
      <c r="G1865" t="b">
        <v>0</v>
      </c>
      <c r="H1865">
        <v>3</v>
      </c>
    </row>
    <row r="1866" spans="1:8">
      <c r="A1866" t="s">
        <v>9655</v>
      </c>
      <c r="B1866" s="4">
        <v>46017</v>
      </c>
      <c r="C1866">
        <v>2025</v>
      </c>
      <c r="D1866">
        <v>12</v>
      </c>
      <c r="E1866">
        <v>26</v>
      </c>
      <c r="F1866" t="s">
        <v>10352</v>
      </c>
      <c r="G1866" t="b">
        <v>0</v>
      </c>
      <c r="H1866">
        <v>4</v>
      </c>
    </row>
    <row r="1867" spans="1:8">
      <c r="A1867" t="s">
        <v>9660</v>
      </c>
      <c r="B1867" s="4">
        <v>45378</v>
      </c>
      <c r="C1867">
        <v>2024</v>
      </c>
      <c r="D1867">
        <v>3</v>
      </c>
      <c r="E1867">
        <v>27</v>
      </c>
      <c r="F1867" t="s">
        <v>10351</v>
      </c>
      <c r="G1867" t="b">
        <v>0</v>
      </c>
      <c r="H1867">
        <v>1</v>
      </c>
    </row>
    <row r="1868" spans="1:8">
      <c r="A1868" t="s">
        <v>9665</v>
      </c>
      <c r="B1868" s="4">
        <v>45609</v>
      </c>
      <c r="C1868">
        <v>2024</v>
      </c>
      <c r="D1868">
        <v>11</v>
      </c>
      <c r="E1868">
        <v>13</v>
      </c>
      <c r="F1868" t="s">
        <v>10351</v>
      </c>
      <c r="G1868" t="b">
        <v>0</v>
      </c>
      <c r="H1868">
        <v>4</v>
      </c>
    </row>
    <row r="1869" spans="1:8">
      <c r="A1869" t="s">
        <v>9670</v>
      </c>
      <c r="B1869" s="4">
        <v>45864</v>
      </c>
      <c r="C1869">
        <v>2025</v>
      </c>
      <c r="D1869">
        <v>7</v>
      </c>
      <c r="E1869">
        <v>26</v>
      </c>
      <c r="F1869" t="s">
        <v>10354</v>
      </c>
      <c r="G1869" t="b">
        <v>1</v>
      </c>
      <c r="H1869">
        <v>3</v>
      </c>
    </row>
    <row r="1870" spans="1:8">
      <c r="A1870" t="s">
        <v>9675</v>
      </c>
      <c r="B1870" s="4">
        <v>45677</v>
      </c>
      <c r="C1870">
        <v>2025</v>
      </c>
      <c r="D1870">
        <v>1</v>
      </c>
      <c r="E1870">
        <v>20</v>
      </c>
      <c r="F1870" t="s">
        <v>10356</v>
      </c>
      <c r="G1870" t="b">
        <v>0</v>
      </c>
      <c r="H1870">
        <v>1</v>
      </c>
    </row>
    <row r="1871" spans="1:8">
      <c r="A1871" t="s">
        <v>9680</v>
      </c>
      <c r="B1871" s="4">
        <v>45950</v>
      </c>
      <c r="C1871">
        <v>2025</v>
      </c>
      <c r="D1871">
        <v>10</v>
      </c>
      <c r="E1871">
        <v>20</v>
      </c>
      <c r="F1871" t="s">
        <v>10356</v>
      </c>
      <c r="G1871" t="b">
        <v>0</v>
      </c>
      <c r="H1871">
        <v>4</v>
      </c>
    </row>
    <row r="1872" spans="1:8">
      <c r="A1872" t="s">
        <v>9685</v>
      </c>
      <c r="B1872" s="4">
        <v>45628</v>
      </c>
      <c r="C1872">
        <v>2024</v>
      </c>
      <c r="D1872">
        <v>12</v>
      </c>
      <c r="E1872">
        <v>2</v>
      </c>
      <c r="F1872" t="s">
        <v>10356</v>
      </c>
      <c r="G1872" t="b">
        <v>0</v>
      </c>
      <c r="H1872">
        <v>4</v>
      </c>
    </row>
    <row r="1873" spans="1:8">
      <c r="A1873" t="s">
        <v>9690</v>
      </c>
      <c r="B1873" s="4">
        <v>45422</v>
      </c>
      <c r="C1873">
        <v>2024</v>
      </c>
      <c r="D1873">
        <v>5</v>
      </c>
      <c r="E1873">
        <v>10</v>
      </c>
      <c r="F1873" t="s">
        <v>10352</v>
      </c>
      <c r="G1873" t="b">
        <v>0</v>
      </c>
      <c r="H1873">
        <v>2</v>
      </c>
    </row>
    <row r="1874" spans="1:8">
      <c r="A1874" t="s">
        <v>9695</v>
      </c>
      <c r="B1874" s="4">
        <v>45978</v>
      </c>
      <c r="C1874">
        <v>2025</v>
      </c>
      <c r="D1874">
        <v>11</v>
      </c>
      <c r="E1874">
        <v>17</v>
      </c>
      <c r="F1874" t="s">
        <v>10356</v>
      </c>
      <c r="G1874" t="b">
        <v>0</v>
      </c>
      <c r="H1874">
        <v>4</v>
      </c>
    </row>
    <row r="1875" spans="1:8">
      <c r="A1875" t="s">
        <v>9700</v>
      </c>
      <c r="B1875" s="4">
        <v>46011</v>
      </c>
      <c r="C1875">
        <v>2025</v>
      </c>
      <c r="D1875">
        <v>12</v>
      </c>
      <c r="E1875">
        <v>20</v>
      </c>
      <c r="F1875" t="s">
        <v>10354</v>
      </c>
      <c r="G1875" t="b">
        <v>1</v>
      </c>
      <c r="H1875">
        <v>4</v>
      </c>
    </row>
    <row r="1876" spans="1:8">
      <c r="A1876" t="s">
        <v>9705</v>
      </c>
      <c r="B1876" s="4">
        <v>45993</v>
      </c>
      <c r="C1876">
        <v>2025</v>
      </c>
      <c r="D1876">
        <v>12</v>
      </c>
      <c r="E1876">
        <v>2</v>
      </c>
      <c r="F1876" t="s">
        <v>10353</v>
      </c>
      <c r="G1876" t="b">
        <v>0</v>
      </c>
      <c r="H1876">
        <v>4</v>
      </c>
    </row>
    <row r="1877" spans="1:8">
      <c r="A1877" t="s">
        <v>9710</v>
      </c>
      <c r="B1877" s="4">
        <v>45831</v>
      </c>
      <c r="C1877">
        <v>2025</v>
      </c>
      <c r="D1877">
        <v>6</v>
      </c>
      <c r="E1877">
        <v>23</v>
      </c>
      <c r="F1877" t="s">
        <v>10356</v>
      </c>
      <c r="G1877" t="b">
        <v>0</v>
      </c>
      <c r="H1877">
        <v>2</v>
      </c>
    </row>
    <row r="1878" spans="1:8">
      <c r="A1878" t="s">
        <v>9715</v>
      </c>
      <c r="B1878" s="4">
        <v>45387</v>
      </c>
      <c r="C1878">
        <v>2024</v>
      </c>
      <c r="D1878">
        <v>4</v>
      </c>
      <c r="E1878">
        <v>5</v>
      </c>
      <c r="F1878" t="s">
        <v>10352</v>
      </c>
      <c r="G1878" t="b">
        <v>0</v>
      </c>
      <c r="H1878">
        <v>2</v>
      </c>
    </row>
    <row r="1879" spans="1:8">
      <c r="A1879" t="s">
        <v>9720</v>
      </c>
      <c r="B1879" s="4">
        <v>45953</v>
      </c>
      <c r="C1879">
        <v>2025</v>
      </c>
      <c r="D1879">
        <v>10</v>
      </c>
      <c r="E1879">
        <v>23</v>
      </c>
      <c r="F1879" t="s">
        <v>10350</v>
      </c>
      <c r="G1879" t="b">
        <v>0</v>
      </c>
      <c r="H1879">
        <v>4</v>
      </c>
    </row>
    <row r="1880" spans="1:8">
      <c r="A1880" t="s">
        <v>9725</v>
      </c>
      <c r="B1880" s="4">
        <v>45978</v>
      </c>
      <c r="C1880">
        <v>2025</v>
      </c>
      <c r="D1880">
        <v>11</v>
      </c>
      <c r="E1880">
        <v>17</v>
      </c>
      <c r="F1880" t="s">
        <v>10356</v>
      </c>
      <c r="G1880" t="b">
        <v>0</v>
      </c>
      <c r="H1880">
        <v>4</v>
      </c>
    </row>
    <row r="1881" spans="1:8">
      <c r="A1881" t="s">
        <v>9730</v>
      </c>
      <c r="B1881" s="4">
        <v>45725</v>
      </c>
      <c r="C1881">
        <v>2025</v>
      </c>
      <c r="D1881">
        <v>3</v>
      </c>
      <c r="E1881">
        <v>9</v>
      </c>
      <c r="F1881" t="s">
        <v>10355</v>
      </c>
      <c r="G1881" t="b">
        <v>1</v>
      </c>
      <c r="H1881">
        <v>1</v>
      </c>
    </row>
    <row r="1882" spans="1:8">
      <c r="A1882" t="s">
        <v>9735</v>
      </c>
      <c r="B1882" s="4">
        <v>45812</v>
      </c>
      <c r="C1882">
        <v>2025</v>
      </c>
      <c r="D1882">
        <v>6</v>
      </c>
      <c r="E1882">
        <v>4</v>
      </c>
      <c r="F1882" t="s">
        <v>10351</v>
      </c>
      <c r="G1882" t="b">
        <v>0</v>
      </c>
      <c r="H1882">
        <v>2</v>
      </c>
    </row>
    <row r="1883" spans="1:8">
      <c r="A1883" t="s">
        <v>9740</v>
      </c>
      <c r="B1883" s="4">
        <v>45662</v>
      </c>
      <c r="C1883">
        <v>2025</v>
      </c>
      <c r="D1883">
        <v>1</v>
      </c>
      <c r="E1883">
        <v>5</v>
      </c>
      <c r="F1883" t="s">
        <v>10355</v>
      </c>
      <c r="G1883" t="b">
        <v>1</v>
      </c>
      <c r="H1883">
        <v>1</v>
      </c>
    </row>
    <row r="1884" spans="1:8">
      <c r="A1884" t="s">
        <v>9745</v>
      </c>
      <c r="B1884" s="4">
        <v>45310</v>
      </c>
      <c r="C1884">
        <v>2024</v>
      </c>
      <c r="D1884">
        <v>1</v>
      </c>
      <c r="E1884">
        <v>19</v>
      </c>
      <c r="F1884" t="s">
        <v>10352</v>
      </c>
      <c r="G1884" t="b">
        <v>0</v>
      </c>
      <c r="H1884">
        <v>1</v>
      </c>
    </row>
    <row r="1885" spans="1:8">
      <c r="A1885" t="s">
        <v>9750</v>
      </c>
      <c r="B1885" s="4">
        <v>45663</v>
      </c>
      <c r="C1885">
        <v>2025</v>
      </c>
      <c r="D1885">
        <v>1</v>
      </c>
      <c r="E1885">
        <v>6</v>
      </c>
      <c r="F1885" t="s">
        <v>10356</v>
      </c>
      <c r="G1885" t="b">
        <v>0</v>
      </c>
      <c r="H1885">
        <v>1</v>
      </c>
    </row>
    <row r="1886" spans="1:8">
      <c r="A1886" t="s">
        <v>9755</v>
      </c>
      <c r="B1886" s="4">
        <v>45608</v>
      </c>
      <c r="C1886">
        <v>2024</v>
      </c>
      <c r="D1886">
        <v>11</v>
      </c>
      <c r="E1886">
        <v>12</v>
      </c>
      <c r="F1886" t="s">
        <v>10353</v>
      </c>
      <c r="G1886" t="b">
        <v>0</v>
      </c>
      <c r="H1886">
        <v>4</v>
      </c>
    </row>
    <row r="1887" spans="1:8">
      <c r="A1887" t="s">
        <v>9760</v>
      </c>
      <c r="B1887" s="4">
        <v>45476</v>
      </c>
      <c r="C1887">
        <v>2024</v>
      </c>
      <c r="D1887">
        <v>7</v>
      </c>
      <c r="E1887">
        <v>3</v>
      </c>
      <c r="F1887" t="s">
        <v>10351</v>
      </c>
      <c r="G1887" t="b">
        <v>0</v>
      </c>
      <c r="H1887">
        <v>3</v>
      </c>
    </row>
    <row r="1888" spans="1:8">
      <c r="A1888" t="s">
        <v>9765</v>
      </c>
      <c r="B1888" s="4">
        <v>45511</v>
      </c>
      <c r="C1888">
        <v>2024</v>
      </c>
      <c r="D1888">
        <v>8</v>
      </c>
      <c r="E1888">
        <v>7</v>
      </c>
      <c r="F1888" t="s">
        <v>10351</v>
      </c>
      <c r="G1888" t="b">
        <v>0</v>
      </c>
      <c r="H1888">
        <v>3</v>
      </c>
    </row>
    <row r="1889" spans="1:8">
      <c r="A1889" t="s">
        <v>9770</v>
      </c>
      <c r="B1889" s="4">
        <v>45641</v>
      </c>
      <c r="C1889">
        <v>2024</v>
      </c>
      <c r="D1889">
        <v>12</v>
      </c>
      <c r="E1889">
        <v>15</v>
      </c>
      <c r="F1889" t="s">
        <v>10355</v>
      </c>
      <c r="G1889" t="b">
        <v>1</v>
      </c>
      <c r="H1889">
        <v>4</v>
      </c>
    </row>
    <row r="1890" spans="1:8">
      <c r="A1890" t="s">
        <v>9775</v>
      </c>
      <c r="B1890" s="4">
        <v>45789</v>
      </c>
      <c r="C1890">
        <v>2025</v>
      </c>
      <c r="D1890">
        <v>5</v>
      </c>
      <c r="E1890">
        <v>12</v>
      </c>
      <c r="F1890" t="s">
        <v>10356</v>
      </c>
      <c r="G1890" t="b">
        <v>0</v>
      </c>
      <c r="H1890">
        <v>2</v>
      </c>
    </row>
    <row r="1891" spans="1:8">
      <c r="A1891" t="s">
        <v>9780</v>
      </c>
      <c r="B1891" s="4">
        <v>45488</v>
      </c>
      <c r="C1891">
        <v>2024</v>
      </c>
      <c r="D1891">
        <v>7</v>
      </c>
      <c r="E1891">
        <v>15</v>
      </c>
      <c r="F1891" t="s">
        <v>10356</v>
      </c>
      <c r="G1891" t="b">
        <v>0</v>
      </c>
      <c r="H1891">
        <v>3</v>
      </c>
    </row>
    <row r="1892" spans="1:8">
      <c r="A1892" t="s">
        <v>9785</v>
      </c>
      <c r="B1892" s="4">
        <v>45523</v>
      </c>
      <c r="C1892">
        <v>2024</v>
      </c>
      <c r="D1892">
        <v>8</v>
      </c>
      <c r="E1892">
        <v>19</v>
      </c>
      <c r="F1892" t="s">
        <v>10356</v>
      </c>
      <c r="G1892" t="b">
        <v>0</v>
      </c>
      <c r="H1892">
        <v>3</v>
      </c>
    </row>
    <row r="1893" spans="1:8">
      <c r="A1893" t="s">
        <v>9790</v>
      </c>
      <c r="B1893" s="4">
        <v>45432</v>
      </c>
      <c r="C1893">
        <v>2024</v>
      </c>
      <c r="D1893">
        <v>5</v>
      </c>
      <c r="E1893">
        <v>20</v>
      </c>
      <c r="F1893" t="s">
        <v>10356</v>
      </c>
      <c r="G1893" t="b">
        <v>0</v>
      </c>
      <c r="H1893">
        <v>2</v>
      </c>
    </row>
    <row r="1894" spans="1:8">
      <c r="A1894" t="s">
        <v>9795</v>
      </c>
      <c r="B1894" s="4">
        <v>45450</v>
      </c>
      <c r="C1894">
        <v>2024</v>
      </c>
      <c r="D1894">
        <v>6</v>
      </c>
      <c r="E1894">
        <v>7</v>
      </c>
      <c r="F1894" t="s">
        <v>10352</v>
      </c>
      <c r="G1894" t="b">
        <v>0</v>
      </c>
      <c r="H1894">
        <v>2</v>
      </c>
    </row>
    <row r="1895" spans="1:8">
      <c r="A1895" t="s">
        <v>9800</v>
      </c>
      <c r="B1895" s="4">
        <v>45371</v>
      </c>
      <c r="C1895">
        <v>2024</v>
      </c>
      <c r="D1895">
        <v>3</v>
      </c>
      <c r="E1895">
        <v>20</v>
      </c>
      <c r="F1895" t="s">
        <v>10351</v>
      </c>
      <c r="G1895" t="b">
        <v>0</v>
      </c>
      <c r="H1895">
        <v>1</v>
      </c>
    </row>
    <row r="1896" spans="1:8">
      <c r="A1896" t="s">
        <v>9805</v>
      </c>
      <c r="B1896" s="4">
        <v>45594</v>
      </c>
      <c r="C1896">
        <v>2024</v>
      </c>
      <c r="D1896">
        <v>10</v>
      </c>
      <c r="E1896">
        <v>29</v>
      </c>
      <c r="F1896" t="s">
        <v>10353</v>
      </c>
      <c r="G1896" t="b">
        <v>0</v>
      </c>
      <c r="H1896">
        <v>4</v>
      </c>
    </row>
    <row r="1897" spans="1:8">
      <c r="A1897" t="s">
        <v>9810</v>
      </c>
      <c r="B1897" s="4">
        <v>45395</v>
      </c>
      <c r="C1897">
        <v>2024</v>
      </c>
      <c r="D1897">
        <v>4</v>
      </c>
      <c r="E1897">
        <v>13</v>
      </c>
      <c r="F1897" t="s">
        <v>10354</v>
      </c>
      <c r="G1897" t="b">
        <v>1</v>
      </c>
      <c r="H1897">
        <v>2</v>
      </c>
    </row>
    <row r="1898" spans="1:8">
      <c r="A1898" t="s">
        <v>9815</v>
      </c>
      <c r="B1898" s="4">
        <v>45811</v>
      </c>
      <c r="C1898">
        <v>2025</v>
      </c>
      <c r="D1898">
        <v>6</v>
      </c>
      <c r="E1898">
        <v>3</v>
      </c>
      <c r="F1898" t="s">
        <v>10353</v>
      </c>
      <c r="G1898" t="b">
        <v>0</v>
      </c>
      <c r="H1898">
        <v>2</v>
      </c>
    </row>
    <row r="1899" spans="1:8">
      <c r="A1899" t="s">
        <v>9820</v>
      </c>
      <c r="B1899" s="4">
        <v>45844</v>
      </c>
      <c r="C1899">
        <v>2025</v>
      </c>
      <c r="D1899">
        <v>7</v>
      </c>
      <c r="E1899">
        <v>6</v>
      </c>
      <c r="F1899" t="s">
        <v>10355</v>
      </c>
      <c r="G1899" t="b">
        <v>1</v>
      </c>
      <c r="H1899">
        <v>3</v>
      </c>
    </row>
    <row r="1900" spans="1:8">
      <c r="A1900" t="s">
        <v>9825</v>
      </c>
      <c r="B1900" s="4">
        <v>45831</v>
      </c>
      <c r="C1900">
        <v>2025</v>
      </c>
      <c r="D1900">
        <v>6</v>
      </c>
      <c r="E1900">
        <v>23</v>
      </c>
      <c r="F1900" t="s">
        <v>10356</v>
      </c>
      <c r="G1900" t="b">
        <v>0</v>
      </c>
      <c r="H1900">
        <v>2</v>
      </c>
    </row>
    <row r="1901" spans="1:8">
      <c r="A1901" t="s">
        <v>9830</v>
      </c>
      <c r="B1901" s="4">
        <v>45330</v>
      </c>
      <c r="C1901">
        <v>2024</v>
      </c>
      <c r="D1901">
        <v>2</v>
      </c>
      <c r="E1901">
        <v>8</v>
      </c>
      <c r="F1901" t="s">
        <v>10350</v>
      </c>
      <c r="G1901" t="b">
        <v>0</v>
      </c>
      <c r="H1901">
        <v>1</v>
      </c>
    </row>
    <row r="1902" spans="1:8">
      <c r="A1902" t="s">
        <v>9835</v>
      </c>
      <c r="B1902" s="4">
        <v>45969</v>
      </c>
      <c r="C1902">
        <v>2025</v>
      </c>
      <c r="D1902">
        <v>11</v>
      </c>
      <c r="E1902">
        <v>8</v>
      </c>
      <c r="F1902" t="s">
        <v>10354</v>
      </c>
      <c r="G1902" t="b">
        <v>1</v>
      </c>
      <c r="H1902">
        <v>4</v>
      </c>
    </row>
    <row r="1903" spans="1:8">
      <c r="A1903" t="s">
        <v>9840</v>
      </c>
      <c r="B1903" s="4">
        <v>45636</v>
      </c>
      <c r="C1903">
        <v>2024</v>
      </c>
      <c r="D1903">
        <v>12</v>
      </c>
      <c r="E1903">
        <v>10</v>
      </c>
      <c r="F1903" t="s">
        <v>10353</v>
      </c>
      <c r="G1903" t="b">
        <v>0</v>
      </c>
      <c r="H1903">
        <v>4</v>
      </c>
    </row>
    <row r="1904" spans="1:8">
      <c r="A1904" t="s">
        <v>9845</v>
      </c>
      <c r="B1904" s="4">
        <v>45924</v>
      </c>
      <c r="C1904">
        <v>2025</v>
      </c>
      <c r="D1904">
        <v>9</v>
      </c>
      <c r="E1904">
        <v>24</v>
      </c>
      <c r="F1904" t="s">
        <v>10351</v>
      </c>
      <c r="G1904" t="b">
        <v>0</v>
      </c>
      <c r="H1904">
        <v>3</v>
      </c>
    </row>
    <row r="1905" spans="1:8">
      <c r="A1905" t="s">
        <v>9850</v>
      </c>
      <c r="B1905" s="4">
        <v>45426</v>
      </c>
      <c r="C1905">
        <v>2024</v>
      </c>
      <c r="D1905">
        <v>5</v>
      </c>
      <c r="E1905">
        <v>14</v>
      </c>
      <c r="F1905" t="s">
        <v>10353</v>
      </c>
      <c r="G1905" t="b">
        <v>0</v>
      </c>
      <c r="H1905">
        <v>2</v>
      </c>
    </row>
    <row r="1906" spans="1:8">
      <c r="A1906" t="s">
        <v>9855</v>
      </c>
      <c r="B1906" s="4">
        <v>45903</v>
      </c>
      <c r="C1906">
        <v>2025</v>
      </c>
      <c r="D1906">
        <v>9</v>
      </c>
      <c r="E1906">
        <v>3</v>
      </c>
      <c r="F1906" t="s">
        <v>10351</v>
      </c>
      <c r="G1906" t="b">
        <v>0</v>
      </c>
      <c r="H1906">
        <v>3</v>
      </c>
    </row>
    <row r="1907" spans="1:8">
      <c r="A1907" t="s">
        <v>9860</v>
      </c>
      <c r="B1907" s="4">
        <v>45677</v>
      </c>
      <c r="C1907">
        <v>2025</v>
      </c>
      <c r="D1907">
        <v>1</v>
      </c>
      <c r="E1907">
        <v>20</v>
      </c>
      <c r="F1907" t="s">
        <v>10356</v>
      </c>
      <c r="G1907" t="b">
        <v>0</v>
      </c>
      <c r="H1907">
        <v>1</v>
      </c>
    </row>
    <row r="1908" spans="1:8">
      <c r="A1908" t="s">
        <v>9865</v>
      </c>
      <c r="B1908" s="4">
        <v>45449</v>
      </c>
      <c r="C1908">
        <v>2024</v>
      </c>
      <c r="D1908">
        <v>6</v>
      </c>
      <c r="E1908">
        <v>6</v>
      </c>
      <c r="F1908" t="s">
        <v>10350</v>
      </c>
      <c r="G1908" t="b">
        <v>0</v>
      </c>
      <c r="H1908">
        <v>2</v>
      </c>
    </row>
    <row r="1909" spans="1:8">
      <c r="A1909" t="s">
        <v>9870</v>
      </c>
      <c r="B1909" s="4">
        <v>45458</v>
      </c>
      <c r="C1909">
        <v>2024</v>
      </c>
      <c r="D1909">
        <v>6</v>
      </c>
      <c r="E1909">
        <v>15</v>
      </c>
      <c r="F1909" t="s">
        <v>10354</v>
      </c>
      <c r="G1909" t="b">
        <v>1</v>
      </c>
      <c r="H1909">
        <v>2</v>
      </c>
    </row>
    <row r="1910" spans="1:8">
      <c r="A1910" t="s">
        <v>9875</v>
      </c>
      <c r="B1910" s="4">
        <v>45477</v>
      </c>
      <c r="C1910">
        <v>2024</v>
      </c>
      <c r="D1910">
        <v>7</v>
      </c>
      <c r="E1910">
        <v>4</v>
      </c>
      <c r="F1910" t="s">
        <v>10350</v>
      </c>
      <c r="G1910" t="b">
        <v>0</v>
      </c>
      <c r="H1910">
        <v>3</v>
      </c>
    </row>
    <row r="1911" spans="1:8">
      <c r="A1911" t="s">
        <v>9880</v>
      </c>
      <c r="B1911" s="4">
        <v>46001</v>
      </c>
      <c r="C1911">
        <v>2025</v>
      </c>
      <c r="D1911">
        <v>12</v>
      </c>
      <c r="E1911">
        <v>10</v>
      </c>
      <c r="F1911" t="s">
        <v>10351</v>
      </c>
      <c r="G1911" t="b">
        <v>0</v>
      </c>
      <c r="H1911">
        <v>4</v>
      </c>
    </row>
    <row r="1912" spans="1:8">
      <c r="A1912" t="s">
        <v>9885</v>
      </c>
      <c r="B1912" s="4">
        <v>45931</v>
      </c>
      <c r="C1912">
        <v>2025</v>
      </c>
      <c r="D1912">
        <v>10</v>
      </c>
      <c r="E1912">
        <v>1</v>
      </c>
      <c r="F1912" t="s">
        <v>10351</v>
      </c>
      <c r="G1912" t="b">
        <v>0</v>
      </c>
      <c r="H1912">
        <v>4</v>
      </c>
    </row>
    <row r="1913" spans="1:8">
      <c r="A1913" t="s">
        <v>9890</v>
      </c>
      <c r="B1913" s="4">
        <v>45461</v>
      </c>
      <c r="C1913">
        <v>2024</v>
      </c>
      <c r="D1913">
        <v>6</v>
      </c>
      <c r="E1913">
        <v>18</v>
      </c>
      <c r="F1913" t="s">
        <v>10353</v>
      </c>
      <c r="G1913" t="b">
        <v>0</v>
      </c>
      <c r="H1913">
        <v>2</v>
      </c>
    </row>
    <row r="1914" spans="1:8">
      <c r="A1914" t="s">
        <v>9895</v>
      </c>
      <c r="B1914" s="4">
        <v>45740</v>
      </c>
      <c r="C1914">
        <v>2025</v>
      </c>
      <c r="D1914">
        <v>3</v>
      </c>
      <c r="E1914">
        <v>24</v>
      </c>
      <c r="F1914" t="s">
        <v>10356</v>
      </c>
      <c r="G1914" t="b">
        <v>0</v>
      </c>
      <c r="H1914">
        <v>1</v>
      </c>
    </row>
    <row r="1915" spans="1:8">
      <c r="A1915" t="s">
        <v>9900</v>
      </c>
      <c r="B1915" s="4">
        <v>45336</v>
      </c>
      <c r="C1915">
        <v>2024</v>
      </c>
      <c r="D1915">
        <v>2</v>
      </c>
      <c r="E1915">
        <v>14</v>
      </c>
      <c r="F1915" t="s">
        <v>10351</v>
      </c>
      <c r="G1915" t="b">
        <v>0</v>
      </c>
      <c r="H1915">
        <v>1</v>
      </c>
    </row>
    <row r="1916" spans="1:8">
      <c r="A1916" t="s">
        <v>9905</v>
      </c>
      <c r="B1916" s="4">
        <v>45712</v>
      </c>
      <c r="C1916">
        <v>2025</v>
      </c>
      <c r="D1916">
        <v>2</v>
      </c>
      <c r="E1916">
        <v>24</v>
      </c>
      <c r="F1916" t="s">
        <v>10356</v>
      </c>
      <c r="G1916" t="b">
        <v>0</v>
      </c>
      <c r="H1916">
        <v>1</v>
      </c>
    </row>
    <row r="1917" spans="1:8">
      <c r="A1917" t="s">
        <v>9910</v>
      </c>
      <c r="B1917" s="4">
        <v>45665</v>
      </c>
      <c r="C1917">
        <v>2025</v>
      </c>
      <c r="D1917">
        <v>1</v>
      </c>
      <c r="E1917">
        <v>8</v>
      </c>
      <c r="F1917" t="s">
        <v>10351</v>
      </c>
      <c r="G1917" t="b">
        <v>0</v>
      </c>
      <c r="H1917">
        <v>1</v>
      </c>
    </row>
    <row r="1918" spans="1:8">
      <c r="A1918" t="s">
        <v>9915</v>
      </c>
      <c r="B1918" s="4">
        <v>45984</v>
      </c>
      <c r="C1918">
        <v>2025</v>
      </c>
      <c r="D1918">
        <v>11</v>
      </c>
      <c r="E1918">
        <v>23</v>
      </c>
      <c r="F1918" t="s">
        <v>10355</v>
      </c>
      <c r="G1918" t="b">
        <v>1</v>
      </c>
      <c r="H1918">
        <v>4</v>
      </c>
    </row>
    <row r="1919" spans="1:8">
      <c r="A1919" t="s">
        <v>9920</v>
      </c>
      <c r="B1919" s="4">
        <v>45535</v>
      </c>
      <c r="C1919">
        <v>2024</v>
      </c>
      <c r="D1919">
        <v>8</v>
      </c>
      <c r="E1919">
        <v>31</v>
      </c>
      <c r="F1919" t="s">
        <v>10354</v>
      </c>
      <c r="G1919" t="b">
        <v>1</v>
      </c>
      <c r="H1919">
        <v>3</v>
      </c>
    </row>
    <row r="1920" spans="1:8">
      <c r="A1920" t="s">
        <v>9925</v>
      </c>
      <c r="B1920" s="4">
        <v>45746</v>
      </c>
      <c r="C1920">
        <v>2025</v>
      </c>
      <c r="D1920">
        <v>3</v>
      </c>
      <c r="E1920">
        <v>30</v>
      </c>
      <c r="F1920" t="s">
        <v>10355</v>
      </c>
      <c r="G1920" t="b">
        <v>1</v>
      </c>
      <c r="H1920">
        <v>1</v>
      </c>
    </row>
    <row r="1921" spans="1:8">
      <c r="A1921" t="s">
        <v>9930</v>
      </c>
      <c r="B1921" s="4">
        <v>45917</v>
      </c>
      <c r="C1921">
        <v>2025</v>
      </c>
      <c r="D1921">
        <v>9</v>
      </c>
      <c r="E1921">
        <v>17</v>
      </c>
      <c r="F1921" t="s">
        <v>10351</v>
      </c>
      <c r="G1921" t="b">
        <v>0</v>
      </c>
      <c r="H1921">
        <v>3</v>
      </c>
    </row>
    <row r="1922" spans="1:8">
      <c r="A1922" t="s">
        <v>9935</v>
      </c>
      <c r="B1922" s="4">
        <v>45583</v>
      </c>
      <c r="C1922">
        <v>2024</v>
      </c>
      <c r="D1922">
        <v>10</v>
      </c>
      <c r="E1922">
        <v>18</v>
      </c>
      <c r="F1922" t="s">
        <v>10352</v>
      </c>
      <c r="G1922" t="b">
        <v>0</v>
      </c>
      <c r="H1922">
        <v>4</v>
      </c>
    </row>
    <row r="1923" spans="1:8">
      <c r="A1923" t="s">
        <v>9940</v>
      </c>
      <c r="B1923" s="4">
        <v>45751</v>
      </c>
      <c r="C1923">
        <v>2025</v>
      </c>
      <c r="D1923">
        <v>4</v>
      </c>
      <c r="E1923">
        <v>4</v>
      </c>
      <c r="F1923" t="s">
        <v>10352</v>
      </c>
      <c r="G1923" t="b">
        <v>0</v>
      </c>
      <c r="H1923">
        <v>2</v>
      </c>
    </row>
    <row r="1924" spans="1:8">
      <c r="A1924" t="s">
        <v>9945</v>
      </c>
      <c r="B1924" s="4">
        <v>45531</v>
      </c>
      <c r="C1924">
        <v>2024</v>
      </c>
      <c r="D1924">
        <v>8</v>
      </c>
      <c r="E1924">
        <v>27</v>
      </c>
      <c r="F1924" t="s">
        <v>10353</v>
      </c>
      <c r="G1924" t="b">
        <v>0</v>
      </c>
      <c r="H1924">
        <v>3</v>
      </c>
    </row>
    <row r="1925" spans="1:8">
      <c r="A1925" t="s">
        <v>9950</v>
      </c>
      <c r="B1925" s="4">
        <v>45838</v>
      </c>
      <c r="C1925">
        <v>2025</v>
      </c>
      <c r="D1925">
        <v>6</v>
      </c>
      <c r="E1925">
        <v>30</v>
      </c>
      <c r="F1925" t="s">
        <v>10356</v>
      </c>
      <c r="G1925" t="b">
        <v>0</v>
      </c>
      <c r="H1925">
        <v>2</v>
      </c>
    </row>
    <row r="1926" spans="1:8">
      <c r="A1926" t="s">
        <v>9955</v>
      </c>
      <c r="B1926" s="4">
        <v>45536</v>
      </c>
      <c r="C1926">
        <v>2024</v>
      </c>
      <c r="D1926">
        <v>9</v>
      </c>
      <c r="E1926">
        <v>1</v>
      </c>
      <c r="F1926" t="s">
        <v>10355</v>
      </c>
      <c r="G1926" t="b">
        <v>1</v>
      </c>
      <c r="H1926">
        <v>3</v>
      </c>
    </row>
    <row r="1927" spans="1:8">
      <c r="A1927" t="s">
        <v>9960</v>
      </c>
      <c r="B1927" s="4">
        <v>45608</v>
      </c>
      <c r="C1927">
        <v>2024</v>
      </c>
      <c r="D1927">
        <v>11</v>
      </c>
      <c r="E1927">
        <v>12</v>
      </c>
      <c r="F1927" t="s">
        <v>10353</v>
      </c>
      <c r="G1927" t="b">
        <v>0</v>
      </c>
      <c r="H1927">
        <v>4</v>
      </c>
    </row>
    <row r="1928" spans="1:8">
      <c r="A1928" t="s">
        <v>9965</v>
      </c>
      <c r="B1928" s="4">
        <v>45772</v>
      </c>
      <c r="C1928">
        <v>2025</v>
      </c>
      <c r="D1928">
        <v>4</v>
      </c>
      <c r="E1928">
        <v>25</v>
      </c>
      <c r="F1928" t="s">
        <v>10352</v>
      </c>
      <c r="G1928" t="b">
        <v>0</v>
      </c>
      <c r="H1928">
        <v>2</v>
      </c>
    </row>
    <row r="1929" spans="1:8">
      <c r="A1929" t="s">
        <v>9970</v>
      </c>
      <c r="B1929" s="4">
        <v>45490</v>
      </c>
      <c r="C1929">
        <v>2024</v>
      </c>
      <c r="D1929">
        <v>7</v>
      </c>
      <c r="E1929">
        <v>17</v>
      </c>
      <c r="F1929" t="s">
        <v>10351</v>
      </c>
      <c r="G1929" t="b">
        <v>0</v>
      </c>
      <c r="H1929">
        <v>3</v>
      </c>
    </row>
    <row r="1930" spans="1:8">
      <c r="A1930" t="s">
        <v>9975</v>
      </c>
      <c r="B1930" s="4">
        <v>45668</v>
      </c>
      <c r="C1930">
        <v>2025</v>
      </c>
      <c r="D1930">
        <v>1</v>
      </c>
      <c r="E1930">
        <v>11</v>
      </c>
      <c r="F1930" t="s">
        <v>10354</v>
      </c>
      <c r="G1930" t="b">
        <v>1</v>
      </c>
      <c r="H1930">
        <v>1</v>
      </c>
    </row>
    <row r="1931" spans="1:8">
      <c r="A1931" t="s">
        <v>9980</v>
      </c>
      <c r="B1931" s="4">
        <v>45986</v>
      </c>
      <c r="C1931">
        <v>2025</v>
      </c>
      <c r="D1931">
        <v>11</v>
      </c>
      <c r="E1931">
        <v>25</v>
      </c>
      <c r="F1931" t="s">
        <v>10353</v>
      </c>
      <c r="G1931" t="b">
        <v>0</v>
      </c>
      <c r="H1931">
        <v>4</v>
      </c>
    </row>
    <row r="1932" spans="1:8">
      <c r="A1932" t="s">
        <v>9985</v>
      </c>
      <c r="B1932" s="4">
        <v>45876</v>
      </c>
      <c r="C1932">
        <v>2025</v>
      </c>
      <c r="D1932">
        <v>8</v>
      </c>
      <c r="E1932">
        <v>7</v>
      </c>
      <c r="F1932" t="s">
        <v>10350</v>
      </c>
      <c r="G1932" t="b">
        <v>0</v>
      </c>
      <c r="H1932">
        <v>3</v>
      </c>
    </row>
    <row r="1933" spans="1:8">
      <c r="A1933" t="s">
        <v>9990</v>
      </c>
      <c r="B1933" s="4">
        <v>45743</v>
      </c>
      <c r="C1933">
        <v>2025</v>
      </c>
      <c r="D1933">
        <v>3</v>
      </c>
      <c r="E1933">
        <v>27</v>
      </c>
      <c r="F1933" t="s">
        <v>10350</v>
      </c>
      <c r="G1933" t="b">
        <v>0</v>
      </c>
      <c r="H1933">
        <v>1</v>
      </c>
    </row>
    <row r="1934" spans="1:8">
      <c r="A1934" t="s">
        <v>9995</v>
      </c>
      <c r="B1934" s="4">
        <v>45764</v>
      </c>
      <c r="C1934">
        <v>2025</v>
      </c>
      <c r="D1934">
        <v>4</v>
      </c>
      <c r="E1934">
        <v>17</v>
      </c>
      <c r="F1934" t="s">
        <v>10350</v>
      </c>
      <c r="G1934" t="b">
        <v>0</v>
      </c>
      <c r="H1934">
        <v>2</v>
      </c>
    </row>
    <row r="1935" spans="1:8">
      <c r="A1935" t="s">
        <v>10000</v>
      </c>
      <c r="B1935" s="4">
        <v>45580</v>
      </c>
      <c r="C1935">
        <v>2024</v>
      </c>
      <c r="D1935">
        <v>10</v>
      </c>
      <c r="E1935">
        <v>15</v>
      </c>
      <c r="F1935" t="s">
        <v>10353</v>
      </c>
      <c r="G1935" t="b">
        <v>0</v>
      </c>
      <c r="H1935">
        <v>4</v>
      </c>
    </row>
    <row r="1936" spans="1:8">
      <c r="A1936" t="s">
        <v>10005</v>
      </c>
      <c r="B1936" s="4">
        <v>45683</v>
      </c>
      <c r="C1936">
        <v>2025</v>
      </c>
      <c r="D1936">
        <v>1</v>
      </c>
      <c r="E1936">
        <v>26</v>
      </c>
      <c r="F1936" t="s">
        <v>10355</v>
      </c>
      <c r="G1936" t="b">
        <v>1</v>
      </c>
      <c r="H1936">
        <v>1</v>
      </c>
    </row>
    <row r="1937" spans="1:8">
      <c r="A1937" t="s">
        <v>10010</v>
      </c>
      <c r="B1937" s="4">
        <v>45806</v>
      </c>
      <c r="C1937">
        <v>2025</v>
      </c>
      <c r="D1937">
        <v>5</v>
      </c>
      <c r="E1937">
        <v>29</v>
      </c>
      <c r="F1937" t="s">
        <v>10350</v>
      </c>
      <c r="G1937" t="b">
        <v>0</v>
      </c>
      <c r="H1937">
        <v>2</v>
      </c>
    </row>
    <row r="1938" spans="1:8">
      <c r="A1938" t="s">
        <v>10015</v>
      </c>
      <c r="B1938" s="4">
        <v>45832</v>
      </c>
      <c r="C1938">
        <v>2025</v>
      </c>
      <c r="D1938">
        <v>6</v>
      </c>
      <c r="E1938">
        <v>24</v>
      </c>
      <c r="F1938" t="s">
        <v>10353</v>
      </c>
      <c r="G1938" t="b">
        <v>0</v>
      </c>
      <c r="H1938">
        <v>2</v>
      </c>
    </row>
    <row r="1939" spans="1:8">
      <c r="A1939" t="s">
        <v>10020</v>
      </c>
      <c r="B1939" s="4">
        <v>45720</v>
      </c>
      <c r="C1939">
        <v>2025</v>
      </c>
      <c r="D1939">
        <v>3</v>
      </c>
      <c r="E1939">
        <v>4</v>
      </c>
      <c r="F1939" t="s">
        <v>10353</v>
      </c>
      <c r="G1939" t="b">
        <v>0</v>
      </c>
      <c r="H1939">
        <v>1</v>
      </c>
    </row>
    <row r="1940" spans="1:8">
      <c r="A1940" t="s">
        <v>10025</v>
      </c>
      <c r="B1940" s="4">
        <v>45457</v>
      </c>
      <c r="C1940">
        <v>2024</v>
      </c>
      <c r="D1940">
        <v>6</v>
      </c>
      <c r="E1940">
        <v>14</v>
      </c>
      <c r="F1940" t="s">
        <v>10352</v>
      </c>
      <c r="G1940" t="b">
        <v>0</v>
      </c>
      <c r="H1940">
        <v>2</v>
      </c>
    </row>
    <row r="1941" spans="1:8">
      <c r="A1941" t="s">
        <v>10030</v>
      </c>
      <c r="B1941" s="4">
        <v>45496</v>
      </c>
      <c r="C1941">
        <v>2024</v>
      </c>
      <c r="D1941">
        <v>7</v>
      </c>
      <c r="E1941">
        <v>23</v>
      </c>
      <c r="F1941" t="s">
        <v>10353</v>
      </c>
      <c r="G1941" t="b">
        <v>0</v>
      </c>
      <c r="H1941">
        <v>3</v>
      </c>
    </row>
    <row r="1942" spans="1:8">
      <c r="A1942" t="s">
        <v>10035</v>
      </c>
      <c r="B1942" s="4">
        <v>45911</v>
      </c>
      <c r="C1942">
        <v>2025</v>
      </c>
      <c r="D1942">
        <v>9</v>
      </c>
      <c r="E1942">
        <v>11</v>
      </c>
      <c r="F1942" t="s">
        <v>10350</v>
      </c>
      <c r="G1942" t="b">
        <v>0</v>
      </c>
      <c r="H1942">
        <v>3</v>
      </c>
    </row>
    <row r="1943" spans="1:8">
      <c r="A1943" t="s">
        <v>10040</v>
      </c>
      <c r="B1943" s="4">
        <v>45433</v>
      </c>
      <c r="C1943">
        <v>2024</v>
      </c>
      <c r="D1943">
        <v>5</v>
      </c>
      <c r="E1943">
        <v>21</v>
      </c>
      <c r="F1943" t="s">
        <v>10353</v>
      </c>
      <c r="G1943" t="b">
        <v>0</v>
      </c>
      <c r="H1943">
        <v>2</v>
      </c>
    </row>
    <row r="1944" spans="1:8">
      <c r="A1944" t="s">
        <v>10045</v>
      </c>
      <c r="B1944" s="4">
        <v>45548</v>
      </c>
      <c r="C1944">
        <v>2024</v>
      </c>
      <c r="D1944">
        <v>9</v>
      </c>
      <c r="E1944">
        <v>13</v>
      </c>
      <c r="F1944" t="s">
        <v>10352</v>
      </c>
      <c r="G1944" t="b">
        <v>0</v>
      </c>
      <c r="H1944">
        <v>3</v>
      </c>
    </row>
    <row r="1945" spans="1:8">
      <c r="A1945" t="s">
        <v>10050</v>
      </c>
      <c r="B1945" s="4">
        <v>45345</v>
      </c>
      <c r="C1945">
        <v>2024</v>
      </c>
      <c r="D1945">
        <v>2</v>
      </c>
      <c r="E1945">
        <v>23</v>
      </c>
      <c r="F1945" t="s">
        <v>10352</v>
      </c>
      <c r="G1945" t="b">
        <v>0</v>
      </c>
      <c r="H1945">
        <v>1</v>
      </c>
    </row>
    <row r="1946" spans="1:8">
      <c r="A1946" t="s">
        <v>10055</v>
      </c>
      <c r="B1946" s="4">
        <v>45948</v>
      </c>
      <c r="C1946">
        <v>2025</v>
      </c>
      <c r="D1946">
        <v>10</v>
      </c>
      <c r="E1946">
        <v>18</v>
      </c>
      <c r="F1946" t="s">
        <v>10354</v>
      </c>
      <c r="G1946" t="b">
        <v>1</v>
      </c>
      <c r="H1946">
        <v>4</v>
      </c>
    </row>
    <row r="1947" spans="1:8">
      <c r="A1947" t="s">
        <v>10060</v>
      </c>
      <c r="B1947" s="4">
        <v>45784</v>
      </c>
      <c r="C1947">
        <v>2025</v>
      </c>
      <c r="D1947">
        <v>5</v>
      </c>
      <c r="E1947">
        <v>7</v>
      </c>
      <c r="F1947" t="s">
        <v>10351</v>
      </c>
      <c r="G1947" t="b">
        <v>0</v>
      </c>
      <c r="H1947">
        <v>2</v>
      </c>
    </row>
    <row r="1948" spans="1:8">
      <c r="A1948" t="s">
        <v>10065</v>
      </c>
      <c r="B1948" s="4">
        <v>45672</v>
      </c>
      <c r="C1948">
        <v>2025</v>
      </c>
      <c r="D1948">
        <v>1</v>
      </c>
      <c r="E1948">
        <v>15</v>
      </c>
      <c r="F1948" t="s">
        <v>10351</v>
      </c>
      <c r="G1948" t="b">
        <v>0</v>
      </c>
      <c r="H1948">
        <v>1</v>
      </c>
    </row>
    <row r="1949" spans="1:8">
      <c r="A1949" t="s">
        <v>10070</v>
      </c>
      <c r="B1949" s="4">
        <v>45859</v>
      </c>
      <c r="C1949">
        <v>2025</v>
      </c>
      <c r="D1949">
        <v>7</v>
      </c>
      <c r="E1949">
        <v>21</v>
      </c>
      <c r="F1949" t="s">
        <v>10356</v>
      </c>
      <c r="G1949" t="b">
        <v>0</v>
      </c>
      <c r="H1949">
        <v>3</v>
      </c>
    </row>
    <row r="1950" spans="1:8">
      <c r="A1950" t="s">
        <v>10075</v>
      </c>
      <c r="B1950" s="4">
        <v>45397</v>
      </c>
      <c r="C1950">
        <v>2024</v>
      </c>
      <c r="D1950">
        <v>4</v>
      </c>
      <c r="E1950">
        <v>15</v>
      </c>
      <c r="F1950" t="s">
        <v>10356</v>
      </c>
      <c r="G1950" t="b">
        <v>0</v>
      </c>
      <c r="H1950">
        <v>2</v>
      </c>
    </row>
    <row r="1951" spans="1:8">
      <c r="A1951" t="s">
        <v>10080</v>
      </c>
      <c r="B1951" s="4">
        <v>46020</v>
      </c>
      <c r="C1951">
        <v>2025</v>
      </c>
      <c r="D1951">
        <v>12</v>
      </c>
      <c r="E1951">
        <v>29</v>
      </c>
      <c r="F1951" t="s">
        <v>10356</v>
      </c>
      <c r="G1951" t="b">
        <v>0</v>
      </c>
      <c r="H1951">
        <v>4</v>
      </c>
    </row>
    <row r="1952" spans="1:8">
      <c r="A1952" t="s">
        <v>10085</v>
      </c>
      <c r="B1952" s="4">
        <v>45820</v>
      </c>
      <c r="C1952">
        <v>2025</v>
      </c>
      <c r="D1952">
        <v>6</v>
      </c>
      <c r="E1952">
        <v>12</v>
      </c>
      <c r="F1952" t="s">
        <v>10350</v>
      </c>
      <c r="G1952" t="b">
        <v>0</v>
      </c>
      <c r="H1952">
        <v>2</v>
      </c>
    </row>
    <row r="1953" spans="1:8">
      <c r="A1953" t="s">
        <v>10090</v>
      </c>
      <c r="B1953" s="4">
        <v>45419</v>
      </c>
      <c r="C1953">
        <v>2024</v>
      </c>
      <c r="D1953">
        <v>5</v>
      </c>
      <c r="E1953">
        <v>7</v>
      </c>
      <c r="F1953" t="s">
        <v>10353</v>
      </c>
      <c r="G1953" t="b">
        <v>0</v>
      </c>
      <c r="H1953">
        <v>2</v>
      </c>
    </row>
    <row r="1954" spans="1:8">
      <c r="A1954" t="s">
        <v>10095</v>
      </c>
      <c r="B1954" s="4">
        <v>45583</v>
      </c>
      <c r="C1954">
        <v>2024</v>
      </c>
      <c r="D1954">
        <v>10</v>
      </c>
      <c r="E1954">
        <v>18</v>
      </c>
      <c r="F1954" t="s">
        <v>10352</v>
      </c>
      <c r="G1954" t="b">
        <v>0</v>
      </c>
      <c r="H1954">
        <v>4</v>
      </c>
    </row>
    <row r="1955" spans="1:8">
      <c r="A1955" t="s">
        <v>10100</v>
      </c>
      <c r="B1955" s="4">
        <v>45377</v>
      </c>
      <c r="C1955">
        <v>2024</v>
      </c>
      <c r="D1955">
        <v>3</v>
      </c>
      <c r="E1955">
        <v>26</v>
      </c>
      <c r="F1955" t="s">
        <v>10353</v>
      </c>
      <c r="G1955" t="b">
        <v>0</v>
      </c>
      <c r="H1955">
        <v>1</v>
      </c>
    </row>
    <row r="1956" spans="1:8">
      <c r="A1956" t="s">
        <v>10105</v>
      </c>
      <c r="B1956" s="4">
        <v>45456</v>
      </c>
      <c r="C1956">
        <v>2024</v>
      </c>
      <c r="D1956">
        <v>6</v>
      </c>
      <c r="E1956">
        <v>13</v>
      </c>
      <c r="F1956" t="s">
        <v>10350</v>
      </c>
      <c r="G1956" t="b">
        <v>0</v>
      </c>
      <c r="H1956">
        <v>2</v>
      </c>
    </row>
    <row r="1957" spans="1:8">
      <c r="A1957" t="s">
        <v>10110</v>
      </c>
      <c r="B1957" s="4">
        <v>45571</v>
      </c>
      <c r="C1957">
        <v>2024</v>
      </c>
      <c r="D1957">
        <v>10</v>
      </c>
      <c r="E1957">
        <v>6</v>
      </c>
      <c r="F1957" t="s">
        <v>10355</v>
      </c>
      <c r="G1957" t="b">
        <v>1</v>
      </c>
      <c r="H1957">
        <v>4</v>
      </c>
    </row>
    <row r="1958" spans="1:8">
      <c r="A1958" t="s">
        <v>10115</v>
      </c>
      <c r="B1958" s="4">
        <v>45752</v>
      </c>
      <c r="C1958">
        <v>2025</v>
      </c>
      <c r="D1958">
        <v>4</v>
      </c>
      <c r="E1958">
        <v>5</v>
      </c>
      <c r="F1958" t="s">
        <v>10354</v>
      </c>
      <c r="G1958" t="b">
        <v>1</v>
      </c>
      <c r="H1958">
        <v>2</v>
      </c>
    </row>
    <row r="1959" spans="1:8">
      <c r="A1959" t="s">
        <v>10120</v>
      </c>
      <c r="B1959" s="4">
        <v>45817</v>
      </c>
      <c r="C1959">
        <v>2025</v>
      </c>
      <c r="D1959">
        <v>6</v>
      </c>
      <c r="E1959">
        <v>9</v>
      </c>
      <c r="F1959" t="s">
        <v>10356</v>
      </c>
      <c r="G1959" t="b">
        <v>0</v>
      </c>
      <c r="H1959">
        <v>2</v>
      </c>
    </row>
    <row r="1960" spans="1:8">
      <c r="A1960" t="s">
        <v>10125</v>
      </c>
      <c r="B1960" s="4">
        <v>45442</v>
      </c>
      <c r="C1960">
        <v>2024</v>
      </c>
      <c r="D1960">
        <v>5</v>
      </c>
      <c r="E1960">
        <v>30</v>
      </c>
      <c r="F1960" t="s">
        <v>10350</v>
      </c>
      <c r="G1960" t="b">
        <v>0</v>
      </c>
      <c r="H1960">
        <v>2</v>
      </c>
    </row>
    <row r="1961" spans="1:8">
      <c r="A1961" t="s">
        <v>10130</v>
      </c>
      <c r="B1961" s="4">
        <v>45739</v>
      </c>
      <c r="C1961">
        <v>2025</v>
      </c>
      <c r="D1961">
        <v>3</v>
      </c>
      <c r="E1961">
        <v>23</v>
      </c>
      <c r="F1961" t="s">
        <v>10355</v>
      </c>
      <c r="G1961" t="b">
        <v>1</v>
      </c>
      <c r="H1961">
        <v>1</v>
      </c>
    </row>
    <row r="1962" spans="1:8">
      <c r="A1962" t="s">
        <v>10135</v>
      </c>
      <c r="B1962" s="4">
        <v>45385</v>
      </c>
      <c r="C1962">
        <v>2024</v>
      </c>
      <c r="D1962">
        <v>4</v>
      </c>
      <c r="E1962">
        <v>3</v>
      </c>
      <c r="F1962" t="s">
        <v>10351</v>
      </c>
      <c r="G1962" t="b">
        <v>0</v>
      </c>
      <c r="H1962">
        <v>2</v>
      </c>
    </row>
    <row r="1963" spans="1:8">
      <c r="A1963" t="s">
        <v>10140</v>
      </c>
      <c r="B1963" s="4">
        <v>45519</v>
      </c>
      <c r="C1963">
        <v>2024</v>
      </c>
      <c r="D1963">
        <v>8</v>
      </c>
      <c r="E1963">
        <v>15</v>
      </c>
      <c r="F1963" t="s">
        <v>10350</v>
      </c>
      <c r="G1963" t="b">
        <v>0</v>
      </c>
      <c r="H1963">
        <v>3</v>
      </c>
    </row>
    <row r="1964" spans="1:8">
      <c r="A1964" t="s">
        <v>10145</v>
      </c>
      <c r="B1964" s="4">
        <v>45753</v>
      </c>
      <c r="C1964">
        <v>2025</v>
      </c>
      <c r="D1964">
        <v>4</v>
      </c>
      <c r="E1964">
        <v>6</v>
      </c>
      <c r="F1964" t="s">
        <v>10355</v>
      </c>
      <c r="G1964" t="b">
        <v>1</v>
      </c>
      <c r="H1964">
        <v>2</v>
      </c>
    </row>
    <row r="1965" spans="1:8">
      <c r="A1965" t="s">
        <v>10150</v>
      </c>
      <c r="B1965" s="4">
        <v>45649</v>
      </c>
      <c r="C1965">
        <v>2024</v>
      </c>
      <c r="D1965">
        <v>12</v>
      </c>
      <c r="E1965">
        <v>23</v>
      </c>
      <c r="F1965" t="s">
        <v>10356</v>
      </c>
      <c r="G1965" t="b">
        <v>0</v>
      </c>
      <c r="H1965">
        <v>4</v>
      </c>
    </row>
    <row r="1966" spans="1:8">
      <c r="A1966" t="s">
        <v>10155</v>
      </c>
      <c r="B1966" s="4">
        <v>45319</v>
      </c>
      <c r="C1966">
        <v>2024</v>
      </c>
      <c r="D1966">
        <v>1</v>
      </c>
      <c r="E1966">
        <v>28</v>
      </c>
      <c r="F1966" t="s">
        <v>10355</v>
      </c>
      <c r="G1966" t="b">
        <v>1</v>
      </c>
      <c r="H1966">
        <v>1</v>
      </c>
    </row>
    <row r="1967" spans="1:8">
      <c r="A1967" t="s">
        <v>10160</v>
      </c>
      <c r="B1967" s="4">
        <v>45716</v>
      </c>
      <c r="C1967">
        <v>2025</v>
      </c>
      <c r="D1967">
        <v>2</v>
      </c>
      <c r="E1967">
        <v>28</v>
      </c>
      <c r="F1967" t="s">
        <v>10352</v>
      </c>
      <c r="G1967" t="b">
        <v>0</v>
      </c>
      <c r="H1967">
        <v>1</v>
      </c>
    </row>
    <row r="1968" spans="1:8">
      <c r="A1968" t="s">
        <v>10165</v>
      </c>
      <c r="B1968" s="4">
        <v>45346</v>
      </c>
      <c r="C1968">
        <v>2024</v>
      </c>
      <c r="D1968">
        <v>2</v>
      </c>
      <c r="E1968">
        <v>24</v>
      </c>
      <c r="F1968" t="s">
        <v>10354</v>
      </c>
      <c r="G1968" t="b">
        <v>1</v>
      </c>
      <c r="H1968">
        <v>1</v>
      </c>
    </row>
    <row r="1969" spans="1:8">
      <c r="A1969" t="s">
        <v>10170</v>
      </c>
      <c r="B1969" s="4">
        <v>45697</v>
      </c>
      <c r="C1969">
        <v>2025</v>
      </c>
      <c r="D1969">
        <v>2</v>
      </c>
      <c r="E1969">
        <v>9</v>
      </c>
      <c r="F1969" t="s">
        <v>10355</v>
      </c>
      <c r="G1969" t="b">
        <v>1</v>
      </c>
      <c r="H1969">
        <v>1</v>
      </c>
    </row>
    <row r="1970" spans="1:8">
      <c r="A1970" t="s">
        <v>10175</v>
      </c>
      <c r="B1970" s="4">
        <v>45806</v>
      </c>
      <c r="C1970">
        <v>2025</v>
      </c>
      <c r="D1970">
        <v>5</v>
      </c>
      <c r="E1970">
        <v>29</v>
      </c>
      <c r="F1970" t="s">
        <v>10350</v>
      </c>
      <c r="G1970" t="b">
        <v>0</v>
      </c>
      <c r="H1970">
        <v>2</v>
      </c>
    </row>
    <row r="1971" spans="1:8">
      <c r="A1971" t="s">
        <v>10180</v>
      </c>
      <c r="B1971" s="4">
        <v>45674</v>
      </c>
      <c r="C1971">
        <v>2025</v>
      </c>
      <c r="D1971">
        <v>1</v>
      </c>
      <c r="E1971">
        <v>17</v>
      </c>
      <c r="F1971" t="s">
        <v>10352</v>
      </c>
      <c r="G1971" t="b">
        <v>0</v>
      </c>
      <c r="H1971">
        <v>1</v>
      </c>
    </row>
    <row r="1972" spans="1:8">
      <c r="A1972" t="s">
        <v>10185</v>
      </c>
      <c r="B1972" s="4">
        <v>45533</v>
      </c>
      <c r="C1972">
        <v>2024</v>
      </c>
      <c r="D1972">
        <v>8</v>
      </c>
      <c r="E1972">
        <v>29</v>
      </c>
      <c r="F1972" t="s">
        <v>10350</v>
      </c>
      <c r="G1972" t="b">
        <v>0</v>
      </c>
      <c r="H1972">
        <v>3</v>
      </c>
    </row>
    <row r="1973" spans="1:8">
      <c r="A1973" t="s">
        <v>10190</v>
      </c>
      <c r="B1973" s="4">
        <v>45687</v>
      </c>
      <c r="C1973">
        <v>2025</v>
      </c>
      <c r="D1973">
        <v>1</v>
      </c>
      <c r="E1973">
        <v>30</v>
      </c>
      <c r="F1973" t="s">
        <v>10350</v>
      </c>
      <c r="G1973" t="b">
        <v>0</v>
      </c>
      <c r="H1973">
        <v>1</v>
      </c>
    </row>
    <row r="1974" spans="1:8">
      <c r="A1974" t="s">
        <v>10195</v>
      </c>
      <c r="B1974" s="4">
        <v>45375</v>
      </c>
      <c r="C1974">
        <v>2024</v>
      </c>
      <c r="D1974">
        <v>3</v>
      </c>
      <c r="E1974">
        <v>24</v>
      </c>
      <c r="F1974" t="s">
        <v>10355</v>
      </c>
      <c r="G1974" t="b">
        <v>1</v>
      </c>
      <c r="H1974">
        <v>1</v>
      </c>
    </row>
    <row r="1975" spans="1:8">
      <c r="A1975" t="s">
        <v>10200</v>
      </c>
      <c r="B1975" s="4">
        <v>45675</v>
      </c>
      <c r="C1975">
        <v>2025</v>
      </c>
      <c r="D1975">
        <v>1</v>
      </c>
      <c r="E1975">
        <v>18</v>
      </c>
      <c r="F1975" t="s">
        <v>10354</v>
      </c>
      <c r="G1975" t="b">
        <v>1</v>
      </c>
      <c r="H1975">
        <v>1</v>
      </c>
    </row>
    <row r="1976" spans="1:8">
      <c r="A1976" t="s">
        <v>10205</v>
      </c>
      <c r="B1976" s="4">
        <v>45521</v>
      </c>
      <c r="C1976">
        <v>2024</v>
      </c>
      <c r="D1976">
        <v>8</v>
      </c>
      <c r="E1976">
        <v>17</v>
      </c>
      <c r="F1976" t="s">
        <v>10354</v>
      </c>
      <c r="G1976" t="b">
        <v>1</v>
      </c>
      <c r="H1976">
        <v>3</v>
      </c>
    </row>
    <row r="1977" spans="1:8">
      <c r="A1977" t="s">
        <v>10210</v>
      </c>
      <c r="B1977" s="4">
        <v>45320</v>
      </c>
      <c r="C1977">
        <v>2024</v>
      </c>
      <c r="D1977">
        <v>1</v>
      </c>
      <c r="E1977">
        <v>29</v>
      </c>
      <c r="F1977" t="s">
        <v>10356</v>
      </c>
      <c r="G1977" t="b">
        <v>0</v>
      </c>
      <c r="H1977">
        <v>1</v>
      </c>
    </row>
    <row r="1978" spans="1:8">
      <c r="A1978" t="s">
        <v>10215</v>
      </c>
      <c r="B1978" s="4">
        <v>45618</v>
      </c>
      <c r="C1978">
        <v>2024</v>
      </c>
      <c r="D1978">
        <v>11</v>
      </c>
      <c r="E1978">
        <v>22</v>
      </c>
      <c r="F1978" t="s">
        <v>10352</v>
      </c>
      <c r="G1978" t="b">
        <v>0</v>
      </c>
      <c r="H1978">
        <v>4</v>
      </c>
    </row>
    <row r="1979" spans="1:8">
      <c r="A1979" t="s">
        <v>10220</v>
      </c>
      <c r="B1979" s="4">
        <v>45393</v>
      </c>
      <c r="C1979">
        <v>2024</v>
      </c>
      <c r="D1979">
        <v>4</v>
      </c>
      <c r="E1979">
        <v>11</v>
      </c>
      <c r="F1979" t="s">
        <v>10350</v>
      </c>
      <c r="G1979" t="b">
        <v>0</v>
      </c>
      <c r="H1979">
        <v>2</v>
      </c>
    </row>
    <row r="1980" spans="1:8">
      <c r="A1980" t="s">
        <v>10225</v>
      </c>
      <c r="B1980" s="4">
        <v>45957</v>
      </c>
      <c r="C1980">
        <v>2025</v>
      </c>
      <c r="D1980">
        <v>10</v>
      </c>
      <c r="E1980">
        <v>27</v>
      </c>
      <c r="F1980" t="s">
        <v>10356</v>
      </c>
      <c r="G1980" t="b">
        <v>0</v>
      </c>
      <c r="H1980">
        <v>4</v>
      </c>
    </row>
    <row r="1981" spans="1:8">
      <c r="A1981" t="s">
        <v>10230</v>
      </c>
      <c r="B1981" s="4">
        <v>45635</v>
      </c>
      <c r="C1981">
        <v>2024</v>
      </c>
      <c r="D1981">
        <v>12</v>
      </c>
      <c r="E1981">
        <v>9</v>
      </c>
      <c r="F1981" t="s">
        <v>10356</v>
      </c>
      <c r="G1981" t="b">
        <v>0</v>
      </c>
      <c r="H1981">
        <v>4</v>
      </c>
    </row>
    <row r="1982" spans="1:8">
      <c r="A1982" t="s">
        <v>10235</v>
      </c>
      <c r="B1982" s="4">
        <v>45441</v>
      </c>
      <c r="C1982">
        <v>2024</v>
      </c>
      <c r="D1982">
        <v>5</v>
      </c>
      <c r="E1982">
        <v>29</v>
      </c>
      <c r="F1982" t="s">
        <v>10351</v>
      </c>
      <c r="G1982" t="b">
        <v>0</v>
      </c>
      <c r="H1982">
        <v>2</v>
      </c>
    </row>
    <row r="1983" spans="1:8">
      <c r="A1983" t="s">
        <v>10240</v>
      </c>
      <c r="B1983" s="4">
        <v>45432</v>
      </c>
      <c r="C1983">
        <v>2024</v>
      </c>
      <c r="D1983">
        <v>5</v>
      </c>
      <c r="E1983">
        <v>20</v>
      </c>
      <c r="F1983" t="s">
        <v>10356</v>
      </c>
      <c r="G1983" t="b">
        <v>0</v>
      </c>
      <c r="H1983">
        <v>2</v>
      </c>
    </row>
    <row r="1984" spans="1:8">
      <c r="A1984" t="s">
        <v>10245</v>
      </c>
      <c r="B1984" s="4">
        <v>45331</v>
      </c>
      <c r="C1984">
        <v>2024</v>
      </c>
      <c r="D1984">
        <v>2</v>
      </c>
      <c r="E1984">
        <v>9</v>
      </c>
      <c r="F1984" t="s">
        <v>10352</v>
      </c>
      <c r="G1984" t="b">
        <v>0</v>
      </c>
      <c r="H1984">
        <v>1</v>
      </c>
    </row>
    <row r="1985" spans="1:8">
      <c r="A1985" t="s">
        <v>10250</v>
      </c>
      <c r="B1985" s="4">
        <v>45585</v>
      </c>
      <c r="C1985">
        <v>2024</v>
      </c>
      <c r="D1985">
        <v>10</v>
      </c>
      <c r="E1985">
        <v>20</v>
      </c>
      <c r="F1985" t="s">
        <v>10355</v>
      </c>
      <c r="G1985" t="b">
        <v>1</v>
      </c>
      <c r="H1985">
        <v>4</v>
      </c>
    </row>
    <row r="1986" spans="1:8">
      <c r="A1986" t="s">
        <v>10255</v>
      </c>
      <c r="B1986" s="4">
        <v>45775</v>
      </c>
      <c r="C1986">
        <v>2025</v>
      </c>
      <c r="D1986">
        <v>4</v>
      </c>
      <c r="E1986">
        <v>28</v>
      </c>
      <c r="F1986" t="s">
        <v>10356</v>
      </c>
      <c r="G1986" t="b">
        <v>0</v>
      </c>
      <c r="H1986">
        <v>2</v>
      </c>
    </row>
    <row r="1987" spans="1:8">
      <c r="A1987" t="s">
        <v>10260</v>
      </c>
      <c r="B1987" s="4">
        <v>46004</v>
      </c>
      <c r="C1987">
        <v>2025</v>
      </c>
      <c r="D1987">
        <v>12</v>
      </c>
      <c r="E1987">
        <v>13</v>
      </c>
      <c r="F1987" t="s">
        <v>10354</v>
      </c>
      <c r="G1987" t="b">
        <v>1</v>
      </c>
      <c r="H1987">
        <v>4</v>
      </c>
    </row>
    <row r="1988" spans="1:8">
      <c r="A1988" t="s">
        <v>10265</v>
      </c>
      <c r="B1988" s="4">
        <v>45434</v>
      </c>
      <c r="C1988">
        <v>2024</v>
      </c>
      <c r="D1988">
        <v>5</v>
      </c>
      <c r="E1988">
        <v>22</v>
      </c>
      <c r="F1988" t="s">
        <v>10351</v>
      </c>
      <c r="G1988" t="b">
        <v>0</v>
      </c>
      <c r="H1988">
        <v>2</v>
      </c>
    </row>
    <row r="1989" spans="1:8">
      <c r="A1989" t="s">
        <v>10270</v>
      </c>
      <c r="B1989" s="4">
        <v>46014</v>
      </c>
      <c r="C1989">
        <v>2025</v>
      </c>
      <c r="D1989">
        <v>12</v>
      </c>
      <c r="E1989">
        <v>23</v>
      </c>
      <c r="F1989" t="s">
        <v>10353</v>
      </c>
      <c r="G1989" t="b">
        <v>0</v>
      </c>
      <c r="H1989">
        <v>4</v>
      </c>
    </row>
    <row r="1990" spans="1:8">
      <c r="A1990" t="s">
        <v>10275</v>
      </c>
      <c r="B1990" s="4">
        <v>45772</v>
      </c>
      <c r="C1990">
        <v>2025</v>
      </c>
      <c r="D1990">
        <v>4</v>
      </c>
      <c r="E1990">
        <v>25</v>
      </c>
      <c r="F1990" t="s">
        <v>10352</v>
      </c>
      <c r="G1990" t="b">
        <v>0</v>
      </c>
      <c r="H1990">
        <v>2</v>
      </c>
    </row>
    <row r="1991" spans="1:8">
      <c r="A1991" t="s">
        <v>10280</v>
      </c>
      <c r="B1991" s="4">
        <v>45751</v>
      </c>
      <c r="C1991">
        <v>2025</v>
      </c>
      <c r="D1991">
        <v>4</v>
      </c>
      <c r="E1991">
        <v>4</v>
      </c>
      <c r="F1991" t="s">
        <v>10352</v>
      </c>
      <c r="G1991" t="b">
        <v>0</v>
      </c>
      <c r="H1991">
        <v>2</v>
      </c>
    </row>
    <row r="1992" spans="1:8">
      <c r="A1992" t="s">
        <v>10285</v>
      </c>
      <c r="B1992" s="4">
        <v>45922</v>
      </c>
      <c r="C1992">
        <v>2025</v>
      </c>
      <c r="D1992">
        <v>9</v>
      </c>
      <c r="E1992">
        <v>22</v>
      </c>
      <c r="F1992" t="s">
        <v>10356</v>
      </c>
      <c r="G1992" t="b">
        <v>0</v>
      </c>
      <c r="H1992">
        <v>3</v>
      </c>
    </row>
    <row r="1993" spans="1:8">
      <c r="A1993" t="s">
        <v>10290</v>
      </c>
      <c r="B1993" s="4">
        <v>45297</v>
      </c>
      <c r="C1993">
        <v>2024</v>
      </c>
      <c r="D1993">
        <v>1</v>
      </c>
      <c r="E1993">
        <v>6</v>
      </c>
      <c r="F1993" t="s">
        <v>10354</v>
      </c>
      <c r="G1993" t="b">
        <v>1</v>
      </c>
      <c r="H1993">
        <v>1</v>
      </c>
    </row>
    <row r="1994" spans="1:8">
      <c r="A1994" t="s">
        <v>10295</v>
      </c>
      <c r="B1994" s="4">
        <v>45373</v>
      </c>
      <c r="C1994">
        <v>2024</v>
      </c>
      <c r="D1994">
        <v>3</v>
      </c>
      <c r="E1994">
        <v>22</v>
      </c>
      <c r="F1994" t="s">
        <v>10352</v>
      </c>
      <c r="G1994" t="b">
        <v>0</v>
      </c>
      <c r="H1994">
        <v>1</v>
      </c>
    </row>
    <row r="1995" spans="1:8">
      <c r="A1995" t="s">
        <v>10300</v>
      </c>
      <c r="B1995" s="4">
        <v>45311</v>
      </c>
      <c r="C1995">
        <v>2024</v>
      </c>
      <c r="D1995">
        <v>1</v>
      </c>
      <c r="E1995">
        <v>20</v>
      </c>
      <c r="F1995" t="s">
        <v>10354</v>
      </c>
      <c r="G1995" t="b">
        <v>1</v>
      </c>
      <c r="H1995">
        <v>1</v>
      </c>
    </row>
    <row r="1996" spans="1:8">
      <c r="A1996" t="s">
        <v>10305</v>
      </c>
      <c r="B1996" s="4">
        <v>45554</v>
      </c>
      <c r="C1996">
        <v>2024</v>
      </c>
      <c r="D1996">
        <v>9</v>
      </c>
      <c r="E1996">
        <v>19</v>
      </c>
      <c r="F1996" t="s">
        <v>10350</v>
      </c>
      <c r="G1996" t="b">
        <v>0</v>
      </c>
      <c r="H1996">
        <v>3</v>
      </c>
    </row>
    <row r="1997" spans="1:8">
      <c r="A1997" t="s">
        <v>10310</v>
      </c>
      <c r="B1997" s="4">
        <v>45512</v>
      </c>
      <c r="C1997">
        <v>2024</v>
      </c>
      <c r="D1997">
        <v>8</v>
      </c>
      <c r="E1997">
        <v>8</v>
      </c>
      <c r="F1997" t="s">
        <v>10350</v>
      </c>
      <c r="G1997" t="b">
        <v>0</v>
      </c>
      <c r="H1997">
        <v>3</v>
      </c>
    </row>
    <row r="1998" spans="1:8">
      <c r="A1998" t="s">
        <v>10315</v>
      </c>
      <c r="B1998" s="4">
        <v>45445</v>
      </c>
      <c r="C1998">
        <v>2024</v>
      </c>
      <c r="D1998">
        <v>6</v>
      </c>
      <c r="E1998">
        <v>2</v>
      </c>
      <c r="F1998" t="s">
        <v>10355</v>
      </c>
      <c r="G1998" t="b">
        <v>1</v>
      </c>
      <c r="H1998">
        <v>2</v>
      </c>
    </row>
    <row r="1999" spans="1:8">
      <c r="A1999" t="s">
        <v>10320</v>
      </c>
      <c r="B1999" s="4">
        <v>45853</v>
      </c>
      <c r="C1999">
        <v>2025</v>
      </c>
      <c r="D1999">
        <v>7</v>
      </c>
      <c r="E1999">
        <v>15</v>
      </c>
      <c r="F1999" t="s">
        <v>10353</v>
      </c>
      <c r="G1999" t="b">
        <v>0</v>
      </c>
      <c r="H1999">
        <v>3</v>
      </c>
    </row>
    <row r="2000" spans="1:8">
      <c r="A2000" t="s">
        <v>10325</v>
      </c>
      <c r="B2000" s="4">
        <v>45915</v>
      </c>
      <c r="C2000">
        <v>2025</v>
      </c>
      <c r="D2000">
        <v>9</v>
      </c>
      <c r="E2000">
        <v>15</v>
      </c>
      <c r="F2000" t="s">
        <v>10356</v>
      </c>
      <c r="G2000" t="b">
        <v>0</v>
      </c>
      <c r="H2000">
        <v>3</v>
      </c>
    </row>
    <row r="2001" spans="1:8">
      <c r="A2001" t="s">
        <v>10330</v>
      </c>
      <c r="B2001" s="4">
        <v>45832</v>
      </c>
      <c r="C2001">
        <v>2025</v>
      </c>
      <c r="D2001">
        <v>6</v>
      </c>
      <c r="E2001">
        <v>24</v>
      </c>
      <c r="F2001" t="s">
        <v>10353</v>
      </c>
      <c r="G2001" t="b">
        <v>0</v>
      </c>
      <c r="H2001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1"/>
  <sheetViews>
    <sheetView workbookViewId="0">
      <selection activeCell="A1" sqref="A1"/>
    </sheetView>
  </sheetViews>
  <sheetFormatPr defaultColWidth="9" defaultRowHeight="14.4" outlineLevelCol="7"/>
  <cols>
    <col min="1" max="1" width="12.8888888888889" customWidth="1"/>
    <col min="2" max="2" width="17.1111111111111" customWidth="1"/>
    <col min="3" max="3" width="7.77777777777778" customWidth="1"/>
    <col min="4" max="4" width="33.1111111111111" customWidth="1"/>
    <col min="5" max="5" width="12.8888888888889" customWidth="1"/>
    <col min="6" max="6" width="9.66666666666667" customWidth="1"/>
    <col min="7" max="7" width="14.5555555555556" customWidth="1"/>
    <col min="8" max="8" width="11.1111111111111" style="2" customWidth="1"/>
  </cols>
  <sheetData>
    <row r="1" spans="1:8">
      <c r="A1" s="1" t="s">
        <v>1</v>
      </c>
      <c r="B1" s="1" t="s">
        <v>2</v>
      </c>
      <c r="C1" s="1" t="s">
        <v>10357</v>
      </c>
      <c r="D1" s="1" t="s">
        <v>10358</v>
      </c>
      <c r="E1" s="1" t="s">
        <v>10359</v>
      </c>
      <c r="F1" s="1" t="s">
        <v>10360</v>
      </c>
      <c r="G1" s="1" t="s">
        <v>10361</v>
      </c>
      <c r="H1" s="3" t="s">
        <v>10362</v>
      </c>
    </row>
    <row r="2" spans="1:8">
      <c r="A2" t="s">
        <v>20</v>
      </c>
      <c r="B2" t="s">
        <v>882</v>
      </c>
      <c r="C2" t="s">
        <v>10363</v>
      </c>
      <c r="D2" t="s">
        <v>10364</v>
      </c>
      <c r="E2">
        <v>917197198988</v>
      </c>
      <c r="F2" t="s">
        <v>10365</v>
      </c>
      <c r="G2" t="s">
        <v>10366</v>
      </c>
      <c r="H2" s="2">
        <v>35179</v>
      </c>
    </row>
    <row r="3" spans="1:8">
      <c r="A3" t="s">
        <v>29</v>
      </c>
      <c r="B3" t="s">
        <v>581</v>
      </c>
      <c r="C3" t="s">
        <v>10367</v>
      </c>
      <c r="D3" t="s">
        <v>10368</v>
      </c>
      <c r="E3">
        <v>917545765374</v>
      </c>
      <c r="F3" t="s">
        <v>10369</v>
      </c>
      <c r="G3" t="s">
        <v>10370</v>
      </c>
      <c r="H3" s="2">
        <v>36182</v>
      </c>
    </row>
    <row r="4" spans="1:8">
      <c r="A4" t="s">
        <v>37</v>
      </c>
      <c r="B4" t="s">
        <v>3216</v>
      </c>
      <c r="C4" t="s">
        <v>10367</v>
      </c>
      <c r="D4" t="s">
        <v>10371</v>
      </c>
      <c r="E4">
        <v>916217787786</v>
      </c>
      <c r="F4" t="s">
        <v>10372</v>
      </c>
      <c r="G4" t="s">
        <v>10370</v>
      </c>
      <c r="H4" s="2">
        <v>25267</v>
      </c>
    </row>
    <row r="5" spans="1:8">
      <c r="A5" t="s">
        <v>44</v>
      </c>
      <c r="B5" t="s">
        <v>144</v>
      </c>
      <c r="C5" t="s">
        <v>10363</v>
      </c>
      <c r="D5" t="s">
        <v>10373</v>
      </c>
      <c r="E5">
        <v>917046680350</v>
      </c>
      <c r="F5" t="s">
        <v>10374</v>
      </c>
      <c r="G5" t="s">
        <v>10370</v>
      </c>
      <c r="H5" s="2">
        <v>20896</v>
      </c>
    </row>
    <row r="6" spans="1:8">
      <c r="A6" t="s">
        <v>51</v>
      </c>
      <c r="B6" t="s">
        <v>2837</v>
      </c>
      <c r="C6" t="s">
        <v>10367</v>
      </c>
      <c r="D6" t="s">
        <v>10375</v>
      </c>
      <c r="E6">
        <v>917700261102</v>
      </c>
      <c r="F6" t="s">
        <v>10376</v>
      </c>
      <c r="G6" t="s">
        <v>10377</v>
      </c>
      <c r="H6" s="2">
        <v>35807</v>
      </c>
    </row>
    <row r="7" spans="1:8">
      <c r="A7" t="s">
        <v>60</v>
      </c>
      <c r="B7" t="s">
        <v>386</v>
      </c>
      <c r="C7" t="s">
        <v>10363</v>
      </c>
      <c r="D7" t="s">
        <v>10378</v>
      </c>
      <c r="E7">
        <v>917973962109</v>
      </c>
      <c r="F7" t="s">
        <v>10374</v>
      </c>
      <c r="G7" t="s">
        <v>10379</v>
      </c>
      <c r="H7" s="2">
        <v>33654</v>
      </c>
    </row>
    <row r="8" spans="1:8">
      <c r="A8" t="s">
        <v>66</v>
      </c>
      <c r="B8" t="s">
        <v>80</v>
      </c>
      <c r="C8" t="s">
        <v>10363</v>
      </c>
      <c r="D8" t="s">
        <v>10380</v>
      </c>
      <c r="E8">
        <v>918799293393</v>
      </c>
      <c r="F8" t="s">
        <v>10381</v>
      </c>
      <c r="G8" t="s">
        <v>10377</v>
      </c>
      <c r="H8" s="2">
        <v>29917</v>
      </c>
    </row>
    <row r="9" spans="1:8">
      <c r="A9" t="s">
        <v>73</v>
      </c>
      <c r="B9" t="s">
        <v>871</v>
      </c>
      <c r="C9" t="s">
        <v>10363</v>
      </c>
      <c r="D9" t="s">
        <v>10382</v>
      </c>
      <c r="E9">
        <v>919715958985</v>
      </c>
      <c r="F9" t="s">
        <v>10369</v>
      </c>
      <c r="G9" t="s">
        <v>10377</v>
      </c>
      <c r="H9" s="2">
        <v>24039</v>
      </c>
    </row>
    <row r="10" spans="1:8">
      <c r="A10" t="s">
        <v>79</v>
      </c>
      <c r="B10" t="s">
        <v>6202</v>
      </c>
      <c r="C10" t="s">
        <v>10363</v>
      </c>
      <c r="D10" t="s">
        <v>10383</v>
      </c>
      <c r="E10">
        <v>917064900549</v>
      </c>
      <c r="F10" t="s">
        <v>10384</v>
      </c>
      <c r="G10" t="s">
        <v>10366</v>
      </c>
      <c r="H10" s="2">
        <v>21836</v>
      </c>
    </row>
    <row r="11" spans="1:8">
      <c r="A11" t="s">
        <v>86</v>
      </c>
      <c r="B11" t="s">
        <v>1140</v>
      </c>
      <c r="C11" t="s">
        <v>10367</v>
      </c>
      <c r="D11" t="s">
        <v>10385</v>
      </c>
      <c r="E11">
        <v>916509019949</v>
      </c>
      <c r="F11" t="s">
        <v>10386</v>
      </c>
      <c r="G11" t="s">
        <v>10379</v>
      </c>
      <c r="H11" s="2">
        <v>20334</v>
      </c>
    </row>
    <row r="12" spans="1:8">
      <c r="A12" t="s">
        <v>93</v>
      </c>
      <c r="B12" t="s">
        <v>780</v>
      </c>
      <c r="C12" t="s">
        <v>10367</v>
      </c>
      <c r="D12" t="s">
        <v>10387</v>
      </c>
      <c r="E12">
        <v>917977852067</v>
      </c>
      <c r="F12" t="s">
        <v>10388</v>
      </c>
      <c r="G12" t="s">
        <v>10379</v>
      </c>
      <c r="H12" s="2">
        <v>25550</v>
      </c>
    </row>
    <row r="13" spans="1:8">
      <c r="A13" t="s">
        <v>99</v>
      </c>
      <c r="B13" t="s">
        <v>558</v>
      </c>
      <c r="C13" t="s">
        <v>10363</v>
      </c>
      <c r="D13" t="s">
        <v>10389</v>
      </c>
      <c r="E13">
        <v>917554996330</v>
      </c>
      <c r="F13" t="s">
        <v>10374</v>
      </c>
      <c r="G13" t="s">
        <v>10377</v>
      </c>
      <c r="H13" s="2">
        <v>27312</v>
      </c>
    </row>
    <row r="14" spans="1:8">
      <c r="A14" t="s">
        <v>105</v>
      </c>
      <c r="B14" t="s">
        <v>2101</v>
      </c>
      <c r="C14" t="s">
        <v>10363</v>
      </c>
      <c r="D14" t="s">
        <v>10390</v>
      </c>
      <c r="E14">
        <v>917893974355</v>
      </c>
      <c r="F14" t="s">
        <v>10386</v>
      </c>
      <c r="G14" t="s">
        <v>10379</v>
      </c>
      <c r="H14" s="2">
        <v>24786</v>
      </c>
    </row>
    <row r="15" spans="1:8">
      <c r="A15" t="s">
        <v>111</v>
      </c>
      <c r="B15" t="s">
        <v>933</v>
      </c>
      <c r="C15" t="s">
        <v>10363</v>
      </c>
      <c r="D15" t="s">
        <v>10391</v>
      </c>
      <c r="E15">
        <v>917476566409</v>
      </c>
      <c r="F15" t="s">
        <v>10388</v>
      </c>
      <c r="G15" t="s">
        <v>10366</v>
      </c>
      <c r="H15" s="2">
        <v>35351</v>
      </c>
    </row>
    <row r="16" spans="1:8">
      <c r="A16" t="s">
        <v>117</v>
      </c>
      <c r="B16" t="s">
        <v>6567</v>
      </c>
      <c r="C16" t="s">
        <v>10367</v>
      </c>
      <c r="D16" t="s">
        <v>10392</v>
      </c>
      <c r="E16">
        <v>916578487570</v>
      </c>
      <c r="F16" t="s">
        <v>10386</v>
      </c>
      <c r="G16" t="s">
        <v>10377</v>
      </c>
      <c r="H16" s="2">
        <v>22041</v>
      </c>
    </row>
    <row r="17" spans="1:8">
      <c r="A17" t="s">
        <v>123</v>
      </c>
      <c r="B17" t="s">
        <v>2073</v>
      </c>
      <c r="C17" t="s">
        <v>10367</v>
      </c>
      <c r="D17" t="s">
        <v>10393</v>
      </c>
      <c r="E17">
        <v>918811253761</v>
      </c>
      <c r="F17" t="s">
        <v>10384</v>
      </c>
      <c r="G17" t="s">
        <v>10366</v>
      </c>
      <c r="H17" s="2">
        <v>26608</v>
      </c>
    </row>
    <row r="18" spans="1:8">
      <c r="A18" t="s">
        <v>129</v>
      </c>
      <c r="B18" t="s">
        <v>8657</v>
      </c>
      <c r="C18" t="s">
        <v>10367</v>
      </c>
      <c r="D18" t="s">
        <v>10394</v>
      </c>
      <c r="E18">
        <v>918292657569</v>
      </c>
      <c r="F18" t="s">
        <v>10365</v>
      </c>
      <c r="G18" t="s">
        <v>10377</v>
      </c>
      <c r="H18" s="2">
        <v>37543</v>
      </c>
    </row>
    <row r="19" spans="1:8">
      <c r="A19" t="s">
        <v>136</v>
      </c>
      <c r="B19" t="s">
        <v>5267</v>
      </c>
      <c r="C19" t="s">
        <v>10367</v>
      </c>
      <c r="D19" t="s">
        <v>10395</v>
      </c>
      <c r="E19">
        <v>918826152904</v>
      </c>
      <c r="F19" t="s">
        <v>10369</v>
      </c>
      <c r="G19" t="s">
        <v>10379</v>
      </c>
      <c r="H19" s="2">
        <v>26030</v>
      </c>
    </row>
    <row r="20" spans="1:8">
      <c r="A20" t="s">
        <v>143</v>
      </c>
      <c r="B20" t="s">
        <v>1096</v>
      </c>
      <c r="C20" t="s">
        <v>10363</v>
      </c>
      <c r="D20" t="s">
        <v>10396</v>
      </c>
      <c r="E20">
        <v>917979692415</v>
      </c>
      <c r="F20" t="s">
        <v>10381</v>
      </c>
      <c r="G20" t="s">
        <v>10366</v>
      </c>
      <c r="H20" s="2">
        <v>35442</v>
      </c>
    </row>
    <row r="21" spans="1:8">
      <c r="A21" t="s">
        <v>150</v>
      </c>
      <c r="B21" t="s">
        <v>933</v>
      </c>
      <c r="C21" t="s">
        <v>10363</v>
      </c>
      <c r="D21" t="s">
        <v>10397</v>
      </c>
      <c r="E21">
        <v>919501414238</v>
      </c>
      <c r="F21" t="s">
        <v>10388</v>
      </c>
      <c r="G21" t="s">
        <v>10370</v>
      </c>
      <c r="H21" s="2">
        <v>21604</v>
      </c>
    </row>
    <row r="22" spans="1:8">
      <c r="A22" t="s">
        <v>156</v>
      </c>
      <c r="B22" t="s">
        <v>404</v>
      </c>
      <c r="C22" t="s">
        <v>10363</v>
      </c>
      <c r="D22" t="s">
        <v>10398</v>
      </c>
      <c r="E22">
        <v>917605725248</v>
      </c>
      <c r="F22" t="s">
        <v>10372</v>
      </c>
      <c r="G22" t="s">
        <v>10366</v>
      </c>
      <c r="H22" s="2">
        <v>31029</v>
      </c>
    </row>
    <row r="23" spans="1:8">
      <c r="A23" t="s">
        <v>162</v>
      </c>
      <c r="B23" t="s">
        <v>1036</v>
      </c>
      <c r="C23" t="s">
        <v>10363</v>
      </c>
      <c r="D23" t="s">
        <v>10399</v>
      </c>
      <c r="E23">
        <v>919419077595</v>
      </c>
      <c r="F23" t="s">
        <v>10365</v>
      </c>
      <c r="G23" t="s">
        <v>10379</v>
      </c>
      <c r="H23" s="2">
        <v>33962</v>
      </c>
    </row>
    <row r="24" spans="1:8">
      <c r="A24" t="s">
        <v>168</v>
      </c>
      <c r="B24" t="s">
        <v>124</v>
      </c>
      <c r="C24" t="s">
        <v>10363</v>
      </c>
      <c r="D24" t="s">
        <v>10400</v>
      </c>
      <c r="E24">
        <v>917030487926</v>
      </c>
      <c r="F24" t="s">
        <v>10386</v>
      </c>
      <c r="G24" t="s">
        <v>10366</v>
      </c>
      <c r="H24" s="2">
        <v>33478</v>
      </c>
    </row>
    <row r="25" spans="1:8">
      <c r="A25" t="s">
        <v>173</v>
      </c>
      <c r="B25" t="s">
        <v>3210</v>
      </c>
      <c r="C25" t="s">
        <v>10367</v>
      </c>
      <c r="D25" t="s">
        <v>10401</v>
      </c>
      <c r="E25">
        <v>919465580264</v>
      </c>
      <c r="F25" t="s">
        <v>10402</v>
      </c>
      <c r="G25" t="s">
        <v>10379</v>
      </c>
      <c r="H25" s="2">
        <v>24963</v>
      </c>
    </row>
    <row r="26" spans="1:8">
      <c r="A26" t="s">
        <v>179</v>
      </c>
      <c r="B26" t="s">
        <v>151</v>
      </c>
      <c r="C26" t="s">
        <v>10367</v>
      </c>
      <c r="D26" t="s">
        <v>10403</v>
      </c>
      <c r="E26">
        <v>918299896676</v>
      </c>
      <c r="F26" t="s">
        <v>10388</v>
      </c>
      <c r="G26" t="s">
        <v>10366</v>
      </c>
      <c r="H26" s="2">
        <v>34471</v>
      </c>
    </row>
    <row r="27" spans="1:8">
      <c r="A27" t="s">
        <v>185</v>
      </c>
      <c r="B27" t="s">
        <v>1146</v>
      </c>
      <c r="C27" t="s">
        <v>10367</v>
      </c>
      <c r="D27" t="s">
        <v>10404</v>
      </c>
      <c r="E27">
        <v>918559562347</v>
      </c>
      <c r="F27" t="s">
        <v>10381</v>
      </c>
      <c r="G27" t="s">
        <v>10366</v>
      </c>
      <c r="H27" s="2">
        <v>28776</v>
      </c>
    </row>
    <row r="28" spans="1:8">
      <c r="A28" t="s">
        <v>191</v>
      </c>
      <c r="B28" t="s">
        <v>530</v>
      </c>
      <c r="C28" t="s">
        <v>10367</v>
      </c>
      <c r="D28" t="s">
        <v>10405</v>
      </c>
      <c r="E28">
        <v>916058180648</v>
      </c>
      <c r="F28" t="s">
        <v>10365</v>
      </c>
      <c r="G28" t="s">
        <v>10366</v>
      </c>
      <c r="H28" s="2">
        <v>23113</v>
      </c>
    </row>
    <row r="29" spans="1:8">
      <c r="A29" t="s">
        <v>198</v>
      </c>
      <c r="B29" t="s">
        <v>2112</v>
      </c>
      <c r="C29" t="s">
        <v>10363</v>
      </c>
      <c r="D29" t="s">
        <v>10406</v>
      </c>
      <c r="E29">
        <v>917652729045</v>
      </c>
      <c r="F29" t="s">
        <v>10402</v>
      </c>
      <c r="G29" t="s">
        <v>10366</v>
      </c>
      <c r="H29" s="2">
        <v>21498</v>
      </c>
    </row>
    <row r="30" spans="1:8">
      <c r="A30" t="s">
        <v>204</v>
      </c>
      <c r="B30" t="s">
        <v>386</v>
      </c>
      <c r="C30" t="s">
        <v>10363</v>
      </c>
      <c r="D30" t="s">
        <v>10407</v>
      </c>
      <c r="E30">
        <v>917784370404</v>
      </c>
      <c r="F30" t="s">
        <v>10402</v>
      </c>
      <c r="G30" t="s">
        <v>10366</v>
      </c>
      <c r="H30" s="2">
        <v>27521</v>
      </c>
    </row>
    <row r="31" spans="1:8">
      <c r="A31" t="s">
        <v>210</v>
      </c>
      <c r="B31" t="s">
        <v>2297</v>
      </c>
      <c r="C31" t="s">
        <v>10363</v>
      </c>
      <c r="D31" t="s">
        <v>10408</v>
      </c>
      <c r="E31">
        <v>916944938822</v>
      </c>
      <c r="F31" t="s">
        <v>10365</v>
      </c>
      <c r="G31" t="s">
        <v>10370</v>
      </c>
      <c r="H31" s="2">
        <v>22586</v>
      </c>
    </row>
    <row r="32" spans="1:8">
      <c r="A32" t="s">
        <v>216</v>
      </c>
      <c r="B32" t="s">
        <v>2085</v>
      </c>
      <c r="C32" t="s">
        <v>10367</v>
      </c>
      <c r="D32" t="s">
        <v>10409</v>
      </c>
      <c r="E32">
        <v>919950307105</v>
      </c>
      <c r="F32" t="s">
        <v>10381</v>
      </c>
      <c r="G32" t="s">
        <v>10370</v>
      </c>
      <c r="H32" s="2">
        <v>22689</v>
      </c>
    </row>
    <row r="33" spans="1:8">
      <c r="A33" t="s">
        <v>222</v>
      </c>
      <c r="B33" t="s">
        <v>137</v>
      </c>
      <c r="C33" t="s">
        <v>10363</v>
      </c>
      <c r="D33" t="s">
        <v>10410</v>
      </c>
      <c r="E33">
        <v>917367241184</v>
      </c>
      <c r="F33" t="s">
        <v>10381</v>
      </c>
      <c r="G33" t="s">
        <v>10370</v>
      </c>
      <c r="H33" s="2">
        <v>28803</v>
      </c>
    </row>
    <row r="34" spans="1:8">
      <c r="A34" t="s">
        <v>228</v>
      </c>
      <c r="B34" t="s">
        <v>432</v>
      </c>
      <c r="C34" t="s">
        <v>10363</v>
      </c>
      <c r="D34" t="s">
        <v>10411</v>
      </c>
      <c r="E34">
        <v>917115667531</v>
      </c>
      <c r="F34" t="s">
        <v>10372</v>
      </c>
      <c r="G34" t="s">
        <v>10379</v>
      </c>
      <c r="H34" s="2">
        <v>21232</v>
      </c>
    </row>
    <row r="35" spans="1:8">
      <c r="A35" t="s">
        <v>234</v>
      </c>
      <c r="B35" t="s">
        <v>1271</v>
      </c>
      <c r="C35" t="s">
        <v>10367</v>
      </c>
      <c r="D35" t="s">
        <v>10412</v>
      </c>
      <c r="E35">
        <v>917764897146</v>
      </c>
      <c r="F35" t="s">
        <v>10374</v>
      </c>
      <c r="G35" t="s">
        <v>10370</v>
      </c>
      <c r="H35" s="2">
        <v>25430</v>
      </c>
    </row>
    <row r="36" spans="1:8">
      <c r="A36" t="s">
        <v>240</v>
      </c>
      <c r="B36" t="s">
        <v>506</v>
      </c>
      <c r="C36" t="s">
        <v>10367</v>
      </c>
      <c r="D36" t="s">
        <v>10413</v>
      </c>
      <c r="E36">
        <v>917746924840</v>
      </c>
      <c r="F36" t="s">
        <v>10376</v>
      </c>
      <c r="G36" t="s">
        <v>10370</v>
      </c>
      <c r="H36" s="2">
        <v>30685</v>
      </c>
    </row>
    <row r="37" spans="1:8">
      <c r="A37" t="s">
        <v>246</v>
      </c>
      <c r="B37" t="s">
        <v>2726</v>
      </c>
      <c r="C37" t="s">
        <v>10367</v>
      </c>
      <c r="D37" t="s">
        <v>10414</v>
      </c>
      <c r="E37">
        <v>919501648602</v>
      </c>
      <c r="F37" t="s">
        <v>10381</v>
      </c>
      <c r="G37" t="s">
        <v>10379</v>
      </c>
      <c r="H37" s="2">
        <v>32540</v>
      </c>
    </row>
    <row r="38" spans="1:8">
      <c r="A38" t="s">
        <v>252</v>
      </c>
      <c r="B38" t="s">
        <v>484</v>
      </c>
      <c r="C38" t="s">
        <v>10363</v>
      </c>
      <c r="D38" t="s">
        <v>10415</v>
      </c>
      <c r="E38">
        <v>918827313812</v>
      </c>
      <c r="F38" t="s">
        <v>10388</v>
      </c>
      <c r="G38" t="s">
        <v>10377</v>
      </c>
      <c r="H38" s="2">
        <v>20530</v>
      </c>
    </row>
    <row r="39" spans="1:8">
      <c r="A39" t="s">
        <v>258</v>
      </c>
      <c r="B39" t="s">
        <v>708</v>
      </c>
      <c r="C39" t="s">
        <v>10363</v>
      </c>
      <c r="D39" t="s">
        <v>10416</v>
      </c>
      <c r="E39">
        <v>916800189248</v>
      </c>
      <c r="F39" t="s">
        <v>10374</v>
      </c>
      <c r="G39" t="s">
        <v>10379</v>
      </c>
      <c r="H39" s="2">
        <v>35524</v>
      </c>
    </row>
    <row r="40" spans="1:8">
      <c r="A40" t="s">
        <v>264</v>
      </c>
      <c r="B40" t="s">
        <v>655</v>
      </c>
      <c r="C40" t="s">
        <v>10367</v>
      </c>
      <c r="D40" t="s">
        <v>10417</v>
      </c>
      <c r="E40">
        <v>918973404615</v>
      </c>
      <c r="F40" t="s">
        <v>10402</v>
      </c>
      <c r="G40" t="s">
        <v>10370</v>
      </c>
      <c r="H40" s="2">
        <v>29490</v>
      </c>
    </row>
    <row r="41" spans="1:8">
      <c r="A41" t="s">
        <v>270</v>
      </c>
      <c r="B41" t="s">
        <v>871</v>
      </c>
      <c r="C41" t="s">
        <v>10363</v>
      </c>
      <c r="D41" t="s">
        <v>10418</v>
      </c>
      <c r="E41">
        <v>916852377009</v>
      </c>
      <c r="F41" t="s">
        <v>10402</v>
      </c>
      <c r="G41" t="s">
        <v>10370</v>
      </c>
      <c r="H41" s="2">
        <v>29140</v>
      </c>
    </row>
    <row r="42" spans="1:8">
      <c r="A42" t="s">
        <v>276</v>
      </c>
      <c r="B42" t="s">
        <v>4512</v>
      </c>
      <c r="C42" t="s">
        <v>10367</v>
      </c>
      <c r="D42" t="s">
        <v>10419</v>
      </c>
      <c r="E42">
        <v>919893319931</v>
      </c>
      <c r="F42" t="s">
        <v>10388</v>
      </c>
      <c r="G42" t="s">
        <v>10370</v>
      </c>
      <c r="H42" s="2">
        <v>33593</v>
      </c>
    </row>
    <row r="43" spans="1:8">
      <c r="A43" t="s">
        <v>281</v>
      </c>
      <c r="B43" t="s">
        <v>449</v>
      </c>
      <c r="C43" t="s">
        <v>10363</v>
      </c>
      <c r="D43" t="s">
        <v>10420</v>
      </c>
      <c r="E43">
        <v>918642995108</v>
      </c>
      <c r="F43" t="s">
        <v>10374</v>
      </c>
      <c r="G43" t="s">
        <v>10370</v>
      </c>
      <c r="H43" s="2">
        <v>25633</v>
      </c>
    </row>
    <row r="44" spans="1:8">
      <c r="A44" t="s">
        <v>287</v>
      </c>
      <c r="B44" t="s">
        <v>2804</v>
      </c>
      <c r="C44" t="s">
        <v>10367</v>
      </c>
      <c r="D44" t="s">
        <v>10421</v>
      </c>
      <c r="E44">
        <v>916816490926</v>
      </c>
      <c r="F44" t="s">
        <v>10384</v>
      </c>
      <c r="G44" t="s">
        <v>10370</v>
      </c>
      <c r="H44" s="2">
        <v>20221</v>
      </c>
    </row>
    <row r="45" spans="1:8">
      <c r="A45" t="s">
        <v>293</v>
      </c>
      <c r="B45" t="s">
        <v>449</v>
      </c>
      <c r="C45" t="s">
        <v>10363</v>
      </c>
      <c r="D45" t="s">
        <v>10422</v>
      </c>
      <c r="E45">
        <v>916973399255</v>
      </c>
      <c r="F45" t="s">
        <v>10386</v>
      </c>
      <c r="G45" t="s">
        <v>10379</v>
      </c>
      <c r="H45" s="2">
        <v>22171</v>
      </c>
    </row>
    <row r="46" spans="1:8">
      <c r="A46" t="s">
        <v>299</v>
      </c>
      <c r="B46" t="s">
        <v>762</v>
      </c>
      <c r="C46" t="s">
        <v>10363</v>
      </c>
      <c r="D46" t="s">
        <v>10423</v>
      </c>
      <c r="E46">
        <v>918367502243</v>
      </c>
      <c r="F46" t="s">
        <v>10365</v>
      </c>
      <c r="G46" t="s">
        <v>10377</v>
      </c>
      <c r="H46" s="2">
        <v>31849</v>
      </c>
    </row>
    <row r="47" spans="1:8">
      <c r="A47" t="s">
        <v>305</v>
      </c>
      <c r="B47" t="s">
        <v>223</v>
      </c>
      <c r="C47" t="s">
        <v>10363</v>
      </c>
      <c r="D47" t="s">
        <v>10424</v>
      </c>
      <c r="E47">
        <v>917636953700</v>
      </c>
      <c r="F47" t="s">
        <v>10388</v>
      </c>
      <c r="G47" t="s">
        <v>10377</v>
      </c>
      <c r="H47" s="2">
        <v>20305</v>
      </c>
    </row>
    <row r="48" spans="1:8">
      <c r="A48" t="s">
        <v>310</v>
      </c>
      <c r="B48" t="s">
        <v>823</v>
      </c>
      <c r="C48" t="s">
        <v>10367</v>
      </c>
      <c r="D48" t="s">
        <v>10425</v>
      </c>
      <c r="E48">
        <v>916954605333</v>
      </c>
      <c r="F48" t="s">
        <v>10384</v>
      </c>
      <c r="G48" t="s">
        <v>10370</v>
      </c>
      <c r="H48" s="2">
        <v>36584</v>
      </c>
    </row>
    <row r="49" spans="1:8">
      <c r="A49" t="s">
        <v>316</v>
      </c>
      <c r="B49" t="s">
        <v>294</v>
      </c>
      <c r="C49" t="s">
        <v>10367</v>
      </c>
      <c r="D49" t="s">
        <v>10426</v>
      </c>
      <c r="E49">
        <v>919347285770</v>
      </c>
      <c r="F49" t="s">
        <v>10386</v>
      </c>
      <c r="G49" t="s">
        <v>10379</v>
      </c>
      <c r="H49" s="2">
        <v>24638</v>
      </c>
    </row>
    <row r="50" spans="1:8">
      <c r="A50" t="s">
        <v>321</v>
      </c>
      <c r="B50" t="s">
        <v>708</v>
      </c>
      <c r="C50" t="s">
        <v>10363</v>
      </c>
      <c r="D50" t="s">
        <v>10427</v>
      </c>
      <c r="E50">
        <v>918967185332</v>
      </c>
      <c r="F50" t="s">
        <v>10381</v>
      </c>
      <c r="G50" t="s">
        <v>10370</v>
      </c>
      <c r="H50" s="2">
        <v>24093</v>
      </c>
    </row>
    <row r="51" spans="1:8">
      <c r="A51" t="s">
        <v>326</v>
      </c>
      <c r="B51" t="s">
        <v>5369</v>
      </c>
      <c r="C51" t="s">
        <v>10367</v>
      </c>
      <c r="D51" t="s">
        <v>10428</v>
      </c>
      <c r="E51">
        <v>916661290394</v>
      </c>
      <c r="F51" t="s">
        <v>10374</v>
      </c>
      <c r="G51" t="s">
        <v>10370</v>
      </c>
      <c r="H51" s="2">
        <v>36852</v>
      </c>
    </row>
    <row r="52" spans="1:8">
      <c r="A52" t="s">
        <v>332</v>
      </c>
      <c r="B52" t="s">
        <v>708</v>
      </c>
      <c r="C52" t="s">
        <v>10363</v>
      </c>
      <c r="D52" t="s">
        <v>10429</v>
      </c>
      <c r="E52">
        <v>917739579351</v>
      </c>
      <c r="F52" t="s">
        <v>10388</v>
      </c>
      <c r="G52" t="s">
        <v>10379</v>
      </c>
      <c r="H52" s="2">
        <v>24391</v>
      </c>
    </row>
    <row r="53" spans="1:8">
      <c r="A53" t="s">
        <v>338</v>
      </c>
      <c r="B53" t="s">
        <v>2863</v>
      </c>
      <c r="C53" t="s">
        <v>10367</v>
      </c>
      <c r="D53" t="s">
        <v>10430</v>
      </c>
      <c r="E53">
        <v>919712970216</v>
      </c>
      <c r="F53" t="s">
        <v>10376</v>
      </c>
      <c r="G53" t="s">
        <v>10377</v>
      </c>
      <c r="H53" s="2">
        <v>35113</v>
      </c>
    </row>
    <row r="54" spans="1:8">
      <c r="A54" t="s">
        <v>344</v>
      </c>
      <c r="B54" t="s">
        <v>205</v>
      </c>
      <c r="C54" t="s">
        <v>10367</v>
      </c>
      <c r="D54" t="s">
        <v>10431</v>
      </c>
      <c r="E54">
        <v>919554829127</v>
      </c>
      <c r="F54" t="s">
        <v>10376</v>
      </c>
      <c r="G54" t="s">
        <v>10377</v>
      </c>
      <c r="H54" s="2">
        <v>31727</v>
      </c>
    </row>
    <row r="55" spans="1:8">
      <c r="A55" t="s">
        <v>350</v>
      </c>
      <c r="B55" t="s">
        <v>478</v>
      </c>
      <c r="C55" t="s">
        <v>10367</v>
      </c>
      <c r="D55" t="s">
        <v>10432</v>
      </c>
      <c r="E55">
        <v>918805477608</v>
      </c>
      <c r="F55" t="s">
        <v>10384</v>
      </c>
      <c r="G55" t="s">
        <v>10366</v>
      </c>
      <c r="H55" s="2">
        <v>23398</v>
      </c>
    </row>
    <row r="56" spans="1:8">
      <c r="A56" t="s">
        <v>356</v>
      </c>
      <c r="B56" t="s">
        <v>4740</v>
      </c>
      <c r="C56" t="s">
        <v>10367</v>
      </c>
      <c r="D56" t="s">
        <v>10433</v>
      </c>
      <c r="E56">
        <v>918184927083</v>
      </c>
      <c r="F56" t="s">
        <v>10372</v>
      </c>
      <c r="G56" t="s">
        <v>10379</v>
      </c>
      <c r="H56" s="2">
        <v>25503</v>
      </c>
    </row>
    <row r="57" spans="1:8">
      <c r="A57" t="s">
        <v>362</v>
      </c>
      <c r="B57" t="s">
        <v>1282</v>
      </c>
      <c r="C57" t="s">
        <v>10363</v>
      </c>
      <c r="D57" t="s">
        <v>10434</v>
      </c>
      <c r="E57">
        <v>919137463186</v>
      </c>
      <c r="F57" t="s">
        <v>10372</v>
      </c>
      <c r="G57" t="s">
        <v>10379</v>
      </c>
      <c r="H57" s="2">
        <v>20982</v>
      </c>
    </row>
    <row r="58" spans="1:8">
      <c r="A58" t="s">
        <v>368</v>
      </c>
      <c r="B58" t="s">
        <v>2270</v>
      </c>
      <c r="C58" t="s">
        <v>10367</v>
      </c>
      <c r="D58" t="s">
        <v>10435</v>
      </c>
      <c r="E58">
        <v>917581782519</v>
      </c>
      <c r="F58" t="s">
        <v>10402</v>
      </c>
      <c r="G58" t="s">
        <v>10379</v>
      </c>
      <c r="H58" s="2">
        <v>37014</v>
      </c>
    </row>
    <row r="59" spans="1:8">
      <c r="A59" t="s">
        <v>374</v>
      </c>
      <c r="B59" t="s">
        <v>4648</v>
      </c>
      <c r="C59" t="s">
        <v>10367</v>
      </c>
      <c r="D59" t="s">
        <v>10436</v>
      </c>
      <c r="E59">
        <v>916072614944</v>
      </c>
      <c r="F59" t="s">
        <v>10369</v>
      </c>
      <c r="G59" t="s">
        <v>10377</v>
      </c>
      <c r="H59" s="2">
        <v>33585</v>
      </c>
    </row>
    <row r="60" spans="1:8">
      <c r="A60" t="s">
        <v>380</v>
      </c>
      <c r="B60" t="s">
        <v>265</v>
      </c>
      <c r="C60" t="s">
        <v>10363</v>
      </c>
      <c r="D60" t="s">
        <v>10437</v>
      </c>
      <c r="E60">
        <v>918349870017</v>
      </c>
      <c r="F60" t="s">
        <v>10365</v>
      </c>
      <c r="G60" t="s">
        <v>10366</v>
      </c>
      <c r="H60" s="2">
        <v>24123</v>
      </c>
    </row>
    <row r="61" spans="1:8">
      <c r="A61" t="s">
        <v>385</v>
      </c>
      <c r="B61" t="s">
        <v>853</v>
      </c>
      <c r="C61" t="s">
        <v>10363</v>
      </c>
      <c r="D61" t="s">
        <v>10438</v>
      </c>
      <c r="E61">
        <v>917866578979</v>
      </c>
      <c r="F61" t="s">
        <v>10381</v>
      </c>
      <c r="G61" t="s">
        <v>10377</v>
      </c>
      <c r="H61" s="2">
        <v>21851</v>
      </c>
    </row>
    <row r="62" spans="1:8">
      <c r="A62" t="s">
        <v>391</v>
      </c>
      <c r="B62" t="s">
        <v>21</v>
      </c>
      <c r="C62" t="s">
        <v>10363</v>
      </c>
      <c r="D62" t="s">
        <v>10439</v>
      </c>
      <c r="E62">
        <v>916642832642</v>
      </c>
      <c r="F62" t="s">
        <v>10372</v>
      </c>
      <c r="G62" t="s">
        <v>10377</v>
      </c>
      <c r="H62" s="2">
        <v>24753</v>
      </c>
    </row>
    <row r="63" spans="1:8">
      <c r="A63" t="s">
        <v>397</v>
      </c>
      <c r="B63" t="s">
        <v>835</v>
      </c>
      <c r="C63" t="s">
        <v>10363</v>
      </c>
      <c r="D63" t="s">
        <v>10440</v>
      </c>
      <c r="E63">
        <v>918284837988</v>
      </c>
      <c r="F63" t="s">
        <v>10369</v>
      </c>
      <c r="G63" t="s">
        <v>10379</v>
      </c>
      <c r="H63" s="2">
        <v>29239</v>
      </c>
    </row>
    <row r="64" spans="1:8">
      <c r="A64" t="s">
        <v>403</v>
      </c>
      <c r="B64" t="s">
        <v>2041</v>
      </c>
      <c r="C64" t="s">
        <v>10363</v>
      </c>
      <c r="D64" t="s">
        <v>10441</v>
      </c>
      <c r="E64">
        <v>917831212770</v>
      </c>
      <c r="F64" t="s">
        <v>10365</v>
      </c>
      <c r="G64" t="s">
        <v>10379</v>
      </c>
      <c r="H64" s="2">
        <v>25260</v>
      </c>
    </row>
    <row r="65" spans="1:8">
      <c r="A65" t="s">
        <v>409</v>
      </c>
      <c r="B65" t="s">
        <v>708</v>
      </c>
      <c r="C65" t="s">
        <v>10363</v>
      </c>
      <c r="D65" t="s">
        <v>10442</v>
      </c>
      <c r="E65">
        <v>918898888525</v>
      </c>
      <c r="F65" t="s">
        <v>10388</v>
      </c>
      <c r="G65" t="s">
        <v>10379</v>
      </c>
      <c r="H65" s="2">
        <v>28113</v>
      </c>
    </row>
    <row r="66" spans="1:8">
      <c r="A66" t="s">
        <v>414</v>
      </c>
      <c r="B66" t="s">
        <v>1068</v>
      </c>
      <c r="C66" t="s">
        <v>10363</v>
      </c>
      <c r="D66" t="s">
        <v>10443</v>
      </c>
      <c r="E66">
        <v>917805417852</v>
      </c>
      <c r="F66" t="s">
        <v>10374</v>
      </c>
      <c r="G66" t="s">
        <v>10370</v>
      </c>
      <c r="H66" s="2">
        <v>34810</v>
      </c>
    </row>
    <row r="67" spans="1:8">
      <c r="A67" t="s">
        <v>420</v>
      </c>
      <c r="B67" t="s">
        <v>199</v>
      </c>
      <c r="C67" t="s">
        <v>10363</v>
      </c>
      <c r="D67" t="s">
        <v>10444</v>
      </c>
      <c r="E67">
        <v>916393829222</v>
      </c>
      <c r="F67" t="s">
        <v>10386</v>
      </c>
      <c r="G67" t="s">
        <v>10366</v>
      </c>
      <c r="H67" s="2">
        <v>27120</v>
      </c>
    </row>
    <row r="68" spans="1:8">
      <c r="A68" t="s">
        <v>426</v>
      </c>
      <c r="B68" t="s">
        <v>1660</v>
      </c>
      <c r="C68" t="s">
        <v>10363</v>
      </c>
      <c r="D68" t="s">
        <v>10445</v>
      </c>
      <c r="E68">
        <v>916535536103</v>
      </c>
      <c r="F68" t="s">
        <v>10381</v>
      </c>
      <c r="G68" t="s">
        <v>10377</v>
      </c>
      <c r="H68" s="2">
        <v>23792</v>
      </c>
    </row>
    <row r="69" spans="1:8">
      <c r="A69" t="s">
        <v>431</v>
      </c>
      <c r="B69" t="s">
        <v>829</v>
      </c>
      <c r="C69" t="s">
        <v>10367</v>
      </c>
      <c r="D69" t="s">
        <v>10446</v>
      </c>
      <c r="E69">
        <v>917169465662</v>
      </c>
      <c r="F69" t="s">
        <v>10372</v>
      </c>
      <c r="G69" t="s">
        <v>10379</v>
      </c>
      <c r="H69" s="2">
        <v>26877</v>
      </c>
    </row>
    <row r="70" spans="1:8">
      <c r="A70" t="s">
        <v>437</v>
      </c>
      <c r="B70" t="s">
        <v>375</v>
      </c>
      <c r="C70" t="s">
        <v>10363</v>
      </c>
      <c r="D70" t="s">
        <v>10447</v>
      </c>
      <c r="E70">
        <v>917994012487</v>
      </c>
      <c r="F70" t="s">
        <v>10386</v>
      </c>
      <c r="G70" t="s">
        <v>10366</v>
      </c>
      <c r="H70" s="2">
        <v>27294</v>
      </c>
    </row>
    <row r="71" spans="1:8">
      <c r="A71" t="s">
        <v>442</v>
      </c>
      <c r="B71" t="s">
        <v>762</v>
      </c>
      <c r="C71" t="s">
        <v>10363</v>
      </c>
      <c r="D71" t="s">
        <v>10448</v>
      </c>
      <c r="E71">
        <v>917923398342</v>
      </c>
      <c r="F71" t="s">
        <v>10369</v>
      </c>
      <c r="G71" t="s">
        <v>10379</v>
      </c>
      <c r="H71" s="2">
        <v>27074</v>
      </c>
    </row>
    <row r="72" spans="1:8">
      <c r="A72" t="s">
        <v>448</v>
      </c>
      <c r="B72" t="s">
        <v>163</v>
      </c>
      <c r="C72" t="s">
        <v>10363</v>
      </c>
      <c r="D72" t="s">
        <v>10449</v>
      </c>
      <c r="E72">
        <v>917103512651</v>
      </c>
      <c r="F72" t="s">
        <v>10374</v>
      </c>
      <c r="G72" t="s">
        <v>10377</v>
      </c>
      <c r="H72" s="2">
        <v>20644</v>
      </c>
    </row>
    <row r="73" spans="1:8">
      <c r="A73" t="s">
        <v>454</v>
      </c>
      <c r="B73" t="s">
        <v>2451</v>
      </c>
      <c r="C73" t="s">
        <v>10367</v>
      </c>
      <c r="D73" t="s">
        <v>10450</v>
      </c>
      <c r="E73">
        <v>918529148640</v>
      </c>
      <c r="F73" t="s">
        <v>10386</v>
      </c>
      <c r="G73" t="s">
        <v>10366</v>
      </c>
      <c r="H73" s="2">
        <v>33439</v>
      </c>
    </row>
    <row r="74" spans="1:8">
      <c r="A74" t="s">
        <v>459</v>
      </c>
      <c r="B74" t="s">
        <v>2720</v>
      </c>
      <c r="C74" t="s">
        <v>10367</v>
      </c>
      <c r="D74" t="s">
        <v>10451</v>
      </c>
      <c r="E74">
        <v>919791304676</v>
      </c>
      <c r="F74" t="s">
        <v>10369</v>
      </c>
      <c r="G74" t="s">
        <v>10366</v>
      </c>
      <c r="H74" s="2">
        <v>23307</v>
      </c>
    </row>
    <row r="75" spans="1:8">
      <c r="A75" t="s">
        <v>465</v>
      </c>
      <c r="B75" t="s">
        <v>2420</v>
      </c>
      <c r="C75" t="s">
        <v>10367</v>
      </c>
      <c r="D75" t="s">
        <v>10452</v>
      </c>
      <c r="E75">
        <v>918549339933</v>
      </c>
      <c r="F75" t="s">
        <v>10365</v>
      </c>
      <c r="G75" t="s">
        <v>10377</v>
      </c>
      <c r="H75" s="2">
        <v>24270</v>
      </c>
    </row>
    <row r="76" spans="1:8">
      <c r="A76" t="s">
        <v>471</v>
      </c>
      <c r="B76" t="s">
        <v>627</v>
      </c>
      <c r="C76" t="s">
        <v>10367</v>
      </c>
      <c r="D76" t="s">
        <v>10453</v>
      </c>
      <c r="E76">
        <v>918896616779</v>
      </c>
      <c r="F76" t="s">
        <v>10376</v>
      </c>
      <c r="G76" t="s">
        <v>10379</v>
      </c>
      <c r="H76" s="2">
        <v>27122</v>
      </c>
    </row>
    <row r="77" spans="1:8">
      <c r="A77" t="s">
        <v>477</v>
      </c>
      <c r="B77" t="s">
        <v>1036</v>
      </c>
      <c r="C77" t="s">
        <v>10363</v>
      </c>
      <c r="D77" t="s">
        <v>10454</v>
      </c>
      <c r="E77">
        <v>919650459899</v>
      </c>
      <c r="F77" t="s">
        <v>10384</v>
      </c>
      <c r="G77" t="s">
        <v>10366</v>
      </c>
      <c r="H77" s="2">
        <v>34527</v>
      </c>
    </row>
    <row r="78" spans="1:8">
      <c r="A78" t="s">
        <v>483</v>
      </c>
      <c r="B78" t="s">
        <v>217</v>
      </c>
      <c r="C78" t="s">
        <v>10363</v>
      </c>
      <c r="D78" t="s">
        <v>10455</v>
      </c>
      <c r="E78">
        <v>917419089728</v>
      </c>
      <c r="F78" t="s">
        <v>10372</v>
      </c>
      <c r="G78" t="s">
        <v>10366</v>
      </c>
      <c r="H78" s="2">
        <v>37356</v>
      </c>
    </row>
    <row r="79" spans="1:8">
      <c r="A79" t="s">
        <v>489</v>
      </c>
      <c r="B79" t="s">
        <v>7311</v>
      </c>
      <c r="C79" t="s">
        <v>10363</v>
      </c>
      <c r="D79" t="s">
        <v>10456</v>
      </c>
      <c r="E79">
        <v>917698753745</v>
      </c>
      <c r="F79" t="s">
        <v>10369</v>
      </c>
      <c r="G79" t="s">
        <v>10370</v>
      </c>
      <c r="H79" s="2">
        <v>34086</v>
      </c>
    </row>
    <row r="80" spans="1:8">
      <c r="A80" t="s">
        <v>494</v>
      </c>
      <c r="B80" t="s">
        <v>2101</v>
      </c>
      <c r="C80" t="s">
        <v>10363</v>
      </c>
      <c r="D80" t="s">
        <v>10457</v>
      </c>
      <c r="E80">
        <v>917224447441</v>
      </c>
      <c r="F80" t="s">
        <v>10376</v>
      </c>
      <c r="G80" t="s">
        <v>10366</v>
      </c>
      <c r="H80" s="2">
        <v>29707</v>
      </c>
    </row>
    <row r="81" spans="1:8">
      <c r="A81" t="s">
        <v>499</v>
      </c>
      <c r="B81" t="s">
        <v>1757</v>
      </c>
      <c r="C81" t="s">
        <v>10363</v>
      </c>
      <c r="D81" t="s">
        <v>10458</v>
      </c>
      <c r="E81">
        <v>916205059915</v>
      </c>
      <c r="F81" t="s">
        <v>10369</v>
      </c>
      <c r="G81" t="s">
        <v>10366</v>
      </c>
      <c r="H81" s="2">
        <v>31963</v>
      </c>
    </row>
    <row r="82" spans="1:8">
      <c r="A82" t="s">
        <v>505</v>
      </c>
      <c r="B82" t="s">
        <v>2041</v>
      </c>
      <c r="C82" t="s">
        <v>10363</v>
      </c>
      <c r="D82" t="s">
        <v>10459</v>
      </c>
      <c r="E82">
        <v>918759710803</v>
      </c>
      <c r="F82" t="s">
        <v>10384</v>
      </c>
      <c r="G82" t="s">
        <v>10366</v>
      </c>
      <c r="H82" s="2">
        <v>22377</v>
      </c>
    </row>
    <row r="83" spans="1:8">
      <c r="A83" t="s">
        <v>511</v>
      </c>
      <c r="B83" t="s">
        <v>667</v>
      </c>
      <c r="C83" t="s">
        <v>10367</v>
      </c>
      <c r="D83" t="s">
        <v>10460</v>
      </c>
      <c r="E83">
        <v>916262868920</v>
      </c>
      <c r="F83" t="s">
        <v>10381</v>
      </c>
      <c r="G83" t="s">
        <v>10377</v>
      </c>
      <c r="H83" s="2">
        <v>31063</v>
      </c>
    </row>
    <row r="84" spans="1:8">
      <c r="A84" t="s">
        <v>517</v>
      </c>
      <c r="B84" t="s">
        <v>1090</v>
      </c>
      <c r="C84" t="s">
        <v>10367</v>
      </c>
      <c r="D84" t="s">
        <v>10461</v>
      </c>
      <c r="E84">
        <v>918707106110</v>
      </c>
      <c r="F84" t="s">
        <v>10386</v>
      </c>
      <c r="G84" t="s">
        <v>10366</v>
      </c>
      <c r="H84" s="2">
        <v>27998</v>
      </c>
    </row>
    <row r="85" spans="1:8">
      <c r="A85" t="s">
        <v>523</v>
      </c>
      <c r="B85" t="s">
        <v>853</v>
      </c>
      <c r="C85" t="s">
        <v>10363</v>
      </c>
      <c r="D85" t="s">
        <v>10462</v>
      </c>
      <c r="E85">
        <v>916184300220</v>
      </c>
      <c r="F85" t="s">
        <v>10372</v>
      </c>
      <c r="G85" t="s">
        <v>10366</v>
      </c>
      <c r="H85" s="2">
        <v>33447</v>
      </c>
    </row>
    <row r="86" spans="1:8">
      <c r="A86" t="s">
        <v>529</v>
      </c>
      <c r="B86" t="s">
        <v>2270</v>
      </c>
      <c r="C86" t="s">
        <v>10367</v>
      </c>
      <c r="D86" t="s">
        <v>10463</v>
      </c>
      <c r="E86">
        <v>916959693549</v>
      </c>
      <c r="F86" t="s">
        <v>10369</v>
      </c>
      <c r="G86" t="s">
        <v>10377</v>
      </c>
      <c r="H86" s="2">
        <v>20538</v>
      </c>
    </row>
    <row r="87" spans="1:8">
      <c r="A87" t="s">
        <v>535</v>
      </c>
      <c r="B87" t="s">
        <v>21</v>
      </c>
      <c r="C87" t="s">
        <v>10363</v>
      </c>
      <c r="D87" t="s">
        <v>10464</v>
      </c>
      <c r="E87">
        <v>919151813919</v>
      </c>
      <c r="F87" t="s">
        <v>10365</v>
      </c>
      <c r="G87" t="s">
        <v>10366</v>
      </c>
      <c r="H87" s="2">
        <v>29389</v>
      </c>
    </row>
    <row r="88" spans="1:8">
      <c r="A88" t="s">
        <v>541</v>
      </c>
      <c r="B88" t="s">
        <v>2463</v>
      </c>
      <c r="C88" t="s">
        <v>10363</v>
      </c>
      <c r="D88" t="s">
        <v>10465</v>
      </c>
      <c r="E88">
        <v>917449043896</v>
      </c>
      <c r="F88" t="s">
        <v>10365</v>
      </c>
      <c r="G88" t="s">
        <v>10377</v>
      </c>
      <c r="H88" s="2">
        <v>33080</v>
      </c>
    </row>
    <row r="89" spans="1:8">
      <c r="A89" t="s">
        <v>546</v>
      </c>
      <c r="B89" t="s">
        <v>8210</v>
      </c>
      <c r="C89" t="s">
        <v>10367</v>
      </c>
      <c r="D89" t="s">
        <v>10466</v>
      </c>
      <c r="E89">
        <v>917121379272</v>
      </c>
      <c r="F89" t="s">
        <v>10374</v>
      </c>
      <c r="G89" t="s">
        <v>10366</v>
      </c>
      <c r="H89" s="2">
        <v>24615</v>
      </c>
    </row>
    <row r="90" spans="1:8">
      <c r="A90" t="s">
        <v>552</v>
      </c>
      <c r="B90" t="s">
        <v>4370</v>
      </c>
      <c r="C90" t="s">
        <v>10367</v>
      </c>
      <c r="D90" t="s">
        <v>10467</v>
      </c>
      <c r="E90">
        <v>916957014405</v>
      </c>
      <c r="F90" t="s">
        <v>10384</v>
      </c>
      <c r="G90" t="s">
        <v>10366</v>
      </c>
      <c r="H90" s="2">
        <v>21285</v>
      </c>
    </row>
    <row r="91" spans="1:8">
      <c r="A91" t="s">
        <v>557</v>
      </c>
      <c r="B91" t="s">
        <v>311</v>
      </c>
      <c r="C91" t="s">
        <v>10363</v>
      </c>
      <c r="D91" t="s">
        <v>10468</v>
      </c>
      <c r="E91">
        <v>916143819005</v>
      </c>
      <c r="F91" t="s">
        <v>10376</v>
      </c>
      <c r="G91" t="s">
        <v>10370</v>
      </c>
      <c r="H91" s="2">
        <v>27251</v>
      </c>
    </row>
    <row r="92" spans="1:8">
      <c r="A92" t="s">
        <v>563</v>
      </c>
      <c r="B92" t="s">
        <v>229</v>
      </c>
      <c r="C92" t="s">
        <v>10367</v>
      </c>
      <c r="D92" t="s">
        <v>10469</v>
      </c>
      <c r="E92">
        <v>916080387061</v>
      </c>
      <c r="F92" t="s">
        <v>10372</v>
      </c>
      <c r="G92" t="s">
        <v>10370</v>
      </c>
      <c r="H92" s="2">
        <v>35665</v>
      </c>
    </row>
    <row r="93" spans="1:8">
      <c r="A93" t="s">
        <v>569</v>
      </c>
      <c r="B93" t="s">
        <v>253</v>
      </c>
      <c r="C93" t="s">
        <v>10363</v>
      </c>
      <c r="D93" t="s">
        <v>10470</v>
      </c>
      <c r="E93">
        <v>916140314598</v>
      </c>
      <c r="F93" t="s">
        <v>10384</v>
      </c>
      <c r="G93" t="s">
        <v>10366</v>
      </c>
      <c r="H93" s="2">
        <v>36865</v>
      </c>
    </row>
    <row r="94" spans="1:8">
      <c r="A94" t="s">
        <v>574</v>
      </c>
      <c r="B94" t="s">
        <v>4359</v>
      </c>
      <c r="C94" t="s">
        <v>10363</v>
      </c>
      <c r="D94" t="s">
        <v>10471</v>
      </c>
      <c r="E94">
        <v>916215276821</v>
      </c>
      <c r="F94" t="s">
        <v>10381</v>
      </c>
      <c r="G94" t="s">
        <v>10377</v>
      </c>
      <c r="H94" s="2">
        <v>35385</v>
      </c>
    </row>
    <row r="95" spans="1:8">
      <c r="A95" t="s">
        <v>580</v>
      </c>
      <c r="B95" t="s">
        <v>9225</v>
      </c>
      <c r="C95" t="s">
        <v>10367</v>
      </c>
      <c r="D95" t="s">
        <v>10472</v>
      </c>
      <c r="E95">
        <v>916808843873</v>
      </c>
      <c r="F95" t="s">
        <v>10388</v>
      </c>
      <c r="G95" t="s">
        <v>10366</v>
      </c>
      <c r="H95" s="2">
        <v>24991</v>
      </c>
    </row>
    <row r="96" spans="1:8">
      <c r="A96" t="s">
        <v>586</v>
      </c>
      <c r="B96" t="s">
        <v>780</v>
      </c>
      <c r="C96" t="s">
        <v>10367</v>
      </c>
      <c r="D96" t="s">
        <v>10473</v>
      </c>
      <c r="E96">
        <v>916695729006</v>
      </c>
      <c r="F96" t="s">
        <v>10384</v>
      </c>
      <c r="G96" t="s">
        <v>10366</v>
      </c>
      <c r="H96" s="2">
        <v>30143</v>
      </c>
    </row>
    <row r="97" spans="1:8">
      <c r="A97" t="s">
        <v>592</v>
      </c>
      <c r="B97" t="s">
        <v>1146</v>
      </c>
      <c r="C97" t="s">
        <v>10367</v>
      </c>
      <c r="D97" t="s">
        <v>10474</v>
      </c>
      <c r="E97">
        <v>916573277495</v>
      </c>
      <c r="F97" t="s">
        <v>10384</v>
      </c>
      <c r="G97" t="s">
        <v>10370</v>
      </c>
      <c r="H97" s="2">
        <v>34425</v>
      </c>
    </row>
    <row r="98" spans="1:8">
      <c r="A98" t="s">
        <v>598</v>
      </c>
      <c r="B98" t="s">
        <v>327</v>
      </c>
      <c r="C98" t="s">
        <v>10367</v>
      </c>
      <c r="D98" t="s">
        <v>10475</v>
      </c>
      <c r="E98">
        <v>916463028098</v>
      </c>
      <c r="F98" t="s">
        <v>10376</v>
      </c>
      <c r="G98" t="s">
        <v>10370</v>
      </c>
      <c r="H98" s="2">
        <v>20180</v>
      </c>
    </row>
    <row r="99" spans="1:8">
      <c r="A99" t="s">
        <v>603</v>
      </c>
      <c r="B99" t="s">
        <v>729</v>
      </c>
      <c r="C99" t="s">
        <v>10367</v>
      </c>
      <c r="D99" t="s">
        <v>10476</v>
      </c>
      <c r="E99">
        <v>916290858683</v>
      </c>
      <c r="F99" t="s">
        <v>10402</v>
      </c>
      <c r="G99" t="s">
        <v>10379</v>
      </c>
      <c r="H99" s="2">
        <v>30860</v>
      </c>
    </row>
    <row r="100" spans="1:8">
      <c r="A100" t="s">
        <v>609</v>
      </c>
      <c r="B100" t="s">
        <v>2073</v>
      </c>
      <c r="C100" t="s">
        <v>10367</v>
      </c>
      <c r="D100" t="s">
        <v>10477</v>
      </c>
      <c r="E100">
        <v>918619763227</v>
      </c>
      <c r="F100" t="s">
        <v>10374</v>
      </c>
      <c r="G100" t="s">
        <v>10366</v>
      </c>
      <c r="H100" s="2">
        <v>25904</v>
      </c>
    </row>
    <row r="101" spans="1:8">
      <c r="A101" t="s">
        <v>615</v>
      </c>
      <c r="B101" t="s">
        <v>2642</v>
      </c>
      <c r="C101" t="s">
        <v>10367</v>
      </c>
      <c r="D101" t="s">
        <v>10478</v>
      </c>
      <c r="E101">
        <v>919880552427</v>
      </c>
      <c r="F101" t="s">
        <v>10381</v>
      </c>
      <c r="G101" t="s">
        <v>10370</v>
      </c>
      <c r="H101" s="2">
        <v>37547</v>
      </c>
    </row>
    <row r="102" spans="1:8">
      <c r="A102" t="s">
        <v>620</v>
      </c>
      <c r="B102" t="s">
        <v>1826</v>
      </c>
      <c r="C102" t="s">
        <v>10363</v>
      </c>
      <c r="D102" t="s">
        <v>10479</v>
      </c>
      <c r="E102">
        <v>916931083713</v>
      </c>
      <c r="F102" t="s">
        <v>10372</v>
      </c>
      <c r="G102" t="s">
        <v>10370</v>
      </c>
      <c r="H102" s="2">
        <v>20897</v>
      </c>
    </row>
    <row r="103" spans="1:8">
      <c r="A103" t="s">
        <v>626</v>
      </c>
      <c r="B103" t="s">
        <v>2244</v>
      </c>
      <c r="C103" t="s">
        <v>10367</v>
      </c>
      <c r="D103" t="s">
        <v>10480</v>
      </c>
      <c r="E103">
        <v>916390270719</v>
      </c>
      <c r="F103" t="s">
        <v>10365</v>
      </c>
      <c r="G103" t="s">
        <v>10370</v>
      </c>
      <c r="H103" s="2">
        <v>24072</v>
      </c>
    </row>
    <row r="104" spans="1:8">
      <c r="A104" t="s">
        <v>632</v>
      </c>
      <c r="B104" t="s">
        <v>768</v>
      </c>
      <c r="C104" t="s">
        <v>10367</v>
      </c>
      <c r="D104" t="s">
        <v>10481</v>
      </c>
      <c r="E104">
        <v>919497495839</v>
      </c>
      <c r="F104" t="s">
        <v>10386</v>
      </c>
      <c r="G104" t="s">
        <v>10366</v>
      </c>
      <c r="H104" s="2">
        <v>35688</v>
      </c>
    </row>
    <row r="105" spans="1:8">
      <c r="A105" t="s">
        <v>638</v>
      </c>
      <c r="B105" t="s">
        <v>871</v>
      </c>
      <c r="C105" t="s">
        <v>10363</v>
      </c>
      <c r="D105" t="s">
        <v>10482</v>
      </c>
      <c r="E105">
        <v>917379178109</v>
      </c>
      <c r="F105" t="s">
        <v>10372</v>
      </c>
      <c r="G105" t="s">
        <v>10379</v>
      </c>
      <c r="H105" s="2">
        <v>22580</v>
      </c>
    </row>
    <row r="106" spans="1:8">
      <c r="A106" t="s">
        <v>644</v>
      </c>
      <c r="B106" t="s">
        <v>363</v>
      </c>
      <c r="C106" t="s">
        <v>10363</v>
      </c>
      <c r="D106" t="s">
        <v>10483</v>
      </c>
      <c r="E106">
        <v>917545160673</v>
      </c>
      <c r="F106" t="s">
        <v>10384</v>
      </c>
      <c r="G106" t="s">
        <v>10370</v>
      </c>
      <c r="H106" s="2">
        <v>32725</v>
      </c>
    </row>
    <row r="107" spans="1:8">
      <c r="A107" t="s">
        <v>649</v>
      </c>
      <c r="B107" t="s">
        <v>1826</v>
      </c>
      <c r="C107" t="s">
        <v>10363</v>
      </c>
      <c r="D107" t="s">
        <v>10484</v>
      </c>
      <c r="E107">
        <v>919746112754</v>
      </c>
      <c r="F107" t="s">
        <v>10402</v>
      </c>
      <c r="G107" t="s">
        <v>10370</v>
      </c>
      <c r="H107" s="2">
        <v>23548</v>
      </c>
    </row>
    <row r="108" spans="1:8">
      <c r="A108" t="s">
        <v>654</v>
      </c>
      <c r="B108" t="s">
        <v>6354</v>
      </c>
      <c r="C108" t="s">
        <v>10367</v>
      </c>
      <c r="D108" t="s">
        <v>10485</v>
      </c>
      <c r="E108">
        <v>919256656577</v>
      </c>
      <c r="F108" t="s">
        <v>10384</v>
      </c>
      <c r="G108" t="s">
        <v>10366</v>
      </c>
      <c r="H108" s="2">
        <v>36663</v>
      </c>
    </row>
    <row r="109" spans="1:8">
      <c r="A109" t="s">
        <v>660</v>
      </c>
      <c r="B109" t="s">
        <v>1074</v>
      </c>
      <c r="C109" t="s">
        <v>10363</v>
      </c>
      <c r="D109" t="s">
        <v>10486</v>
      </c>
      <c r="E109">
        <v>918693808016</v>
      </c>
      <c r="F109" t="s">
        <v>10376</v>
      </c>
      <c r="G109" t="s">
        <v>10379</v>
      </c>
      <c r="H109" s="2">
        <v>33295</v>
      </c>
    </row>
    <row r="110" spans="1:8">
      <c r="A110" t="s">
        <v>666</v>
      </c>
      <c r="B110" t="s">
        <v>1014</v>
      </c>
      <c r="C110" t="s">
        <v>10367</v>
      </c>
      <c r="D110" t="s">
        <v>10487</v>
      </c>
      <c r="E110">
        <v>916512070966</v>
      </c>
      <c r="F110" t="s">
        <v>10384</v>
      </c>
      <c r="G110" t="s">
        <v>10379</v>
      </c>
      <c r="H110" s="2">
        <v>31785</v>
      </c>
    </row>
    <row r="111" spans="1:8">
      <c r="A111" t="s">
        <v>672</v>
      </c>
      <c r="B111" t="s">
        <v>253</v>
      </c>
      <c r="C111" t="s">
        <v>10363</v>
      </c>
      <c r="D111" t="s">
        <v>10488</v>
      </c>
      <c r="E111">
        <v>916214733853</v>
      </c>
      <c r="F111" t="s">
        <v>10402</v>
      </c>
      <c r="G111" t="s">
        <v>10379</v>
      </c>
      <c r="H111" s="2">
        <v>21407</v>
      </c>
    </row>
    <row r="112" spans="1:8">
      <c r="A112" t="s">
        <v>678</v>
      </c>
      <c r="B112" t="s">
        <v>265</v>
      </c>
      <c r="C112" t="s">
        <v>10363</v>
      </c>
      <c r="D112" t="s">
        <v>10489</v>
      </c>
      <c r="E112">
        <v>916444825502</v>
      </c>
      <c r="F112" t="s">
        <v>10369</v>
      </c>
      <c r="G112" t="s">
        <v>10366</v>
      </c>
      <c r="H112" s="2">
        <v>36317</v>
      </c>
    </row>
    <row r="113" spans="1:8">
      <c r="A113" t="s">
        <v>684</v>
      </c>
      <c r="B113" t="s">
        <v>871</v>
      </c>
      <c r="C113" t="s">
        <v>10363</v>
      </c>
      <c r="D113" t="s">
        <v>10490</v>
      </c>
      <c r="E113">
        <v>916753779193</v>
      </c>
      <c r="F113" t="s">
        <v>10381</v>
      </c>
      <c r="G113" t="s">
        <v>10379</v>
      </c>
      <c r="H113" s="2">
        <v>29198</v>
      </c>
    </row>
    <row r="114" spans="1:8">
      <c r="A114" t="s">
        <v>690</v>
      </c>
      <c r="B114" t="s">
        <v>61</v>
      </c>
      <c r="C114" t="s">
        <v>10367</v>
      </c>
      <c r="D114" t="s">
        <v>10491</v>
      </c>
      <c r="E114">
        <v>916092187247</v>
      </c>
      <c r="F114" t="s">
        <v>10374</v>
      </c>
      <c r="G114" t="s">
        <v>10366</v>
      </c>
      <c r="H114" s="2">
        <v>23440</v>
      </c>
    </row>
    <row r="115" spans="1:8">
      <c r="A115" t="s">
        <v>696</v>
      </c>
      <c r="B115" t="s">
        <v>1810</v>
      </c>
      <c r="C115" t="s">
        <v>10367</v>
      </c>
      <c r="D115" t="s">
        <v>10492</v>
      </c>
      <c r="E115">
        <v>918538766351</v>
      </c>
      <c r="F115" t="s">
        <v>10386</v>
      </c>
      <c r="G115" t="s">
        <v>10370</v>
      </c>
      <c r="H115" s="2">
        <v>24830</v>
      </c>
    </row>
    <row r="116" spans="1:8">
      <c r="A116" t="s">
        <v>702</v>
      </c>
      <c r="B116" t="s">
        <v>564</v>
      </c>
      <c r="C116" t="s">
        <v>10367</v>
      </c>
      <c r="D116" t="s">
        <v>10493</v>
      </c>
      <c r="E116">
        <v>917264557092</v>
      </c>
      <c r="F116" t="s">
        <v>10372</v>
      </c>
      <c r="G116" t="s">
        <v>10379</v>
      </c>
      <c r="H116" s="2">
        <v>20592</v>
      </c>
    </row>
    <row r="117" spans="1:8">
      <c r="A117" t="s">
        <v>707</v>
      </c>
      <c r="B117" t="s">
        <v>1453</v>
      </c>
      <c r="C117" t="s">
        <v>10363</v>
      </c>
      <c r="D117" t="s">
        <v>10494</v>
      </c>
      <c r="E117">
        <v>919961886699</v>
      </c>
      <c r="F117" t="s">
        <v>10374</v>
      </c>
      <c r="G117" t="s">
        <v>10377</v>
      </c>
      <c r="H117" s="2">
        <v>26512</v>
      </c>
    </row>
    <row r="118" spans="1:8">
      <c r="A118" t="s">
        <v>713</v>
      </c>
      <c r="B118" t="s">
        <v>130</v>
      </c>
      <c r="C118" t="s">
        <v>10363</v>
      </c>
      <c r="D118" t="s">
        <v>10495</v>
      </c>
      <c r="E118">
        <v>919289752679</v>
      </c>
      <c r="F118" t="s">
        <v>10384</v>
      </c>
      <c r="G118" t="s">
        <v>10366</v>
      </c>
      <c r="H118" s="2">
        <v>21848</v>
      </c>
    </row>
    <row r="119" spans="1:8">
      <c r="A119" t="s">
        <v>718</v>
      </c>
      <c r="B119" t="s">
        <v>1699</v>
      </c>
      <c r="C119" t="s">
        <v>10363</v>
      </c>
      <c r="D119" t="s">
        <v>10496</v>
      </c>
      <c r="E119">
        <v>918679690424</v>
      </c>
      <c r="F119" t="s">
        <v>10381</v>
      </c>
      <c r="G119" t="s">
        <v>10379</v>
      </c>
      <c r="H119" s="2">
        <v>30277</v>
      </c>
    </row>
    <row r="120" spans="1:8">
      <c r="A120" t="s">
        <v>723</v>
      </c>
      <c r="B120" t="s">
        <v>3975</v>
      </c>
      <c r="C120" t="s">
        <v>10367</v>
      </c>
      <c r="D120" t="s">
        <v>10497</v>
      </c>
      <c r="E120">
        <v>917151083277</v>
      </c>
      <c r="F120" t="s">
        <v>10381</v>
      </c>
      <c r="G120" t="s">
        <v>10379</v>
      </c>
      <c r="H120" s="2">
        <v>31635</v>
      </c>
    </row>
    <row r="121" spans="1:8">
      <c r="A121" t="s">
        <v>728</v>
      </c>
      <c r="B121" t="s">
        <v>351</v>
      </c>
      <c r="C121" t="s">
        <v>10363</v>
      </c>
      <c r="D121" t="s">
        <v>10498</v>
      </c>
      <c r="E121">
        <v>916075320263</v>
      </c>
      <c r="F121" t="s">
        <v>10386</v>
      </c>
      <c r="G121" t="s">
        <v>10377</v>
      </c>
      <c r="H121" s="2">
        <v>29390</v>
      </c>
    </row>
    <row r="122" spans="1:8">
      <c r="A122" t="s">
        <v>734</v>
      </c>
      <c r="B122" t="s">
        <v>357</v>
      </c>
      <c r="C122" t="s">
        <v>10367</v>
      </c>
      <c r="D122" t="s">
        <v>10499</v>
      </c>
      <c r="E122">
        <v>918459747603</v>
      </c>
      <c r="F122" t="s">
        <v>10381</v>
      </c>
      <c r="G122" t="s">
        <v>10370</v>
      </c>
      <c r="H122" s="2">
        <v>33728</v>
      </c>
    </row>
    <row r="123" spans="1:8">
      <c r="A123" t="s">
        <v>739</v>
      </c>
      <c r="B123" t="s">
        <v>229</v>
      </c>
      <c r="C123" t="s">
        <v>10367</v>
      </c>
      <c r="D123" t="s">
        <v>10500</v>
      </c>
      <c r="E123">
        <v>918540096835</v>
      </c>
      <c r="F123" t="s">
        <v>10374</v>
      </c>
      <c r="G123" t="s">
        <v>10366</v>
      </c>
      <c r="H123" s="2">
        <v>35783</v>
      </c>
    </row>
    <row r="124" spans="1:8">
      <c r="A124" t="s">
        <v>745</v>
      </c>
      <c r="B124" t="s">
        <v>229</v>
      </c>
      <c r="C124" t="s">
        <v>10367</v>
      </c>
      <c r="D124" t="s">
        <v>10501</v>
      </c>
      <c r="E124">
        <v>918773486321</v>
      </c>
      <c r="F124" t="s">
        <v>10386</v>
      </c>
      <c r="G124" t="s">
        <v>10370</v>
      </c>
      <c r="H124" s="2">
        <v>34678</v>
      </c>
    </row>
    <row r="125" spans="1:8">
      <c r="A125" t="s">
        <v>750</v>
      </c>
      <c r="B125" t="s">
        <v>853</v>
      </c>
      <c r="C125" t="s">
        <v>10363</v>
      </c>
      <c r="D125" t="s">
        <v>10502</v>
      </c>
      <c r="E125">
        <v>916326408031</v>
      </c>
      <c r="F125" t="s">
        <v>10374</v>
      </c>
      <c r="G125" t="s">
        <v>10366</v>
      </c>
      <c r="H125" s="2">
        <v>34578</v>
      </c>
    </row>
    <row r="126" spans="1:8">
      <c r="A126" t="s">
        <v>756</v>
      </c>
      <c r="B126" t="s">
        <v>587</v>
      </c>
      <c r="C126" t="s">
        <v>10363</v>
      </c>
      <c r="D126" t="s">
        <v>10503</v>
      </c>
      <c r="E126">
        <v>916879449164</v>
      </c>
      <c r="F126" t="s">
        <v>10402</v>
      </c>
      <c r="G126" t="s">
        <v>10370</v>
      </c>
      <c r="H126" s="2">
        <v>35333</v>
      </c>
    </row>
    <row r="127" spans="1:8">
      <c r="A127" t="s">
        <v>761</v>
      </c>
      <c r="B127" t="s">
        <v>882</v>
      </c>
      <c r="C127" t="s">
        <v>10363</v>
      </c>
      <c r="D127" t="s">
        <v>10504</v>
      </c>
      <c r="E127">
        <v>919657884729</v>
      </c>
      <c r="F127" t="s">
        <v>10376</v>
      </c>
      <c r="G127" t="s">
        <v>10370</v>
      </c>
      <c r="H127" s="2">
        <v>21857</v>
      </c>
    </row>
    <row r="128" spans="1:8">
      <c r="A128" t="s">
        <v>767</v>
      </c>
      <c r="B128" t="s">
        <v>1014</v>
      </c>
      <c r="C128" t="s">
        <v>10367</v>
      </c>
      <c r="D128" t="s">
        <v>10505</v>
      </c>
      <c r="E128">
        <v>917598213995</v>
      </c>
      <c r="F128" t="s">
        <v>10372</v>
      </c>
      <c r="G128" t="s">
        <v>10377</v>
      </c>
      <c r="H128" s="2">
        <v>36695</v>
      </c>
    </row>
    <row r="129" spans="1:8">
      <c r="A129" t="s">
        <v>773</v>
      </c>
      <c r="B129" t="s">
        <v>1464</v>
      </c>
      <c r="C129" t="s">
        <v>10367</v>
      </c>
      <c r="D129" t="s">
        <v>10506</v>
      </c>
      <c r="E129">
        <v>918145351342</v>
      </c>
      <c r="F129" t="s">
        <v>10386</v>
      </c>
      <c r="G129" t="s">
        <v>10366</v>
      </c>
      <c r="H129" s="2">
        <v>20145</v>
      </c>
    </row>
    <row r="130" spans="1:8">
      <c r="A130" t="s">
        <v>779</v>
      </c>
      <c r="B130" t="s">
        <v>587</v>
      </c>
      <c r="C130" t="s">
        <v>10363</v>
      </c>
      <c r="D130" t="s">
        <v>10507</v>
      </c>
      <c r="E130">
        <v>918307401327</v>
      </c>
      <c r="F130" t="s">
        <v>10388</v>
      </c>
      <c r="G130" t="s">
        <v>10379</v>
      </c>
      <c r="H130" s="2">
        <v>27174</v>
      </c>
    </row>
    <row r="131" spans="1:8">
      <c r="A131" t="s">
        <v>785</v>
      </c>
      <c r="B131" t="s">
        <v>443</v>
      </c>
      <c r="C131" t="s">
        <v>10367</v>
      </c>
      <c r="D131" t="s">
        <v>10508</v>
      </c>
      <c r="E131">
        <v>918448205495</v>
      </c>
      <c r="F131" t="s">
        <v>10384</v>
      </c>
      <c r="G131" t="s">
        <v>10379</v>
      </c>
      <c r="H131" s="2">
        <v>30637</v>
      </c>
    </row>
    <row r="132" spans="1:8">
      <c r="A132" t="s">
        <v>791</v>
      </c>
      <c r="B132" t="s">
        <v>5907</v>
      </c>
      <c r="C132" t="s">
        <v>10367</v>
      </c>
      <c r="D132" t="s">
        <v>10509</v>
      </c>
      <c r="E132">
        <v>918739355416</v>
      </c>
      <c r="F132" t="s">
        <v>10386</v>
      </c>
      <c r="G132" t="s">
        <v>10366</v>
      </c>
      <c r="H132" s="2">
        <v>29565</v>
      </c>
    </row>
    <row r="133" spans="1:8">
      <c r="A133" t="s">
        <v>796</v>
      </c>
      <c r="B133" t="s">
        <v>558</v>
      </c>
      <c r="C133" t="s">
        <v>10363</v>
      </c>
      <c r="D133" t="s">
        <v>10510</v>
      </c>
      <c r="E133">
        <v>916935063892</v>
      </c>
      <c r="F133" t="s">
        <v>10372</v>
      </c>
      <c r="G133" t="s">
        <v>10370</v>
      </c>
      <c r="H133" s="2">
        <v>22924</v>
      </c>
    </row>
    <row r="134" spans="1:8">
      <c r="A134" t="s">
        <v>801</v>
      </c>
      <c r="B134" t="s">
        <v>100</v>
      </c>
      <c r="C134" t="s">
        <v>10363</v>
      </c>
      <c r="D134" t="s">
        <v>10511</v>
      </c>
      <c r="E134">
        <v>916830251266</v>
      </c>
      <c r="F134" t="s">
        <v>10381</v>
      </c>
      <c r="G134" t="s">
        <v>10377</v>
      </c>
      <c r="H134" s="2">
        <v>27366</v>
      </c>
    </row>
    <row r="135" spans="1:8">
      <c r="A135" t="s">
        <v>807</v>
      </c>
      <c r="B135" t="s">
        <v>841</v>
      </c>
      <c r="C135" t="s">
        <v>10367</v>
      </c>
      <c r="D135" t="s">
        <v>10512</v>
      </c>
      <c r="E135">
        <v>916931828198</v>
      </c>
      <c r="F135" t="s">
        <v>10402</v>
      </c>
      <c r="G135" t="s">
        <v>10366</v>
      </c>
      <c r="H135" s="2">
        <v>37120</v>
      </c>
    </row>
    <row r="136" spans="1:8">
      <c r="A136" t="s">
        <v>812</v>
      </c>
      <c r="B136" t="s">
        <v>2112</v>
      </c>
      <c r="C136" t="s">
        <v>10363</v>
      </c>
      <c r="D136" t="s">
        <v>10513</v>
      </c>
      <c r="E136">
        <v>919705271967</v>
      </c>
      <c r="F136" t="s">
        <v>10369</v>
      </c>
      <c r="G136" t="s">
        <v>10379</v>
      </c>
      <c r="H136" s="2">
        <v>23577</v>
      </c>
    </row>
    <row r="137" spans="1:8">
      <c r="A137" t="s">
        <v>817</v>
      </c>
      <c r="B137" t="s">
        <v>1036</v>
      </c>
      <c r="C137" t="s">
        <v>10363</v>
      </c>
      <c r="D137" t="s">
        <v>10514</v>
      </c>
      <c r="E137">
        <v>916414614981</v>
      </c>
      <c r="F137" t="s">
        <v>10381</v>
      </c>
      <c r="G137" t="s">
        <v>10370</v>
      </c>
      <c r="H137" s="2">
        <v>22998</v>
      </c>
    </row>
    <row r="138" spans="1:8">
      <c r="A138" t="s">
        <v>822</v>
      </c>
      <c r="B138" t="s">
        <v>1693</v>
      </c>
      <c r="C138" t="s">
        <v>10367</v>
      </c>
      <c r="D138" t="s">
        <v>10515</v>
      </c>
      <c r="E138">
        <v>916089922732</v>
      </c>
      <c r="F138" t="s">
        <v>10381</v>
      </c>
      <c r="G138" t="s">
        <v>10377</v>
      </c>
      <c r="H138" s="2">
        <v>21197</v>
      </c>
    </row>
    <row r="139" spans="1:8">
      <c r="A139" t="s">
        <v>828</v>
      </c>
      <c r="B139" t="s">
        <v>339</v>
      </c>
      <c r="C139" t="s">
        <v>10363</v>
      </c>
      <c r="D139" t="s">
        <v>10516</v>
      </c>
      <c r="E139">
        <v>918336341209</v>
      </c>
      <c r="F139" t="s">
        <v>10386</v>
      </c>
      <c r="G139" t="s">
        <v>10370</v>
      </c>
      <c r="H139" s="2">
        <v>22292</v>
      </c>
    </row>
    <row r="140" spans="1:8">
      <c r="A140" t="s">
        <v>834</v>
      </c>
      <c r="B140" t="s">
        <v>74</v>
      </c>
      <c r="C140" t="s">
        <v>10363</v>
      </c>
      <c r="D140" t="s">
        <v>10517</v>
      </c>
      <c r="E140">
        <v>919806611969</v>
      </c>
      <c r="F140" t="s">
        <v>10384</v>
      </c>
      <c r="G140" t="s">
        <v>10370</v>
      </c>
      <c r="H140" s="2">
        <v>33208</v>
      </c>
    </row>
    <row r="141" spans="1:8">
      <c r="A141" t="s">
        <v>840</v>
      </c>
      <c r="B141" t="s">
        <v>1757</v>
      </c>
      <c r="C141" t="s">
        <v>10363</v>
      </c>
      <c r="D141" t="s">
        <v>10518</v>
      </c>
      <c r="E141">
        <v>916734079012</v>
      </c>
      <c r="F141" t="s">
        <v>10369</v>
      </c>
      <c r="G141" t="s">
        <v>10377</v>
      </c>
      <c r="H141" s="2">
        <v>21410</v>
      </c>
    </row>
    <row r="142" spans="1:8">
      <c r="A142" t="s">
        <v>846</v>
      </c>
      <c r="B142" t="s">
        <v>100</v>
      </c>
      <c r="C142" t="s">
        <v>10363</v>
      </c>
      <c r="D142" t="s">
        <v>10519</v>
      </c>
      <c r="E142">
        <v>917048253859</v>
      </c>
      <c r="F142" t="s">
        <v>10376</v>
      </c>
      <c r="G142" t="s">
        <v>10370</v>
      </c>
      <c r="H142" s="2">
        <v>32991</v>
      </c>
    </row>
    <row r="143" spans="1:8">
      <c r="A143" t="s">
        <v>852</v>
      </c>
      <c r="B143" t="s">
        <v>4370</v>
      </c>
      <c r="C143" t="s">
        <v>10367</v>
      </c>
      <c r="D143" t="s">
        <v>10520</v>
      </c>
      <c r="E143">
        <v>917750238014</v>
      </c>
      <c r="F143" t="s">
        <v>10402</v>
      </c>
      <c r="G143" t="s">
        <v>10366</v>
      </c>
      <c r="H143" s="2">
        <v>34751</v>
      </c>
    </row>
    <row r="144" spans="1:8">
      <c r="A144" t="s">
        <v>858</v>
      </c>
      <c r="B144" t="s">
        <v>100</v>
      </c>
      <c r="C144" t="s">
        <v>10363</v>
      </c>
      <c r="D144" t="s">
        <v>10521</v>
      </c>
      <c r="E144">
        <v>916449918678</v>
      </c>
      <c r="F144" t="s">
        <v>10376</v>
      </c>
      <c r="G144" t="s">
        <v>10379</v>
      </c>
      <c r="H144" s="2">
        <v>33018</v>
      </c>
    </row>
    <row r="145" spans="1:8">
      <c r="A145" t="s">
        <v>864</v>
      </c>
      <c r="B145" t="s">
        <v>2019</v>
      </c>
      <c r="C145" t="s">
        <v>10367</v>
      </c>
      <c r="D145" t="s">
        <v>10522</v>
      </c>
      <c r="E145">
        <v>919397756972</v>
      </c>
      <c r="F145" t="s">
        <v>10381</v>
      </c>
      <c r="G145" t="s">
        <v>10370</v>
      </c>
      <c r="H145" s="2">
        <v>25557</v>
      </c>
    </row>
    <row r="146" spans="1:8">
      <c r="A146" t="s">
        <v>870</v>
      </c>
      <c r="B146" t="s">
        <v>10523</v>
      </c>
      <c r="C146" t="s">
        <v>10367</v>
      </c>
      <c r="D146" t="s">
        <v>10524</v>
      </c>
      <c r="E146">
        <v>917500350684</v>
      </c>
      <c r="F146" t="s">
        <v>10381</v>
      </c>
      <c r="G146" t="s">
        <v>10379</v>
      </c>
      <c r="H146" s="2">
        <v>37553</v>
      </c>
    </row>
    <row r="147" spans="1:8">
      <c r="A147" t="s">
        <v>876</v>
      </c>
      <c r="B147" t="s">
        <v>404</v>
      </c>
      <c r="C147" t="s">
        <v>10363</v>
      </c>
      <c r="D147" t="s">
        <v>10525</v>
      </c>
      <c r="E147">
        <v>917744017076</v>
      </c>
      <c r="F147" t="s">
        <v>10365</v>
      </c>
      <c r="G147" t="s">
        <v>10379</v>
      </c>
      <c r="H147" s="2">
        <v>28907</v>
      </c>
    </row>
    <row r="148" spans="1:8">
      <c r="A148" t="s">
        <v>881</v>
      </c>
      <c r="B148" t="s">
        <v>691</v>
      </c>
      <c r="C148" t="s">
        <v>10367</v>
      </c>
      <c r="D148" t="s">
        <v>10526</v>
      </c>
      <c r="E148">
        <v>918726462687</v>
      </c>
      <c r="F148" t="s">
        <v>10384</v>
      </c>
      <c r="G148" t="s">
        <v>10377</v>
      </c>
      <c r="H148" s="2">
        <v>35193</v>
      </c>
    </row>
    <row r="149" spans="1:8">
      <c r="A149" t="s">
        <v>887</v>
      </c>
      <c r="B149" t="s">
        <v>955</v>
      </c>
      <c r="C149" t="s">
        <v>10363</v>
      </c>
      <c r="D149" t="s">
        <v>10527</v>
      </c>
      <c r="E149">
        <v>917909519613</v>
      </c>
      <c r="F149" t="s">
        <v>10386</v>
      </c>
      <c r="G149" t="s">
        <v>10377</v>
      </c>
      <c r="H149" s="2">
        <v>30948</v>
      </c>
    </row>
    <row r="150" spans="1:8">
      <c r="A150" t="s">
        <v>892</v>
      </c>
      <c r="B150" t="s">
        <v>506</v>
      </c>
      <c r="C150" t="s">
        <v>10367</v>
      </c>
      <c r="D150" t="s">
        <v>10528</v>
      </c>
      <c r="E150">
        <v>918762744182</v>
      </c>
      <c r="F150" t="s">
        <v>10376</v>
      </c>
      <c r="G150" t="s">
        <v>10366</v>
      </c>
      <c r="H150" s="2">
        <v>28445</v>
      </c>
    </row>
    <row r="151" spans="1:8">
      <c r="A151" t="s">
        <v>898</v>
      </c>
      <c r="B151" t="s">
        <v>3216</v>
      </c>
      <c r="C151" t="s">
        <v>10367</v>
      </c>
      <c r="D151" t="s">
        <v>10529</v>
      </c>
      <c r="E151">
        <v>917618645994</v>
      </c>
      <c r="F151" t="s">
        <v>10374</v>
      </c>
      <c r="G151" t="s">
        <v>10379</v>
      </c>
      <c r="H151" s="2">
        <v>32714</v>
      </c>
    </row>
    <row r="152" spans="1:8">
      <c r="A152" t="s">
        <v>904</v>
      </c>
      <c r="B152" t="s">
        <v>691</v>
      </c>
      <c r="C152" t="s">
        <v>10367</v>
      </c>
      <c r="D152" t="s">
        <v>10530</v>
      </c>
      <c r="E152">
        <v>917390164028</v>
      </c>
      <c r="F152" t="s">
        <v>10365</v>
      </c>
      <c r="G152" t="s">
        <v>10370</v>
      </c>
      <c r="H152" s="2">
        <v>27319</v>
      </c>
    </row>
    <row r="153" spans="1:8">
      <c r="A153" t="s">
        <v>909</v>
      </c>
      <c r="B153" t="s">
        <v>351</v>
      </c>
      <c r="C153" t="s">
        <v>10363</v>
      </c>
      <c r="D153" t="s">
        <v>10531</v>
      </c>
      <c r="E153">
        <v>918587047662</v>
      </c>
      <c r="F153" t="s">
        <v>10372</v>
      </c>
      <c r="G153" t="s">
        <v>10379</v>
      </c>
      <c r="H153" s="2">
        <v>35004</v>
      </c>
    </row>
    <row r="154" spans="1:8">
      <c r="A154" t="s">
        <v>915</v>
      </c>
      <c r="B154" t="s">
        <v>547</v>
      </c>
      <c r="C154" t="s">
        <v>10363</v>
      </c>
      <c r="D154" t="s">
        <v>10532</v>
      </c>
      <c r="E154">
        <v>916096528582</v>
      </c>
      <c r="F154" t="s">
        <v>10365</v>
      </c>
      <c r="G154" t="s">
        <v>10366</v>
      </c>
      <c r="H154" s="2">
        <v>34916</v>
      </c>
    </row>
    <row r="155" spans="1:8">
      <c r="A155" t="s">
        <v>921</v>
      </c>
      <c r="B155" t="s">
        <v>217</v>
      </c>
      <c r="C155" t="s">
        <v>10363</v>
      </c>
      <c r="D155" t="s">
        <v>10533</v>
      </c>
      <c r="E155">
        <v>916270278560</v>
      </c>
      <c r="F155" t="s">
        <v>10365</v>
      </c>
      <c r="G155" t="s">
        <v>10379</v>
      </c>
      <c r="H155" s="2">
        <v>31430</v>
      </c>
    </row>
    <row r="156" spans="1:8">
      <c r="A156" t="s">
        <v>926</v>
      </c>
      <c r="B156" t="s">
        <v>6865</v>
      </c>
      <c r="C156" t="s">
        <v>10367</v>
      </c>
      <c r="D156" t="s">
        <v>10534</v>
      </c>
      <c r="E156">
        <v>917094830533</v>
      </c>
      <c r="F156" t="s">
        <v>10384</v>
      </c>
      <c r="G156" t="s">
        <v>10366</v>
      </c>
      <c r="H156" s="2">
        <v>36096</v>
      </c>
    </row>
    <row r="157" spans="1:8">
      <c r="A157" t="s">
        <v>932</v>
      </c>
      <c r="B157" t="s">
        <v>639</v>
      </c>
      <c r="C157" t="s">
        <v>10363</v>
      </c>
      <c r="D157" t="s">
        <v>10535</v>
      </c>
      <c r="E157">
        <v>916831253326</v>
      </c>
      <c r="F157" t="s">
        <v>10369</v>
      </c>
      <c r="G157" t="s">
        <v>10366</v>
      </c>
      <c r="H157" s="2">
        <v>22842</v>
      </c>
    </row>
    <row r="158" spans="1:8">
      <c r="A158" t="s">
        <v>938</v>
      </c>
      <c r="B158" t="s">
        <v>2062</v>
      </c>
      <c r="C158" t="s">
        <v>10367</v>
      </c>
      <c r="D158" t="s">
        <v>10536</v>
      </c>
      <c r="E158">
        <v>916885870863</v>
      </c>
      <c r="F158" t="s">
        <v>10386</v>
      </c>
      <c r="G158" t="s">
        <v>10377</v>
      </c>
      <c r="H158" s="2">
        <v>29000</v>
      </c>
    </row>
    <row r="159" spans="1:8">
      <c r="A159" t="s">
        <v>944</v>
      </c>
      <c r="B159" t="s">
        <v>882</v>
      </c>
      <c r="C159" t="s">
        <v>10363</v>
      </c>
      <c r="D159" t="s">
        <v>10537</v>
      </c>
      <c r="E159">
        <v>916042418489</v>
      </c>
      <c r="F159" t="s">
        <v>10369</v>
      </c>
      <c r="G159" t="s">
        <v>10370</v>
      </c>
      <c r="H159" s="2">
        <v>35751</v>
      </c>
    </row>
    <row r="160" spans="1:8">
      <c r="A160" t="s">
        <v>949</v>
      </c>
      <c r="B160" t="s">
        <v>130</v>
      </c>
      <c r="C160" t="s">
        <v>10363</v>
      </c>
      <c r="D160" t="s">
        <v>10538</v>
      </c>
      <c r="E160">
        <v>919589279527</v>
      </c>
      <c r="F160" t="s">
        <v>10388</v>
      </c>
      <c r="G160" t="s">
        <v>10370</v>
      </c>
      <c r="H160" s="2">
        <v>29295</v>
      </c>
    </row>
    <row r="161" spans="1:8">
      <c r="A161" t="s">
        <v>954</v>
      </c>
      <c r="B161" t="s">
        <v>2924</v>
      </c>
      <c r="C161" t="s">
        <v>10367</v>
      </c>
      <c r="D161" t="s">
        <v>10539</v>
      </c>
      <c r="E161">
        <v>919872908632</v>
      </c>
      <c r="F161" t="s">
        <v>10388</v>
      </c>
      <c r="G161" t="s">
        <v>10377</v>
      </c>
      <c r="H161" s="2">
        <v>32576</v>
      </c>
    </row>
    <row r="162" spans="1:8">
      <c r="A162" t="s">
        <v>960</v>
      </c>
      <c r="B162" t="s">
        <v>124</v>
      </c>
      <c r="C162" t="s">
        <v>10363</v>
      </c>
      <c r="D162" t="s">
        <v>10540</v>
      </c>
      <c r="E162">
        <v>919307865456</v>
      </c>
      <c r="F162" t="s">
        <v>10376</v>
      </c>
      <c r="G162" t="s">
        <v>10377</v>
      </c>
      <c r="H162" s="2">
        <v>33135</v>
      </c>
    </row>
    <row r="163" spans="1:8">
      <c r="A163" t="s">
        <v>966</v>
      </c>
      <c r="B163" t="s">
        <v>130</v>
      </c>
      <c r="C163" t="s">
        <v>10363</v>
      </c>
      <c r="D163" t="s">
        <v>10541</v>
      </c>
      <c r="E163">
        <v>918863700744</v>
      </c>
      <c r="F163" t="s">
        <v>10384</v>
      </c>
      <c r="G163" t="s">
        <v>10370</v>
      </c>
      <c r="H163" s="2">
        <v>34631</v>
      </c>
    </row>
    <row r="164" spans="1:8">
      <c r="A164" t="s">
        <v>971</v>
      </c>
      <c r="B164" t="s">
        <v>939</v>
      </c>
      <c r="C164" t="s">
        <v>10367</v>
      </c>
      <c r="D164" t="s">
        <v>10542</v>
      </c>
      <c r="E164">
        <v>919717267186</v>
      </c>
      <c r="F164" t="s">
        <v>10376</v>
      </c>
      <c r="G164" t="s">
        <v>10377</v>
      </c>
      <c r="H164" s="2">
        <v>23615</v>
      </c>
    </row>
    <row r="165" spans="1:8">
      <c r="A165" t="s">
        <v>976</v>
      </c>
      <c r="B165" t="s">
        <v>443</v>
      </c>
      <c r="C165" t="s">
        <v>10367</v>
      </c>
      <c r="D165" t="s">
        <v>10543</v>
      </c>
      <c r="E165">
        <v>916197243216</v>
      </c>
      <c r="F165" t="s">
        <v>10374</v>
      </c>
      <c r="G165" t="s">
        <v>10379</v>
      </c>
      <c r="H165" s="2">
        <v>35980</v>
      </c>
    </row>
    <row r="166" spans="1:8">
      <c r="A166" t="s">
        <v>981</v>
      </c>
      <c r="B166" t="s">
        <v>1660</v>
      </c>
      <c r="C166" t="s">
        <v>10363</v>
      </c>
      <c r="D166" t="s">
        <v>10544</v>
      </c>
      <c r="E166">
        <v>916074248797</v>
      </c>
      <c r="F166" t="s">
        <v>10374</v>
      </c>
      <c r="G166" t="s">
        <v>10379</v>
      </c>
      <c r="H166" s="2">
        <v>26713</v>
      </c>
    </row>
    <row r="167" spans="1:8">
      <c r="A167" t="s">
        <v>987</v>
      </c>
      <c r="B167" t="s">
        <v>345</v>
      </c>
      <c r="C167" t="s">
        <v>10367</v>
      </c>
      <c r="D167" t="s">
        <v>10545</v>
      </c>
      <c r="E167">
        <v>918856009143</v>
      </c>
      <c r="F167" t="s">
        <v>10372</v>
      </c>
      <c r="G167" t="s">
        <v>10379</v>
      </c>
      <c r="H167" s="2">
        <v>30591</v>
      </c>
    </row>
    <row r="168" spans="1:8">
      <c r="A168" t="s">
        <v>992</v>
      </c>
      <c r="B168" t="s">
        <v>398</v>
      </c>
      <c r="C168" t="s">
        <v>10367</v>
      </c>
      <c r="D168" t="s">
        <v>10546</v>
      </c>
      <c r="E168">
        <v>918279852373</v>
      </c>
      <c r="F168" t="s">
        <v>10365</v>
      </c>
      <c r="G168" t="s">
        <v>10370</v>
      </c>
      <c r="H168" s="2">
        <v>29916</v>
      </c>
    </row>
    <row r="169" spans="1:8">
      <c r="A169" t="s">
        <v>997</v>
      </c>
      <c r="B169" t="s">
        <v>211</v>
      </c>
      <c r="C169" t="s">
        <v>10367</v>
      </c>
      <c r="D169" t="s">
        <v>10547</v>
      </c>
      <c r="E169">
        <v>919816317217</v>
      </c>
      <c r="F169" t="s">
        <v>10402</v>
      </c>
      <c r="G169" t="s">
        <v>10377</v>
      </c>
      <c r="H169" s="2">
        <v>25333</v>
      </c>
    </row>
    <row r="170" spans="1:8">
      <c r="A170" t="s">
        <v>1002</v>
      </c>
      <c r="B170" t="s">
        <v>4252</v>
      </c>
      <c r="C170" t="s">
        <v>10367</v>
      </c>
      <c r="D170" t="s">
        <v>10548</v>
      </c>
      <c r="E170">
        <v>916185825441</v>
      </c>
      <c r="F170" t="s">
        <v>10386</v>
      </c>
      <c r="G170" t="s">
        <v>10379</v>
      </c>
      <c r="H170" s="2">
        <v>26614</v>
      </c>
    </row>
    <row r="171" spans="1:8">
      <c r="A171" t="s">
        <v>1007</v>
      </c>
      <c r="B171" t="s">
        <v>253</v>
      </c>
      <c r="C171" t="s">
        <v>10363</v>
      </c>
      <c r="D171" t="s">
        <v>10549</v>
      </c>
      <c r="E171">
        <v>917292284700</v>
      </c>
      <c r="F171" t="s">
        <v>10388</v>
      </c>
      <c r="G171" t="s">
        <v>10379</v>
      </c>
      <c r="H171" s="2">
        <v>23440</v>
      </c>
    </row>
    <row r="172" spans="1:8">
      <c r="A172" t="s">
        <v>1013</v>
      </c>
      <c r="B172" t="s">
        <v>691</v>
      </c>
      <c r="C172" t="s">
        <v>10367</v>
      </c>
      <c r="D172" t="s">
        <v>10550</v>
      </c>
      <c r="E172">
        <v>919746253849</v>
      </c>
      <c r="F172" t="s">
        <v>10365</v>
      </c>
      <c r="G172" t="s">
        <v>10370</v>
      </c>
      <c r="H172" s="2">
        <v>27600</v>
      </c>
    </row>
    <row r="173" spans="1:8">
      <c r="A173" t="s">
        <v>1019</v>
      </c>
      <c r="B173" t="s">
        <v>10551</v>
      </c>
      <c r="C173" t="s">
        <v>10367</v>
      </c>
      <c r="D173" t="s">
        <v>10552</v>
      </c>
      <c r="E173">
        <v>917425006676</v>
      </c>
      <c r="F173" t="s">
        <v>10376</v>
      </c>
      <c r="G173" t="s">
        <v>10370</v>
      </c>
      <c r="H173" s="2">
        <v>35025</v>
      </c>
    </row>
    <row r="174" spans="1:8">
      <c r="A174" t="s">
        <v>1024</v>
      </c>
      <c r="B174" t="s">
        <v>1383</v>
      </c>
      <c r="C174" t="s">
        <v>10367</v>
      </c>
      <c r="D174" t="s">
        <v>10553</v>
      </c>
      <c r="E174">
        <v>918063303628</v>
      </c>
      <c r="F174" t="s">
        <v>10386</v>
      </c>
      <c r="G174" t="s">
        <v>10366</v>
      </c>
      <c r="H174" s="2">
        <v>32650</v>
      </c>
    </row>
    <row r="175" spans="1:8">
      <c r="A175" t="s">
        <v>1029</v>
      </c>
      <c r="B175" t="s">
        <v>2636</v>
      </c>
      <c r="C175" t="s">
        <v>10363</v>
      </c>
      <c r="D175" t="s">
        <v>10554</v>
      </c>
      <c r="E175">
        <v>917877215976</v>
      </c>
      <c r="F175" t="s">
        <v>10374</v>
      </c>
      <c r="G175" t="s">
        <v>10370</v>
      </c>
      <c r="H175" s="2">
        <v>22389</v>
      </c>
    </row>
    <row r="176" spans="1:8">
      <c r="A176" t="s">
        <v>1035</v>
      </c>
      <c r="B176" t="s">
        <v>679</v>
      </c>
      <c r="C176" t="s">
        <v>10367</v>
      </c>
      <c r="D176" t="s">
        <v>10555</v>
      </c>
      <c r="E176">
        <v>917234673635</v>
      </c>
      <c r="F176" t="s">
        <v>10374</v>
      </c>
      <c r="G176" t="s">
        <v>10366</v>
      </c>
      <c r="H176" s="2">
        <v>24874</v>
      </c>
    </row>
    <row r="177" spans="1:8">
      <c r="A177" t="s">
        <v>1041</v>
      </c>
      <c r="B177" t="s">
        <v>186</v>
      </c>
      <c r="C177" t="s">
        <v>10363</v>
      </c>
      <c r="D177" t="s">
        <v>10556</v>
      </c>
      <c r="E177">
        <v>917693876917</v>
      </c>
      <c r="F177" t="s">
        <v>10381</v>
      </c>
      <c r="G177" t="s">
        <v>10370</v>
      </c>
      <c r="H177" s="2">
        <v>21969</v>
      </c>
    </row>
    <row r="178" spans="1:8">
      <c r="A178" t="s">
        <v>1046</v>
      </c>
      <c r="B178" t="s">
        <v>1096</v>
      </c>
      <c r="C178" t="s">
        <v>10363</v>
      </c>
      <c r="D178" t="s">
        <v>10557</v>
      </c>
      <c r="E178">
        <v>918124520522</v>
      </c>
      <c r="F178" t="s">
        <v>10381</v>
      </c>
      <c r="G178" t="s">
        <v>10379</v>
      </c>
      <c r="H178" s="2">
        <v>26563</v>
      </c>
    </row>
    <row r="179" spans="1:8">
      <c r="A179" t="s">
        <v>1051</v>
      </c>
      <c r="B179" t="s">
        <v>265</v>
      </c>
      <c r="C179" t="s">
        <v>10363</v>
      </c>
      <c r="D179" t="s">
        <v>10558</v>
      </c>
      <c r="E179">
        <v>917378620129</v>
      </c>
      <c r="F179" t="s">
        <v>10374</v>
      </c>
      <c r="G179" t="s">
        <v>10366</v>
      </c>
      <c r="H179" s="2">
        <v>23820</v>
      </c>
    </row>
    <row r="180" spans="1:8">
      <c r="A180" t="s">
        <v>1057</v>
      </c>
      <c r="B180" t="s">
        <v>351</v>
      </c>
      <c r="C180" t="s">
        <v>10363</v>
      </c>
      <c r="D180" t="s">
        <v>10559</v>
      </c>
      <c r="E180">
        <v>916435523202</v>
      </c>
      <c r="F180" t="s">
        <v>10386</v>
      </c>
      <c r="G180" t="s">
        <v>10377</v>
      </c>
      <c r="H180" s="2">
        <v>31944</v>
      </c>
    </row>
    <row r="181" spans="1:8">
      <c r="A181" t="s">
        <v>1062</v>
      </c>
      <c r="B181" t="s">
        <v>1367</v>
      </c>
      <c r="C181" t="s">
        <v>10367</v>
      </c>
      <c r="D181" t="s">
        <v>10560</v>
      </c>
      <c r="E181">
        <v>917443058509</v>
      </c>
      <c r="F181" t="s">
        <v>10388</v>
      </c>
      <c r="G181" t="s">
        <v>10377</v>
      </c>
      <c r="H181" s="2">
        <v>28630</v>
      </c>
    </row>
    <row r="182" spans="1:8">
      <c r="A182" t="s">
        <v>1067</v>
      </c>
      <c r="B182" t="s">
        <v>2720</v>
      </c>
      <c r="C182" t="s">
        <v>10367</v>
      </c>
      <c r="D182" t="s">
        <v>10561</v>
      </c>
      <c r="E182">
        <v>918025574993</v>
      </c>
      <c r="F182" t="s">
        <v>10376</v>
      </c>
      <c r="G182" t="s">
        <v>10366</v>
      </c>
      <c r="H182" s="2">
        <v>34801</v>
      </c>
    </row>
    <row r="183" spans="1:8">
      <c r="A183" t="s">
        <v>1073</v>
      </c>
      <c r="B183" t="s">
        <v>1594</v>
      </c>
      <c r="C183" t="s">
        <v>10363</v>
      </c>
      <c r="D183" t="s">
        <v>10562</v>
      </c>
      <c r="E183">
        <v>916481616079</v>
      </c>
      <c r="F183" t="s">
        <v>10365</v>
      </c>
      <c r="G183" t="s">
        <v>10377</v>
      </c>
      <c r="H183" s="2">
        <v>28408</v>
      </c>
    </row>
    <row r="184" spans="1:8">
      <c r="A184" t="s">
        <v>1079</v>
      </c>
      <c r="B184" t="s">
        <v>1229</v>
      </c>
      <c r="C184" t="s">
        <v>10363</v>
      </c>
      <c r="D184" t="s">
        <v>10563</v>
      </c>
      <c r="E184">
        <v>917242898943</v>
      </c>
      <c r="F184" t="s">
        <v>10369</v>
      </c>
      <c r="G184" t="s">
        <v>10370</v>
      </c>
      <c r="H184" s="2">
        <v>20979</v>
      </c>
    </row>
    <row r="185" spans="1:8">
      <c r="A185" t="s">
        <v>1084</v>
      </c>
      <c r="B185" t="s">
        <v>1626</v>
      </c>
      <c r="C185" t="s">
        <v>10367</v>
      </c>
      <c r="D185" t="s">
        <v>10564</v>
      </c>
      <c r="E185">
        <v>916536062456</v>
      </c>
      <c r="F185" t="s">
        <v>10384</v>
      </c>
      <c r="G185" t="s">
        <v>10370</v>
      </c>
      <c r="H185" s="2">
        <v>29645</v>
      </c>
    </row>
    <row r="186" spans="1:8">
      <c r="A186" t="s">
        <v>1089</v>
      </c>
      <c r="B186" t="s">
        <v>933</v>
      </c>
      <c r="C186" t="s">
        <v>10363</v>
      </c>
      <c r="D186" t="s">
        <v>10565</v>
      </c>
      <c r="E186">
        <v>919944687678</v>
      </c>
      <c r="F186" t="s">
        <v>10369</v>
      </c>
      <c r="G186" t="s">
        <v>10370</v>
      </c>
      <c r="H186" s="2">
        <v>29968</v>
      </c>
    </row>
    <row r="187" spans="1:8">
      <c r="A187" t="s">
        <v>1095</v>
      </c>
      <c r="B187" t="s">
        <v>1447</v>
      </c>
      <c r="C187" t="s">
        <v>10367</v>
      </c>
      <c r="D187" t="s">
        <v>10566</v>
      </c>
      <c r="E187">
        <v>917514518732</v>
      </c>
      <c r="F187" t="s">
        <v>10381</v>
      </c>
      <c r="G187" t="s">
        <v>10379</v>
      </c>
      <c r="H187" s="2">
        <v>32727</v>
      </c>
    </row>
    <row r="188" spans="1:8">
      <c r="A188" t="s">
        <v>1101</v>
      </c>
      <c r="B188" t="s">
        <v>1794</v>
      </c>
      <c r="C188" t="s">
        <v>10367</v>
      </c>
      <c r="D188" t="s">
        <v>10567</v>
      </c>
      <c r="E188">
        <v>918938922490</v>
      </c>
      <c r="F188" t="s">
        <v>10402</v>
      </c>
      <c r="G188" t="s">
        <v>10366</v>
      </c>
      <c r="H188" s="2">
        <v>24153</v>
      </c>
    </row>
    <row r="189" spans="1:8">
      <c r="A189" t="s">
        <v>1107</v>
      </c>
      <c r="B189" t="s">
        <v>163</v>
      </c>
      <c r="C189" t="s">
        <v>10363</v>
      </c>
      <c r="D189" t="s">
        <v>10568</v>
      </c>
      <c r="E189">
        <v>919979640149</v>
      </c>
      <c r="F189" t="s">
        <v>10374</v>
      </c>
      <c r="G189" t="s">
        <v>10370</v>
      </c>
      <c r="H189" s="2">
        <v>31292</v>
      </c>
    </row>
    <row r="190" spans="1:8">
      <c r="A190" t="s">
        <v>1113</v>
      </c>
      <c r="B190" t="s">
        <v>7577</v>
      </c>
      <c r="C190" t="s">
        <v>10367</v>
      </c>
      <c r="D190" t="s">
        <v>10569</v>
      </c>
      <c r="E190">
        <v>918944453809</v>
      </c>
      <c r="F190" t="s">
        <v>10365</v>
      </c>
      <c r="G190" t="s">
        <v>10370</v>
      </c>
      <c r="H190" s="2">
        <v>26812</v>
      </c>
    </row>
    <row r="191" spans="1:8">
      <c r="A191" t="s">
        <v>1119</v>
      </c>
      <c r="B191" t="s">
        <v>1367</v>
      </c>
      <c r="C191" t="s">
        <v>10367</v>
      </c>
      <c r="D191" t="s">
        <v>10570</v>
      </c>
      <c r="E191">
        <v>916698298439</v>
      </c>
      <c r="F191" t="s">
        <v>10369</v>
      </c>
      <c r="G191" t="s">
        <v>10379</v>
      </c>
      <c r="H191" s="2">
        <v>33644</v>
      </c>
    </row>
    <row r="192" spans="1:8">
      <c r="A192" t="s">
        <v>1124</v>
      </c>
      <c r="B192" t="s">
        <v>4740</v>
      </c>
      <c r="C192" t="s">
        <v>10367</v>
      </c>
      <c r="D192" t="s">
        <v>10571</v>
      </c>
      <c r="E192">
        <v>918472147805</v>
      </c>
      <c r="F192" t="s">
        <v>10372</v>
      </c>
      <c r="G192" t="s">
        <v>10379</v>
      </c>
      <c r="H192" s="2">
        <v>34889</v>
      </c>
    </row>
    <row r="193" spans="1:8">
      <c r="A193" t="s">
        <v>1129</v>
      </c>
      <c r="B193" t="s">
        <v>2035</v>
      </c>
      <c r="C193" t="s">
        <v>10363</v>
      </c>
      <c r="D193" t="s">
        <v>10572</v>
      </c>
      <c r="E193">
        <v>918470102556</v>
      </c>
      <c r="F193" t="s">
        <v>10369</v>
      </c>
      <c r="G193" t="s">
        <v>10377</v>
      </c>
      <c r="H193" s="2">
        <v>36164</v>
      </c>
    </row>
    <row r="194" spans="1:8">
      <c r="A194" t="s">
        <v>1134</v>
      </c>
      <c r="B194" t="s">
        <v>4436</v>
      </c>
      <c r="C194" t="s">
        <v>10367</v>
      </c>
      <c r="D194" t="s">
        <v>10573</v>
      </c>
      <c r="E194">
        <v>916978715827</v>
      </c>
      <c r="F194" t="s">
        <v>10369</v>
      </c>
      <c r="G194" t="s">
        <v>10377</v>
      </c>
      <c r="H194" s="2">
        <v>32625</v>
      </c>
    </row>
    <row r="195" spans="1:8">
      <c r="A195" t="s">
        <v>1139</v>
      </c>
      <c r="B195" t="s">
        <v>74</v>
      </c>
      <c r="C195" t="s">
        <v>10363</v>
      </c>
      <c r="D195" t="s">
        <v>10574</v>
      </c>
      <c r="E195">
        <v>918320581916</v>
      </c>
      <c r="F195" t="s">
        <v>10369</v>
      </c>
      <c r="G195" t="s">
        <v>10379</v>
      </c>
      <c r="H195" s="2">
        <v>35683</v>
      </c>
    </row>
    <row r="196" spans="1:8">
      <c r="A196" t="s">
        <v>1145</v>
      </c>
      <c r="B196" t="s">
        <v>363</v>
      </c>
      <c r="C196" t="s">
        <v>10363</v>
      </c>
      <c r="D196" t="s">
        <v>10575</v>
      </c>
      <c r="E196">
        <v>919161622322</v>
      </c>
      <c r="F196" t="s">
        <v>10384</v>
      </c>
      <c r="G196" t="s">
        <v>10366</v>
      </c>
      <c r="H196" s="2">
        <v>34658</v>
      </c>
    </row>
    <row r="197" spans="1:8">
      <c r="A197" t="s">
        <v>1151</v>
      </c>
      <c r="B197" t="s">
        <v>1660</v>
      </c>
      <c r="C197" t="s">
        <v>10363</v>
      </c>
      <c r="D197" t="s">
        <v>10576</v>
      </c>
      <c r="E197">
        <v>918409648457</v>
      </c>
      <c r="F197" t="s">
        <v>10374</v>
      </c>
      <c r="G197" t="s">
        <v>10379</v>
      </c>
      <c r="H197" s="2">
        <v>28087</v>
      </c>
    </row>
    <row r="198" spans="1:8">
      <c r="A198" t="s">
        <v>1157</v>
      </c>
      <c r="B198" t="s">
        <v>1757</v>
      </c>
      <c r="C198" t="s">
        <v>10363</v>
      </c>
      <c r="D198" t="s">
        <v>10577</v>
      </c>
      <c r="E198">
        <v>919618883686</v>
      </c>
      <c r="F198" t="s">
        <v>10369</v>
      </c>
      <c r="G198" t="s">
        <v>10377</v>
      </c>
      <c r="H198" s="2">
        <v>24169</v>
      </c>
    </row>
    <row r="199" spans="1:8">
      <c r="A199" t="s">
        <v>1163</v>
      </c>
      <c r="B199" t="s">
        <v>3112</v>
      </c>
      <c r="C199" t="s">
        <v>10367</v>
      </c>
      <c r="D199" t="s">
        <v>10578</v>
      </c>
      <c r="E199">
        <v>918616505725</v>
      </c>
      <c r="F199" t="s">
        <v>10402</v>
      </c>
      <c r="G199" t="s">
        <v>10370</v>
      </c>
      <c r="H199" s="2">
        <v>27290</v>
      </c>
    </row>
    <row r="200" spans="1:8">
      <c r="A200" t="s">
        <v>1169</v>
      </c>
      <c r="B200" t="s">
        <v>6865</v>
      </c>
      <c r="C200" t="s">
        <v>10367</v>
      </c>
      <c r="D200" t="s">
        <v>10579</v>
      </c>
      <c r="E200">
        <v>916061799010</v>
      </c>
      <c r="F200" t="s">
        <v>10374</v>
      </c>
      <c r="G200" t="s">
        <v>10366</v>
      </c>
      <c r="H200" s="2">
        <v>26110</v>
      </c>
    </row>
    <row r="201" spans="1:8">
      <c r="A201" t="s">
        <v>1174</v>
      </c>
      <c r="B201" t="s">
        <v>3118</v>
      </c>
      <c r="C201" t="s">
        <v>10367</v>
      </c>
      <c r="D201" t="s">
        <v>10580</v>
      </c>
      <c r="E201">
        <v>919266534921</v>
      </c>
      <c r="F201" t="s">
        <v>10381</v>
      </c>
      <c r="G201" t="s">
        <v>10379</v>
      </c>
      <c r="H201" s="2">
        <v>32176</v>
      </c>
    </row>
    <row r="202" spans="1:8">
      <c r="A202" t="s">
        <v>1180</v>
      </c>
      <c r="B202" t="s">
        <v>1152</v>
      </c>
      <c r="C202" t="s">
        <v>10367</v>
      </c>
      <c r="D202" t="s">
        <v>10581</v>
      </c>
      <c r="E202">
        <v>918159412879</v>
      </c>
      <c r="F202" t="s">
        <v>10374</v>
      </c>
      <c r="G202" t="s">
        <v>10379</v>
      </c>
      <c r="H202" s="2">
        <v>32564</v>
      </c>
    </row>
    <row r="203" spans="1:8">
      <c r="A203" t="s">
        <v>1185</v>
      </c>
      <c r="B203" t="s">
        <v>7839</v>
      </c>
      <c r="C203" t="s">
        <v>10367</v>
      </c>
      <c r="D203" t="s">
        <v>10582</v>
      </c>
      <c r="E203">
        <v>916342679856</v>
      </c>
      <c r="F203" t="s">
        <v>10372</v>
      </c>
      <c r="G203" t="s">
        <v>10366</v>
      </c>
      <c r="H203" s="2">
        <v>33265</v>
      </c>
    </row>
    <row r="204" spans="1:8">
      <c r="A204" t="s">
        <v>1191</v>
      </c>
      <c r="B204" t="s">
        <v>927</v>
      </c>
      <c r="C204" t="s">
        <v>10367</v>
      </c>
      <c r="D204" t="s">
        <v>10583</v>
      </c>
      <c r="E204">
        <v>919579402178</v>
      </c>
      <c r="F204" t="s">
        <v>10402</v>
      </c>
      <c r="G204" t="s">
        <v>10379</v>
      </c>
      <c r="H204" s="2">
        <v>30957</v>
      </c>
    </row>
    <row r="205" spans="1:8">
      <c r="A205" t="s">
        <v>1196</v>
      </c>
      <c r="B205" t="s">
        <v>4512</v>
      </c>
      <c r="C205" t="s">
        <v>10367</v>
      </c>
      <c r="D205" t="s">
        <v>10584</v>
      </c>
      <c r="E205">
        <v>918513419649</v>
      </c>
      <c r="F205" t="s">
        <v>10376</v>
      </c>
      <c r="G205" t="s">
        <v>10370</v>
      </c>
      <c r="H205" s="2">
        <v>28542</v>
      </c>
    </row>
    <row r="206" spans="1:8">
      <c r="A206" t="s">
        <v>1201</v>
      </c>
      <c r="B206" t="s">
        <v>2474</v>
      </c>
      <c r="C206" t="s">
        <v>10363</v>
      </c>
      <c r="D206" t="s">
        <v>10585</v>
      </c>
      <c r="E206">
        <v>919240742503</v>
      </c>
      <c r="F206" t="s">
        <v>10365</v>
      </c>
      <c r="G206" t="s">
        <v>10377</v>
      </c>
      <c r="H206" s="2">
        <v>35588</v>
      </c>
    </row>
    <row r="207" spans="1:8">
      <c r="A207" t="s">
        <v>1206</v>
      </c>
      <c r="B207" t="s">
        <v>174</v>
      </c>
      <c r="C207" t="s">
        <v>10367</v>
      </c>
      <c r="D207" t="s">
        <v>10586</v>
      </c>
      <c r="E207">
        <v>916523387030</v>
      </c>
      <c r="F207" t="s">
        <v>10369</v>
      </c>
      <c r="G207" t="s">
        <v>10370</v>
      </c>
      <c r="H207" s="2">
        <v>33635</v>
      </c>
    </row>
    <row r="208" spans="1:8">
      <c r="A208" t="s">
        <v>1212</v>
      </c>
      <c r="B208" t="s">
        <v>1447</v>
      </c>
      <c r="C208" t="s">
        <v>10367</v>
      </c>
      <c r="D208" t="s">
        <v>10587</v>
      </c>
      <c r="E208">
        <v>917320160317</v>
      </c>
      <c r="F208" t="s">
        <v>10381</v>
      </c>
      <c r="G208" t="s">
        <v>10366</v>
      </c>
      <c r="H208" s="2">
        <v>28164</v>
      </c>
    </row>
    <row r="209" spans="1:8">
      <c r="A209" t="s">
        <v>1218</v>
      </c>
      <c r="B209" t="s">
        <v>575</v>
      </c>
      <c r="C209" t="s">
        <v>10363</v>
      </c>
      <c r="D209" t="s">
        <v>10588</v>
      </c>
      <c r="E209">
        <v>917409136244</v>
      </c>
      <c r="F209" t="s">
        <v>10384</v>
      </c>
      <c r="G209" t="s">
        <v>10377</v>
      </c>
      <c r="H209" s="2">
        <v>32115</v>
      </c>
    </row>
    <row r="210" spans="1:8">
      <c r="A210" t="s">
        <v>1223</v>
      </c>
      <c r="B210" t="s">
        <v>2837</v>
      </c>
      <c r="C210" t="s">
        <v>10367</v>
      </c>
      <c r="D210" t="s">
        <v>10589</v>
      </c>
      <c r="E210">
        <v>916911295064</v>
      </c>
      <c r="F210" t="s">
        <v>10365</v>
      </c>
      <c r="G210" t="s">
        <v>10370</v>
      </c>
      <c r="H210" s="2">
        <v>29262</v>
      </c>
    </row>
    <row r="211" spans="1:8">
      <c r="A211" t="s">
        <v>1228</v>
      </c>
      <c r="B211" t="s">
        <v>404</v>
      </c>
      <c r="C211" t="s">
        <v>10363</v>
      </c>
      <c r="D211" t="s">
        <v>10590</v>
      </c>
      <c r="E211">
        <v>919253549376</v>
      </c>
      <c r="F211" t="s">
        <v>10386</v>
      </c>
      <c r="G211" t="s">
        <v>10370</v>
      </c>
      <c r="H211" s="2">
        <v>30354</v>
      </c>
    </row>
    <row r="212" spans="1:8">
      <c r="A212" t="s">
        <v>1234</v>
      </c>
      <c r="B212" t="s">
        <v>1068</v>
      </c>
      <c r="C212" t="s">
        <v>10363</v>
      </c>
      <c r="D212" t="s">
        <v>10591</v>
      </c>
      <c r="E212">
        <v>917053753182</v>
      </c>
      <c r="F212" t="s">
        <v>10376</v>
      </c>
      <c r="G212" t="s">
        <v>10366</v>
      </c>
      <c r="H212" s="2">
        <v>25843</v>
      </c>
    </row>
    <row r="213" spans="1:8">
      <c r="A213" t="s">
        <v>1239</v>
      </c>
      <c r="B213" t="s">
        <v>2474</v>
      </c>
      <c r="C213" t="s">
        <v>10363</v>
      </c>
      <c r="D213" t="s">
        <v>10592</v>
      </c>
      <c r="E213">
        <v>916388039883</v>
      </c>
      <c r="F213" t="s">
        <v>10374</v>
      </c>
      <c r="G213" t="s">
        <v>10366</v>
      </c>
      <c r="H213" s="2">
        <v>30628</v>
      </c>
    </row>
    <row r="214" spans="1:8">
      <c r="A214" t="s">
        <v>1244</v>
      </c>
      <c r="B214" t="s">
        <v>1476</v>
      </c>
      <c r="C214" t="s">
        <v>10367</v>
      </c>
      <c r="D214" t="s">
        <v>10593</v>
      </c>
      <c r="E214">
        <v>918511624594</v>
      </c>
      <c r="F214" t="s">
        <v>10365</v>
      </c>
      <c r="G214" t="s">
        <v>10370</v>
      </c>
      <c r="H214" s="2">
        <v>28302</v>
      </c>
    </row>
    <row r="215" spans="1:8">
      <c r="A215" t="s">
        <v>1249</v>
      </c>
      <c r="B215" t="s">
        <v>1983</v>
      </c>
      <c r="C215" t="s">
        <v>10363</v>
      </c>
      <c r="D215" t="s">
        <v>10594</v>
      </c>
      <c r="E215">
        <v>917687438442</v>
      </c>
      <c r="F215" t="s">
        <v>10369</v>
      </c>
      <c r="G215" t="s">
        <v>10377</v>
      </c>
      <c r="H215" s="2">
        <v>35516</v>
      </c>
    </row>
    <row r="216" spans="1:8">
      <c r="A216" t="s">
        <v>1255</v>
      </c>
      <c r="B216" t="s">
        <v>2451</v>
      </c>
      <c r="C216" t="s">
        <v>10367</v>
      </c>
      <c r="D216" t="s">
        <v>10595</v>
      </c>
      <c r="E216">
        <v>917962524048</v>
      </c>
      <c r="F216" t="s">
        <v>10388</v>
      </c>
      <c r="G216" t="s">
        <v>10370</v>
      </c>
      <c r="H216" s="2">
        <v>32795</v>
      </c>
    </row>
    <row r="217" spans="1:8">
      <c r="A217" t="s">
        <v>1260</v>
      </c>
      <c r="B217" t="s">
        <v>217</v>
      </c>
      <c r="C217" t="s">
        <v>10363</v>
      </c>
      <c r="D217" t="s">
        <v>10596</v>
      </c>
      <c r="E217">
        <v>919926083695</v>
      </c>
      <c r="F217" t="s">
        <v>10376</v>
      </c>
      <c r="G217" t="s">
        <v>10366</v>
      </c>
      <c r="H217" s="2">
        <v>24353</v>
      </c>
    </row>
    <row r="218" spans="1:8">
      <c r="A218" t="s">
        <v>1265</v>
      </c>
      <c r="B218" t="s">
        <v>685</v>
      </c>
      <c r="C218" t="s">
        <v>10367</v>
      </c>
      <c r="D218" t="s">
        <v>10597</v>
      </c>
      <c r="E218">
        <v>916328751403</v>
      </c>
      <c r="F218" t="s">
        <v>10388</v>
      </c>
      <c r="G218" t="s">
        <v>10377</v>
      </c>
      <c r="H218" s="2">
        <v>34683</v>
      </c>
    </row>
    <row r="219" spans="1:8">
      <c r="A219" t="s">
        <v>1270</v>
      </c>
      <c r="B219" t="s">
        <v>460</v>
      </c>
      <c r="C219" t="s">
        <v>10363</v>
      </c>
      <c r="D219" t="s">
        <v>10598</v>
      </c>
      <c r="E219">
        <v>919746037764</v>
      </c>
      <c r="F219" t="s">
        <v>10372</v>
      </c>
      <c r="G219" t="s">
        <v>10379</v>
      </c>
      <c r="H219" s="2">
        <v>25945</v>
      </c>
    </row>
    <row r="220" spans="1:8">
      <c r="A220" t="s">
        <v>1276</v>
      </c>
      <c r="B220" t="s">
        <v>500</v>
      </c>
      <c r="C220" t="s">
        <v>10363</v>
      </c>
      <c r="D220" t="s">
        <v>10599</v>
      </c>
      <c r="E220">
        <v>918348758451</v>
      </c>
      <c r="F220" t="s">
        <v>10388</v>
      </c>
      <c r="G220" t="s">
        <v>10370</v>
      </c>
      <c r="H220" s="2">
        <v>31503</v>
      </c>
    </row>
    <row r="221" spans="1:8">
      <c r="A221" t="s">
        <v>1281</v>
      </c>
      <c r="B221" t="s">
        <v>751</v>
      </c>
      <c r="C221" t="s">
        <v>10367</v>
      </c>
      <c r="D221" t="s">
        <v>10600</v>
      </c>
      <c r="E221">
        <v>916576903896</v>
      </c>
      <c r="F221" t="s">
        <v>10384</v>
      </c>
      <c r="G221" t="s">
        <v>10377</v>
      </c>
      <c r="H221" s="2">
        <v>26246</v>
      </c>
    </row>
    <row r="222" spans="1:8">
      <c r="A222" t="s">
        <v>1287</v>
      </c>
      <c r="B222" t="s">
        <v>137</v>
      </c>
      <c r="C222" t="s">
        <v>10363</v>
      </c>
      <c r="D222" t="s">
        <v>10601</v>
      </c>
      <c r="E222">
        <v>916987484850</v>
      </c>
      <c r="F222" t="s">
        <v>10369</v>
      </c>
      <c r="G222" t="s">
        <v>10366</v>
      </c>
      <c r="H222" s="2">
        <v>24856</v>
      </c>
    </row>
    <row r="223" spans="1:8">
      <c r="A223" t="s">
        <v>1293</v>
      </c>
      <c r="B223" t="s">
        <v>2863</v>
      </c>
      <c r="C223" t="s">
        <v>10367</v>
      </c>
      <c r="D223" t="s">
        <v>10602</v>
      </c>
      <c r="E223">
        <v>917117240068</v>
      </c>
      <c r="F223" t="s">
        <v>10369</v>
      </c>
      <c r="G223" t="s">
        <v>10377</v>
      </c>
      <c r="H223" s="2">
        <v>33303</v>
      </c>
    </row>
    <row r="224" spans="1:8">
      <c r="A224" t="s">
        <v>1298</v>
      </c>
      <c r="B224" t="s">
        <v>1102</v>
      </c>
      <c r="C224" t="s">
        <v>10367</v>
      </c>
      <c r="D224" t="s">
        <v>10603</v>
      </c>
      <c r="E224">
        <v>919286769965</v>
      </c>
      <c r="F224" t="s">
        <v>10372</v>
      </c>
      <c r="G224" t="s">
        <v>10366</v>
      </c>
      <c r="H224" s="2">
        <v>28184</v>
      </c>
    </row>
    <row r="225" spans="1:8">
      <c r="A225" t="s">
        <v>1303</v>
      </c>
      <c r="B225" t="s">
        <v>2474</v>
      </c>
      <c r="C225" t="s">
        <v>10363</v>
      </c>
      <c r="D225" t="s">
        <v>10604</v>
      </c>
      <c r="E225">
        <v>916583191171</v>
      </c>
      <c r="F225" t="s">
        <v>10365</v>
      </c>
      <c r="G225" t="s">
        <v>10377</v>
      </c>
      <c r="H225" s="2">
        <v>30809</v>
      </c>
    </row>
    <row r="226" spans="1:8">
      <c r="A226" t="s">
        <v>1308</v>
      </c>
      <c r="B226" t="s">
        <v>1464</v>
      </c>
      <c r="C226" t="s">
        <v>10367</v>
      </c>
      <c r="D226" t="s">
        <v>10605</v>
      </c>
      <c r="E226">
        <v>919388025609</v>
      </c>
      <c r="F226" t="s">
        <v>10402</v>
      </c>
      <c r="G226" t="s">
        <v>10379</v>
      </c>
      <c r="H226" s="2">
        <v>26658</v>
      </c>
    </row>
    <row r="227" spans="1:8">
      <c r="A227" t="s">
        <v>1313</v>
      </c>
      <c r="B227" t="s">
        <v>1030</v>
      </c>
      <c r="C227" t="s">
        <v>10363</v>
      </c>
      <c r="D227" t="s">
        <v>10606</v>
      </c>
      <c r="E227">
        <v>918164134349</v>
      </c>
      <c r="F227" t="s">
        <v>10384</v>
      </c>
      <c r="G227" t="s">
        <v>10377</v>
      </c>
      <c r="H227" s="2">
        <v>31996</v>
      </c>
    </row>
    <row r="228" spans="1:8">
      <c r="A228" t="s">
        <v>1318</v>
      </c>
      <c r="B228" t="s">
        <v>144</v>
      </c>
      <c r="C228" t="s">
        <v>10363</v>
      </c>
      <c r="D228" t="s">
        <v>10607</v>
      </c>
      <c r="E228">
        <v>919145196362</v>
      </c>
      <c r="F228" t="s">
        <v>10376</v>
      </c>
      <c r="G228" t="s">
        <v>10370</v>
      </c>
      <c r="H228" s="2">
        <v>29366</v>
      </c>
    </row>
    <row r="229" spans="1:8">
      <c r="A229" t="s">
        <v>1323</v>
      </c>
      <c r="B229" t="s">
        <v>1383</v>
      </c>
      <c r="C229" t="s">
        <v>10367</v>
      </c>
      <c r="D229" t="s">
        <v>10608</v>
      </c>
      <c r="E229">
        <v>919081467801</v>
      </c>
      <c r="F229" t="s">
        <v>10388</v>
      </c>
      <c r="G229" t="s">
        <v>10377</v>
      </c>
      <c r="H229" s="2">
        <v>34377</v>
      </c>
    </row>
    <row r="230" spans="1:8">
      <c r="A230" t="s">
        <v>1329</v>
      </c>
      <c r="B230" t="s">
        <v>893</v>
      </c>
      <c r="C230" t="s">
        <v>10367</v>
      </c>
      <c r="D230" t="s">
        <v>10609</v>
      </c>
      <c r="E230">
        <v>916548537294</v>
      </c>
      <c r="F230" t="s">
        <v>10386</v>
      </c>
      <c r="G230" t="s">
        <v>10370</v>
      </c>
      <c r="H230" s="2">
        <v>28271</v>
      </c>
    </row>
    <row r="231" spans="1:8">
      <c r="A231" t="s">
        <v>1335</v>
      </c>
      <c r="B231" t="s">
        <v>1649</v>
      </c>
      <c r="C231" t="s">
        <v>10367</v>
      </c>
      <c r="D231" t="s">
        <v>10610</v>
      </c>
      <c r="E231">
        <v>919703792735</v>
      </c>
      <c r="F231" t="s">
        <v>10376</v>
      </c>
      <c r="G231" t="s">
        <v>10377</v>
      </c>
      <c r="H231" s="2">
        <v>34358</v>
      </c>
    </row>
    <row r="232" spans="1:8">
      <c r="A232" t="s">
        <v>1340</v>
      </c>
      <c r="B232" t="s">
        <v>157</v>
      </c>
      <c r="C232" t="s">
        <v>10363</v>
      </c>
      <c r="D232" t="s">
        <v>10611</v>
      </c>
      <c r="E232">
        <v>917153331641</v>
      </c>
      <c r="F232" t="s">
        <v>10372</v>
      </c>
      <c r="G232" t="s">
        <v>10377</v>
      </c>
      <c r="H232" s="2">
        <v>20477</v>
      </c>
    </row>
    <row r="233" spans="1:8">
      <c r="A233" t="s">
        <v>1345</v>
      </c>
      <c r="B233" t="s">
        <v>1036</v>
      </c>
      <c r="C233" t="s">
        <v>10363</v>
      </c>
      <c r="D233" t="s">
        <v>10612</v>
      </c>
      <c r="E233">
        <v>916923810879</v>
      </c>
      <c r="F233" t="s">
        <v>10381</v>
      </c>
      <c r="G233" t="s">
        <v>10366</v>
      </c>
      <c r="H233" s="2">
        <v>28607</v>
      </c>
    </row>
    <row r="234" spans="1:8">
      <c r="A234" t="s">
        <v>1350</v>
      </c>
      <c r="B234" t="s">
        <v>1545</v>
      </c>
      <c r="C234" t="s">
        <v>10363</v>
      </c>
      <c r="D234" t="s">
        <v>10613</v>
      </c>
      <c r="E234">
        <v>919069127747</v>
      </c>
      <c r="F234" t="s">
        <v>10369</v>
      </c>
      <c r="G234" t="s">
        <v>10366</v>
      </c>
      <c r="H234" s="2">
        <v>22590</v>
      </c>
    </row>
    <row r="235" spans="1:8">
      <c r="A235" t="s">
        <v>1355</v>
      </c>
      <c r="B235" t="s">
        <v>1568</v>
      </c>
      <c r="C235" t="s">
        <v>10367</v>
      </c>
      <c r="D235" t="s">
        <v>10614</v>
      </c>
      <c r="E235">
        <v>918522785237</v>
      </c>
      <c r="F235" t="s">
        <v>10384</v>
      </c>
      <c r="G235" t="s">
        <v>10379</v>
      </c>
      <c r="H235" s="2">
        <v>23724</v>
      </c>
    </row>
    <row r="236" spans="1:8">
      <c r="A236" t="s">
        <v>1360</v>
      </c>
      <c r="B236" t="s">
        <v>3586</v>
      </c>
      <c r="C236" t="s">
        <v>10363</v>
      </c>
      <c r="D236" t="s">
        <v>10615</v>
      </c>
      <c r="E236">
        <v>916762168011</v>
      </c>
      <c r="F236" t="s">
        <v>10374</v>
      </c>
      <c r="G236" t="s">
        <v>10377</v>
      </c>
      <c r="H236" s="2">
        <v>31558</v>
      </c>
    </row>
    <row r="237" spans="1:8">
      <c r="A237" t="s">
        <v>1366</v>
      </c>
      <c r="B237" t="s">
        <v>8266</v>
      </c>
      <c r="C237" t="s">
        <v>10367</v>
      </c>
      <c r="D237" t="s">
        <v>10616</v>
      </c>
      <c r="E237">
        <v>916740415173</v>
      </c>
      <c r="F237" t="s">
        <v>10386</v>
      </c>
      <c r="G237" t="s">
        <v>10377</v>
      </c>
      <c r="H237" s="2">
        <v>22551</v>
      </c>
    </row>
    <row r="238" spans="1:8">
      <c r="A238" t="s">
        <v>1372</v>
      </c>
      <c r="B238" t="s">
        <v>500</v>
      </c>
      <c r="C238" t="s">
        <v>10363</v>
      </c>
      <c r="D238" t="s">
        <v>10617</v>
      </c>
      <c r="E238">
        <v>918258467585</v>
      </c>
      <c r="F238" t="s">
        <v>10386</v>
      </c>
      <c r="G238" t="s">
        <v>10377</v>
      </c>
      <c r="H238" s="2">
        <v>36348</v>
      </c>
    </row>
    <row r="239" spans="1:8">
      <c r="A239" t="s">
        <v>1377</v>
      </c>
      <c r="B239" t="s">
        <v>3216</v>
      </c>
      <c r="C239" t="s">
        <v>10367</v>
      </c>
      <c r="D239" t="s">
        <v>10618</v>
      </c>
      <c r="E239">
        <v>917926940563</v>
      </c>
      <c r="F239" t="s">
        <v>10381</v>
      </c>
      <c r="G239" t="s">
        <v>10377</v>
      </c>
      <c r="H239" s="2">
        <v>23378</v>
      </c>
    </row>
    <row r="240" spans="1:8">
      <c r="A240" t="s">
        <v>1382</v>
      </c>
      <c r="B240" t="s">
        <v>311</v>
      </c>
      <c r="C240" t="s">
        <v>10363</v>
      </c>
      <c r="D240" t="s">
        <v>10619</v>
      </c>
      <c r="E240">
        <v>916300984611</v>
      </c>
      <c r="F240" t="s">
        <v>10369</v>
      </c>
      <c r="G240" t="s">
        <v>10366</v>
      </c>
      <c r="H240" s="2">
        <v>24671</v>
      </c>
    </row>
    <row r="241" spans="1:8">
      <c r="A241" t="s">
        <v>1388</v>
      </c>
      <c r="B241" t="s">
        <v>130</v>
      </c>
      <c r="C241" t="s">
        <v>10363</v>
      </c>
      <c r="D241" t="s">
        <v>10620</v>
      </c>
      <c r="E241">
        <v>918598090993</v>
      </c>
      <c r="F241" t="s">
        <v>10374</v>
      </c>
      <c r="G241" t="s">
        <v>10377</v>
      </c>
      <c r="H241" s="2">
        <v>21232</v>
      </c>
    </row>
    <row r="242" spans="1:8">
      <c r="A242" t="s">
        <v>1393</v>
      </c>
      <c r="B242" t="s">
        <v>1207</v>
      </c>
      <c r="C242" t="s">
        <v>10367</v>
      </c>
      <c r="D242" t="s">
        <v>10621</v>
      </c>
      <c r="E242">
        <v>919429660485</v>
      </c>
      <c r="F242" t="s">
        <v>10365</v>
      </c>
      <c r="G242" t="s">
        <v>10370</v>
      </c>
      <c r="H242" s="2">
        <v>34549</v>
      </c>
    </row>
    <row r="243" spans="1:8">
      <c r="A243" t="s">
        <v>1398</v>
      </c>
      <c r="B243" t="s">
        <v>1751</v>
      </c>
      <c r="C243" t="s">
        <v>10367</v>
      </c>
      <c r="D243" t="s">
        <v>10622</v>
      </c>
      <c r="E243">
        <v>916401683351</v>
      </c>
      <c r="F243" t="s">
        <v>10402</v>
      </c>
      <c r="G243" t="s">
        <v>10370</v>
      </c>
      <c r="H243" s="2">
        <v>32708</v>
      </c>
    </row>
    <row r="244" spans="1:8">
      <c r="A244" t="s">
        <v>1404</v>
      </c>
      <c r="B244" t="s">
        <v>916</v>
      </c>
      <c r="C244" t="s">
        <v>10367</v>
      </c>
      <c r="D244" t="s">
        <v>10623</v>
      </c>
      <c r="E244">
        <v>918128647054</v>
      </c>
      <c r="F244" t="s">
        <v>10381</v>
      </c>
      <c r="G244" t="s">
        <v>10370</v>
      </c>
      <c r="H244" s="2">
        <v>22672</v>
      </c>
    </row>
    <row r="245" spans="1:8">
      <c r="A245" t="s">
        <v>1409</v>
      </c>
      <c r="B245" t="s">
        <v>472</v>
      </c>
      <c r="C245" t="s">
        <v>10363</v>
      </c>
      <c r="D245" t="s">
        <v>10624</v>
      </c>
      <c r="E245">
        <v>919403105235</v>
      </c>
      <c r="F245" t="s">
        <v>10402</v>
      </c>
      <c r="G245" t="s">
        <v>10379</v>
      </c>
      <c r="H245" s="2">
        <v>22925</v>
      </c>
    </row>
    <row r="246" spans="1:8">
      <c r="A246" t="s">
        <v>1414</v>
      </c>
      <c r="B246" t="s">
        <v>871</v>
      </c>
      <c r="C246" t="s">
        <v>10363</v>
      </c>
      <c r="D246" t="s">
        <v>10625</v>
      </c>
      <c r="E246">
        <v>917103099321</v>
      </c>
      <c r="F246" t="s">
        <v>10372</v>
      </c>
      <c r="G246" t="s">
        <v>10370</v>
      </c>
      <c r="H246" s="2">
        <v>29591</v>
      </c>
    </row>
    <row r="247" spans="1:8">
      <c r="A247" t="s">
        <v>1419</v>
      </c>
      <c r="B247" t="s">
        <v>2101</v>
      </c>
      <c r="C247" t="s">
        <v>10363</v>
      </c>
      <c r="D247" t="s">
        <v>10626</v>
      </c>
      <c r="E247">
        <v>917548532916</v>
      </c>
      <c r="F247" t="s">
        <v>10381</v>
      </c>
      <c r="G247" t="s">
        <v>10377</v>
      </c>
      <c r="H247" s="2">
        <v>35247</v>
      </c>
    </row>
    <row r="248" spans="1:8">
      <c r="A248" t="s">
        <v>1425</v>
      </c>
      <c r="B248" t="s">
        <v>94</v>
      </c>
      <c r="C248" t="s">
        <v>10367</v>
      </c>
      <c r="D248" t="s">
        <v>10627</v>
      </c>
      <c r="E248">
        <v>919244112571</v>
      </c>
      <c r="F248" t="s">
        <v>10402</v>
      </c>
      <c r="G248" t="s">
        <v>10370</v>
      </c>
      <c r="H248" s="2">
        <v>37219</v>
      </c>
    </row>
    <row r="249" spans="1:8">
      <c r="A249" t="s">
        <v>1430</v>
      </c>
      <c r="B249" t="s">
        <v>685</v>
      </c>
      <c r="C249" t="s">
        <v>10367</v>
      </c>
      <c r="D249" t="s">
        <v>10628</v>
      </c>
      <c r="E249">
        <v>919426680809</v>
      </c>
      <c r="F249" t="s">
        <v>10365</v>
      </c>
      <c r="G249" t="s">
        <v>10370</v>
      </c>
      <c r="H249" s="2">
        <v>29129</v>
      </c>
    </row>
    <row r="250" spans="1:8">
      <c r="A250" t="s">
        <v>1436</v>
      </c>
      <c r="B250" t="s">
        <v>2742</v>
      </c>
      <c r="C250" t="s">
        <v>10367</v>
      </c>
      <c r="D250" t="s">
        <v>10629</v>
      </c>
      <c r="E250">
        <v>917356377619</v>
      </c>
      <c r="F250" t="s">
        <v>10402</v>
      </c>
      <c r="G250" t="s">
        <v>10370</v>
      </c>
      <c r="H250" s="2">
        <v>23237</v>
      </c>
    </row>
    <row r="251" spans="1:8">
      <c r="A251" t="s">
        <v>1441</v>
      </c>
      <c r="B251" t="s">
        <v>1008</v>
      </c>
      <c r="C251" t="s">
        <v>10367</v>
      </c>
      <c r="D251" t="s">
        <v>10630</v>
      </c>
      <c r="E251">
        <v>916103536368</v>
      </c>
      <c r="F251" t="s">
        <v>10381</v>
      </c>
      <c r="G251" t="s">
        <v>10366</v>
      </c>
      <c r="H251" s="2">
        <v>28471</v>
      </c>
    </row>
    <row r="252" spans="1:8">
      <c r="A252" t="s">
        <v>1446</v>
      </c>
      <c r="B252" t="s">
        <v>2510</v>
      </c>
      <c r="C252" t="s">
        <v>10363</v>
      </c>
      <c r="D252" t="s">
        <v>10631</v>
      </c>
      <c r="E252">
        <v>916564415562</v>
      </c>
      <c r="F252" t="s">
        <v>10402</v>
      </c>
      <c r="G252" t="s">
        <v>10377</v>
      </c>
      <c r="H252" s="2">
        <v>33546</v>
      </c>
    </row>
    <row r="253" spans="1:8">
      <c r="A253" t="s">
        <v>1452</v>
      </c>
      <c r="B253" t="s">
        <v>45</v>
      </c>
      <c r="C253" t="s">
        <v>10367</v>
      </c>
      <c r="D253" t="s">
        <v>10632</v>
      </c>
      <c r="E253">
        <v>919459266291</v>
      </c>
      <c r="F253" t="s">
        <v>10386</v>
      </c>
      <c r="G253" t="s">
        <v>10379</v>
      </c>
      <c r="H253" s="2">
        <v>36304</v>
      </c>
    </row>
    <row r="254" spans="1:8">
      <c r="A254" t="s">
        <v>1458</v>
      </c>
      <c r="B254" t="s">
        <v>253</v>
      </c>
      <c r="C254" t="s">
        <v>10363</v>
      </c>
      <c r="D254" t="s">
        <v>10633</v>
      </c>
      <c r="E254">
        <v>918388012990</v>
      </c>
      <c r="F254" t="s">
        <v>10386</v>
      </c>
      <c r="G254" t="s">
        <v>10379</v>
      </c>
      <c r="H254" s="2">
        <v>23116</v>
      </c>
    </row>
    <row r="255" spans="1:8">
      <c r="A255" t="s">
        <v>1463</v>
      </c>
      <c r="B255" t="s">
        <v>2726</v>
      </c>
      <c r="C255" t="s">
        <v>10367</v>
      </c>
      <c r="D255" t="s">
        <v>10634</v>
      </c>
      <c r="E255">
        <v>917156352443</v>
      </c>
      <c r="F255" t="s">
        <v>10372</v>
      </c>
      <c r="G255" t="s">
        <v>10379</v>
      </c>
      <c r="H255" s="2">
        <v>25950</v>
      </c>
    </row>
    <row r="256" spans="1:8">
      <c r="A256" t="s">
        <v>1469</v>
      </c>
      <c r="B256" t="s">
        <v>1453</v>
      </c>
      <c r="C256" t="s">
        <v>10363</v>
      </c>
      <c r="D256" t="s">
        <v>10635</v>
      </c>
      <c r="E256">
        <v>916470451217</v>
      </c>
      <c r="F256" t="s">
        <v>10369</v>
      </c>
      <c r="G256" t="s">
        <v>10377</v>
      </c>
      <c r="H256" s="2">
        <v>31552</v>
      </c>
    </row>
    <row r="257" spans="1:8">
      <c r="A257" t="s">
        <v>1475</v>
      </c>
      <c r="B257" t="s">
        <v>80</v>
      </c>
      <c r="C257" t="s">
        <v>10363</v>
      </c>
      <c r="D257" t="s">
        <v>10636</v>
      </c>
      <c r="E257">
        <v>916187312532</v>
      </c>
      <c r="F257" t="s">
        <v>10388</v>
      </c>
      <c r="G257" t="s">
        <v>10379</v>
      </c>
      <c r="H257" s="2">
        <v>33596</v>
      </c>
    </row>
    <row r="258" spans="1:8">
      <c r="A258" t="s">
        <v>1481</v>
      </c>
      <c r="B258" t="s">
        <v>311</v>
      </c>
      <c r="C258" t="s">
        <v>10363</v>
      </c>
      <c r="D258" t="s">
        <v>10637</v>
      </c>
      <c r="E258">
        <v>919580309341</v>
      </c>
      <c r="F258" t="s">
        <v>10376</v>
      </c>
      <c r="G258" t="s">
        <v>10366</v>
      </c>
      <c r="H258" s="2">
        <v>25341</v>
      </c>
    </row>
    <row r="259" spans="1:8">
      <c r="A259" t="s">
        <v>1487</v>
      </c>
      <c r="B259" t="s">
        <v>294</v>
      </c>
      <c r="C259" t="s">
        <v>10367</v>
      </c>
      <c r="D259" t="s">
        <v>10638</v>
      </c>
      <c r="E259">
        <v>918165392293</v>
      </c>
      <c r="F259" t="s">
        <v>10381</v>
      </c>
      <c r="G259" t="s">
        <v>10377</v>
      </c>
      <c r="H259" s="2">
        <v>25493</v>
      </c>
    </row>
    <row r="260" spans="1:8">
      <c r="A260" t="s">
        <v>1492</v>
      </c>
      <c r="B260" t="s">
        <v>729</v>
      </c>
      <c r="C260" t="s">
        <v>10367</v>
      </c>
      <c r="D260" t="s">
        <v>10639</v>
      </c>
      <c r="E260">
        <v>919068392915</v>
      </c>
      <c r="F260" t="s">
        <v>10388</v>
      </c>
      <c r="G260" t="s">
        <v>10370</v>
      </c>
      <c r="H260" s="2">
        <v>21616</v>
      </c>
    </row>
    <row r="261" spans="1:8">
      <c r="A261" t="s">
        <v>1497</v>
      </c>
      <c r="B261" t="s">
        <v>1826</v>
      </c>
      <c r="C261" t="s">
        <v>10363</v>
      </c>
      <c r="D261" t="s">
        <v>10640</v>
      </c>
      <c r="E261">
        <v>919876905379</v>
      </c>
      <c r="F261" t="s">
        <v>10374</v>
      </c>
      <c r="G261" t="s">
        <v>10377</v>
      </c>
      <c r="H261" s="2">
        <v>24929</v>
      </c>
    </row>
    <row r="262" spans="1:8">
      <c r="A262" t="s">
        <v>1503</v>
      </c>
      <c r="B262" t="s">
        <v>1763</v>
      </c>
      <c r="C262" t="s">
        <v>10367</v>
      </c>
      <c r="D262" t="s">
        <v>10641</v>
      </c>
      <c r="E262">
        <v>917068015843</v>
      </c>
      <c r="F262" t="s">
        <v>10372</v>
      </c>
      <c r="G262" t="s">
        <v>10379</v>
      </c>
      <c r="H262" s="2">
        <v>30791</v>
      </c>
    </row>
    <row r="263" spans="1:8">
      <c r="A263" t="s">
        <v>1508</v>
      </c>
      <c r="B263" t="s">
        <v>443</v>
      </c>
      <c r="C263" t="s">
        <v>10367</v>
      </c>
      <c r="D263" t="s">
        <v>10642</v>
      </c>
      <c r="E263">
        <v>918455592948</v>
      </c>
      <c r="F263" t="s">
        <v>10369</v>
      </c>
      <c r="G263" t="s">
        <v>10377</v>
      </c>
      <c r="H263" s="2">
        <v>22770</v>
      </c>
    </row>
    <row r="264" spans="1:8">
      <c r="A264" t="s">
        <v>1513</v>
      </c>
      <c r="B264" t="s">
        <v>443</v>
      </c>
      <c r="C264" t="s">
        <v>10367</v>
      </c>
      <c r="D264" t="s">
        <v>10643</v>
      </c>
      <c r="E264">
        <v>917651342321</v>
      </c>
      <c r="F264" t="s">
        <v>10369</v>
      </c>
      <c r="G264" t="s">
        <v>10370</v>
      </c>
      <c r="H264" s="2">
        <v>25649</v>
      </c>
    </row>
    <row r="265" spans="1:8">
      <c r="A265" t="s">
        <v>1518</v>
      </c>
      <c r="B265" t="s">
        <v>1008</v>
      </c>
      <c r="C265" t="s">
        <v>10367</v>
      </c>
      <c r="D265" t="s">
        <v>10644</v>
      </c>
      <c r="E265">
        <v>919321445834</v>
      </c>
      <c r="F265" t="s">
        <v>10369</v>
      </c>
      <c r="G265" t="s">
        <v>10379</v>
      </c>
      <c r="H265" s="2">
        <v>37610</v>
      </c>
    </row>
    <row r="266" spans="1:8">
      <c r="A266" t="s">
        <v>1523</v>
      </c>
      <c r="B266" t="s">
        <v>1763</v>
      </c>
      <c r="C266" t="s">
        <v>10367</v>
      </c>
      <c r="D266" t="s">
        <v>10645</v>
      </c>
      <c r="E266">
        <v>917289355914</v>
      </c>
      <c r="F266" t="s">
        <v>10384</v>
      </c>
      <c r="G266" t="s">
        <v>10377</v>
      </c>
      <c r="H266" s="2">
        <v>33070</v>
      </c>
    </row>
    <row r="267" spans="1:8">
      <c r="A267" t="s">
        <v>1528</v>
      </c>
      <c r="B267" t="s">
        <v>2463</v>
      </c>
      <c r="C267" t="s">
        <v>10363</v>
      </c>
      <c r="D267" t="s">
        <v>10646</v>
      </c>
      <c r="E267">
        <v>916099031912</v>
      </c>
      <c r="F267" t="s">
        <v>10369</v>
      </c>
      <c r="G267" t="s">
        <v>10366</v>
      </c>
      <c r="H267" s="2">
        <v>35893</v>
      </c>
    </row>
    <row r="268" spans="1:8">
      <c r="A268" t="s">
        <v>1533</v>
      </c>
      <c r="B268" t="s">
        <v>211</v>
      </c>
      <c r="C268" t="s">
        <v>10367</v>
      </c>
      <c r="D268" t="s">
        <v>10647</v>
      </c>
      <c r="E268">
        <v>919992468962</v>
      </c>
      <c r="F268" t="s">
        <v>10402</v>
      </c>
      <c r="G268" t="s">
        <v>10377</v>
      </c>
      <c r="H268" s="2">
        <v>27447</v>
      </c>
    </row>
    <row r="269" spans="1:8">
      <c r="A269" t="s">
        <v>1538</v>
      </c>
      <c r="B269" t="s">
        <v>472</v>
      </c>
      <c r="C269" t="s">
        <v>10363</v>
      </c>
      <c r="D269" t="s">
        <v>10648</v>
      </c>
      <c r="E269">
        <v>916607830740</v>
      </c>
      <c r="F269" t="s">
        <v>10369</v>
      </c>
      <c r="G269" t="s">
        <v>10366</v>
      </c>
      <c r="H269" s="2">
        <v>23383</v>
      </c>
    </row>
    <row r="270" spans="1:8">
      <c r="A270" t="s">
        <v>1544</v>
      </c>
      <c r="B270" t="s">
        <v>106</v>
      </c>
      <c r="C270" t="s">
        <v>10363</v>
      </c>
      <c r="D270" t="s">
        <v>10649</v>
      </c>
      <c r="E270">
        <v>917391320027</v>
      </c>
      <c r="F270" t="s">
        <v>10376</v>
      </c>
      <c r="G270" t="s">
        <v>10366</v>
      </c>
      <c r="H270" s="2">
        <v>29768</v>
      </c>
    </row>
    <row r="271" spans="1:8">
      <c r="A271" t="s">
        <v>1550</v>
      </c>
      <c r="B271" t="s">
        <v>3210</v>
      </c>
      <c r="C271" t="s">
        <v>10367</v>
      </c>
      <c r="D271" t="s">
        <v>10650</v>
      </c>
      <c r="E271">
        <v>917075386202</v>
      </c>
      <c r="F271" t="s">
        <v>10372</v>
      </c>
      <c r="G271" t="s">
        <v>10366</v>
      </c>
      <c r="H271" s="2">
        <v>29417</v>
      </c>
    </row>
    <row r="272" spans="1:8">
      <c r="A272" t="s">
        <v>1556</v>
      </c>
      <c r="B272" t="s">
        <v>982</v>
      </c>
      <c r="C272" t="s">
        <v>10367</v>
      </c>
      <c r="D272" t="s">
        <v>10651</v>
      </c>
      <c r="E272">
        <v>916592482933</v>
      </c>
      <c r="F272" t="s">
        <v>10372</v>
      </c>
      <c r="G272" t="s">
        <v>10377</v>
      </c>
      <c r="H272" s="2">
        <v>23370</v>
      </c>
    </row>
    <row r="273" spans="1:8">
      <c r="A273" t="s">
        <v>1562</v>
      </c>
      <c r="B273" t="s">
        <v>223</v>
      </c>
      <c r="C273" t="s">
        <v>10363</v>
      </c>
      <c r="D273" t="s">
        <v>10652</v>
      </c>
      <c r="E273">
        <v>918802974096</v>
      </c>
      <c r="F273" t="s">
        <v>10376</v>
      </c>
      <c r="G273" t="s">
        <v>10379</v>
      </c>
      <c r="H273" s="2">
        <v>34090</v>
      </c>
    </row>
    <row r="274" spans="1:8">
      <c r="A274" t="s">
        <v>1567</v>
      </c>
      <c r="B274" t="s">
        <v>4740</v>
      </c>
      <c r="C274" t="s">
        <v>10367</v>
      </c>
      <c r="D274" t="s">
        <v>10653</v>
      </c>
      <c r="E274">
        <v>917488853069</v>
      </c>
      <c r="F274" t="s">
        <v>10384</v>
      </c>
      <c r="G274" t="s">
        <v>10377</v>
      </c>
      <c r="H274" s="2">
        <v>31555</v>
      </c>
    </row>
    <row r="275" spans="1:8">
      <c r="A275" t="s">
        <v>1573</v>
      </c>
      <c r="B275" t="s">
        <v>282</v>
      </c>
      <c r="C275" t="s">
        <v>10367</v>
      </c>
      <c r="D275" t="s">
        <v>10654</v>
      </c>
      <c r="E275">
        <v>918736639253</v>
      </c>
      <c r="F275" t="s">
        <v>10376</v>
      </c>
      <c r="G275" t="s">
        <v>10379</v>
      </c>
      <c r="H275" s="2">
        <v>27096</v>
      </c>
    </row>
    <row r="276" spans="1:8">
      <c r="A276" t="s">
        <v>1578</v>
      </c>
      <c r="B276" t="s">
        <v>6028</v>
      </c>
      <c r="C276" t="s">
        <v>10367</v>
      </c>
      <c r="D276" t="s">
        <v>10655</v>
      </c>
      <c r="E276">
        <v>916374477868</v>
      </c>
      <c r="F276" t="s">
        <v>10381</v>
      </c>
      <c r="G276" t="s">
        <v>10377</v>
      </c>
      <c r="H276" s="2">
        <v>32950</v>
      </c>
    </row>
    <row r="277" spans="1:8">
      <c r="A277" t="s">
        <v>1583</v>
      </c>
      <c r="B277" t="s">
        <v>223</v>
      </c>
      <c r="C277" t="s">
        <v>10363</v>
      </c>
      <c r="D277" t="s">
        <v>10656</v>
      </c>
      <c r="E277">
        <v>916298256693</v>
      </c>
      <c r="F277" t="s">
        <v>10381</v>
      </c>
      <c r="G277" t="s">
        <v>10366</v>
      </c>
      <c r="H277" s="2">
        <v>28399</v>
      </c>
    </row>
    <row r="278" spans="1:8">
      <c r="A278" t="s">
        <v>1588</v>
      </c>
      <c r="B278" t="s">
        <v>524</v>
      </c>
      <c r="C278" t="s">
        <v>10367</v>
      </c>
      <c r="D278" t="s">
        <v>10657</v>
      </c>
      <c r="E278">
        <v>917995649101</v>
      </c>
      <c r="F278" t="s">
        <v>10369</v>
      </c>
      <c r="G278" t="s">
        <v>10370</v>
      </c>
      <c r="H278" s="2">
        <v>25212</v>
      </c>
    </row>
    <row r="279" spans="1:8">
      <c r="A279" t="s">
        <v>1593</v>
      </c>
      <c r="B279" t="s">
        <v>443</v>
      </c>
      <c r="C279" t="s">
        <v>10367</v>
      </c>
      <c r="D279" t="s">
        <v>10658</v>
      </c>
      <c r="E279">
        <v>918411871526</v>
      </c>
      <c r="F279" t="s">
        <v>10376</v>
      </c>
      <c r="G279" t="s">
        <v>10370</v>
      </c>
      <c r="H279" s="2">
        <v>30713</v>
      </c>
    </row>
    <row r="280" spans="1:8">
      <c r="A280" t="s">
        <v>1599</v>
      </c>
      <c r="B280" t="s">
        <v>94</v>
      </c>
      <c r="C280" t="s">
        <v>10367</v>
      </c>
      <c r="D280" t="s">
        <v>10659</v>
      </c>
      <c r="E280">
        <v>919156835725</v>
      </c>
      <c r="F280" t="s">
        <v>10386</v>
      </c>
      <c r="G280" t="s">
        <v>10377</v>
      </c>
      <c r="H280" s="2">
        <v>28161</v>
      </c>
    </row>
    <row r="281" spans="1:8">
      <c r="A281" t="s">
        <v>1604</v>
      </c>
      <c r="B281" t="s">
        <v>1568</v>
      </c>
      <c r="C281" t="s">
        <v>10367</v>
      </c>
      <c r="D281" t="s">
        <v>10660</v>
      </c>
      <c r="E281">
        <v>916049513875</v>
      </c>
      <c r="F281" t="s">
        <v>10365</v>
      </c>
      <c r="G281" t="s">
        <v>10379</v>
      </c>
      <c r="H281" s="2">
        <v>30110</v>
      </c>
    </row>
    <row r="282" spans="1:8">
      <c r="A282" t="s">
        <v>1609</v>
      </c>
      <c r="B282" t="s">
        <v>2101</v>
      </c>
      <c r="C282" t="s">
        <v>10363</v>
      </c>
      <c r="D282" t="s">
        <v>10661</v>
      </c>
      <c r="E282">
        <v>919759467603</v>
      </c>
      <c r="F282" t="s">
        <v>10372</v>
      </c>
      <c r="G282" t="s">
        <v>10370</v>
      </c>
      <c r="H282" s="2">
        <v>23603</v>
      </c>
    </row>
    <row r="283" spans="1:8">
      <c r="A283" t="s">
        <v>1615</v>
      </c>
      <c r="B283" t="s">
        <v>4359</v>
      </c>
      <c r="C283" t="s">
        <v>10363</v>
      </c>
      <c r="D283" t="s">
        <v>10662</v>
      </c>
      <c r="E283">
        <v>918671638169</v>
      </c>
      <c r="F283" t="s">
        <v>10402</v>
      </c>
      <c r="G283" t="s">
        <v>10366</v>
      </c>
      <c r="H283" s="2">
        <v>25580</v>
      </c>
    </row>
    <row r="284" spans="1:8">
      <c r="A284" t="s">
        <v>1620</v>
      </c>
      <c r="B284" t="s">
        <v>2945</v>
      </c>
      <c r="C284" t="s">
        <v>10367</v>
      </c>
      <c r="D284" t="s">
        <v>10663</v>
      </c>
      <c r="E284">
        <v>917114427969</v>
      </c>
      <c r="F284" t="s">
        <v>10376</v>
      </c>
      <c r="G284" t="s">
        <v>10366</v>
      </c>
      <c r="H284" s="2">
        <v>33057</v>
      </c>
    </row>
    <row r="285" spans="1:8">
      <c r="A285" t="s">
        <v>1625</v>
      </c>
      <c r="B285" t="s">
        <v>1464</v>
      </c>
      <c r="C285" t="s">
        <v>10367</v>
      </c>
      <c r="D285" t="s">
        <v>10664</v>
      </c>
      <c r="E285">
        <v>917365156721</v>
      </c>
      <c r="F285" t="s">
        <v>10402</v>
      </c>
      <c r="G285" t="s">
        <v>10370</v>
      </c>
      <c r="H285" s="2">
        <v>30992</v>
      </c>
    </row>
    <row r="286" spans="1:8">
      <c r="A286" t="s">
        <v>1631</v>
      </c>
      <c r="B286" t="s">
        <v>1763</v>
      </c>
      <c r="C286" t="s">
        <v>10367</v>
      </c>
      <c r="D286" t="s">
        <v>10665</v>
      </c>
      <c r="E286">
        <v>919021906213</v>
      </c>
      <c r="F286" t="s">
        <v>10386</v>
      </c>
      <c r="G286" t="s">
        <v>10366</v>
      </c>
      <c r="H286" s="2">
        <v>36346</v>
      </c>
    </row>
    <row r="287" spans="1:8">
      <c r="A287" t="s">
        <v>1636</v>
      </c>
      <c r="B287" t="s">
        <v>2154</v>
      </c>
      <c r="C287" t="s">
        <v>10363</v>
      </c>
      <c r="D287" t="s">
        <v>10666</v>
      </c>
      <c r="E287">
        <v>919796210471</v>
      </c>
      <c r="F287" t="s">
        <v>10386</v>
      </c>
      <c r="G287" t="s">
        <v>10379</v>
      </c>
      <c r="H287" s="2">
        <v>31923</v>
      </c>
    </row>
    <row r="288" spans="1:8">
      <c r="A288" t="s">
        <v>1642</v>
      </c>
      <c r="B288" t="s">
        <v>157</v>
      </c>
      <c r="C288" t="s">
        <v>10363</v>
      </c>
      <c r="D288" t="s">
        <v>10667</v>
      </c>
      <c r="E288">
        <v>918483268925</v>
      </c>
      <c r="F288" t="s">
        <v>10388</v>
      </c>
      <c r="G288" t="s">
        <v>10370</v>
      </c>
      <c r="H288" s="2">
        <v>28492</v>
      </c>
    </row>
    <row r="289" spans="1:8">
      <c r="A289" t="s">
        <v>1648</v>
      </c>
      <c r="B289" t="s">
        <v>939</v>
      </c>
      <c r="C289" t="s">
        <v>10367</v>
      </c>
      <c r="D289" t="s">
        <v>10668</v>
      </c>
      <c r="E289">
        <v>918429342181</v>
      </c>
      <c r="F289" t="s">
        <v>10365</v>
      </c>
      <c r="G289" t="s">
        <v>10366</v>
      </c>
      <c r="H289" s="2">
        <v>23444</v>
      </c>
    </row>
    <row r="290" spans="1:8">
      <c r="A290" t="s">
        <v>1654</v>
      </c>
      <c r="B290" t="s">
        <v>3118</v>
      </c>
      <c r="C290" t="s">
        <v>10367</v>
      </c>
      <c r="D290" t="s">
        <v>10669</v>
      </c>
      <c r="E290">
        <v>917319579571</v>
      </c>
      <c r="F290" t="s">
        <v>10386</v>
      </c>
      <c r="G290" t="s">
        <v>10379</v>
      </c>
      <c r="H290" s="2">
        <v>32936</v>
      </c>
    </row>
    <row r="291" spans="1:8">
      <c r="A291" t="s">
        <v>1659</v>
      </c>
      <c r="B291" t="s">
        <v>1476</v>
      </c>
      <c r="C291" t="s">
        <v>10367</v>
      </c>
      <c r="D291" t="s">
        <v>10670</v>
      </c>
      <c r="E291">
        <v>919170780168</v>
      </c>
      <c r="F291" t="s">
        <v>10374</v>
      </c>
      <c r="G291" t="s">
        <v>10370</v>
      </c>
      <c r="H291" s="2">
        <v>28264</v>
      </c>
    </row>
    <row r="292" spans="1:8">
      <c r="A292" t="s">
        <v>1665</v>
      </c>
      <c r="B292" t="s">
        <v>610</v>
      </c>
      <c r="C292" t="s">
        <v>10363</v>
      </c>
      <c r="D292" t="s">
        <v>10671</v>
      </c>
      <c r="E292">
        <v>919440396998</v>
      </c>
      <c r="F292" t="s">
        <v>10372</v>
      </c>
      <c r="G292" t="s">
        <v>10377</v>
      </c>
      <c r="H292" s="2">
        <v>22699</v>
      </c>
    </row>
    <row r="293" spans="1:8">
      <c r="A293" t="s">
        <v>1671</v>
      </c>
      <c r="B293" t="s">
        <v>2041</v>
      </c>
      <c r="C293" t="s">
        <v>10363</v>
      </c>
      <c r="D293" t="s">
        <v>10672</v>
      </c>
      <c r="E293">
        <v>916344919612</v>
      </c>
      <c r="F293" t="s">
        <v>10384</v>
      </c>
      <c r="G293" t="s">
        <v>10370</v>
      </c>
      <c r="H293" s="2">
        <v>30773</v>
      </c>
    </row>
    <row r="294" spans="1:8">
      <c r="A294" t="s">
        <v>1676</v>
      </c>
      <c r="B294" t="s">
        <v>2463</v>
      </c>
      <c r="C294" t="s">
        <v>10363</v>
      </c>
      <c r="D294" t="s">
        <v>10673</v>
      </c>
      <c r="E294">
        <v>917448963792</v>
      </c>
      <c r="F294" t="s">
        <v>10369</v>
      </c>
      <c r="G294" t="s">
        <v>10366</v>
      </c>
      <c r="H294" s="2">
        <v>32046</v>
      </c>
    </row>
    <row r="295" spans="1:8">
      <c r="A295" t="s">
        <v>1681</v>
      </c>
      <c r="B295" t="s">
        <v>288</v>
      </c>
      <c r="C295" t="s">
        <v>10367</v>
      </c>
      <c r="D295" t="s">
        <v>10674</v>
      </c>
      <c r="E295">
        <v>918519799248</v>
      </c>
      <c r="F295" t="s">
        <v>10386</v>
      </c>
      <c r="G295" t="s">
        <v>10377</v>
      </c>
      <c r="H295" s="2">
        <v>29411</v>
      </c>
    </row>
    <row r="296" spans="1:8">
      <c r="A296" t="s">
        <v>1687</v>
      </c>
      <c r="B296" t="s">
        <v>130</v>
      </c>
      <c r="C296" t="s">
        <v>10363</v>
      </c>
      <c r="D296" t="s">
        <v>10675</v>
      </c>
      <c r="E296">
        <v>916187872166</v>
      </c>
      <c r="F296" t="s">
        <v>10381</v>
      </c>
      <c r="G296" t="s">
        <v>10377</v>
      </c>
      <c r="H296" s="2">
        <v>23903</v>
      </c>
    </row>
    <row r="297" spans="1:8">
      <c r="A297" t="s">
        <v>1692</v>
      </c>
      <c r="B297" t="s">
        <v>392</v>
      </c>
      <c r="C297" t="s">
        <v>10367</v>
      </c>
      <c r="D297" t="s">
        <v>10676</v>
      </c>
      <c r="E297">
        <v>917061434819</v>
      </c>
      <c r="F297" t="s">
        <v>10388</v>
      </c>
      <c r="G297" t="s">
        <v>10377</v>
      </c>
      <c r="H297" s="2">
        <v>36709</v>
      </c>
    </row>
    <row r="298" spans="1:8">
      <c r="A298" t="s">
        <v>1698</v>
      </c>
      <c r="B298" t="s">
        <v>536</v>
      </c>
      <c r="C298" t="s">
        <v>10367</v>
      </c>
      <c r="D298" t="s">
        <v>10677</v>
      </c>
      <c r="E298">
        <v>918133186824</v>
      </c>
      <c r="F298" t="s">
        <v>10381</v>
      </c>
      <c r="G298" t="s">
        <v>10377</v>
      </c>
      <c r="H298" s="2">
        <v>36881</v>
      </c>
    </row>
    <row r="299" spans="1:8">
      <c r="A299" t="s">
        <v>1704</v>
      </c>
      <c r="B299" t="s">
        <v>241</v>
      </c>
      <c r="C299" t="s">
        <v>10363</v>
      </c>
      <c r="D299" t="s">
        <v>10678</v>
      </c>
      <c r="E299">
        <v>916700748253</v>
      </c>
      <c r="F299" t="s">
        <v>10388</v>
      </c>
      <c r="G299" t="s">
        <v>10370</v>
      </c>
      <c r="H299" s="2">
        <v>22569</v>
      </c>
    </row>
    <row r="300" spans="1:8">
      <c r="A300" t="s">
        <v>1709</v>
      </c>
      <c r="B300" t="s">
        <v>2778</v>
      </c>
      <c r="C300" t="s">
        <v>10363</v>
      </c>
      <c r="D300" t="s">
        <v>10679</v>
      </c>
      <c r="E300">
        <v>916344378664</v>
      </c>
      <c r="F300" t="s">
        <v>10402</v>
      </c>
      <c r="G300" t="s">
        <v>10366</v>
      </c>
      <c r="H300" s="2">
        <v>20827</v>
      </c>
    </row>
    <row r="301" spans="1:8">
      <c r="A301" t="s">
        <v>1715</v>
      </c>
      <c r="B301" t="s">
        <v>1551</v>
      </c>
      <c r="C301" t="s">
        <v>10367</v>
      </c>
      <c r="D301" t="s">
        <v>10680</v>
      </c>
      <c r="E301">
        <v>919222137950</v>
      </c>
      <c r="F301" t="s">
        <v>10365</v>
      </c>
      <c r="G301" t="s">
        <v>10377</v>
      </c>
      <c r="H301" s="2">
        <v>33841</v>
      </c>
    </row>
    <row r="302" spans="1:8">
      <c r="A302" t="s">
        <v>1720</v>
      </c>
      <c r="B302" t="s">
        <v>241</v>
      </c>
      <c r="C302" t="s">
        <v>10363</v>
      </c>
      <c r="D302" t="s">
        <v>10681</v>
      </c>
      <c r="E302">
        <v>919799440176</v>
      </c>
      <c r="F302" t="s">
        <v>10386</v>
      </c>
      <c r="G302" t="s">
        <v>10370</v>
      </c>
      <c r="H302" s="2">
        <v>28452</v>
      </c>
    </row>
    <row r="303" spans="1:8">
      <c r="A303" t="s">
        <v>1725</v>
      </c>
      <c r="B303" t="s">
        <v>865</v>
      </c>
      <c r="C303" t="s">
        <v>10363</v>
      </c>
      <c r="D303" t="s">
        <v>10682</v>
      </c>
      <c r="E303">
        <v>918498959788</v>
      </c>
      <c r="F303" t="s">
        <v>10372</v>
      </c>
      <c r="G303" t="s">
        <v>10379</v>
      </c>
      <c r="H303" s="2">
        <v>32322</v>
      </c>
    </row>
    <row r="304" spans="1:8">
      <c r="A304" t="s">
        <v>1730</v>
      </c>
      <c r="B304" t="s">
        <v>4751</v>
      </c>
      <c r="C304" t="s">
        <v>10367</v>
      </c>
      <c r="D304" t="s">
        <v>10683</v>
      </c>
      <c r="E304">
        <v>917879260839</v>
      </c>
      <c r="F304" t="s">
        <v>10374</v>
      </c>
      <c r="G304" t="s">
        <v>10370</v>
      </c>
      <c r="H304" s="2">
        <v>28009</v>
      </c>
    </row>
    <row r="305" spans="1:8">
      <c r="A305" t="s">
        <v>1735</v>
      </c>
      <c r="B305" t="s">
        <v>2297</v>
      </c>
      <c r="C305" t="s">
        <v>10363</v>
      </c>
      <c r="D305" t="s">
        <v>10684</v>
      </c>
      <c r="E305">
        <v>918269823773</v>
      </c>
      <c r="F305" t="s">
        <v>10365</v>
      </c>
      <c r="G305" t="s">
        <v>10377</v>
      </c>
      <c r="H305" s="2">
        <v>31131</v>
      </c>
    </row>
    <row r="306" spans="1:8">
      <c r="A306" t="s">
        <v>1740</v>
      </c>
      <c r="B306" t="s">
        <v>910</v>
      </c>
      <c r="C306" t="s">
        <v>10367</v>
      </c>
      <c r="D306" t="s">
        <v>10685</v>
      </c>
      <c r="E306">
        <v>917784566497</v>
      </c>
      <c r="F306" t="s">
        <v>10402</v>
      </c>
      <c r="G306" t="s">
        <v>10379</v>
      </c>
      <c r="H306" s="2">
        <v>20721</v>
      </c>
    </row>
    <row r="307" spans="1:8">
      <c r="A307" t="s">
        <v>1745</v>
      </c>
      <c r="B307" t="s">
        <v>6865</v>
      </c>
      <c r="C307" t="s">
        <v>10367</v>
      </c>
      <c r="D307" t="s">
        <v>10686</v>
      </c>
      <c r="E307">
        <v>919838658273</v>
      </c>
      <c r="F307" t="s">
        <v>10376</v>
      </c>
      <c r="G307" t="s">
        <v>10379</v>
      </c>
      <c r="H307" s="2">
        <v>26161</v>
      </c>
    </row>
    <row r="308" spans="1:8">
      <c r="A308" t="s">
        <v>1750</v>
      </c>
      <c r="B308" t="s">
        <v>2313</v>
      </c>
      <c r="C308" t="s">
        <v>10363</v>
      </c>
      <c r="D308" t="s">
        <v>10687</v>
      </c>
      <c r="E308">
        <v>919597040552</v>
      </c>
      <c r="F308" t="s">
        <v>10376</v>
      </c>
      <c r="G308" t="s">
        <v>10377</v>
      </c>
      <c r="H308" s="2">
        <v>30515</v>
      </c>
    </row>
    <row r="309" spans="1:8">
      <c r="A309" t="s">
        <v>1756</v>
      </c>
      <c r="B309" t="s">
        <v>375</v>
      </c>
      <c r="C309" t="s">
        <v>10363</v>
      </c>
      <c r="D309" t="s">
        <v>10688</v>
      </c>
      <c r="E309">
        <v>916064099604</v>
      </c>
      <c r="F309" t="s">
        <v>10384</v>
      </c>
      <c r="G309" t="s">
        <v>10366</v>
      </c>
      <c r="H309" s="2">
        <v>28365</v>
      </c>
    </row>
    <row r="310" spans="1:8">
      <c r="A310" t="s">
        <v>1762</v>
      </c>
      <c r="B310" t="s">
        <v>52</v>
      </c>
      <c r="C310" t="s">
        <v>10363</v>
      </c>
      <c r="D310" t="s">
        <v>10689</v>
      </c>
      <c r="E310">
        <v>918873890058</v>
      </c>
      <c r="F310" t="s">
        <v>10372</v>
      </c>
      <c r="G310" t="s">
        <v>10370</v>
      </c>
      <c r="H310" s="2">
        <v>23114</v>
      </c>
    </row>
    <row r="311" spans="1:8">
      <c r="A311" t="s">
        <v>1768</v>
      </c>
      <c r="B311" t="s">
        <v>80</v>
      </c>
      <c r="C311" t="s">
        <v>10363</v>
      </c>
      <c r="D311" t="s">
        <v>10690</v>
      </c>
      <c r="E311">
        <v>916163429669</v>
      </c>
      <c r="F311" t="s">
        <v>10386</v>
      </c>
      <c r="G311" t="s">
        <v>10379</v>
      </c>
      <c r="H311" s="2">
        <v>33052</v>
      </c>
    </row>
    <row r="312" spans="1:8">
      <c r="A312" t="s">
        <v>1773</v>
      </c>
      <c r="B312" t="s">
        <v>205</v>
      </c>
      <c r="C312" t="s">
        <v>10367</v>
      </c>
      <c r="D312" t="s">
        <v>10691</v>
      </c>
      <c r="E312">
        <v>919439611756</v>
      </c>
      <c r="F312" t="s">
        <v>10365</v>
      </c>
      <c r="G312" t="s">
        <v>10366</v>
      </c>
      <c r="H312" s="2">
        <v>21751</v>
      </c>
    </row>
    <row r="313" spans="1:8">
      <c r="A313" t="s">
        <v>1778</v>
      </c>
      <c r="B313" t="s">
        <v>265</v>
      </c>
      <c r="C313" t="s">
        <v>10363</v>
      </c>
      <c r="D313" t="s">
        <v>10692</v>
      </c>
      <c r="E313">
        <v>916384153414</v>
      </c>
      <c r="F313" t="s">
        <v>10374</v>
      </c>
      <c r="G313" t="s">
        <v>10377</v>
      </c>
      <c r="H313" s="2">
        <v>37314</v>
      </c>
    </row>
    <row r="314" spans="1:8">
      <c r="A314" t="s">
        <v>1783</v>
      </c>
      <c r="B314" t="s">
        <v>1972</v>
      </c>
      <c r="C314" t="s">
        <v>10367</v>
      </c>
      <c r="D314" t="s">
        <v>10693</v>
      </c>
      <c r="E314">
        <v>916018948637</v>
      </c>
      <c r="F314" t="s">
        <v>10365</v>
      </c>
      <c r="G314" t="s">
        <v>10377</v>
      </c>
      <c r="H314" s="2">
        <v>24940</v>
      </c>
    </row>
    <row r="315" spans="1:8">
      <c r="A315" t="s">
        <v>1788</v>
      </c>
      <c r="B315" t="s">
        <v>2202</v>
      </c>
      <c r="C315" t="s">
        <v>10367</v>
      </c>
      <c r="D315" t="s">
        <v>10694</v>
      </c>
      <c r="E315">
        <v>919644428470</v>
      </c>
      <c r="F315" t="s">
        <v>10376</v>
      </c>
      <c r="G315" t="s">
        <v>10377</v>
      </c>
      <c r="H315" s="2">
        <v>34605</v>
      </c>
    </row>
    <row r="316" spans="1:8">
      <c r="A316" t="s">
        <v>1793</v>
      </c>
      <c r="B316" t="s">
        <v>2196</v>
      </c>
      <c r="C316" t="s">
        <v>10367</v>
      </c>
      <c r="D316" t="s">
        <v>10695</v>
      </c>
      <c r="E316">
        <v>918162040254</v>
      </c>
      <c r="F316" t="s">
        <v>10402</v>
      </c>
      <c r="G316" t="s">
        <v>10370</v>
      </c>
      <c r="H316" s="2">
        <v>20464</v>
      </c>
    </row>
    <row r="317" spans="1:8">
      <c r="A317" t="s">
        <v>1799</v>
      </c>
      <c r="B317" t="s">
        <v>835</v>
      </c>
      <c r="C317" t="s">
        <v>10363</v>
      </c>
      <c r="D317" t="s">
        <v>10696</v>
      </c>
      <c r="E317">
        <v>917358896807</v>
      </c>
      <c r="F317" t="s">
        <v>10376</v>
      </c>
      <c r="G317" t="s">
        <v>10377</v>
      </c>
      <c r="H317" s="2">
        <v>23419</v>
      </c>
    </row>
    <row r="318" spans="1:8">
      <c r="A318" t="s">
        <v>1804</v>
      </c>
      <c r="B318" t="s">
        <v>38</v>
      </c>
      <c r="C318" t="s">
        <v>10363</v>
      </c>
      <c r="D318" t="s">
        <v>10697</v>
      </c>
      <c r="E318">
        <v>919279854629</v>
      </c>
      <c r="F318" t="s">
        <v>10384</v>
      </c>
      <c r="G318" t="s">
        <v>10379</v>
      </c>
      <c r="H318" s="2">
        <v>36293</v>
      </c>
    </row>
    <row r="319" spans="1:8">
      <c r="A319" t="s">
        <v>1809</v>
      </c>
      <c r="B319" t="s">
        <v>933</v>
      </c>
      <c r="C319" t="s">
        <v>10363</v>
      </c>
      <c r="D319" t="s">
        <v>10698</v>
      </c>
      <c r="E319">
        <v>919704416865</v>
      </c>
      <c r="F319" t="s">
        <v>10374</v>
      </c>
      <c r="G319" t="s">
        <v>10370</v>
      </c>
      <c r="H319" s="2">
        <v>27275</v>
      </c>
    </row>
    <row r="320" spans="1:8">
      <c r="A320" t="s">
        <v>1815</v>
      </c>
      <c r="B320" t="s">
        <v>2837</v>
      </c>
      <c r="C320" t="s">
        <v>10367</v>
      </c>
      <c r="D320" t="s">
        <v>10699</v>
      </c>
      <c r="E320">
        <v>919917370836</v>
      </c>
      <c r="F320" t="s">
        <v>10365</v>
      </c>
      <c r="G320" t="s">
        <v>10379</v>
      </c>
      <c r="H320" s="2">
        <v>26008</v>
      </c>
    </row>
    <row r="321" spans="1:8">
      <c r="A321" t="s">
        <v>1820</v>
      </c>
      <c r="B321" t="s">
        <v>506</v>
      </c>
      <c r="C321" t="s">
        <v>10367</v>
      </c>
      <c r="D321" t="s">
        <v>10700</v>
      </c>
      <c r="E321">
        <v>918029194467</v>
      </c>
      <c r="F321" t="s">
        <v>10376</v>
      </c>
      <c r="G321" t="s">
        <v>10366</v>
      </c>
      <c r="H321" s="2">
        <v>27753</v>
      </c>
    </row>
    <row r="322" spans="1:8">
      <c r="A322" t="s">
        <v>1825</v>
      </c>
      <c r="B322" t="s">
        <v>21</v>
      </c>
      <c r="C322" t="s">
        <v>10363</v>
      </c>
      <c r="D322" t="s">
        <v>10701</v>
      </c>
      <c r="E322">
        <v>919890522410</v>
      </c>
      <c r="F322" t="s">
        <v>10365</v>
      </c>
      <c r="G322" t="s">
        <v>10379</v>
      </c>
      <c r="H322" s="2">
        <v>27795</v>
      </c>
    </row>
    <row r="323" spans="1:8">
      <c r="A323" t="s">
        <v>1831</v>
      </c>
      <c r="B323" t="s">
        <v>691</v>
      </c>
      <c r="C323" t="s">
        <v>10367</v>
      </c>
      <c r="D323" t="s">
        <v>10702</v>
      </c>
      <c r="E323">
        <v>916422892700</v>
      </c>
      <c r="F323" t="s">
        <v>10374</v>
      </c>
      <c r="G323" t="s">
        <v>10366</v>
      </c>
      <c r="H323" s="2">
        <v>26005</v>
      </c>
    </row>
    <row r="324" spans="1:8">
      <c r="A324" t="s">
        <v>1836</v>
      </c>
      <c r="B324" t="s">
        <v>575</v>
      </c>
      <c r="C324" t="s">
        <v>10363</v>
      </c>
      <c r="D324" t="s">
        <v>10703</v>
      </c>
      <c r="E324">
        <v>916975312977</v>
      </c>
      <c r="F324" t="s">
        <v>10386</v>
      </c>
      <c r="G324" t="s">
        <v>10377</v>
      </c>
      <c r="H324" s="2">
        <v>23523</v>
      </c>
    </row>
    <row r="325" spans="1:8">
      <c r="A325" t="s">
        <v>1841</v>
      </c>
      <c r="B325" t="s">
        <v>661</v>
      </c>
      <c r="C325" t="s">
        <v>10367</v>
      </c>
      <c r="D325" t="s">
        <v>10704</v>
      </c>
      <c r="E325">
        <v>918012466284</v>
      </c>
      <c r="F325" t="s">
        <v>10381</v>
      </c>
      <c r="G325" t="s">
        <v>10377</v>
      </c>
      <c r="H325" s="2">
        <v>28171</v>
      </c>
    </row>
    <row r="326" spans="1:8">
      <c r="A326" t="s">
        <v>1846</v>
      </c>
      <c r="B326" t="s">
        <v>2804</v>
      </c>
      <c r="C326" t="s">
        <v>10367</v>
      </c>
      <c r="D326" t="s">
        <v>10705</v>
      </c>
      <c r="E326">
        <v>917992200279</v>
      </c>
      <c r="F326" t="s">
        <v>10402</v>
      </c>
      <c r="G326" t="s">
        <v>10366</v>
      </c>
      <c r="H326" s="2">
        <v>29000</v>
      </c>
    </row>
    <row r="327" spans="1:8">
      <c r="A327" t="s">
        <v>1851</v>
      </c>
      <c r="B327" t="s">
        <v>2313</v>
      </c>
      <c r="C327" t="s">
        <v>10363</v>
      </c>
      <c r="D327" t="s">
        <v>10706</v>
      </c>
      <c r="E327">
        <v>916929916407</v>
      </c>
      <c r="F327" t="s">
        <v>10402</v>
      </c>
      <c r="G327" t="s">
        <v>10379</v>
      </c>
      <c r="H327" s="2">
        <v>27522</v>
      </c>
    </row>
    <row r="328" spans="1:8">
      <c r="A328" t="s">
        <v>1856</v>
      </c>
      <c r="B328" t="s">
        <v>1250</v>
      </c>
      <c r="C328" t="s">
        <v>10363</v>
      </c>
      <c r="D328" t="s">
        <v>10707</v>
      </c>
      <c r="E328">
        <v>919610077314</v>
      </c>
      <c r="F328" t="s">
        <v>10372</v>
      </c>
      <c r="G328" t="s">
        <v>10366</v>
      </c>
      <c r="H328" s="2">
        <v>36760</v>
      </c>
    </row>
    <row r="329" spans="1:8">
      <c r="A329" t="s">
        <v>1861</v>
      </c>
      <c r="B329" t="s">
        <v>1114</v>
      </c>
      <c r="C329" t="s">
        <v>10367</v>
      </c>
      <c r="D329" t="s">
        <v>10708</v>
      </c>
      <c r="E329">
        <v>917427349870</v>
      </c>
      <c r="F329" t="s">
        <v>10372</v>
      </c>
      <c r="G329" t="s">
        <v>10379</v>
      </c>
      <c r="H329" s="2">
        <v>36051</v>
      </c>
    </row>
    <row r="330" spans="1:8">
      <c r="A330" t="s">
        <v>1866</v>
      </c>
      <c r="B330" t="s">
        <v>1826</v>
      </c>
      <c r="C330" t="s">
        <v>10363</v>
      </c>
      <c r="D330" t="s">
        <v>10709</v>
      </c>
      <c r="E330">
        <v>919581596769</v>
      </c>
      <c r="F330" t="s">
        <v>10372</v>
      </c>
      <c r="G330" t="s">
        <v>10377</v>
      </c>
      <c r="H330" s="2">
        <v>30511</v>
      </c>
    </row>
    <row r="331" spans="1:8">
      <c r="A331" t="s">
        <v>1871</v>
      </c>
      <c r="B331" t="s">
        <v>679</v>
      </c>
      <c r="C331" t="s">
        <v>10367</v>
      </c>
      <c r="D331" t="s">
        <v>10710</v>
      </c>
      <c r="E331">
        <v>918934290060</v>
      </c>
      <c r="F331" t="s">
        <v>10376</v>
      </c>
      <c r="G331" t="s">
        <v>10370</v>
      </c>
      <c r="H331" s="2">
        <v>31106</v>
      </c>
    </row>
    <row r="332" spans="1:8">
      <c r="A332" t="s">
        <v>1876</v>
      </c>
      <c r="B332" t="s">
        <v>449</v>
      </c>
      <c r="C332" t="s">
        <v>10363</v>
      </c>
      <c r="D332" t="s">
        <v>10711</v>
      </c>
      <c r="E332">
        <v>919955007130</v>
      </c>
      <c r="F332" t="s">
        <v>10386</v>
      </c>
      <c r="G332" t="s">
        <v>10379</v>
      </c>
      <c r="H332" s="2">
        <v>29925</v>
      </c>
    </row>
    <row r="333" spans="1:8">
      <c r="A333" t="s">
        <v>1881</v>
      </c>
      <c r="B333" t="s">
        <v>1052</v>
      </c>
      <c r="C333" t="s">
        <v>10367</v>
      </c>
      <c r="D333" t="s">
        <v>10712</v>
      </c>
      <c r="E333">
        <v>919101119132</v>
      </c>
      <c r="F333" t="s">
        <v>10384</v>
      </c>
      <c r="G333" t="s">
        <v>10379</v>
      </c>
      <c r="H333" s="2">
        <v>33983</v>
      </c>
    </row>
    <row r="334" spans="1:8">
      <c r="A334" t="s">
        <v>1886</v>
      </c>
      <c r="B334" t="s">
        <v>882</v>
      </c>
      <c r="C334" t="s">
        <v>10363</v>
      </c>
      <c r="D334" t="s">
        <v>10713</v>
      </c>
      <c r="E334">
        <v>917689572803</v>
      </c>
      <c r="F334" t="s">
        <v>10369</v>
      </c>
      <c r="G334" t="s">
        <v>10370</v>
      </c>
      <c r="H334" s="2">
        <v>24130</v>
      </c>
    </row>
    <row r="335" spans="1:8">
      <c r="A335" t="s">
        <v>1891</v>
      </c>
      <c r="B335" t="s">
        <v>2642</v>
      </c>
      <c r="C335" t="s">
        <v>10367</v>
      </c>
      <c r="D335" t="s">
        <v>10714</v>
      </c>
      <c r="E335">
        <v>917489722856</v>
      </c>
      <c r="F335" t="s">
        <v>10388</v>
      </c>
      <c r="G335" t="s">
        <v>10370</v>
      </c>
      <c r="H335" s="2">
        <v>31156</v>
      </c>
    </row>
    <row r="336" spans="1:8">
      <c r="A336" t="s">
        <v>1896</v>
      </c>
      <c r="B336" t="s">
        <v>899</v>
      </c>
      <c r="C336" t="s">
        <v>10367</v>
      </c>
      <c r="D336" t="s">
        <v>10715</v>
      </c>
      <c r="E336">
        <v>917842817130</v>
      </c>
      <c r="F336" t="s">
        <v>10372</v>
      </c>
      <c r="G336" t="s">
        <v>10377</v>
      </c>
      <c r="H336" s="2">
        <v>27506</v>
      </c>
    </row>
    <row r="337" spans="1:8">
      <c r="A337" t="s">
        <v>1901</v>
      </c>
      <c r="B337" t="s">
        <v>1282</v>
      </c>
      <c r="C337" t="s">
        <v>10363</v>
      </c>
      <c r="D337" t="s">
        <v>10716</v>
      </c>
      <c r="E337">
        <v>919164297330</v>
      </c>
      <c r="F337" t="s">
        <v>10365</v>
      </c>
      <c r="G337" t="s">
        <v>10379</v>
      </c>
      <c r="H337" s="2">
        <v>31757</v>
      </c>
    </row>
    <row r="338" spans="1:8">
      <c r="A338" t="s">
        <v>1906</v>
      </c>
      <c r="B338" t="s">
        <v>2742</v>
      </c>
      <c r="C338" t="s">
        <v>10367</v>
      </c>
      <c r="D338" t="s">
        <v>10717</v>
      </c>
      <c r="E338">
        <v>919025648550</v>
      </c>
      <c r="F338" t="s">
        <v>10388</v>
      </c>
      <c r="G338" t="s">
        <v>10370</v>
      </c>
      <c r="H338" s="2">
        <v>32268</v>
      </c>
    </row>
    <row r="339" spans="1:8">
      <c r="A339" t="s">
        <v>1911</v>
      </c>
      <c r="B339" t="s">
        <v>2041</v>
      </c>
      <c r="C339" t="s">
        <v>10363</v>
      </c>
      <c r="D339" t="s">
        <v>10718</v>
      </c>
      <c r="E339">
        <v>917956107046</v>
      </c>
      <c r="F339" t="s">
        <v>10376</v>
      </c>
      <c r="G339" t="s">
        <v>10370</v>
      </c>
      <c r="H339" s="2">
        <v>21525</v>
      </c>
    </row>
    <row r="340" spans="1:8">
      <c r="A340" t="s">
        <v>1916</v>
      </c>
      <c r="B340" t="s">
        <v>282</v>
      </c>
      <c r="C340" t="s">
        <v>10367</v>
      </c>
      <c r="D340" t="s">
        <v>10719</v>
      </c>
      <c r="E340">
        <v>919270947149</v>
      </c>
      <c r="F340" t="s">
        <v>10402</v>
      </c>
      <c r="G340" t="s">
        <v>10379</v>
      </c>
      <c r="H340" s="2">
        <v>28810</v>
      </c>
    </row>
    <row r="341" spans="1:8">
      <c r="A341" t="s">
        <v>1921</v>
      </c>
      <c r="B341" t="s">
        <v>2085</v>
      </c>
      <c r="C341" t="s">
        <v>10367</v>
      </c>
      <c r="D341" t="s">
        <v>10720</v>
      </c>
      <c r="E341">
        <v>916706013949</v>
      </c>
      <c r="F341" t="s">
        <v>10388</v>
      </c>
      <c r="G341" t="s">
        <v>10366</v>
      </c>
      <c r="H341" s="2">
        <v>24033</v>
      </c>
    </row>
    <row r="342" spans="1:8">
      <c r="A342" t="s">
        <v>1926</v>
      </c>
      <c r="B342" t="s">
        <v>1399</v>
      </c>
      <c r="C342" t="s">
        <v>10367</v>
      </c>
      <c r="D342" t="s">
        <v>10721</v>
      </c>
      <c r="E342">
        <v>918478730767</v>
      </c>
      <c r="F342" t="s">
        <v>10384</v>
      </c>
      <c r="G342" t="s">
        <v>10370</v>
      </c>
      <c r="H342" s="2">
        <v>20977</v>
      </c>
    </row>
    <row r="343" spans="1:8">
      <c r="A343" t="s">
        <v>1931</v>
      </c>
      <c r="B343" t="s">
        <v>835</v>
      </c>
      <c r="C343" t="s">
        <v>10363</v>
      </c>
      <c r="D343" t="s">
        <v>10722</v>
      </c>
      <c r="E343">
        <v>918510469092</v>
      </c>
      <c r="F343" t="s">
        <v>10381</v>
      </c>
      <c r="G343" t="s">
        <v>10370</v>
      </c>
      <c r="H343" s="2">
        <v>20538</v>
      </c>
    </row>
    <row r="344" spans="1:8">
      <c r="A344" t="s">
        <v>1936</v>
      </c>
      <c r="B344" t="s">
        <v>3448</v>
      </c>
      <c r="C344" t="s">
        <v>10367</v>
      </c>
      <c r="D344" t="s">
        <v>10723</v>
      </c>
      <c r="E344">
        <v>919824597252</v>
      </c>
      <c r="F344" t="s">
        <v>10372</v>
      </c>
      <c r="G344" t="s">
        <v>10370</v>
      </c>
      <c r="H344" s="2">
        <v>35985</v>
      </c>
    </row>
    <row r="345" spans="1:8">
      <c r="A345" t="s">
        <v>1941</v>
      </c>
      <c r="B345" t="s">
        <v>1420</v>
      </c>
      <c r="C345" t="s">
        <v>10367</v>
      </c>
      <c r="D345" t="s">
        <v>10724</v>
      </c>
      <c r="E345">
        <v>916108547913</v>
      </c>
      <c r="F345" t="s">
        <v>10402</v>
      </c>
      <c r="G345" t="s">
        <v>10379</v>
      </c>
      <c r="H345" s="2">
        <v>30688</v>
      </c>
    </row>
    <row r="346" spans="1:8">
      <c r="A346" t="s">
        <v>1946</v>
      </c>
      <c r="B346" t="s">
        <v>1983</v>
      </c>
      <c r="C346" t="s">
        <v>10363</v>
      </c>
      <c r="D346" t="s">
        <v>10725</v>
      </c>
      <c r="E346">
        <v>919810039509</v>
      </c>
      <c r="F346" t="s">
        <v>10388</v>
      </c>
      <c r="G346" t="s">
        <v>10366</v>
      </c>
      <c r="H346" s="2">
        <v>35797</v>
      </c>
    </row>
    <row r="347" spans="1:8">
      <c r="A347" t="s">
        <v>1951</v>
      </c>
      <c r="B347" t="s">
        <v>67</v>
      </c>
      <c r="C347" t="s">
        <v>10367</v>
      </c>
      <c r="D347" t="s">
        <v>10726</v>
      </c>
      <c r="E347">
        <v>919586859171</v>
      </c>
      <c r="F347" t="s">
        <v>10365</v>
      </c>
      <c r="G347" t="s">
        <v>10370</v>
      </c>
      <c r="H347" s="2">
        <v>26066</v>
      </c>
    </row>
    <row r="348" spans="1:8">
      <c r="A348" t="s">
        <v>1956</v>
      </c>
      <c r="B348" t="s">
        <v>871</v>
      </c>
      <c r="C348" t="s">
        <v>10363</v>
      </c>
      <c r="D348" t="s">
        <v>10727</v>
      </c>
      <c r="E348">
        <v>917196737034</v>
      </c>
      <c r="F348" t="s">
        <v>10365</v>
      </c>
      <c r="G348" t="s">
        <v>10379</v>
      </c>
      <c r="H348" s="2">
        <v>25812</v>
      </c>
    </row>
    <row r="349" spans="1:8">
      <c r="A349" t="s">
        <v>1961</v>
      </c>
      <c r="B349" t="s">
        <v>186</v>
      </c>
      <c r="C349" t="s">
        <v>10363</v>
      </c>
      <c r="D349" t="s">
        <v>10728</v>
      </c>
      <c r="E349">
        <v>919247992059</v>
      </c>
      <c r="F349" t="s">
        <v>10374</v>
      </c>
      <c r="G349" t="s">
        <v>10366</v>
      </c>
      <c r="H349" s="2">
        <v>21256</v>
      </c>
    </row>
    <row r="350" spans="1:8">
      <c r="A350" t="s">
        <v>1966</v>
      </c>
      <c r="B350" t="s">
        <v>1643</v>
      </c>
      <c r="C350" t="s">
        <v>10363</v>
      </c>
      <c r="D350" t="s">
        <v>10729</v>
      </c>
      <c r="E350">
        <v>919001670246</v>
      </c>
      <c r="F350" t="s">
        <v>10369</v>
      </c>
      <c r="G350" t="s">
        <v>10370</v>
      </c>
      <c r="H350" s="2">
        <v>37537</v>
      </c>
    </row>
    <row r="351" spans="1:8">
      <c r="A351" t="s">
        <v>1971</v>
      </c>
      <c r="B351" t="s">
        <v>5293</v>
      </c>
      <c r="C351" t="s">
        <v>10367</v>
      </c>
      <c r="D351" t="s">
        <v>10730</v>
      </c>
      <c r="E351">
        <v>919698735589</v>
      </c>
      <c r="F351" t="s">
        <v>10402</v>
      </c>
      <c r="G351" t="s">
        <v>10370</v>
      </c>
      <c r="H351" s="2">
        <v>33296</v>
      </c>
    </row>
    <row r="352" spans="1:8">
      <c r="A352" t="s">
        <v>1977</v>
      </c>
      <c r="B352" t="s">
        <v>3257</v>
      </c>
      <c r="C352" t="s">
        <v>10367</v>
      </c>
      <c r="D352" t="s">
        <v>10731</v>
      </c>
      <c r="E352">
        <v>919509435728</v>
      </c>
      <c r="F352" t="s">
        <v>10386</v>
      </c>
      <c r="G352" t="s">
        <v>10377</v>
      </c>
      <c r="H352" s="2">
        <v>23215</v>
      </c>
    </row>
    <row r="353" spans="1:8">
      <c r="A353" t="s">
        <v>1982</v>
      </c>
      <c r="B353" t="s">
        <v>1810</v>
      </c>
      <c r="C353" t="s">
        <v>10367</v>
      </c>
      <c r="D353" t="s">
        <v>10732</v>
      </c>
      <c r="E353">
        <v>919706611053</v>
      </c>
      <c r="F353" t="s">
        <v>10381</v>
      </c>
      <c r="G353" t="s">
        <v>10366</v>
      </c>
      <c r="H353" s="2">
        <v>28234</v>
      </c>
    </row>
    <row r="354" spans="1:8">
      <c r="A354" t="s">
        <v>1988</v>
      </c>
      <c r="B354" t="s">
        <v>927</v>
      </c>
      <c r="C354" t="s">
        <v>10367</v>
      </c>
      <c r="D354" t="s">
        <v>10733</v>
      </c>
      <c r="E354">
        <v>917944089291</v>
      </c>
      <c r="F354" t="s">
        <v>10388</v>
      </c>
      <c r="G354" t="s">
        <v>10379</v>
      </c>
      <c r="H354" s="2">
        <v>27043</v>
      </c>
    </row>
    <row r="355" spans="1:8">
      <c r="A355" t="s">
        <v>1993</v>
      </c>
      <c r="B355" t="s">
        <v>1282</v>
      </c>
      <c r="C355" t="s">
        <v>10363</v>
      </c>
      <c r="D355" t="s">
        <v>10734</v>
      </c>
      <c r="E355">
        <v>916191533415</v>
      </c>
      <c r="F355" t="s">
        <v>10384</v>
      </c>
      <c r="G355" t="s">
        <v>10377</v>
      </c>
      <c r="H355" s="2">
        <v>35768</v>
      </c>
    </row>
    <row r="356" spans="1:8">
      <c r="A356" t="s">
        <v>1998</v>
      </c>
      <c r="B356" t="s">
        <v>1324</v>
      </c>
      <c r="C356" t="s">
        <v>10363</v>
      </c>
      <c r="D356" t="s">
        <v>10735</v>
      </c>
      <c r="E356">
        <v>916799597371</v>
      </c>
      <c r="F356" t="s">
        <v>10402</v>
      </c>
      <c r="G356" t="s">
        <v>10366</v>
      </c>
      <c r="H356" s="2">
        <v>27139</v>
      </c>
    </row>
    <row r="357" spans="1:8">
      <c r="A357" t="s">
        <v>2003</v>
      </c>
      <c r="B357" t="s">
        <v>1568</v>
      </c>
      <c r="C357" t="s">
        <v>10367</v>
      </c>
      <c r="D357" t="s">
        <v>10736</v>
      </c>
      <c r="E357">
        <v>918511617773</v>
      </c>
      <c r="F357" t="s">
        <v>10376</v>
      </c>
      <c r="G357" t="s">
        <v>10370</v>
      </c>
      <c r="H357" s="2">
        <v>23900</v>
      </c>
    </row>
    <row r="358" spans="1:8">
      <c r="A358" t="s">
        <v>2008</v>
      </c>
      <c r="B358" t="s">
        <v>1271</v>
      </c>
      <c r="C358" t="s">
        <v>10367</v>
      </c>
      <c r="D358" t="s">
        <v>10737</v>
      </c>
      <c r="E358">
        <v>917535540532</v>
      </c>
      <c r="F358" t="s">
        <v>10402</v>
      </c>
      <c r="G358" t="s">
        <v>10377</v>
      </c>
      <c r="H358" s="2">
        <v>23549</v>
      </c>
    </row>
    <row r="359" spans="1:8">
      <c r="A359" t="s">
        <v>2013</v>
      </c>
      <c r="B359" t="s">
        <v>2035</v>
      </c>
      <c r="C359" t="s">
        <v>10363</v>
      </c>
      <c r="D359" t="s">
        <v>10738</v>
      </c>
      <c r="E359">
        <v>919799913188</v>
      </c>
      <c r="F359" t="s">
        <v>10376</v>
      </c>
      <c r="G359" t="s">
        <v>10366</v>
      </c>
      <c r="H359" s="2">
        <v>26841</v>
      </c>
    </row>
    <row r="360" spans="1:8">
      <c r="A360" t="s">
        <v>2018</v>
      </c>
      <c r="B360" t="s">
        <v>500</v>
      </c>
      <c r="C360" t="s">
        <v>10363</v>
      </c>
      <c r="D360" t="s">
        <v>10739</v>
      </c>
      <c r="E360">
        <v>918165924690</v>
      </c>
      <c r="F360" t="s">
        <v>10384</v>
      </c>
      <c r="G360" t="s">
        <v>10366</v>
      </c>
      <c r="H360" s="2">
        <v>36270</v>
      </c>
    </row>
    <row r="361" spans="1:8">
      <c r="A361" t="s">
        <v>2024</v>
      </c>
      <c r="B361" t="s">
        <v>1186</v>
      </c>
      <c r="C361" t="s">
        <v>10367</v>
      </c>
      <c r="D361" t="s">
        <v>10740</v>
      </c>
      <c r="E361">
        <v>919649871299</v>
      </c>
      <c r="F361" t="s">
        <v>10376</v>
      </c>
      <c r="G361" t="s">
        <v>10379</v>
      </c>
      <c r="H361" s="2">
        <v>24029</v>
      </c>
    </row>
    <row r="362" spans="1:8">
      <c r="A362" t="s">
        <v>2029</v>
      </c>
      <c r="B362" t="s">
        <v>1626</v>
      </c>
      <c r="C362" t="s">
        <v>10367</v>
      </c>
      <c r="D362" t="s">
        <v>10741</v>
      </c>
      <c r="E362">
        <v>919206713075</v>
      </c>
      <c r="F362" t="s">
        <v>10384</v>
      </c>
      <c r="G362" t="s">
        <v>10370</v>
      </c>
      <c r="H362" s="2">
        <v>22732</v>
      </c>
    </row>
    <row r="363" spans="1:8">
      <c r="A363" t="s">
        <v>2034</v>
      </c>
      <c r="B363" t="s">
        <v>2101</v>
      </c>
      <c r="C363" t="s">
        <v>10363</v>
      </c>
      <c r="D363" t="s">
        <v>10742</v>
      </c>
      <c r="E363">
        <v>919778299140</v>
      </c>
      <c r="F363" t="s">
        <v>10369</v>
      </c>
      <c r="G363" t="s">
        <v>10377</v>
      </c>
      <c r="H363" s="2">
        <v>30492</v>
      </c>
    </row>
    <row r="364" spans="1:8">
      <c r="A364" t="s">
        <v>2040</v>
      </c>
      <c r="B364" t="s">
        <v>2636</v>
      </c>
      <c r="C364" t="s">
        <v>10363</v>
      </c>
      <c r="D364" t="s">
        <v>10743</v>
      </c>
      <c r="E364">
        <v>916575084537</v>
      </c>
      <c r="F364" t="s">
        <v>10388</v>
      </c>
      <c r="G364" t="s">
        <v>10377</v>
      </c>
      <c r="H364" s="2">
        <v>23483</v>
      </c>
    </row>
    <row r="365" spans="1:8">
      <c r="A365" t="s">
        <v>2046</v>
      </c>
      <c r="B365" t="s">
        <v>1367</v>
      </c>
      <c r="C365" t="s">
        <v>10367</v>
      </c>
      <c r="D365" t="s">
        <v>10744</v>
      </c>
      <c r="E365">
        <v>918525432817</v>
      </c>
      <c r="F365" t="s">
        <v>10374</v>
      </c>
      <c r="G365" t="s">
        <v>10366</v>
      </c>
      <c r="H365" s="2">
        <v>23774</v>
      </c>
    </row>
    <row r="366" spans="1:8">
      <c r="A366" t="s">
        <v>2051</v>
      </c>
      <c r="B366" t="s">
        <v>655</v>
      </c>
      <c r="C366" t="s">
        <v>10367</v>
      </c>
      <c r="D366" t="s">
        <v>10745</v>
      </c>
      <c r="E366">
        <v>918432485696</v>
      </c>
      <c r="F366" t="s">
        <v>10376</v>
      </c>
      <c r="G366" t="s">
        <v>10379</v>
      </c>
      <c r="H366" s="2">
        <v>28059</v>
      </c>
    </row>
    <row r="367" spans="1:8">
      <c r="A367" t="s">
        <v>2056</v>
      </c>
      <c r="B367" t="s">
        <v>118</v>
      </c>
      <c r="C367" t="s">
        <v>10367</v>
      </c>
      <c r="D367" t="s">
        <v>10746</v>
      </c>
      <c r="E367">
        <v>916326475594</v>
      </c>
      <c r="F367" t="s">
        <v>10376</v>
      </c>
      <c r="G367" t="s">
        <v>10377</v>
      </c>
      <c r="H367" s="2">
        <v>31206</v>
      </c>
    </row>
    <row r="368" spans="1:8">
      <c r="A368" t="s">
        <v>2061</v>
      </c>
      <c r="B368" t="s">
        <v>432</v>
      </c>
      <c r="C368" t="s">
        <v>10363</v>
      </c>
      <c r="D368" t="s">
        <v>10747</v>
      </c>
      <c r="E368">
        <v>917367955354</v>
      </c>
      <c r="F368" t="s">
        <v>10381</v>
      </c>
      <c r="G368" t="s">
        <v>10379</v>
      </c>
      <c r="H368" s="2">
        <v>26118</v>
      </c>
    </row>
    <row r="369" spans="1:8">
      <c r="A369" t="s">
        <v>2067</v>
      </c>
      <c r="B369" t="s">
        <v>853</v>
      </c>
      <c r="C369" t="s">
        <v>10363</v>
      </c>
      <c r="D369" t="s">
        <v>10748</v>
      </c>
      <c r="E369">
        <v>916517395510</v>
      </c>
      <c r="F369" t="s">
        <v>10365</v>
      </c>
      <c r="G369" t="s">
        <v>10370</v>
      </c>
      <c r="H369" s="2">
        <v>20473</v>
      </c>
    </row>
    <row r="370" spans="1:8">
      <c r="A370" t="s">
        <v>2072</v>
      </c>
      <c r="B370" t="s">
        <v>333</v>
      </c>
      <c r="C370" t="s">
        <v>10363</v>
      </c>
      <c r="D370" t="s">
        <v>10749</v>
      </c>
      <c r="E370">
        <v>917161711840</v>
      </c>
      <c r="F370" t="s">
        <v>10388</v>
      </c>
      <c r="G370" t="s">
        <v>10370</v>
      </c>
      <c r="H370" s="2">
        <v>24080</v>
      </c>
    </row>
    <row r="371" spans="1:8">
      <c r="A371" t="s">
        <v>2078</v>
      </c>
      <c r="B371" t="s">
        <v>3783</v>
      </c>
      <c r="C371" t="s">
        <v>10367</v>
      </c>
      <c r="D371" t="s">
        <v>10750</v>
      </c>
      <c r="E371">
        <v>917364919386</v>
      </c>
      <c r="F371" t="s">
        <v>10402</v>
      </c>
      <c r="G371" t="s">
        <v>10366</v>
      </c>
      <c r="H371" s="2">
        <v>25197</v>
      </c>
    </row>
    <row r="372" spans="1:8">
      <c r="A372" t="s">
        <v>2084</v>
      </c>
      <c r="B372" t="s">
        <v>7577</v>
      </c>
      <c r="C372" t="s">
        <v>10367</v>
      </c>
      <c r="D372" t="s">
        <v>10751</v>
      </c>
      <c r="E372">
        <v>918861265899</v>
      </c>
      <c r="F372" t="s">
        <v>10388</v>
      </c>
      <c r="G372" t="s">
        <v>10379</v>
      </c>
      <c r="H372" s="2">
        <v>31700</v>
      </c>
    </row>
    <row r="373" spans="1:8">
      <c r="A373" t="s">
        <v>2090</v>
      </c>
      <c r="B373" t="s">
        <v>1594</v>
      </c>
      <c r="C373" t="s">
        <v>10363</v>
      </c>
      <c r="D373" t="s">
        <v>10752</v>
      </c>
      <c r="E373">
        <v>917607871408</v>
      </c>
      <c r="F373" t="s">
        <v>10372</v>
      </c>
      <c r="G373" t="s">
        <v>10370</v>
      </c>
      <c r="H373" s="2">
        <v>23424</v>
      </c>
    </row>
    <row r="374" spans="1:8">
      <c r="A374" t="s">
        <v>2095</v>
      </c>
      <c r="B374" t="s">
        <v>124</v>
      </c>
      <c r="C374" t="s">
        <v>10363</v>
      </c>
      <c r="D374" t="s">
        <v>10753</v>
      </c>
      <c r="E374">
        <v>919398250825</v>
      </c>
      <c r="F374" t="s">
        <v>10402</v>
      </c>
      <c r="G374" t="s">
        <v>10370</v>
      </c>
      <c r="H374" s="2">
        <v>37266</v>
      </c>
    </row>
    <row r="375" spans="1:8">
      <c r="A375" t="s">
        <v>2100</v>
      </c>
      <c r="B375" t="s">
        <v>157</v>
      </c>
      <c r="C375" t="s">
        <v>10363</v>
      </c>
      <c r="D375" t="s">
        <v>10754</v>
      </c>
      <c r="E375">
        <v>918116170361</v>
      </c>
      <c r="F375" t="s">
        <v>10386</v>
      </c>
      <c r="G375" t="s">
        <v>10370</v>
      </c>
      <c r="H375" s="2">
        <v>24953</v>
      </c>
    </row>
    <row r="376" spans="1:8">
      <c r="A376" t="s">
        <v>2106</v>
      </c>
      <c r="B376" t="s">
        <v>3448</v>
      </c>
      <c r="C376" t="s">
        <v>10367</v>
      </c>
      <c r="D376" t="s">
        <v>10755</v>
      </c>
      <c r="E376">
        <v>916409203033</v>
      </c>
      <c r="F376" t="s">
        <v>10374</v>
      </c>
      <c r="G376" t="s">
        <v>10377</v>
      </c>
      <c r="H376" s="2">
        <v>23908</v>
      </c>
    </row>
    <row r="377" spans="1:8">
      <c r="A377" t="s">
        <v>2111</v>
      </c>
      <c r="B377" t="s">
        <v>4359</v>
      </c>
      <c r="C377" t="s">
        <v>10363</v>
      </c>
      <c r="D377" t="s">
        <v>10756</v>
      </c>
      <c r="E377">
        <v>919794261774</v>
      </c>
      <c r="F377" t="s">
        <v>10384</v>
      </c>
      <c r="G377" t="s">
        <v>10366</v>
      </c>
      <c r="H377" s="2">
        <v>34968</v>
      </c>
    </row>
    <row r="378" spans="1:8">
      <c r="A378" t="s">
        <v>2117</v>
      </c>
      <c r="B378" t="s">
        <v>3061</v>
      </c>
      <c r="C378" t="s">
        <v>10363</v>
      </c>
      <c r="D378" t="s">
        <v>10757</v>
      </c>
      <c r="E378">
        <v>916737859226</v>
      </c>
      <c r="F378" t="s">
        <v>10374</v>
      </c>
      <c r="G378" t="s">
        <v>10379</v>
      </c>
      <c r="H378" s="2">
        <v>36743</v>
      </c>
    </row>
    <row r="379" spans="1:8">
      <c r="A379" t="s">
        <v>2122</v>
      </c>
      <c r="B379" t="s">
        <v>1271</v>
      </c>
      <c r="C379" t="s">
        <v>10367</v>
      </c>
      <c r="D379" t="s">
        <v>10758</v>
      </c>
      <c r="E379">
        <v>917143000272</v>
      </c>
      <c r="F379" t="s">
        <v>10386</v>
      </c>
      <c r="G379" t="s">
        <v>10379</v>
      </c>
      <c r="H379" s="2">
        <v>23334</v>
      </c>
    </row>
    <row r="380" spans="1:8">
      <c r="A380" t="s">
        <v>2127</v>
      </c>
      <c r="B380" t="s">
        <v>472</v>
      </c>
      <c r="C380" t="s">
        <v>10363</v>
      </c>
      <c r="D380" t="s">
        <v>10759</v>
      </c>
      <c r="E380">
        <v>919165879773</v>
      </c>
      <c r="F380" t="s">
        <v>10374</v>
      </c>
      <c r="G380" t="s">
        <v>10377</v>
      </c>
      <c r="H380" s="2">
        <v>33791</v>
      </c>
    </row>
    <row r="381" spans="1:8">
      <c r="A381" t="s">
        <v>2132</v>
      </c>
      <c r="B381" t="s">
        <v>708</v>
      </c>
      <c r="C381" t="s">
        <v>10363</v>
      </c>
      <c r="D381" t="s">
        <v>10760</v>
      </c>
      <c r="E381">
        <v>919242622958</v>
      </c>
      <c r="F381" t="s">
        <v>10402</v>
      </c>
      <c r="G381" t="s">
        <v>10370</v>
      </c>
      <c r="H381" s="2">
        <v>28485</v>
      </c>
    </row>
    <row r="382" spans="1:8">
      <c r="A382" t="s">
        <v>2137</v>
      </c>
      <c r="B382" t="s">
        <v>100</v>
      </c>
      <c r="C382" t="s">
        <v>10363</v>
      </c>
      <c r="D382" t="s">
        <v>10761</v>
      </c>
      <c r="E382">
        <v>917920804426</v>
      </c>
      <c r="F382" t="s">
        <v>10381</v>
      </c>
      <c r="G382" t="s">
        <v>10379</v>
      </c>
      <c r="H382" s="2">
        <v>24770</v>
      </c>
    </row>
    <row r="383" spans="1:8">
      <c r="A383" t="s">
        <v>2142</v>
      </c>
      <c r="B383" t="s">
        <v>1271</v>
      </c>
      <c r="C383" t="s">
        <v>10367</v>
      </c>
      <c r="D383" t="s">
        <v>10762</v>
      </c>
      <c r="E383">
        <v>919405560846</v>
      </c>
      <c r="F383" t="s">
        <v>10381</v>
      </c>
      <c r="G383" t="s">
        <v>10370</v>
      </c>
      <c r="H383" s="2">
        <v>26339</v>
      </c>
    </row>
    <row r="384" spans="1:8">
      <c r="A384" t="s">
        <v>2148</v>
      </c>
      <c r="B384" t="s">
        <v>1324</v>
      </c>
      <c r="C384" t="s">
        <v>10363</v>
      </c>
      <c r="D384" t="s">
        <v>10763</v>
      </c>
      <c r="E384">
        <v>918600536274</v>
      </c>
      <c r="F384" t="s">
        <v>10386</v>
      </c>
      <c r="G384" t="s">
        <v>10379</v>
      </c>
      <c r="H384" s="2">
        <v>24091</v>
      </c>
    </row>
    <row r="385" spans="1:8">
      <c r="A385" t="s">
        <v>2153</v>
      </c>
      <c r="B385" t="s">
        <v>4892</v>
      </c>
      <c r="C385" t="s">
        <v>10367</v>
      </c>
      <c r="D385" t="s">
        <v>10764</v>
      </c>
      <c r="E385">
        <v>919945188482</v>
      </c>
      <c r="F385" t="s">
        <v>10374</v>
      </c>
      <c r="G385" t="s">
        <v>10377</v>
      </c>
      <c r="H385" s="2">
        <v>33769</v>
      </c>
    </row>
    <row r="386" spans="1:8">
      <c r="A386" t="s">
        <v>2159</v>
      </c>
      <c r="B386" t="s">
        <v>1367</v>
      </c>
      <c r="C386" t="s">
        <v>10367</v>
      </c>
      <c r="D386" t="s">
        <v>10765</v>
      </c>
      <c r="E386">
        <v>916080586694</v>
      </c>
      <c r="F386" t="s">
        <v>10376</v>
      </c>
      <c r="G386" t="s">
        <v>10377</v>
      </c>
      <c r="H386" s="2">
        <v>21544</v>
      </c>
    </row>
    <row r="387" spans="1:8">
      <c r="A387" t="s">
        <v>2164</v>
      </c>
      <c r="B387" t="s">
        <v>1186</v>
      </c>
      <c r="C387" t="s">
        <v>10367</v>
      </c>
      <c r="D387" t="s">
        <v>10766</v>
      </c>
      <c r="E387">
        <v>918313884904</v>
      </c>
      <c r="F387" t="s">
        <v>10369</v>
      </c>
      <c r="G387" t="s">
        <v>10370</v>
      </c>
      <c r="H387" s="2">
        <v>23080</v>
      </c>
    </row>
    <row r="388" spans="1:8">
      <c r="A388" t="s">
        <v>2169</v>
      </c>
      <c r="B388" t="s">
        <v>2815</v>
      </c>
      <c r="C388" t="s">
        <v>10363</v>
      </c>
      <c r="D388" t="s">
        <v>10767</v>
      </c>
      <c r="E388">
        <v>917642058307</v>
      </c>
      <c r="F388" t="s">
        <v>10388</v>
      </c>
      <c r="G388" t="s">
        <v>10377</v>
      </c>
      <c r="H388" s="2">
        <v>29603</v>
      </c>
    </row>
    <row r="389" spans="1:8">
      <c r="A389" t="s">
        <v>2174</v>
      </c>
      <c r="B389" t="s">
        <v>398</v>
      </c>
      <c r="C389" t="s">
        <v>10367</v>
      </c>
      <c r="D389" t="s">
        <v>10768</v>
      </c>
      <c r="E389">
        <v>917206828274</v>
      </c>
      <c r="F389" t="s">
        <v>10386</v>
      </c>
      <c r="G389" t="s">
        <v>10377</v>
      </c>
      <c r="H389" s="2">
        <v>36143</v>
      </c>
    </row>
    <row r="390" spans="1:8">
      <c r="A390" t="s">
        <v>2180</v>
      </c>
      <c r="B390" t="s">
        <v>2297</v>
      </c>
      <c r="C390" t="s">
        <v>10363</v>
      </c>
      <c r="D390" t="s">
        <v>10769</v>
      </c>
      <c r="E390">
        <v>917678998560</v>
      </c>
      <c r="F390" t="s">
        <v>10372</v>
      </c>
      <c r="G390" t="s">
        <v>10370</v>
      </c>
      <c r="H390" s="2">
        <v>36792</v>
      </c>
    </row>
    <row r="391" spans="1:8">
      <c r="A391" t="s">
        <v>2185</v>
      </c>
      <c r="B391" t="s">
        <v>52</v>
      </c>
      <c r="C391" t="s">
        <v>10363</v>
      </c>
      <c r="D391" t="s">
        <v>10770</v>
      </c>
      <c r="E391">
        <v>916980408625</v>
      </c>
      <c r="F391" t="s">
        <v>10365</v>
      </c>
      <c r="G391" t="s">
        <v>10370</v>
      </c>
      <c r="H391" s="2">
        <v>24606</v>
      </c>
    </row>
    <row r="392" spans="1:8">
      <c r="A392" t="s">
        <v>2190</v>
      </c>
      <c r="B392" t="s">
        <v>2073</v>
      </c>
      <c r="C392" t="s">
        <v>10367</v>
      </c>
      <c r="D392" t="s">
        <v>10771</v>
      </c>
      <c r="E392">
        <v>916882985146</v>
      </c>
      <c r="F392" t="s">
        <v>10376</v>
      </c>
      <c r="G392" t="s">
        <v>10379</v>
      </c>
      <c r="H392" s="2">
        <v>22667</v>
      </c>
    </row>
    <row r="393" spans="1:8">
      <c r="A393" t="s">
        <v>2195</v>
      </c>
      <c r="B393" t="s">
        <v>1036</v>
      </c>
      <c r="C393" t="s">
        <v>10363</v>
      </c>
      <c r="D393" t="s">
        <v>10772</v>
      </c>
      <c r="E393">
        <v>917869482574</v>
      </c>
      <c r="F393" t="s">
        <v>10372</v>
      </c>
      <c r="G393" t="s">
        <v>10370</v>
      </c>
      <c r="H393" s="2">
        <v>24810</v>
      </c>
    </row>
    <row r="394" spans="1:8">
      <c r="A394" t="s">
        <v>2201</v>
      </c>
      <c r="B394" t="s">
        <v>685</v>
      </c>
      <c r="C394" t="s">
        <v>10367</v>
      </c>
      <c r="D394" t="s">
        <v>10773</v>
      </c>
      <c r="E394">
        <v>917974682922</v>
      </c>
      <c r="F394" t="s">
        <v>10381</v>
      </c>
      <c r="G394" t="s">
        <v>10379</v>
      </c>
      <c r="H394" s="2">
        <v>31364</v>
      </c>
    </row>
    <row r="395" spans="1:8">
      <c r="A395" t="s">
        <v>2207</v>
      </c>
      <c r="B395" t="s">
        <v>762</v>
      </c>
      <c r="C395" t="s">
        <v>10363</v>
      </c>
      <c r="D395" t="s">
        <v>10774</v>
      </c>
      <c r="E395">
        <v>917812432574</v>
      </c>
      <c r="F395" t="s">
        <v>10376</v>
      </c>
      <c r="G395" t="s">
        <v>10366</v>
      </c>
      <c r="H395" s="2">
        <v>34095</v>
      </c>
    </row>
    <row r="396" spans="1:8">
      <c r="A396" t="s">
        <v>2212</v>
      </c>
      <c r="B396" t="s">
        <v>882</v>
      </c>
      <c r="C396" t="s">
        <v>10363</v>
      </c>
      <c r="D396" t="s">
        <v>10775</v>
      </c>
      <c r="E396">
        <v>918033157950</v>
      </c>
      <c r="F396" t="s">
        <v>10374</v>
      </c>
      <c r="G396" t="s">
        <v>10366</v>
      </c>
      <c r="H396" s="2">
        <v>22542</v>
      </c>
    </row>
    <row r="397" spans="1:8">
      <c r="A397" t="s">
        <v>2217</v>
      </c>
      <c r="B397" t="s">
        <v>1367</v>
      </c>
      <c r="C397" t="s">
        <v>10367</v>
      </c>
      <c r="D397" t="s">
        <v>10776</v>
      </c>
      <c r="E397">
        <v>918425075705</v>
      </c>
      <c r="F397" t="s">
        <v>10376</v>
      </c>
      <c r="G397" t="s">
        <v>10370</v>
      </c>
      <c r="H397" s="2">
        <v>27369</v>
      </c>
    </row>
    <row r="398" spans="1:8">
      <c r="A398" t="s">
        <v>2222</v>
      </c>
      <c r="B398" t="s">
        <v>2143</v>
      </c>
      <c r="C398" t="s">
        <v>10367</v>
      </c>
      <c r="D398" t="s">
        <v>10777</v>
      </c>
      <c r="E398">
        <v>917912533163</v>
      </c>
      <c r="F398" t="s">
        <v>10372</v>
      </c>
      <c r="G398" t="s">
        <v>10366</v>
      </c>
      <c r="H398" s="2">
        <v>26354</v>
      </c>
    </row>
    <row r="399" spans="1:8">
      <c r="A399" t="s">
        <v>2227</v>
      </c>
      <c r="B399" t="s">
        <v>5267</v>
      </c>
      <c r="C399" t="s">
        <v>10367</v>
      </c>
      <c r="D399" t="s">
        <v>10778</v>
      </c>
      <c r="E399">
        <v>919353960571</v>
      </c>
      <c r="F399" t="s">
        <v>10374</v>
      </c>
      <c r="G399" t="s">
        <v>10370</v>
      </c>
      <c r="H399" s="2">
        <v>31977</v>
      </c>
    </row>
    <row r="400" spans="1:8">
      <c r="A400" t="s">
        <v>2232</v>
      </c>
      <c r="B400" t="s">
        <v>1158</v>
      </c>
      <c r="C400" t="s">
        <v>10367</v>
      </c>
      <c r="D400" t="s">
        <v>10779</v>
      </c>
      <c r="E400">
        <v>919754430515</v>
      </c>
      <c r="F400" t="s">
        <v>10372</v>
      </c>
      <c r="G400" t="s">
        <v>10366</v>
      </c>
      <c r="H400" s="2">
        <v>37359</v>
      </c>
    </row>
    <row r="401" spans="1:8">
      <c r="A401" t="s">
        <v>2238</v>
      </c>
      <c r="B401" t="s">
        <v>432</v>
      </c>
      <c r="C401" t="s">
        <v>10363</v>
      </c>
      <c r="D401" t="s">
        <v>10780</v>
      </c>
      <c r="E401">
        <v>916178079820</v>
      </c>
      <c r="F401" t="s">
        <v>10372</v>
      </c>
      <c r="G401" t="s">
        <v>10379</v>
      </c>
      <c r="H401" s="2">
        <v>24214</v>
      </c>
    </row>
    <row r="402" spans="1:8">
      <c r="A402" t="s">
        <v>2243</v>
      </c>
      <c r="B402" t="s">
        <v>392</v>
      </c>
      <c r="C402" t="s">
        <v>10367</v>
      </c>
      <c r="D402" t="s">
        <v>10781</v>
      </c>
      <c r="E402">
        <v>916013799327</v>
      </c>
      <c r="F402" t="s">
        <v>10369</v>
      </c>
      <c r="G402" t="s">
        <v>10366</v>
      </c>
      <c r="H402" s="2">
        <v>25474</v>
      </c>
    </row>
    <row r="403" spans="1:8">
      <c r="A403" t="s">
        <v>2249</v>
      </c>
      <c r="B403" t="s">
        <v>786</v>
      </c>
      <c r="C403" t="s">
        <v>10367</v>
      </c>
      <c r="D403" t="s">
        <v>10782</v>
      </c>
      <c r="E403">
        <v>916748961037</v>
      </c>
      <c r="F403" t="s">
        <v>10402</v>
      </c>
      <c r="G403" t="s">
        <v>10379</v>
      </c>
      <c r="H403" s="2">
        <v>37019</v>
      </c>
    </row>
    <row r="404" spans="1:8">
      <c r="A404" t="s">
        <v>2254</v>
      </c>
      <c r="B404" t="s">
        <v>8210</v>
      </c>
      <c r="C404" t="s">
        <v>10367</v>
      </c>
      <c r="D404" t="s">
        <v>10783</v>
      </c>
      <c r="E404">
        <v>918497742744</v>
      </c>
      <c r="F404" t="s">
        <v>10376</v>
      </c>
      <c r="G404" t="s">
        <v>10379</v>
      </c>
      <c r="H404" s="2">
        <v>32548</v>
      </c>
    </row>
    <row r="405" spans="1:8">
      <c r="A405" t="s">
        <v>2259</v>
      </c>
      <c r="B405" t="s">
        <v>882</v>
      </c>
      <c r="C405" t="s">
        <v>10363</v>
      </c>
      <c r="D405" t="s">
        <v>10784</v>
      </c>
      <c r="E405">
        <v>919165559286</v>
      </c>
      <c r="F405" t="s">
        <v>10402</v>
      </c>
      <c r="G405" t="s">
        <v>10366</v>
      </c>
      <c r="H405" s="2">
        <v>25432</v>
      </c>
    </row>
    <row r="406" spans="1:8">
      <c r="A406" t="s">
        <v>2264</v>
      </c>
      <c r="B406" t="s">
        <v>333</v>
      </c>
      <c r="C406" t="s">
        <v>10363</v>
      </c>
      <c r="D406" t="s">
        <v>10785</v>
      </c>
      <c r="E406">
        <v>917962956522</v>
      </c>
      <c r="F406" t="s">
        <v>10388</v>
      </c>
      <c r="G406" t="s">
        <v>10379</v>
      </c>
      <c r="H406" s="2">
        <v>37075</v>
      </c>
    </row>
    <row r="407" spans="1:8">
      <c r="A407" t="s">
        <v>2269</v>
      </c>
      <c r="B407" t="s">
        <v>144</v>
      </c>
      <c r="C407" t="s">
        <v>10363</v>
      </c>
      <c r="D407" t="s">
        <v>10786</v>
      </c>
      <c r="E407">
        <v>919848709022</v>
      </c>
      <c r="F407" t="s">
        <v>10386</v>
      </c>
      <c r="G407" t="s">
        <v>10379</v>
      </c>
      <c r="H407" s="2">
        <v>23328</v>
      </c>
    </row>
    <row r="408" spans="1:8">
      <c r="A408" t="s">
        <v>2275</v>
      </c>
      <c r="B408" t="s">
        <v>1498</v>
      </c>
      <c r="C408" t="s">
        <v>10363</v>
      </c>
      <c r="D408" t="s">
        <v>10787</v>
      </c>
      <c r="E408">
        <v>918830905594</v>
      </c>
      <c r="F408" t="s">
        <v>10372</v>
      </c>
      <c r="G408" t="s">
        <v>10377</v>
      </c>
      <c r="H408" s="2">
        <v>32321</v>
      </c>
    </row>
    <row r="409" spans="1:8">
      <c r="A409" t="s">
        <v>2281</v>
      </c>
      <c r="B409" t="s">
        <v>927</v>
      </c>
      <c r="C409" t="s">
        <v>10367</v>
      </c>
      <c r="D409" t="s">
        <v>10788</v>
      </c>
      <c r="E409">
        <v>916640606046</v>
      </c>
      <c r="F409" t="s">
        <v>10365</v>
      </c>
      <c r="G409" t="s">
        <v>10379</v>
      </c>
      <c r="H409" s="2">
        <v>36238</v>
      </c>
    </row>
    <row r="410" spans="1:8">
      <c r="A410" t="s">
        <v>2286</v>
      </c>
      <c r="B410" t="s">
        <v>865</v>
      </c>
      <c r="C410" t="s">
        <v>10363</v>
      </c>
      <c r="D410" t="s">
        <v>10789</v>
      </c>
      <c r="E410">
        <v>916176135303</v>
      </c>
      <c r="F410" t="s">
        <v>10365</v>
      </c>
      <c r="G410" t="s">
        <v>10379</v>
      </c>
      <c r="H410" s="2">
        <v>20583</v>
      </c>
    </row>
    <row r="411" spans="1:8">
      <c r="A411" t="s">
        <v>2291</v>
      </c>
      <c r="B411" t="s">
        <v>893</v>
      </c>
      <c r="C411" t="s">
        <v>10367</v>
      </c>
      <c r="D411" t="s">
        <v>10790</v>
      </c>
      <c r="E411">
        <v>916978795630</v>
      </c>
      <c r="F411" t="s">
        <v>10376</v>
      </c>
      <c r="G411" t="s">
        <v>10379</v>
      </c>
      <c r="H411" s="2">
        <v>26499</v>
      </c>
    </row>
    <row r="412" spans="1:8">
      <c r="A412" t="s">
        <v>2296</v>
      </c>
      <c r="B412" t="s">
        <v>1152</v>
      </c>
      <c r="C412" t="s">
        <v>10367</v>
      </c>
      <c r="D412" t="s">
        <v>10791</v>
      </c>
      <c r="E412">
        <v>918768587947</v>
      </c>
      <c r="F412" t="s">
        <v>10365</v>
      </c>
      <c r="G412" t="s">
        <v>10370</v>
      </c>
      <c r="H412" s="2">
        <v>20652</v>
      </c>
    </row>
    <row r="413" spans="1:8">
      <c r="A413" t="s">
        <v>2302</v>
      </c>
      <c r="B413" t="s">
        <v>223</v>
      </c>
      <c r="C413" t="s">
        <v>10363</v>
      </c>
      <c r="D413" t="s">
        <v>10792</v>
      </c>
      <c r="E413">
        <v>919156352400</v>
      </c>
      <c r="F413" t="s">
        <v>10381</v>
      </c>
      <c r="G413" t="s">
        <v>10379</v>
      </c>
      <c r="H413" s="2">
        <v>29817</v>
      </c>
    </row>
    <row r="414" spans="1:8">
      <c r="A414" t="s">
        <v>2307</v>
      </c>
      <c r="B414" t="s">
        <v>558</v>
      </c>
      <c r="C414" t="s">
        <v>10363</v>
      </c>
      <c r="D414" t="s">
        <v>10793</v>
      </c>
      <c r="E414">
        <v>917941849036</v>
      </c>
      <c r="F414" t="s">
        <v>10384</v>
      </c>
      <c r="G414" t="s">
        <v>10379</v>
      </c>
      <c r="H414" s="2">
        <v>27867</v>
      </c>
    </row>
    <row r="415" spans="1:8">
      <c r="A415" t="s">
        <v>2312</v>
      </c>
      <c r="B415" t="s">
        <v>186</v>
      </c>
      <c r="C415" t="s">
        <v>10363</v>
      </c>
      <c r="D415" t="s">
        <v>10794</v>
      </c>
      <c r="E415">
        <v>919227366724</v>
      </c>
      <c r="F415" t="s">
        <v>10376</v>
      </c>
      <c r="G415" t="s">
        <v>10379</v>
      </c>
      <c r="H415" s="2">
        <v>24980</v>
      </c>
    </row>
    <row r="416" spans="1:8">
      <c r="A416" t="s">
        <v>2318</v>
      </c>
      <c r="B416" t="s">
        <v>1068</v>
      </c>
      <c r="C416" t="s">
        <v>10363</v>
      </c>
      <c r="D416" t="s">
        <v>10795</v>
      </c>
      <c r="E416">
        <v>917717149150</v>
      </c>
      <c r="F416" t="s">
        <v>10388</v>
      </c>
      <c r="G416" t="s">
        <v>10366</v>
      </c>
      <c r="H416" s="2">
        <v>34878</v>
      </c>
    </row>
    <row r="417" spans="1:8">
      <c r="A417" t="s">
        <v>2323</v>
      </c>
      <c r="B417" t="s">
        <v>1431</v>
      </c>
      <c r="C417" t="s">
        <v>10367</v>
      </c>
      <c r="D417" t="s">
        <v>10796</v>
      </c>
      <c r="E417">
        <v>919558104786</v>
      </c>
      <c r="F417" t="s">
        <v>10402</v>
      </c>
      <c r="G417" t="s">
        <v>10379</v>
      </c>
      <c r="H417" s="2">
        <v>21326</v>
      </c>
    </row>
    <row r="418" spans="1:8">
      <c r="A418" t="s">
        <v>2328</v>
      </c>
      <c r="B418" t="s">
        <v>87</v>
      </c>
      <c r="C418" t="s">
        <v>10363</v>
      </c>
      <c r="D418" t="s">
        <v>10797</v>
      </c>
      <c r="E418">
        <v>918932577829</v>
      </c>
      <c r="F418" t="s">
        <v>10365</v>
      </c>
      <c r="G418" t="s">
        <v>10377</v>
      </c>
      <c r="H418" s="2">
        <v>29774</v>
      </c>
    </row>
    <row r="419" spans="1:8">
      <c r="A419" t="s">
        <v>2334</v>
      </c>
      <c r="B419" t="s">
        <v>982</v>
      </c>
      <c r="C419" t="s">
        <v>10367</v>
      </c>
      <c r="D419" t="s">
        <v>10798</v>
      </c>
      <c r="E419">
        <v>918481977540</v>
      </c>
      <c r="F419" t="s">
        <v>10388</v>
      </c>
      <c r="G419" t="s">
        <v>10379</v>
      </c>
      <c r="H419" s="2">
        <v>24764</v>
      </c>
    </row>
    <row r="420" spans="1:8">
      <c r="A420" t="s">
        <v>2339</v>
      </c>
      <c r="B420" t="s">
        <v>512</v>
      </c>
      <c r="C420" t="s">
        <v>10367</v>
      </c>
      <c r="D420" t="s">
        <v>10799</v>
      </c>
      <c r="E420">
        <v>919506415985</v>
      </c>
      <c r="F420" t="s">
        <v>10384</v>
      </c>
      <c r="G420" t="s">
        <v>10370</v>
      </c>
      <c r="H420" s="2">
        <v>31461</v>
      </c>
    </row>
    <row r="421" spans="1:8">
      <c r="A421" t="s">
        <v>2344</v>
      </c>
      <c r="B421" t="s">
        <v>2420</v>
      </c>
      <c r="C421" t="s">
        <v>10367</v>
      </c>
      <c r="D421" t="s">
        <v>10800</v>
      </c>
      <c r="E421">
        <v>917991363975</v>
      </c>
      <c r="F421" t="s">
        <v>10402</v>
      </c>
      <c r="G421" t="s">
        <v>10379</v>
      </c>
      <c r="H421" s="2">
        <v>37274</v>
      </c>
    </row>
    <row r="422" spans="1:8">
      <c r="A422" t="s">
        <v>2349</v>
      </c>
      <c r="B422" t="s">
        <v>1431</v>
      </c>
      <c r="C422" t="s">
        <v>10367</v>
      </c>
      <c r="D422" t="s">
        <v>10801</v>
      </c>
      <c r="E422">
        <v>917740428711</v>
      </c>
      <c r="F422" t="s">
        <v>10369</v>
      </c>
      <c r="G422" t="s">
        <v>10366</v>
      </c>
      <c r="H422" s="2">
        <v>23749</v>
      </c>
    </row>
    <row r="423" spans="1:8">
      <c r="A423" t="s">
        <v>2354</v>
      </c>
      <c r="B423" t="s">
        <v>1643</v>
      </c>
      <c r="C423" t="s">
        <v>10363</v>
      </c>
      <c r="D423" t="s">
        <v>10802</v>
      </c>
      <c r="E423">
        <v>919797939029</v>
      </c>
      <c r="F423" t="s">
        <v>10402</v>
      </c>
      <c r="G423" t="s">
        <v>10370</v>
      </c>
      <c r="H423" s="2">
        <v>27536</v>
      </c>
    </row>
    <row r="424" spans="1:8">
      <c r="A424" t="s">
        <v>2359</v>
      </c>
      <c r="B424" t="s">
        <v>186</v>
      </c>
      <c r="C424" t="s">
        <v>10363</v>
      </c>
      <c r="D424" t="s">
        <v>10803</v>
      </c>
      <c r="E424">
        <v>917541002185</v>
      </c>
      <c r="F424" t="s">
        <v>10369</v>
      </c>
      <c r="G424" t="s">
        <v>10379</v>
      </c>
      <c r="H424" s="2">
        <v>30329</v>
      </c>
    </row>
    <row r="425" spans="1:8">
      <c r="A425" t="s">
        <v>2364</v>
      </c>
      <c r="B425" t="s">
        <v>558</v>
      </c>
      <c r="C425" t="s">
        <v>10363</v>
      </c>
      <c r="D425" t="s">
        <v>10804</v>
      </c>
      <c r="E425">
        <v>917886303290</v>
      </c>
      <c r="F425" t="s">
        <v>10376</v>
      </c>
      <c r="G425" t="s">
        <v>10377</v>
      </c>
      <c r="H425" s="2">
        <v>28630</v>
      </c>
    </row>
    <row r="426" spans="1:8">
      <c r="A426" t="s">
        <v>2369</v>
      </c>
      <c r="B426" t="s">
        <v>199</v>
      </c>
      <c r="C426" t="s">
        <v>10363</v>
      </c>
      <c r="D426" t="s">
        <v>10805</v>
      </c>
      <c r="E426">
        <v>919189009537</v>
      </c>
      <c r="F426" t="s">
        <v>10372</v>
      </c>
      <c r="G426" t="s">
        <v>10370</v>
      </c>
      <c r="H426" s="2">
        <v>21524</v>
      </c>
    </row>
    <row r="427" spans="1:8">
      <c r="A427" t="s">
        <v>2374</v>
      </c>
      <c r="B427" t="s">
        <v>871</v>
      </c>
      <c r="C427" t="s">
        <v>10363</v>
      </c>
      <c r="D427" t="s">
        <v>10806</v>
      </c>
      <c r="E427">
        <v>916479516102</v>
      </c>
      <c r="F427" t="s">
        <v>10386</v>
      </c>
      <c r="G427" t="s">
        <v>10379</v>
      </c>
      <c r="H427" s="2">
        <v>31790</v>
      </c>
    </row>
    <row r="428" spans="1:8">
      <c r="A428" t="s">
        <v>2379</v>
      </c>
      <c r="B428" t="s">
        <v>199</v>
      </c>
      <c r="C428" t="s">
        <v>10363</v>
      </c>
      <c r="D428" t="s">
        <v>10807</v>
      </c>
      <c r="E428">
        <v>917476351304</v>
      </c>
      <c r="F428" t="s">
        <v>10384</v>
      </c>
      <c r="G428" t="s">
        <v>10377</v>
      </c>
      <c r="H428" s="2">
        <v>22483</v>
      </c>
    </row>
    <row r="429" spans="1:8">
      <c r="A429" t="s">
        <v>2384</v>
      </c>
      <c r="B429" t="s">
        <v>955</v>
      </c>
      <c r="C429" t="s">
        <v>10363</v>
      </c>
      <c r="D429" t="s">
        <v>10808</v>
      </c>
      <c r="E429">
        <v>916400091748</v>
      </c>
      <c r="F429" t="s">
        <v>10374</v>
      </c>
      <c r="G429" t="s">
        <v>10377</v>
      </c>
      <c r="H429" s="2">
        <v>24709</v>
      </c>
    </row>
    <row r="430" spans="1:8">
      <c r="A430" t="s">
        <v>2389</v>
      </c>
      <c r="B430" t="s">
        <v>398</v>
      </c>
      <c r="C430" t="s">
        <v>10367</v>
      </c>
      <c r="D430" t="s">
        <v>10809</v>
      </c>
      <c r="E430">
        <v>917770670216</v>
      </c>
      <c r="F430" t="s">
        <v>10372</v>
      </c>
      <c r="G430" t="s">
        <v>10377</v>
      </c>
      <c r="H430" s="2">
        <v>30323</v>
      </c>
    </row>
    <row r="431" spans="1:8">
      <c r="A431" t="s">
        <v>2394</v>
      </c>
      <c r="B431" t="s">
        <v>1626</v>
      </c>
      <c r="C431" t="s">
        <v>10367</v>
      </c>
      <c r="D431" t="s">
        <v>10810</v>
      </c>
      <c r="E431">
        <v>917951038709</v>
      </c>
      <c r="F431" t="s">
        <v>10381</v>
      </c>
      <c r="G431" t="s">
        <v>10379</v>
      </c>
      <c r="H431" s="2">
        <v>23626</v>
      </c>
    </row>
    <row r="432" spans="1:8">
      <c r="A432" t="s">
        <v>2399</v>
      </c>
      <c r="B432" t="s">
        <v>1498</v>
      </c>
      <c r="C432" t="s">
        <v>10363</v>
      </c>
      <c r="D432" t="s">
        <v>10811</v>
      </c>
      <c r="E432">
        <v>919577379539</v>
      </c>
      <c r="F432" t="s">
        <v>10372</v>
      </c>
      <c r="G432" t="s">
        <v>10366</v>
      </c>
      <c r="H432" s="2">
        <v>20787</v>
      </c>
    </row>
    <row r="433" spans="1:8">
      <c r="A433" t="s">
        <v>2404</v>
      </c>
      <c r="B433" t="s">
        <v>4512</v>
      </c>
      <c r="C433" t="s">
        <v>10367</v>
      </c>
      <c r="D433" t="s">
        <v>10812</v>
      </c>
      <c r="E433">
        <v>917455474479</v>
      </c>
      <c r="F433" t="s">
        <v>10369</v>
      </c>
      <c r="G433" t="s">
        <v>10370</v>
      </c>
      <c r="H433" s="2">
        <v>35384</v>
      </c>
    </row>
    <row r="434" spans="1:8">
      <c r="A434" t="s">
        <v>2409</v>
      </c>
      <c r="B434" t="s">
        <v>2815</v>
      </c>
      <c r="C434" t="s">
        <v>10363</v>
      </c>
      <c r="D434" t="s">
        <v>10813</v>
      </c>
      <c r="E434">
        <v>916009372618</v>
      </c>
      <c r="F434" t="s">
        <v>10386</v>
      </c>
      <c r="G434" t="s">
        <v>10377</v>
      </c>
      <c r="H434" s="2">
        <v>37177</v>
      </c>
    </row>
    <row r="435" spans="1:8">
      <c r="A435" t="s">
        <v>2414</v>
      </c>
      <c r="B435" t="s">
        <v>1250</v>
      </c>
      <c r="C435" t="s">
        <v>10363</v>
      </c>
      <c r="D435" t="s">
        <v>10814</v>
      </c>
      <c r="E435">
        <v>916568789848</v>
      </c>
      <c r="F435" t="s">
        <v>10388</v>
      </c>
      <c r="G435" t="s">
        <v>10377</v>
      </c>
      <c r="H435" s="2">
        <v>32229</v>
      </c>
    </row>
    <row r="436" spans="1:8">
      <c r="A436" t="s">
        <v>2419</v>
      </c>
      <c r="B436" t="s">
        <v>192</v>
      </c>
      <c r="C436" t="s">
        <v>10367</v>
      </c>
      <c r="D436" t="s">
        <v>10815</v>
      </c>
      <c r="E436">
        <v>918729892503</v>
      </c>
      <c r="F436" t="s">
        <v>10381</v>
      </c>
      <c r="G436" t="s">
        <v>10379</v>
      </c>
      <c r="H436" s="2">
        <v>24785</v>
      </c>
    </row>
    <row r="437" spans="1:8">
      <c r="A437" t="s">
        <v>2425</v>
      </c>
      <c r="B437" t="s">
        <v>1610</v>
      </c>
      <c r="C437" t="s">
        <v>10367</v>
      </c>
      <c r="D437" t="s">
        <v>10816</v>
      </c>
      <c r="E437">
        <v>918706748805</v>
      </c>
      <c r="F437" t="s">
        <v>10381</v>
      </c>
      <c r="G437" t="s">
        <v>10366</v>
      </c>
      <c r="H437" s="2">
        <v>28025</v>
      </c>
    </row>
    <row r="438" spans="1:8">
      <c r="A438" t="s">
        <v>2430</v>
      </c>
      <c r="B438" t="s">
        <v>604</v>
      </c>
      <c r="C438" t="s">
        <v>10363</v>
      </c>
      <c r="D438" t="s">
        <v>10817</v>
      </c>
      <c r="E438">
        <v>916047038574</v>
      </c>
      <c r="F438" t="s">
        <v>10372</v>
      </c>
      <c r="G438" t="s">
        <v>10370</v>
      </c>
      <c r="H438" s="2">
        <v>27110</v>
      </c>
    </row>
    <row r="439" spans="1:8">
      <c r="A439" t="s">
        <v>2435</v>
      </c>
      <c r="B439" t="s">
        <v>311</v>
      </c>
      <c r="C439" t="s">
        <v>10363</v>
      </c>
      <c r="D439" t="s">
        <v>10818</v>
      </c>
      <c r="E439">
        <v>918514990608</v>
      </c>
      <c r="F439" t="s">
        <v>10402</v>
      </c>
      <c r="G439" t="s">
        <v>10370</v>
      </c>
      <c r="H439" s="2">
        <v>25427</v>
      </c>
    </row>
    <row r="440" spans="1:8">
      <c r="A440" t="s">
        <v>2440</v>
      </c>
      <c r="B440" t="s">
        <v>6268</v>
      </c>
      <c r="C440" t="s">
        <v>10367</v>
      </c>
      <c r="D440" t="s">
        <v>10819</v>
      </c>
      <c r="E440">
        <v>917938529979</v>
      </c>
      <c r="F440" t="s">
        <v>10386</v>
      </c>
      <c r="G440" t="s">
        <v>10377</v>
      </c>
      <c r="H440" s="2">
        <v>25854</v>
      </c>
    </row>
    <row r="441" spans="1:8">
      <c r="A441" t="s">
        <v>2445</v>
      </c>
      <c r="B441" t="s">
        <v>604</v>
      </c>
      <c r="C441" t="s">
        <v>10363</v>
      </c>
      <c r="D441" t="s">
        <v>10820</v>
      </c>
      <c r="E441">
        <v>917040597777</v>
      </c>
      <c r="F441" t="s">
        <v>10386</v>
      </c>
      <c r="G441" t="s">
        <v>10366</v>
      </c>
      <c r="H441" s="2">
        <v>23355</v>
      </c>
    </row>
    <row r="442" spans="1:8">
      <c r="A442" t="s">
        <v>2450</v>
      </c>
      <c r="B442" t="s">
        <v>2642</v>
      </c>
      <c r="C442" t="s">
        <v>10367</v>
      </c>
      <c r="D442" t="s">
        <v>10821</v>
      </c>
      <c r="E442">
        <v>917098833824</v>
      </c>
      <c r="F442" t="s">
        <v>10384</v>
      </c>
      <c r="G442" t="s">
        <v>10377</v>
      </c>
      <c r="H442" s="2">
        <v>36430</v>
      </c>
    </row>
    <row r="443" spans="1:8">
      <c r="A443" t="s">
        <v>2456</v>
      </c>
      <c r="B443" t="s">
        <v>661</v>
      </c>
      <c r="C443" t="s">
        <v>10367</v>
      </c>
      <c r="D443" t="s">
        <v>10822</v>
      </c>
      <c r="E443">
        <v>917043984424</v>
      </c>
      <c r="F443" t="s">
        <v>10386</v>
      </c>
      <c r="G443" t="s">
        <v>10366</v>
      </c>
      <c r="H443" s="2">
        <v>32025</v>
      </c>
    </row>
    <row r="444" spans="1:8">
      <c r="A444" t="s">
        <v>2462</v>
      </c>
      <c r="B444" t="s">
        <v>3112</v>
      </c>
      <c r="C444" t="s">
        <v>10367</v>
      </c>
      <c r="D444" t="s">
        <v>10823</v>
      </c>
      <c r="E444">
        <v>918223808486</v>
      </c>
      <c r="F444" t="s">
        <v>10374</v>
      </c>
      <c r="G444" t="s">
        <v>10366</v>
      </c>
      <c r="H444" s="2">
        <v>36721</v>
      </c>
    </row>
    <row r="445" spans="1:8">
      <c r="A445" t="s">
        <v>2468</v>
      </c>
      <c r="B445" t="s">
        <v>6567</v>
      </c>
      <c r="C445" t="s">
        <v>10367</v>
      </c>
      <c r="D445" t="s">
        <v>10824</v>
      </c>
      <c r="E445">
        <v>916165100149</v>
      </c>
      <c r="F445" t="s">
        <v>10386</v>
      </c>
      <c r="G445" t="s">
        <v>10379</v>
      </c>
      <c r="H445" s="2">
        <v>30980</v>
      </c>
    </row>
    <row r="446" spans="1:8">
      <c r="A446" t="s">
        <v>2473</v>
      </c>
      <c r="B446" t="s">
        <v>253</v>
      </c>
      <c r="C446" t="s">
        <v>10363</v>
      </c>
      <c r="D446" t="s">
        <v>10825</v>
      </c>
      <c r="E446">
        <v>916316496823</v>
      </c>
      <c r="F446" t="s">
        <v>10381</v>
      </c>
      <c r="G446" t="s">
        <v>10366</v>
      </c>
      <c r="H446" s="2">
        <v>33743</v>
      </c>
    </row>
    <row r="447" spans="1:8">
      <c r="A447" t="s">
        <v>2479</v>
      </c>
      <c r="B447" t="s">
        <v>708</v>
      </c>
      <c r="C447" t="s">
        <v>10363</v>
      </c>
      <c r="D447" t="s">
        <v>10826</v>
      </c>
      <c r="E447">
        <v>917101969620</v>
      </c>
      <c r="F447" t="s">
        <v>10381</v>
      </c>
      <c r="G447" t="s">
        <v>10379</v>
      </c>
      <c r="H447" s="2">
        <v>24180</v>
      </c>
    </row>
    <row r="448" spans="1:8">
      <c r="A448" t="s">
        <v>2484</v>
      </c>
      <c r="B448" t="s">
        <v>853</v>
      </c>
      <c r="C448" t="s">
        <v>10363</v>
      </c>
      <c r="D448" t="s">
        <v>10827</v>
      </c>
      <c r="E448">
        <v>917710063308</v>
      </c>
      <c r="F448" t="s">
        <v>10402</v>
      </c>
      <c r="G448" t="s">
        <v>10379</v>
      </c>
      <c r="H448" s="2">
        <v>33525</v>
      </c>
    </row>
    <row r="449" spans="1:8">
      <c r="A449" t="s">
        <v>2489</v>
      </c>
      <c r="B449" t="s">
        <v>259</v>
      </c>
      <c r="C449" t="s">
        <v>10367</v>
      </c>
      <c r="D449" t="s">
        <v>10828</v>
      </c>
      <c r="E449">
        <v>919902755757</v>
      </c>
      <c r="F449" t="s">
        <v>10369</v>
      </c>
      <c r="G449" t="s">
        <v>10370</v>
      </c>
      <c r="H449" s="2">
        <v>33958</v>
      </c>
    </row>
    <row r="450" spans="1:8">
      <c r="A450" t="s">
        <v>2494</v>
      </c>
      <c r="B450" t="s">
        <v>2313</v>
      </c>
      <c r="C450" t="s">
        <v>10363</v>
      </c>
      <c r="D450" t="s">
        <v>10829</v>
      </c>
      <c r="E450">
        <v>919227649186</v>
      </c>
      <c r="F450" t="s">
        <v>10384</v>
      </c>
      <c r="G450" t="s">
        <v>10379</v>
      </c>
      <c r="H450" s="2">
        <v>29481</v>
      </c>
    </row>
    <row r="451" spans="1:8">
      <c r="A451" t="s">
        <v>2499</v>
      </c>
      <c r="B451" t="s">
        <v>1482</v>
      </c>
      <c r="C451" t="s">
        <v>10367</v>
      </c>
      <c r="D451" t="s">
        <v>10830</v>
      </c>
      <c r="E451">
        <v>917598453409</v>
      </c>
      <c r="F451" t="s">
        <v>10386</v>
      </c>
      <c r="G451" t="s">
        <v>10377</v>
      </c>
      <c r="H451" s="2">
        <v>27068</v>
      </c>
    </row>
    <row r="452" spans="1:8">
      <c r="A452" t="s">
        <v>2504</v>
      </c>
      <c r="B452" t="s">
        <v>1271</v>
      </c>
      <c r="C452" t="s">
        <v>10367</v>
      </c>
      <c r="D452" t="s">
        <v>10831</v>
      </c>
      <c r="E452">
        <v>919844909702</v>
      </c>
      <c r="F452" t="s">
        <v>10369</v>
      </c>
      <c r="G452" t="s">
        <v>10370</v>
      </c>
      <c r="H452" s="2">
        <v>22439</v>
      </c>
    </row>
    <row r="453" spans="1:8">
      <c r="A453" t="s">
        <v>2509</v>
      </c>
      <c r="B453" t="s">
        <v>265</v>
      </c>
      <c r="C453" t="s">
        <v>10363</v>
      </c>
      <c r="D453" t="s">
        <v>10832</v>
      </c>
      <c r="E453">
        <v>916541400958</v>
      </c>
      <c r="F453" t="s">
        <v>10386</v>
      </c>
      <c r="G453" t="s">
        <v>10377</v>
      </c>
      <c r="H453" s="2">
        <v>20457</v>
      </c>
    </row>
    <row r="454" spans="1:8">
      <c r="A454" t="s">
        <v>2515</v>
      </c>
      <c r="B454" t="s">
        <v>1751</v>
      </c>
      <c r="C454" t="s">
        <v>10367</v>
      </c>
      <c r="D454" t="s">
        <v>10833</v>
      </c>
      <c r="E454">
        <v>919608097979</v>
      </c>
      <c r="F454" t="s">
        <v>10369</v>
      </c>
      <c r="G454" t="s">
        <v>10377</v>
      </c>
      <c r="H454" s="2">
        <v>27384</v>
      </c>
    </row>
    <row r="455" spans="1:8">
      <c r="A455" t="s">
        <v>2520</v>
      </c>
      <c r="B455" t="s">
        <v>882</v>
      </c>
      <c r="C455" t="s">
        <v>10363</v>
      </c>
      <c r="D455" t="s">
        <v>10834</v>
      </c>
      <c r="E455">
        <v>916303727064</v>
      </c>
      <c r="F455" t="s">
        <v>10376</v>
      </c>
      <c r="G455" t="s">
        <v>10366</v>
      </c>
      <c r="H455" s="2">
        <v>22653</v>
      </c>
    </row>
    <row r="456" spans="1:8">
      <c r="A456" t="s">
        <v>2525</v>
      </c>
      <c r="B456" t="s">
        <v>3112</v>
      </c>
      <c r="C456" t="s">
        <v>10367</v>
      </c>
      <c r="D456" t="s">
        <v>10835</v>
      </c>
      <c r="E456">
        <v>919870338208</v>
      </c>
      <c r="F456" t="s">
        <v>10384</v>
      </c>
      <c r="G456" t="s">
        <v>10379</v>
      </c>
      <c r="H456" s="2">
        <v>23030</v>
      </c>
    </row>
    <row r="457" spans="1:8">
      <c r="A457" t="s">
        <v>2530</v>
      </c>
      <c r="B457" t="s">
        <v>163</v>
      </c>
      <c r="C457" t="s">
        <v>10363</v>
      </c>
      <c r="D457" t="s">
        <v>10836</v>
      </c>
      <c r="E457">
        <v>917276132196</v>
      </c>
      <c r="F457" t="s">
        <v>10381</v>
      </c>
      <c r="G457" t="s">
        <v>10370</v>
      </c>
      <c r="H457" s="2">
        <v>26675</v>
      </c>
    </row>
    <row r="458" spans="1:8">
      <c r="A458" t="s">
        <v>2535</v>
      </c>
      <c r="B458" t="s">
        <v>853</v>
      </c>
      <c r="C458" t="s">
        <v>10363</v>
      </c>
      <c r="D458" t="s">
        <v>10837</v>
      </c>
      <c r="E458">
        <v>917003013367</v>
      </c>
      <c r="F458" t="s">
        <v>10374</v>
      </c>
      <c r="G458" t="s">
        <v>10370</v>
      </c>
      <c r="H458" s="2">
        <v>20744</v>
      </c>
    </row>
    <row r="459" spans="1:8">
      <c r="A459" t="s">
        <v>2540</v>
      </c>
      <c r="B459" t="s">
        <v>835</v>
      </c>
      <c r="C459" t="s">
        <v>10363</v>
      </c>
      <c r="D459" t="s">
        <v>10838</v>
      </c>
      <c r="E459">
        <v>917121067116</v>
      </c>
      <c r="F459" t="s">
        <v>10384</v>
      </c>
      <c r="G459" t="s">
        <v>10379</v>
      </c>
      <c r="H459" s="2">
        <v>23311</v>
      </c>
    </row>
    <row r="460" spans="1:8">
      <c r="A460" t="s">
        <v>2545</v>
      </c>
      <c r="B460" t="s">
        <v>130</v>
      </c>
      <c r="C460" t="s">
        <v>10363</v>
      </c>
      <c r="D460" t="s">
        <v>10839</v>
      </c>
      <c r="E460">
        <v>916565684069</v>
      </c>
      <c r="F460" t="s">
        <v>10388</v>
      </c>
      <c r="G460" t="s">
        <v>10377</v>
      </c>
      <c r="H460" s="2">
        <v>31363</v>
      </c>
    </row>
    <row r="461" spans="1:8">
      <c r="A461" t="s">
        <v>2550</v>
      </c>
      <c r="B461" t="s">
        <v>679</v>
      </c>
      <c r="C461" t="s">
        <v>10367</v>
      </c>
      <c r="D461" t="s">
        <v>10840</v>
      </c>
      <c r="E461">
        <v>917756814072</v>
      </c>
      <c r="F461" t="s">
        <v>10402</v>
      </c>
      <c r="G461" t="s">
        <v>10379</v>
      </c>
      <c r="H461" s="2">
        <v>33405</v>
      </c>
    </row>
    <row r="462" spans="1:8">
      <c r="A462" t="s">
        <v>2555</v>
      </c>
      <c r="B462" t="s">
        <v>8266</v>
      </c>
      <c r="C462" t="s">
        <v>10367</v>
      </c>
      <c r="D462" t="s">
        <v>10841</v>
      </c>
      <c r="E462">
        <v>919416228517</v>
      </c>
      <c r="F462" t="s">
        <v>10372</v>
      </c>
      <c r="G462" t="s">
        <v>10379</v>
      </c>
      <c r="H462" s="2">
        <v>25987</v>
      </c>
    </row>
    <row r="463" spans="1:8">
      <c r="A463" t="s">
        <v>2560</v>
      </c>
      <c r="B463" t="s">
        <v>1164</v>
      </c>
      <c r="C463" t="s">
        <v>10367</v>
      </c>
      <c r="D463" t="s">
        <v>10842</v>
      </c>
      <c r="E463">
        <v>918070869458</v>
      </c>
      <c r="F463" t="s">
        <v>10369</v>
      </c>
      <c r="G463" t="s">
        <v>10366</v>
      </c>
      <c r="H463" s="2">
        <v>29252</v>
      </c>
    </row>
    <row r="464" spans="1:8">
      <c r="A464" t="s">
        <v>2565</v>
      </c>
      <c r="B464" t="s">
        <v>1482</v>
      </c>
      <c r="C464" t="s">
        <v>10367</v>
      </c>
      <c r="D464" t="s">
        <v>10843</v>
      </c>
      <c r="E464">
        <v>916314711946</v>
      </c>
      <c r="F464" t="s">
        <v>10365</v>
      </c>
      <c r="G464" t="s">
        <v>10366</v>
      </c>
      <c r="H464" s="2">
        <v>21289</v>
      </c>
    </row>
    <row r="465" spans="1:8">
      <c r="A465" t="s">
        <v>2570</v>
      </c>
      <c r="B465" t="s">
        <v>774</v>
      </c>
      <c r="C465" t="s">
        <v>10367</v>
      </c>
      <c r="D465" t="s">
        <v>10844</v>
      </c>
      <c r="E465">
        <v>918985044321</v>
      </c>
      <c r="F465" t="s">
        <v>10374</v>
      </c>
      <c r="G465" t="s">
        <v>10377</v>
      </c>
      <c r="H465" s="2">
        <v>33711</v>
      </c>
    </row>
    <row r="466" spans="1:8">
      <c r="A466" t="s">
        <v>2575</v>
      </c>
      <c r="B466" t="s">
        <v>1330</v>
      </c>
      <c r="C466" t="s">
        <v>10367</v>
      </c>
      <c r="D466" t="s">
        <v>10845</v>
      </c>
      <c r="E466">
        <v>917281059828</v>
      </c>
      <c r="F466" t="s">
        <v>10381</v>
      </c>
      <c r="G466" t="s">
        <v>10366</v>
      </c>
      <c r="H466" s="2">
        <v>27177</v>
      </c>
    </row>
    <row r="467" spans="1:8">
      <c r="A467" t="s">
        <v>2580</v>
      </c>
      <c r="B467" t="s">
        <v>45</v>
      </c>
      <c r="C467" t="s">
        <v>10367</v>
      </c>
      <c r="D467" t="s">
        <v>10846</v>
      </c>
      <c r="E467">
        <v>918119060848</v>
      </c>
      <c r="F467" t="s">
        <v>10386</v>
      </c>
      <c r="G467" t="s">
        <v>10377</v>
      </c>
      <c r="H467" s="2">
        <v>30668</v>
      </c>
    </row>
    <row r="468" spans="1:8">
      <c r="A468" t="s">
        <v>2585</v>
      </c>
      <c r="B468" t="s">
        <v>1052</v>
      </c>
      <c r="C468" t="s">
        <v>10367</v>
      </c>
      <c r="D468" t="s">
        <v>10847</v>
      </c>
      <c r="E468">
        <v>919964276221</v>
      </c>
      <c r="F468" t="s">
        <v>10388</v>
      </c>
      <c r="G468" t="s">
        <v>10379</v>
      </c>
      <c r="H468" s="2">
        <v>29740</v>
      </c>
    </row>
    <row r="469" spans="1:8">
      <c r="A469" t="s">
        <v>2590</v>
      </c>
      <c r="B469" t="s">
        <v>2112</v>
      </c>
      <c r="C469" t="s">
        <v>10363</v>
      </c>
      <c r="D469" t="s">
        <v>10848</v>
      </c>
      <c r="E469">
        <v>919946723386</v>
      </c>
      <c r="F469" t="s">
        <v>10384</v>
      </c>
      <c r="G469" t="s">
        <v>10366</v>
      </c>
      <c r="H469" s="2">
        <v>22151</v>
      </c>
    </row>
    <row r="470" spans="1:8">
      <c r="A470" t="s">
        <v>2595</v>
      </c>
      <c r="B470" t="s">
        <v>6268</v>
      </c>
      <c r="C470" t="s">
        <v>10367</v>
      </c>
      <c r="D470" t="s">
        <v>10849</v>
      </c>
      <c r="E470">
        <v>916336970254</v>
      </c>
      <c r="F470" t="s">
        <v>10372</v>
      </c>
      <c r="G470" t="s">
        <v>10366</v>
      </c>
      <c r="H470" s="2">
        <v>28954</v>
      </c>
    </row>
    <row r="471" spans="1:8">
      <c r="A471" t="s">
        <v>2600</v>
      </c>
      <c r="B471" t="s">
        <v>288</v>
      </c>
      <c r="C471" t="s">
        <v>10367</v>
      </c>
      <c r="D471" t="s">
        <v>10850</v>
      </c>
      <c r="E471">
        <v>916006251858</v>
      </c>
      <c r="F471" t="s">
        <v>10374</v>
      </c>
      <c r="G471" t="s">
        <v>10366</v>
      </c>
      <c r="H471" s="2">
        <v>32845</v>
      </c>
    </row>
    <row r="472" spans="1:8">
      <c r="A472" t="s">
        <v>2605</v>
      </c>
      <c r="B472" t="s">
        <v>673</v>
      </c>
      <c r="C472" t="s">
        <v>10363</v>
      </c>
      <c r="D472" t="s">
        <v>10851</v>
      </c>
      <c r="E472">
        <v>917165003482</v>
      </c>
      <c r="F472" t="s">
        <v>10369</v>
      </c>
      <c r="G472" t="s">
        <v>10379</v>
      </c>
      <c r="H472" s="2">
        <v>35589</v>
      </c>
    </row>
    <row r="473" spans="1:8">
      <c r="A473" t="s">
        <v>2610</v>
      </c>
      <c r="B473" t="s">
        <v>1983</v>
      </c>
      <c r="C473" t="s">
        <v>10363</v>
      </c>
      <c r="D473" t="s">
        <v>10852</v>
      </c>
      <c r="E473">
        <v>919527276944</v>
      </c>
      <c r="F473" t="s">
        <v>10365</v>
      </c>
      <c r="G473" t="s">
        <v>10377</v>
      </c>
      <c r="H473" s="2">
        <v>21306</v>
      </c>
    </row>
    <row r="474" spans="1:8">
      <c r="A474" t="s">
        <v>2615</v>
      </c>
      <c r="B474" t="s">
        <v>882</v>
      </c>
      <c r="C474" t="s">
        <v>10363</v>
      </c>
      <c r="D474" t="s">
        <v>10853</v>
      </c>
      <c r="E474">
        <v>916503497576</v>
      </c>
      <c r="F474" t="s">
        <v>10384</v>
      </c>
      <c r="G474" t="s">
        <v>10366</v>
      </c>
      <c r="H474" s="2">
        <v>20565</v>
      </c>
    </row>
    <row r="475" spans="1:8">
      <c r="A475" t="s">
        <v>2620</v>
      </c>
      <c r="B475" t="s">
        <v>1757</v>
      </c>
      <c r="C475" t="s">
        <v>10363</v>
      </c>
      <c r="D475" t="s">
        <v>10854</v>
      </c>
      <c r="E475">
        <v>919454321519</v>
      </c>
      <c r="F475" t="s">
        <v>10384</v>
      </c>
      <c r="G475" t="s">
        <v>10377</v>
      </c>
      <c r="H475" s="2">
        <v>35904</v>
      </c>
    </row>
    <row r="476" spans="1:8">
      <c r="A476" t="s">
        <v>2625</v>
      </c>
      <c r="B476" t="s">
        <v>1271</v>
      </c>
      <c r="C476" t="s">
        <v>10367</v>
      </c>
      <c r="D476" t="s">
        <v>10855</v>
      </c>
      <c r="E476">
        <v>917596640022</v>
      </c>
      <c r="F476" t="s">
        <v>10384</v>
      </c>
      <c r="G476" t="s">
        <v>10379</v>
      </c>
      <c r="H476" s="2">
        <v>35936</v>
      </c>
    </row>
    <row r="477" spans="1:8">
      <c r="A477" t="s">
        <v>2630</v>
      </c>
      <c r="B477" t="s">
        <v>2297</v>
      </c>
      <c r="C477" t="s">
        <v>10363</v>
      </c>
      <c r="D477" t="s">
        <v>10856</v>
      </c>
      <c r="E477">
        <v>916053461938</v>
      </c>
      <c r="F477" t="s">
        <v>10381</v>
      </c>
      <c r="G477" t="s">
        <v>10379</v>
      </c>
      <c r="H477" s="2">
        <v>27473</v>
      </c>
    </row>
    <row r="478" spans="1:8">
      <c r="A478" t="s">
        <v>2635</v>
      </c>
      <c r="B478" t="s">
        <v>1983</v>
      </c>
      <c r="C478" t="s">
        <v>10363</v>
      </c>
      <c r="D478" t="s">
        <v>10857</v>
      </c>
      <c r="E478">
        <v>919046394435</v>
      </c>
      <c r="F478" t="s">
        <v>10369</v>
      </c>
      <c r="G478" t="s">
        <v>10370</v>
      </c>
      <c r="H478" s="2">
        <v>25180</v>
      </c>
    </row>
    <row r="479" spans="1:8">
      <c r="A479" t="s">
        <v>2641</v>
      </c>
      <c r="B479" t="s">
        <v>2073</v>
      </c>
      <c r="C479" t="s">
        <v>10367</v>
      </c>
      <c r="D479" t="s">
        <v>10858</v>
      </c>
      <c r="E479">
        <v>916815500332</v>
      </c>
      <c r="F479" t="s">
        <v>10369</v>
      </c>
      <c r="G479" t="s">
        <v>10379</v>
      </c>
      <c r="H479" s="2">
        <v>27177</v>
      </c>
    </row>
    <row r="480" spans="1:8">
      <c r="A480" t="s">
        <v>2647</v>
      </c>
      <c r="B480" t="s">
        <v>2079</v>
      </c>
      <c r="C480" t="s">
        <v>10367</v>
      </c>
      <c r="D480" t="s">
        <v>10859</v>
      </c>
      <c r="E480">
        <v>918093289801</v>
      </c>
      <c r="F480" t="s">
        <v>10388</v>
      </c>
      <c r="G480" t="s">
        <v>10379</v>
      </c>
      <c r="H480" s="2">
        <v>21099</v>
      </c>
    </row>
    <row r="481" spans="1:8">
      <c r="A481" t="s">
        <v>2652</v>
      </c>
      <c r="B481" t="s">
        <v>5369</v>
      </c>
      <c r="C481" t="s">
        <v>10367</v>
      </c>
      <c r="D481" t="s">
        <v>10860</v>
      </c>
      <c r="E481">
        <v>916397956297</v>
      </c>
      <c r="F481" t="s">
        <v>10384</v>
      </c>
      <c r="G481" t="s">
        <v>10366</v>
      </c>
      <c r="H481" s="2">
        <v>25237</v>
      </c>
    </row>
    <row r="482" spans="1:8">
      <c r="A482" t="s">
        <v>2657</v>
      </c>
      <c r="B482" t="s">
        <v>5231</v>
      </c>
      <c r="C482" t="s">
        <v>10367</v>
      </c>
      <c r="D482" t="s">
        <v>10861</v>
      </c>
      <c r="E482">
        <v>916413384208</v>
      </c>
      <c r="F482" t="s">
        <v>10374</v>
      </c>
      <c r="G482" t="s">
        <v>10366</v>
      </c>
      <c r="H482" s="2">
        <v>33042</v>
      </c>
    </row>
    <row r="483" spans="1:8">
      <c r="A483" t="s">
        <v>2662</v>
      </c>
      <c r="B483" t="s">
        <v>2742</v>
      </c>
      <c r="C483" t="s">
        <v>10367</v>
      </c>
      <c r="D483" t="s">
        <v>10862</v>
      </c>
      <c r="E483">
        <v>918826688042</v>
      </c>
      <c r="F483" t="s">
        <v>10402</v>
      </c>
      <c r="G483" t="s">
        <v>10377</v>
      </c>
      <c r="H483" s="2">
        <v>34286</v>
      </c>
    </row>
    <row r="484" spans="1:8">
      <c r="A484" t="s">
        <v>2668</v>
      </c>
      <c r="B484" t="s">
        <v>530</v>
      </c>
      <c r="C484" t="s">
        <v>10367</v>
      </c>
      <c r="D484" t="s">
        <v>10863</v>
      </c>
      <c r="E484">
        <v>917346641685</v>
      </c>
      <c r="F484" t="s">
        <v>10376</v>
      </c>
      <c r="G484" t="s">
        <v>10379</v>
      </c>
      <c r="H484" s="2">
        <v>35811</v>
      </c>
    </row>
    <row r="485" spans="1:8">
      <c r="A485" t="s">
        <v>2673</v>
      </c>
      <c r="B485" t="s">
        <v>633</v>
      </c>
      <c r="C485" t="s">
        <v>10367</v>
      </c>
      <c r="D485" t="s">
        <v>10864</v>
      </c>
      <c r="E485">
        <v>917272452258</v>
      </c>
      <c r="F485" t="s">
        <v>10365</v>
      </c>
      <c r="G485" t="s">
        <v>10377</v>
      </c>
      <c r="H485" s="2">
        <v>32834</v>
      </c>
    </row>
    <row r="486" spans="1:8">
      <c r="A486" t="s">
        <v>2678</v>
      </c>
      <c r="B486" t="s">
        <v>6202</v>
      </c>
      <c r="C486" t="s">
        <v>10363</v>
      </c>
      <c r="D486" t="s">
        <v>10865</v>
      </c>
      <c r="E486">
        <v>917242428620</v>
      </c>
      <c r="F486" t="s">
        <v>10386</v>
      </c>
      <c r="G486" t="s">
        <v>10377</v>
      </c>
      <c r="H486" s="2">
        <v>34618</v>
      </c>
    </row>
    <row r="487" spans="1:8">
      <c r="A487" t="s">
        <v>2683</v>
      </c>
      <c r="B487" t="s">
        <v>1036</v>
      </c>
      <c r="C487" t="s">
        <v>10363</v>
      </c>
      <c r="D487" t="s">
        <v>10866</v>
      </c>
      <c r="E487">
        <v>919452752108</v>
      </c>
      <c r="F487" t="s">
        <v>10386</v>
      </c>
      <c r="G487" t="s">
        <v>10379</v>
      </c>
      <c r="H487" s="2">
        <v>23198</v>
      </c>
    </row>
    <row r="488" spans="1:8">
      <c r="A488" t="s">
        <v>2688</v>
      </c>
      <c r="B488" t="s">
        <v>506</v>
      </c>
      <c r="C488" t="s">
        <v>10367</v>
      </c>
      <c r="D488" t="s">
        <v>10867</v>
      </c>
      <c r="E488">
        <v>916996815310</v>
      </c>
      <c r="F488" t="s">
        <v>10388</v>
      </c>
      <c r="G488" t="s">
        <v>10370</v>
      </c>
      <c r="H488" s="2">
        <v>37440</v>
      </c>
    </row>
    <row r="489" spans="1:8">
      <c r="A489" t="s">
        <v>2694</v>
      </c>
      <c r="B489" t="s">
        <v>1710</v>
      </c>
      <c r="C489" t="s">
        <v>10363</v>
      </c>
      <c r="D489" t="s">
        <v>10868</v>
      </c>
      <c r="E489">
        <v>918088049079</v>
      </c>
      <c r="F489" t="s">
        <v>10384</v>
      </c>
      <c r="G489" t="s">
        <v>10379</v>
      </c>
      <c r="H489" s="2">
        <v>20192</v>
      </c>
    </row>
    <row r="490" spans="1:8">
      <c r="A490" t="s">
        <v>2699</v>
      </c>
      <c r="B490" t="s">
        <v>768</v>
      </c>
      <c r="C490" t="s">
        <v>10367</v>
      </c>
      <c r="D490" t="s">
        <v>10869</v>
      </c>
      <c r="E490">
        <v>917015777089</v>
      </c>
      <c r="F490" t="s">
        <v>10388</v>
      </c>
      <c r="G490" t="s">
        <v>10379</v>
      </c>
      <c r="H490" s="2">
        <v>29325</v>
      </c>
    </row>
    <row r="491" spans="1:8">
      <c r="A491" t="s">
        <v>2704</v>
      </c>
      <c r="B491" t="s">
        <v>2035</v>
      </c>
      <c r="C491" t="s">
        <v>10363</v>
      </c>
      <c r="D491" t="s">
        <v>10870</v>
      </c>
      <c r="E491">
        <v>919810063034</v>
      </c>
      <c r="F491" t="s">
        <v>10402</v>
      </c>
      <c r="G491" t="s">
        <v>10379</v>
      </c>
      <c r="H491" s="2">
        <v>26318</v>
      </c>
    </row>
    <row r="492" spans="1:8">
      <c r="A492" t="s">
        <v>2709</v>
      </c>
      <c r="B492" t="s">
        <v>1545</v>
      </c>
      <c r="C492" t="s">
        <v>10363</v>
      </c>
      <c r="D492" t="s">
        <v>10871</v>
      </c>
      <c r="E492">
        <v>916188127029</v>
      </c>
      <c r="F492" t="s">
        <v>10369</v>
      </c>
      <c r="G492" t="s">
        <v>10377</v>
      </c>
      <c r="H492" s="2">
        <v>23768</v>
      </c>
    </row>
    <row r="493" spans="1:8">
      <c r="A493" t="s">
        <v>2714</v>
      </c>
      <c r="B493" t="s">
        <v>375</v>
      </c>
      <c r="C493" t="s">
        <v>10363</v>
      </c>
      <c r="D493" t="s">
        <v>10872</v>
      </c>
      <c r="E493">
        <v>916100096282</v>
      </c>
      <c r="F493" t="s">
        <v>10369</v>
      </c>
      <c r="G493" t="s">
        <v>10366</v>
      </c>
      <c r="H493" s="2">
        <v>27842</v>
      </c>
    </row>
    <row r="494" spans="1:8">
      <c r="A494" t="s">
        <v>2719</v>
      </c>
      <c r="B494" t="s">
        <v>271</v>
      </c>
      <c r="C494" t="s">
        <v>10367</v>
      </c>
      <c r="D494" t="s">
        <v>10873</v>
      </c>
      <c r="E494">
        <v>918989786028</v>
      </c>
      <c r="F494" t="s">
        <v>10369</v>
      </c>
      <c r="G494" t="s">
        <v>10366</v>
      </c>
      <c r="H494" s="2">
        <v>25253</v>
      </c>
    </row>
    <row r="495" spans="1:8">
      <c r="A495" t="s">
        <v>2725</v>
      </c>
      <c r="B495" t="s">
        <v>432</v>
      </c>
      <c r="C495" t="s">
        <v>10363</v>
      </c>
      <c r="D495" t="s">
        <v>10874</v>
      </c>
      <c r="E495">
        <v>918676971428</v>
      </c>
      <c r="F495" t="s">
        <v>10384</v>
      </c>
      <c r="G495" t="s">
        <v>10379</v>
      </c>
      <c r="H495" s="2">
        <v>20907</v>
      </c>
    </row>
    <row r="496" spans="1:8">
      <c r="A496" t="s">
        <v>2731</v>
      </c>
      <c r="B496" t="s">
        <v>697</v>
      </c>
      <c r="C496" t="s">
        <v>10363</v>
      </c>
      <c r="D496" t="s">
        <v>10875</v>
      </c>
      <c r="E496">
        <v>917107197796</v>
      </c>
      <c r="F496" t="s">
        <v>10372</v>
      </c>
      <c r="G496" t="s">
        <v>10370</v>
      </c>
      <c r="H496" s="2">
        <v>20981</v>
      </c>
    </row>
    <row r="497" spans="1:8">
      <c r="A497" t="s">
        <v>2736</v>
      </c>
      <c r="B497" t="s">
        <v>1036</v>
      </c>
      <c r="C497" t="s">
        <v>10363</v>
      </c>
      <c r="D497" t="s">
        <v>10876</v>
      </c>
      <c r="E497">
        <v>919975975210</v>
      </c>
      <c r="F497" t="s">
        <v>10374</v>
      </c>
      <c r="G497" t="s">
        <v>10370</v>
      </c>
      <c r="H497" s="2">
        <v>31812</v>
      </c>
    </row>
    <row r="498" spans="1:8">
      <c r="A498" t="s">
        <v>2741</v>
      </c>
      <c r="B498" t="s">
        <v>2831</v>
      </c>
      <c r="C498" t="s">
        <v>10363</v>
      </c>
      <c r="D498" t="s">
        <v>10877</v>
      </c>
      <c r="E498">
        <v>918556549086</v>
      </c>
      <c r="F498" t="s">
        <v>10386</v>
      </c>
      <c r="G498" t="s">
        <v>10366</v>
      </c>
      <c r="H498" s="2">
        <v>34867</v>
      </c>
    </row>
    <row r="499" spans="1:8">
      <c r="A499" t="s">
        <v>2747</v>
      </c>
      <c r="B499" t="s">
        <v>2329</v>
      </c>
      <c r="C499" t="s">
        <v>10367</v>
      </c>
      <c r="D499" t="s">
        <v>10878</v>
      </c>
      <c r="E499">
        <v>916673881490</v>
      </c>
      <c r="F499" t="s">
        <v>10381</v>
      </c>
      <c r="G499" t="s">
        <v>10366</v>
      </c>
      <c r="H499" s="2">
        <v>23423</v>
      </c>
    </row>
    <row r="500" spans="1:8">
      <c r="A500" t="s">
        <v>2752</v>
      </c>
      <c r="B500" t="s">
        <v>130</v>
      </c>
      <c r="C500" t="s">
        <v>10363</v>
      </c>
      <c r="D500" t="s">
        <v>10879</v>
      </c>
      <c r="E500">
        <v>917631598717</v>
      </c>
      <c r="F500" t="s">
        <v>10388</v>
      </c>
      <c r="G500" t="s">
        <v>10370</v>
      </c>
      <c r="H500" s="2">
        <v>29643</v>
      </c>
    </row>
    <row r="501" spans="1:8">
      <c r="A501" t="s">
        <v>2757</v>
      </c>
      <c r="B501" t="s">
        <v>2196</v>
      </c>
      <c r="C501" t="s">
        <v>10367</v>
      </c>
      <c r="D501" t="s">
        <v>10880</v>
      </c>
      <c r="E501">
        <v>916130925027</v>
      </c>
      <c r="F501" t="s">
        <v>10365</v>
      </c>
      <c r="G501" t="s">
        <v>10377</v>
      </c>
      <c r="H501" s="2">
        <v>26904</v>
      </c>
    </row>
    <row r="502" spans="1:8">
      <c r="A502" t="s">
        <v>2762</v>
      </c>
      <c r="B502" t="s">
        <v>217</v>
      </c>
      <c r="C502" t="s">
        <v>10363</v>
      </c>
      <c r="D502" t="s">
        <v>10881</v>
      </c>
      <c r="E502">
        <v>916844993291</v>
      </c>
      <c r="F502" t="s">
        <v>10374</v>
      </c>
      <c r="G502" t="s">
        <v>10377</v>
      </c>
      <c r="H502" s="2">
        <v>28745</v>
      </c>
    </row>
    <row r="503" spans="1:8">
      <c r="A503" t="s">
        <v>2767</v>
      </c>
      <c r="B503" t="s">
        <v>2642</v>
      </c>
      <c r="C503" t="s">
        <v>10367</v>
      </c>
      <c r="D503" t="s">
        <v>10882</v>
      </c>
      <c r="E503">
        <v>916291420160</v>
      </c>
      <c r="F503" t="s">
        <v>10365</v>
      </c>
      <c r="G503" t="s">
        <v>10370</v>
      </c>
      <c r="H503" s="2">
        <v>36150</v>
      </c>
    </row>
    <row r="504" spans="1:8">
      <c r="A504" t="s">
        <v>2772</v>
      </c>
      <c r="B504" t="s">
        <v>38</v>
      </c>
      <c r="C504" t="s">
        <v>10363</v>
      </c>
      <c r="D504" t="s">
        <v>10883</v>
      </c>
      <c r="E504">
        <v>917817830936</v>
      </c>
      <c r="F504" t="s">
        <v>10388</v>
      </c>
      <c r="G504" t="s">
        <v>10366</v>
      </c>
      <c r="H504" s="2">
        <v>32374</v>
      </c>
    </row>
    <row r="505" spans="1:8">
      <c r="A505" t="s">
        <v>2777</v>
      </c>
      <c r="B505" t="s">
        <v>118</v>
      </c>
      <c r="C505" t="s">
        <v>10367</v>
      </c>
      <c r="D505" t="s">
        <v>10884</v>
      </c>
      <c r="E505">
        <v>916322351541</v>
      </c>
      <c r="F505" t="s">
        <v>10376</v>
      </c>
      <c r="G505" t="s">
        <v>10370</v>
      </c>
      <c r="H505" s="2">
        <v>33765</v>
      </c>
    </row>
    <row r="506" spans="1:8">
      <c r="A506" t="s">
        <v>2783</v>
      </c>
      <c r="B506" t="s">
        <v>1288</v>
      </c>
      <c r="C506" t="s">
        <v>10367</v>
      </c>
      <c r="D506" t="s">
        <v>10885</v>
      </c>
      <c r="E506">
        <v>917134792326</v>
      </c>
      <c r="F506" t="s">
        <v>10374</v>
      </c>
      <c r="G506" t="s">
        <v>10370</v>
      </c>
      <c r="H506" s="2">
        <v>22611</v>
      </c>
    </row>
    <row r="507" spans="1:8">
      <c r="A507" t="s">
        <v>2788</v>
      </c>
      <c r="B507" t="s">
        <v>1008</v>
      </c>
      <c r="C507" t="s">
        <v>10367</v>
      </c>
      <c r="D507" t="s">
        <v>10886</v>
      </c>
      <c r="E507">
        <v>919103895241</v>
      </c>
      <c r="F507" t="s">
        <v>10365</v>
      </c>
      <c r="G507" t="s">
        <v>10377</v>
      </c>
      <c r="H507" s="2">
        <v>33575</v>
      </c>
    </row>
    <row r="508" spans="1:8">
      <c r="A508" t="s">
        <v>2793</v>
      </c>
      <c r="B508" t="s">
        <v>1068</v>
      </c>
      <c r="C508" t="s">
        <v>10363</v>
      </c>
      <c r="D508" t="s">
        <v>10887</v>
      </c>
      <c r="E508">
        <v>917867139200</v>
      </c>
      <c r="F508" t="s">
        <v>10372</v>
      </c>
      <c r="G508" t="s">
        <v>10379</v>
      </c>
      <c r="H508" s="2">
        <v>33708</v>
      </c>
    </row>
    <row r="509" spans="1:8">
      <c r="A509" t="s">
        <v>2798</v>
      </c>
      <c r="B509" t="s">
        <v>939</v>
      </c>
      <c r="C509" t="s">
        <v>10367</v>
      </c>
      <c r="D509" t="s">
        <v>10888</v>
      </c>
      <c r="E509">
        <v>919784324889</v>
      </c>
      <c r="F509" t="s">
        <v>10374</v>
      </c>
      <c r="G509" t="s">
        <v>10379</v>
      </c>
      <c r="H509" s="2">
        <v>26259</v>
      </c>
    </row>
    <row r="510" spans="1:8">
      <c r="A510" t="s">
        <v>2803</v>
      </c>
      <c r="B510" t="s">
        <v>1498</v>
      </c>
      <c r="C510" t="s">
        <v>10363</v>
      </c>
      <c r="D510" t="s">
        <v>10889</v>
      </c>
      <c r="E510">
        <v>918949202768</v>
      </c>
      <c r="F510" t="s">
        <v>10365</v>
      </c>
      <c r="G510" t="s">
        <v>10377</v>
      </c>
      <c r="H510" s="2">
        <v>24221</v>
      </c>
    </row>
    <row r="511" spans="1:8">
      <c r="A511" t="s">
        <v>2809</v>
      </c>
      <c r="B511" t="s">
        <v>137</v>
      </c>
      <c r="C511" t="s">
        <v>10363</v>
      </c>
      <c r="D511" t="s">
        <v>10890</v>
      </c>
      <c r="E511">
        <v>917049520993</v>
      </c>
      <c r="F511" t="s">
        <v>10388</v>
      </c>
      <c r="G511" t="s">
        <v>10377</v>
      </c>
      <c r="H511" s="2">
        <v>33303</v>
      </c>
    </row>
    <row r="512" spans="1:8">
      <c r="A512" t="s">
        <v>2814</v>
      </c>
      <c r="B512" t="s">
        <v>259</v>
      </c>
      <c r="C512" t="s">
        <v>10367</v>
      </c>
      <c r="D512" t="s">
        <v>10891</v>
      </c>
      <c r="E512">
        <v>916932067501</v>
      </c>
      <c r="F512" t="s">
        <v>10376</v>
      </c>
      <c r="G512" t="s">
        <v>10370</v>
      </c>
      <c r="H512" s="2">
        <v>36514</v>
      </c>
    </row>
    <row r="513" spans="1:8">
      <c r="A513" t="s">
        <v>2820</v>
      </c>
      <c r="B513" t="s">
        <v>1096</v>
      </c>
      <c r="C513" t="s">
        <v>10363</v>
      </c>
      <c r="D513" t="s">
        <v>10892</v>
      </c>
      <c r="E513">
        <v>919696296022</v>
      </c>
      <c r="F513" t="s">
        <v>10386</v>
      </c>
      <c r="G513" t="s">
        <v>10366</v>
      </c>
      <c r="H513" s="2">
        <v>25939</v>
      </c>
    </row>
    <row r="514" spans="1:8">
      <c r="A514" t="s">
        <v>2825</v>
      </c>
      <c r="B514" t="s">
        <v>351</v>
      </c>
      <c r="C514" t="s">
        <v>10363</v>
      </c>
      <c r="D514" t="s">
        <v>10893</v>
      </c>
      <c r="E514">
        <v>919502447696</v>
      </c>
      <c r="F514" t="s">
        <v>10386</v>
      </c>
      <c r="G514" t="s">
        <v>10379</v>
      </c>
      <c r="H514" s="2">
        <v>29156</v>
      </c>
    </row>
    <row r="515" spans="1:8">
      <c r="A515" t="s">
        <v>2830</v>
      </c>
      <c r="B515" t="s">
        <v>363</v>
      </c>
      <c r="C515" t="s">
        <v>10363</v>
      </c>
      <c r="D515" t="s">
        <v>10894</v>
      </c>
      <c r="E515">
        <v>918033227883</v>
      </c>
      <c r="F515" t="s">
        <v>10376</v>
      </c>
      <c r="G515" t="s">
        <v>10370</v>
      </c>
      <c r="H515" s="2">
        <v>25555</v>
      </c>
    </row>
    <row r="516" spans="1:8">
      <c r="A516" t="s">
        <v>2836</v>
      </c>
      <c r="B516" t="s">
        <v>853</v>
      </c>
      <c r="C516" t="s">
        <v>10363</v>
      </c>
      <c r="D516" t="s">
        <v>10895</v>
      </c>
      <c r="E516">
        <v>918946392738</v>
      </c>
      <c r="F516" t="s">
        <v>10381</v>
      </c>
      <c r="G516" t="s">
        <v>10377</v>
      </c>
      <c r="H516" s="2">
        <v>33278</v>
      </c>
    </row>
    <row r="517" spans="1:8">
      <c r="A517" t="s">
        <v>2842</v>
      </c>
      <c r="B517" t="s">
        <v>106</v>
      </c>
      <c r="C517" t="s">
        <v>10363</v>
      </c>
      <c r="D517" t="s">
        <v>10896</v>
      </c>
      <c r="E517">
        <v>916811314470</v>
      </c>
      <c r="F517" t="s">
        <v>10376</v>
      </c>
      <c r="G517" t="s">
        <v>10370</v>
      </c>
      <c r="H517" s="2">
        <v>32273</v>
      </c>
    </row>
    <row r="518" spans="1:8">
      <c r="A518" t="s">
        <v>2847</v>
      </c>
      <c r="B518" t="s">
        <v>10897</v>
      </c>
      <c r="C518" t="s">
        <v>10367</v>
      </c>
      <c r="D518" t="s">
        <v>10898</v>
      </c>
      <c r="E518">
        <v>918596951804</v>
      </c>
      <c r="F518" t="s">
        <v>10369</v>
      </c>
      <c r="G518" t="s">
        <v>10370</v>
      </c>
      <c r="H518" s="2">
        <v>33995</v>
      </c>
    </row>
    <row r="519" spans="1:8">
      <c r="A519" t="s">
        <v>2852</v>
      </c>
      <c r="B519" t="s">
        <v>484</v>
      </c>
      <c r="C519" t="s">
        <v>10363</v>
      </c>
      <c r="D519" t="s">
        <v>10899</v>
      </c>
      <c r="E519">
        <v>919619545589</v>
      </c>
      <c r="F519" t="s">
        <v>10372</v>
      </c>
      <c r="G519" t="s">
        <v>10366</v>
      </c>
      <c r="H519" s="2">
        <v>23194</v>
      </c>
    </row>
    <row r="520" spans="1:8">
      <c r="A520" t="s">
        <v>2857</v>
      </c>
      <c r="B520" t="s">
        <v>144</v>
      </c>
      <c r="C520" t="s">
        <v>10363</v>
      </c>
      <c r="D520" t="s">
        <v>10900</v>
      </c>
      <c r="E520">
        <v>918962351414</v>
      </c>
      <c r="F520" t="s">
        <v>10369</v>
      </c>
      <c r="G520" t="s">
        <v>10377</v>
      </c>
      <c r="H520" s="2">
        <v>24723</v>
      </c>
    </row>
    <row r="521" spans="1:8">
      <c r="A521" t="s">
        <v>2862</v>
      </c>
      <c r="B521" t="s">
        <v>247</v>
      </c>
      <c r="C521" t="s">
        <v>10367</v>
      </c>
      <c r="D521" t="s">
        <v>10901</v>
      </c>
      <c r="E521">
        <v>916916735385</v>
      </c>
      <c r="F521" t="s">
        <v>10381</v>
      </c>
      <c r="G521" t="s">
        <v>10370</v>
      </c>
      <c r="H521" s="2">
        <v>30279</v>
      </c>
    </row>
    <row r="522" spans="1:8">
      <c r="A522" t="s">
        <v>2868</v>
      </c>
      <c r="B522" t="s">
        <v>1250</v>
      </c>
      <c r="C522" t="s">
        <v>10363</v>
      </c>
      <c r="D522" t="s">
        <v>10902</v>
      </c>
      <c r="E522">
        <v>918005157584</v>
      </c>
      <c r="F522" t="s">
        <v>10376</v>
      </c>
      <c r="G522" t="s">
        <v>10370</v>
      </c>
      <c r="H522" s="2">
        <v>21755</v>
      </c>
    </row>
    <row r="523" spans="1:8">
      <c r="A523" t="s">
        <v>2873</v>
      </c>
      <c r="B523" t="s">
        <v>2863</v>
      </c>
      <c r="C523" t="s">
        <v>10367</v>
      </c>
      <c r="D523" t="s">
        <v>10903</v>
      </c>
      <c r="E523">
        <v>919135812556</v>
      </c>
      <c r="F523" t="s">
        <v>10365</v>
      </c>
      <c r="G523" t="s">
        <v>10377</v>
      </c>
      <c r="H523" s="2">
        <v>30323</v>
      </c>
    </row>
    <row r="524" spans="1:8">
      <c r="A524" t="s">
        <v>2878</v>
      </c>
      <c r="B524" t="s">
        <v>500</v>
      </c>
      <c r="C524" t="s">
        <v>10363</v>
      </c>
      <c r="D524" t="s">
        <v>10904</v>
      </c>
      <c r="E524">
        <v>917439063490</v>
      </c>
      <c r="F524" t="s">
        <v>10369</v>
      </c>
      <c r="G524" t="s">
        <v>10366</v>
      </c>
      <c r="H524" s="2">
        <v>24032</v>
      </c>
    </row>
    <row r="525" spans="1:8">
      <c r="A525" t="s">
        <v>2883</v>
      </c>
      <c r="B525" t="s">
        <v>363</v>
      </c>
      <c r="C525" t="s">
        <v>10363</v>
      </c>
      <c r="D525" t="s">
        <v>10905</v>
      </c>
      <c r="E525">
        <v>918750124184</v>
      </c>
      <c r="F525" t="s">
        <v>10365</v>
      </c>
      <c r="G525" t="s">
        <v>10366</v>
      </c>
      <c r="H525" s="2">
        <v>36896</v>
      </c>
    </row>
    <row r="526" spans="1:8">
      <c r="A526" t="s">
        <v>2888</v>
      </c>
      <c r="B526" t="s">
        <v>1710</v>
      </c>
      <c r="C526" t="s">
        <v>10363</v>
      </c>
      <c r="D526" t="s">
        <v>10906</v>
      </c>
      <c r="E526">
        <v>918032562483</v>
      </c>
      <c r="F526" t="s">
        <v>10374</v>
      </c>
      <c r="G526" t="s">
        <v>10370</v>
      </c>
      <c r="H526" s="2">
        <v>30177</v>
      </c>
    </row>
    <row r="527" spans="1:8">
      <c r="A527" t="s">
        <v>2893</v>
      </c>
      <c r="B527" t="s">
        <v>1158</v>
      </c>
      <c r="C527" t="s">
        <v>10367</v>
      </c>
      <c r="D527" t="s">
        <v>10907</v>
      </c>
      <c r="E527">
        <v>916059242198</v>
      </c>
      <c r="F527" t="s">
        <v>10388</v>
      </c>
      <c r="G527" t="s">
        <v>10370</v>
      </c>
      <c r="H527" s="2">
        <v>36714</v>
      </c>
    </row>
    <row r="528" spans="1:8">
      <c r="A528" t="s">
        <v>2898</v>
      </c>
      <c r="B528" t="s">
        <v>1282</v>
      </c>
      <c r="C528" t="s">
        <v>10363</v>
      </c>
      <c r="D528" t="s">
        <v>10908</v>
      </c>
      <c r="E528">
        <v>919130724105</v>
      </c>
      <c r="F528" t="s">
        <v>10402</v>
      </c>
      <c r="G528" t="s">
        <v>10366</v>
      </c>
      <c r="H528" s="2">
        <v>33459</v>
      </c>
    </row>
    <row r="529" spans="1:8">
      <c r="A529" t="s">
        <v>2903</v>
      </c>
      <c r="B529" t="s">
        <v>1637</v>
      </c>
      <c r="C529" t="s">
        <v>10367</v>
      </c>
      <c r="D529" t="s">
        <v>10909</v>
      </c>
      <c r="E529">
        <v>918245059386</v>
      </c>
      <c r="F529" t="s">
        <v>10376</v>
      </c>
      <c r="G529" t="s">
        <v>10379</v>
      </c>
      <c r="H529" s="2">
        <v>37556</v>
      </c>
    </row>
    <row r="530" spans="1:8">
      <c r="A530" t="s">
        <v>2908</v>
      </c>
      <c r="B530" t="s">
        <v>961</v>
      </c>
      <c r="C530" t="s">
        <v>10363</v>
      </c>
      <c r="D530" t="s">
        <v>10910</v>
      </c>
      <c r="E530">
        <v>918571577702</v>
      </c>
      <c r="F530" t="s">
        <v>10384</v>
      </c>
      <c r="G530" t="s">
        <v>10379</v>
      </c>
      <c r="H530" s="2">
        <v>21117</v>
      </c>
    </row>
    <row r="531" spans="1:8">
      <c r="A531" t="s">
        <v>2913</v>
      </c>
      <c r="B531" t="s">
        <v>484</v>
      </c>
      <c r="C531" t="s">
        <v>10363</v>
      </c>
      <c r="D531" t="s">
        <v>10911</v>
      </c>
      <c r="E531">
        <v>918565020559</v>
      </c>
      <c r="F531" t="s">
        <v>10376</v>
      </c>
      <c r="G531" t="s">
        <v>10370</v>
      </c>
      <c r="H531" s="2">
        <v>29777</v>
      </c>
    </row>
    <row r="532" spans="1:8">
      <c r="A532" t="s">
        <v>2918</v>
      </c>
      <c r="B532" t="s">
        <v>1052</v>
      </c>
      <c r="C532" t="s">
        <v>10367</v>
      </c>
      <c r="D532" t="s">
        <v>10912</v>
      </c>
      <c r="E532">
        <v>919836214526</v>
      </c>
      <c r="F532" t="s">
        <v>10386</v>
      </c>
      <c r="G532" t="s">
        <v>10377</v>
      </c>
      <c r="H532" s="2">
        <v>23048</v>
      </c>
    </row>
    <row r="533" spans="1:8">
      <c r="A533" t="s">
        <v>2923</v>
      </c>
      <c r="B533" t="s">
        <v>1643</v>
      </c>
      <c r="C533" t="s">
        <v>10363</v>
      </c>
      <c r="D533" t="s">
        <v>10913</v>
      </c>
      <c r="E533">
        <v>918836967157</v>
      </c>
      <c r="F533" t="s">
        <v>10402</v>
      </c>
      <c r="G533" t="s">
        <v>10366</v>
      </c>
      <c r="H533" s="2">
        <v>34472</v>
      </c>
    </row>
    <row r="534" spans="1:8">
      <c r="A534" t="s">
        <v>2929</v>
      </c>
      <c r="B534" t="s">
        <v>1030</v>
      </c>
      <c r="C534" t="s">
        <v>10363</v>
      </c>
      <c r="D534" t="s">
        <v>10914</v>
      </c>
      <c r="E534">
        <v>919005632094</v>
      </c>
      <c r="F534" t="s">
        <v>10402</v>
      </c>
      <c r="G534" t="s">
        <v>10370</v>
      </c>
      <c r="H534" s="2">
        <v>36021</v>
      </c>
    </row>
    <row r="535" spans="1:8">
      <c r="A535" t="s">
        <v>2934</v>
      </c>
      <c r="B535" t="s">
        <v>708</v>
      </c>
      <c r="C535" t="s">
        <v>10363</v>
      </c>
      <c r="D535" t="s">
        <v>10915</v>
      </c>
      <c r="E535">
        <v>918280861884</v>
      </c>
      <c r="F535" t="s">
        <v>10372</v>
      </c>
      <c r="G535" t="s">
        <v>10379</v>
      </c>
      <c r="H535" s="2">
        <v>27115</v>
      </c>
    </row>
    <row r="536" spans="1:8">
      <c r="A536" t="s">
        <v>2939</v>
      </c>
      <c r="B536" t="s">
        <v>351</v>
      </c>
      <c r="C536" t="s">
        <v>10363</v>
      </c>
      <c r="D536" t="s">
        <v>10916</v>
      </c>
      <c r="E536">
        <v>919206292904</v>
      </c>
      <c r="F536" t="s">
        <v>10384</v>
      </c>
      <c r="G536" t="s">
        <v>10379</v>
      </c>
      <c r="H536" s="2">
        <v>21818</v>
      </c>
    </row>
    <row r="537" spans="1:8">
      <c r="A537" t="s">
        <v>2944</v>
      </c>
      <c r="B537" t="s">
        <v>118</v>
      </c>
      <c r="C537" t="s">
        <v>10367</v>
      </c>
      <c r="D537" t="s">
        <v>10917</v>
      </c>
      <c r="E537">
        <v>918258549748</v>
      </c>
      <c r="F537" t="s">
        <v>10384</v>
      </c>
      <c r="G537" t="s">
        <v>10379</v>
      </c>
      <c r="H537" s="2">
        <v>21358</v>
      </c>
    </row>
    <row r="538" spans="1:8">
      <c r="A538" t="s">
        <v>2950</v>
      </c>
      <c r="B538" t="s">
        <v>2154</v>
      </c>
      <c r="C538" t="s">
        <v>10363</v>
      </c>
      <c r="D538" t="s">
        <v>10918</v>
      </c>
      <c r="E538">
        <v>916212497353</v>
      </c>
      <c r="F538" t="s">
        <v>10386</v>
      </c>
      <c r="G538" t="s">
        <v>10377</v>
      </c>
      <c r="H538" s="2">
        <v>37004</v>
      </c>
    </row>
    <row r="539" spans="1:8">
      <c r="A539" t="s">
        <v>2955</v>
      </c>
      <c r="B539" t="s">
        <v>1660</v>
      </c>
      <c r="C539" t="s">
        <v>10363</v>
      </c>
      <c r="D539" t="s">
        <v>10919</v>
      </c>
      <c r="E539">
        <v>918008063109</v>
      </c>
      <c r="F539" t="s">
        <v>10369</v>
      </c>
      <c r="G539" t="s">
        <v>10366</v>
      </c>
      <c r="H539" s="2">
        <v>29245</v>
      </c>
    </row>
    <row r="540" spans="1:8">
      <c r="A540" t="s">
        <v>2960</v>
      </c>
      <c r="B540" t="s">
        <v>253</v>
      </c>
      <c r="C540" t="s">
        <v>10363</v>
      </c>
      <c r="D540" t="s">
        <v>10920</v>
      </c>
      <c r="E540">
        <v>918678050168</v>
      </c>
      <c r="F540" t="s">
        <v>10372</v>
      </c>
      <c r="G540" t="s">
        <v>10379</v>
      </c>
      <c r="H540" s="2">
        <v>24794</v>
      </c>
    </row>
    <row r="541" spans="1:8">
      <c r="A541" t="s">
        <v>2965</v>
      </c>
      <c r="B541" t="s">
        <v>667</v>
      </c>
      <c r="C541" t="s">
        <v>10367</v>
      </c>
      <c r="D541" t="s">
        <v>10921</v>
      </c>
      <c r="E541">
        <v>916864708410</v>
      </c>
      <c r="F541" t="s">
        <v>10386</v>
      </c>
      <c r="G541" t="s">
        <v>10377</v>
      </c>
      <c r="H541" s="2">
        <v>21430</v>
      </c>
    </row>
    <row r="542" spans="1:8">
      <c r="A542" t="s">
        <v>2970</v>
      </c>
      <c r="B542" t="s">
        <v>432</v>
      </c>
      <c r="C542" t="s">
        <v>10363</v>
      </c>
      <c r="D542" t="s">
        <v>10922</v>
      </c>
      <c r="E542">
        <v>917721320190</v>
      </c>
      <c r="F542" t="s">
        <v>10381</v>
      </c>
      <c r="G542" t="s">
        <v>10377</v>
      </c>
      <c r="H542" s="2">
        <v>22473</v>
      </c>
    </row>
    <row r="543" spans="1:8">
      <c r="A543" t="s">
        <v>2975</v>
      </c>
      <c r="B543" t="s">
        <v>786</v>
      </c>
      <c r="C543" t="s">
        <v>10367</v>
      </c>
      <c r="D543" t="s">
        <v>10923</v>
      </c>
      <c r="E543">
        <v>917745268676</v>
      </c>
      <c r="F543" t="s">
        <v>10372</v>
      </c>
      <c r="G543" t="s">
        <v>10366</v>
      </c>
      <c r="H543" s="2">
        <v>31733</v>
      </c>
    </row>
    <row r="544" spans="1:8">
      <c r="A544" t="s">
        <v>2980</v>
      </c>
      <c r="B544" t="s">
        <v>484</v>
      </c>
      <c r="C544" t="s">
        <v>10363</v>
      </c>
      <c r="D544" t="s">
        <v>10924</v>
      </c>
      <c r="E544">
        <v>919815938811</v>
      </c>
      <c r="F544" t="s">
        <v>10365</v>
      </c>
      <c r="G544" t="s">
        <v>10366</v>
      </c>
      <c r="H544" s="2">
        <v>22349</v>
      </c>
    </row>
    <row r="545" spans="1:8">
      <c r="A545" t="s">
        <v>2985</v>
      </c>
      <c r="B545" t="s">
        <v>1288</v>
      </c>
      <c r="C545" t="s">
        <v>10367</v>
      </c>
      <c r="D545" t="s">
        <v>10925</v>
      </c>
      <c r="E545">
        <v>917659639019</v>
      </c>
      <c r="F545" t="s">
        <v>10384</v>
      </c>
      <c r="G545" t="s">
        <v>10379</v>
      </c>
      <c r="H545" s="2">
        <v>28029</v>
      </c>
    </row>
    <row r="546" spans="1:8">
      <c r="A546" t="s">
        <v>2990</v>
      </c>
      <c r="B546" t="s">
        <v>1757</v>
      </c>
      <c r="C546" t="s">
        <v>10363</v>
      </c>
      <c r="D546" t="s">
        <v>10926</v>
      </c>
      <c r="E546">
        <v>917535078511</v>
      </c>
      <c r="F546" t="s">
        <v>10402</v>
      </c>
      <c r="G546" t="s">
        <v>10379</v>
      </c>
      <c r="H546" s="2">
        <v>29015</v>
      </c>
    </row>
    <row r="547" spans="1:8">
      <c r="A547" t="s">
        <v>2995</v>
      </c>
      <c r="B547" t="s">
        <v>118</v>
      </c>
      <c r="C547" t="s">
        <v>10367</v>
      </c>
      <c r="D547" t="s">
        <v>10884</v>
      </c>
      <c r="E547">
        <v>917116743502</v>
      </c>
      <c r="F547" t="s">
        <v>10402</v>
      </c>
      <c r="G547" t="s">
        <v>10379</v>
      </c>
      <c r="H547" s="2">
        <v>26669</v>
      </c>
    </row>
    <row r="548" spans="1:8">
      <c r="A548" t="s">
        <v>3000</v>
      </c>
      <c r="B548" t="s">
        <v>933</v>
      </c>
      <c r="C548" t="s">
        <v>10363</v>
      </c>
      <c r="D548" t="s">
        <v>10927</v>
      </c>
      <c r="E548">
        <v>919917651610</v>
      </c>
      <c r="F548" t="s">
        <v>10384</v>
      </c>
      <c r="G548" t="s">
        <v>10379</v>
      </c>
      <c r="H548" s="2">
        <v>20723</v>
      </c>
    </row>
    <row r="549" spans="1:8">
      <c r="A549" t="s">
        <v>3005</v>
      </c>
      <c r="B549" t="s">
        <v>786</v>
      </c>
      <c r="C549" t="s">
        <v>10367</v>
      </c>
      <c r="D549" t="s">
        <v>10928</v>
      </c>
      <c r="E549">
        <v>917944053813</v>
      </c>
      <c r="F549" t="s">
        <v>10388</v>
      </c>
      <c r="G549" t="s">
        <v>10370</v>
      </c>
      <c r="H549" s="2">
        <v>29678</v>
      </c>
    </row>
    <row r="550" spans="1:8">
      <c r="A550" t="s">
        <v>3010</v>
      </c>
      <c r="B550" t="s">
        <v>2101</v>
      </c>
      <c r="C550" t="s">
        <v>10363</v>
      </c>
      <c r="D550" t="s">
        <v>10929</v>
      </c>
      <c r="E550">
        <v>918202006302</v>
      </c>
      <c r="F550" t="s">
        <v>10386</v>
      </c>
      <c r="G550" t="s">
        <v>10377</v>
      </c>
      <c r="H550" s="2">
        <v>24133</v>
      </c>
    </row>
    <row r="551" spans="1:8">
      <c r="A551" t="s">
        <v>3015</v>
      </c>
      <c r="B551" t="s">
        <v>865</v>
      </c>
      <c r="C551" t="s">
        <v>10363</v>
      </c>
      <c r="D551" t="s">
        <v>10930</v>
      </c>
      <c r="E551">
        <v>916959232992</v>
      </c>
      <c r="F551" t="s">
        <v>10388</v>
      </c>
      <c r="G551" t="s">
        <v>10366</v>
      </c>
      <c r="H551" s="2">
        <v>37294</v>
      </c>
    </row>
    <row r="552" spans="1:8">
      <c r="A552" t="s">
        <v>3020</v>
      </c>
      <c r="B552" t="s">
        <v>1158</v>
      </c>
      <c r="C552" t="s">
        <v>10367</v>
      </c>
      <c r="D552" t="s">
        <v>10931</v>
      </c>
      <c r="E552">
        <v>918740060499</v>
      </c>
      <c r="F552" t="s">
        <v>10402</v>
      </c>
      <c r="G552" t="s">
        <v>10379</v>
      </c>
      <c r="H552" s="2">
        <v>34209</v>
      </c>
    </row>
    <row r="553" spans="1:8">
      <c r="A553" t="s">
        <v>3025</v>
      </c>
      <c r="B553" t="s">
        <v>1229</v>
      </c>
      <c r="C553" t="s">
        <v>10363</v>
      </c>
      <c r="D553" t="s">
        <v>10932</v>
      </c>
      <c r="E553">
        <v>917445837849</v>
      </c>
      <c r="F553" t="s">
        <v>10381</v>
      </c>
      <c r="G553" t="s">
        <v>10366</v>
      </c>
      <c r="H553" s="2">
        <v>22748</v>
      </c>
    </row>
    <row r="554" spans="1:8">
      <c r="A554" t="s">
        <v>3030</v>
      </c>
      <c r="B554" t="s">
        <v>1568</v>
      </c>
      <c r="C554" t="s">
        <v>10367</v>
      </c>
      <c r="D554" t="s">
        <v>10933</v>
      </c>
      <c r="E554">
        <v>917364825396</v>
      </c>
      <c r="F554" t="s">
        <v>10388</v>
      </c>
      <c r="G554" t="s">
        <v>10379</v>
      </c>
      <c r="H554" s="2">
        <v>25014</v>
      </c>
    </row>
    <row r="555" spans="1:8">
      <c r="A555" t="s">
        <v>3035</v>
      </c>
      <c r="B555" t="s">
        <v>3762</v>
      </c>
      <c r="C555" t="s">
        <v>10363</v>
      </c>
      <c r="D555" t="s">
        <v>10934</v>
      </c>
      <c r="E555">
        <v>918461174762</v>
      </c>
      <c r="F555" t="s">
        <v>10374</v>
      </c>
      <c r="G555" t="s">
        <v>10379</v>
      </c>
      <c r="H555" s="2">
        <v>35011</v>
      </c>
    </row>
    <row r="556" spans="1:8">
      <c r="A556" t="s">
        <v>3040</v>
      </c>
      <c r="B556" t="s">
        <v>130</v>
      </c>
      <c r="C556" t="s">
        <v>10363</v>
      </c>
      <c r="D556" t="s">
        <v>10935</v>
      </c>
      <c r="E556">
        <v>916193949527</v>
      </c>
      <c r="F556" t="s">
        <v>10381</v>
      </c>
      <c r="G556" t="s">
        <v>10379</v>
      </c>
      <c r="H556" s="2">
        <v>20171</v>
      </c>
    </row>
    <row r="557" spans="1:8">
      <c r="A557" t="s">
        <v>3045</v>
      </c>
      <c r="B557" t="s">
        <v>547</v>
      </c>
      <c r="C557" t="s">
        <v>10363</v>
      </c>
      <c r="D557" t="s">
        <v>10936</v>
      </c>
      <c r="E557">
        <v>919442119003</v>
      </c>
      <c r="F557" t="s">
        <v>10376</v>
      </c>
      <c r="G557" t="s">
        <v>10377</v>
      </c>
      <c r="H557" s="2">
        <v>28388</v>
      </c>
    </row>
    <row r="558" spans="1:8">
      <c r="A558" t="s">
        <v>3050</v>
      </c>
      <c r="B558" t="s">
        <v>351</v>
      </c>
      <c r="C558" t="s">
        <v>10363</v>
      </c>
      <c r="D558" t="s">
        <v>10937</v>
      </c>
      <c r="E558">
        <v>918622181350</v>
      </c>
      <c r="F558" t="s">
        <v>10388</v>
      </c>
      <c r="G558" t="s">
        <v>10379</v>
      </c>
      <c r="H558" s="2">
        <v>24597</v>
      </c>
    </row>
    <row r="559" spans="1:8">
      <c r="A559" t="s">
        <v>3055</v>
      </c>
      <c r="B559" t="s">
        <v>5369</v>
      </c>
      <c r="C559" t="s">
        <v>10367</v>
      </c>
      <c r="D559" t="s">
        <v>10938</v>
      </c>
      <c r="E559">
        <v>918856101270</v>
      </c>
      <c r="F559" t="s">
        <v>10365</v>
      </c>
      <c r="G559" t="s">
        <v>10379</v>
      </c>
      <c r="H559" s="2">
        <v>26921</v>
      </c>
    </row>
    <row r="560" spans="1:8">
      <c r="A560" t="s">
        <v>3060</v>
      </c>
      <c r="B560" t="s">
        <v>3975</v>
      </c>
      <c r="C560" t="s">
        <v>10367</v>
      </c>
      <c r="D560" t="s">
        <v>10939</v>
      </c>
      <c r="E560">
        <v>916286447212</v>
      </c>
      <c r="F560" t="s">
        <v>10384</v>
      </c>
      <c r="G560" t="s">
        <v>10379</v>
      </c>
      <c r="H560" s="2">
        <v>37398</v>
      </c>
    </row>
    <row r="561" spans="1:8">
      <c r="A561" t="s">
        <v>3066</v>
      </c>
      <c r="B561" t="s">
        <v>1074</v>
      </c>
      <c r="C561" t="s">
        <v>10363</v>
      </c>
      <c r="D561" t="s">
        <v>10940</v>
      </c>
      <c r="E561">
        <v>918241896628</v>
      </c>
      <c r="F561" t="s">
        <v>10381</v>
      </c>
      <c r="G561" t="s">
        <v>10366</v>
      </c>
      <c r="H561" s="2">
        <v>35336</v>
      </c>
    </row>
    <row r="562" spans="1:8">
      <c r="A562" t="s">
        <v>3071</v>
      </c>
      <c r="B562" t="s">
        <v>2202</v>
      </c>
      <c r="C562" t="s">
        <v>10367</v>
      </c>
      <c r="D562" t="s">
        <v>10941</v>
      </c>
      <c r="E562">
        <v>917805108759</v>
      </c>
      <c r="F562" t="s">
        <v>10381</v>
      </c>
      <c r="G562" t="s">
        <v>10370</v>
      </c>
      <c r="H562" s="2">
        <v>35161</v>
      </c>
    </row>
    <row r="563" spans="1:8">
      <c r="A563" t="s">
        <v>3076</v>
      </c>
      <c r="B563" t="s">
        <v>241</v>
      </c>
      <c r="C563" t="s">
        <v>10363</v>
      </c>
      <c r="D563" t="s">
        <v>10942</v>
      </c>
      <c r="E563">
        <v>919103421256</v>
      </c>
      <c r="F563" t="s">
        <v>10384</v>
      </c>
      <c r="G563" t="s">
        <v>10379</v>
      </c>
      <c r="H563" s="2">
        <v>36824</v>
      </c>
    </row>
    <row r="564" spans="1:8">
      <c r="A564" t="s">
        <v>3081</v>
      </c>
      <c r="B564" t="s">
        <v>2689</v>
      </c>
      <c r="C564" t="s">
        <v>10367</v>
      </c>
      <c r="D564" t="s">
        <v>10943</v>
      </c>
      <c r="E564">
        <v>919986123902</v>
      </c>
      <c r="F564" t="s">
        <v>10384</v>
      </c>
      <c r="G564" t="s">
        <v>10370</v>
      </c>
      <c r="H564" s="2">
        <v>22500</v>
      </c>
    </row>
    <row r="565" spans="1:8">
      <c r="A565" t="s">
        <v>3086</v>
      </c>
      <c r="B565" t="s">
        <v>217</v>
      </c>
      <c r="C565" t="s">
        <v>10363</v>
      </c>
      <c r="D565" t="s">
        <v>10944</v>
      </c>
      <c r="E565">
        <v>916917561503</v>
      </c>
      <c r="F565" t="s">
        <v>10402</v>
      </c>
      <c r="G565" t="s">
        <v>10366</v>
      </c>
      <c r="H565" s="2">
        <v>22185</v>
      </c>
    </row>
    <row r="566" spans="1:8">
      <c r="A566" t="s">
        <v>3091</v>
      </c>
      <c r="B566" t="s">
        <v>1453</v>
      </c>
      <c r="C566" t="s">
        <v>10363</v>
      </c>
      <c r="D566" t="s">
        <v>10945</v>
      </c>
      <c r="E566">
        <v>917266590349</v>
      </c>
      <c r="F566" t="s">
        <v>10381</v>
      </c>
      <c r="G566" t="s">
        <v>10379</v>
      </c>
      <c r="H566" s="2">
        <v>28660</v>
      </c>
    </row>
    <row r="567" spans="1:8">
      <c r="A567" t="s">
        <v>3096</v>
      </c>
      <c r="B567" t="s">
        <v>4436</v>
      </c>
      <c r="C567" t="s">
        <v>10367</v>
      </c>
      <c r="D567" t="s">
        <v>10946</v>
      </c>
      <c r="E567">
        <v>917805640611</v>
      </c>
      <c r="F567" t="s">
        <v>10381</v>
      </c>
      <c r="G567" t="s">
        <v>10370</v>
      </c>
      <c r="H567" s="2">
        <v>23247</v>
      </c>
    </row>
    <row r="568" spans="1:8">
      <c r="A568" t="s">
        <v>3101</v>
      </c>
      <c r="B568" t="s">
        <v>1551</v>
      </c>
      <c r="C568" t="s">
        <v>10367</v>
      </c>
      <c r="D568" t="s">
        <v>10947</v>
      </c>
      <c r="E568">
        <v>918158594334</v>
      </c>
      <c r="F568" t="s">
        <v>10369</v>
      </c>
      <c r="G568" t="s">
        <v>10377</v>
      </c>
      <c r="H568" s="2">
        <v>23444</v>
      </c>
    </row>
    <row r="569" spans="1:8">
      <c r="A569" t="s">
        <v>3106</v>
      </c>
      <c r="B569" t="s">
        <v>1158</v>
      </c>
      <c r="C569" t="s">
        <v>10367</v>
      </c>
      <c r="D569" t="s">
        <v>10948</v>
      </c>
      <c r="E569">
        <v>917358748997</v>
      </c>
      <c r="F569" t="s">
        <v>10372</v>
      </c>
      <c r="G569" t="s">
        <v>10379</v>
      </c>
      <c r="H569" s="2">
        <v>21507</v>
      </c>
    </row>
    <row r="570" spans="1:8">
      <c r="A570" t="s">
        <v>3111</v>
      </c>
      <c r="B570" t="s">
        <v>2720</v>
      </c>
      <c r="C570" t="s">
        <v>10367</v>
      </c>
      <c r="D570" t="s">
        <v>10949</v>
      </c>
      <c r="E570">
        <v>919020508532</v>
      </c>
      <c r="F570" t="s">
        <v>10372</v>
      </c>
      <c r="G570" t="s">
        <v>10377</v>
      </c>
      <c r="H570" s="2">
        <v>34925</v>
      </c>
    </row>
    <row r="571" spans="1:8">
      <c r="A571" t="s">
        <v>3117</v>
      </c>
      <c r="B571" t="s">
        <v>2420</v>
      </c>
      <c r="C571" t="s">
        <v>10367</v>
      </c>
      <c r="D571" t="s">
        <v>10950</v>
      </c>
      <c r="E571">
        <v>916332404376</v>
      </c>
      <c r="F571" t="s">
        <v>10384</v>
      </c>
      <c r="G571" t="s">
        <v>10377</v>
      </c>
      <c r="H571" s="2">
        <v>30657</v>
      </c>
    </row>
    <row r="572" spans="1:8">
      <c r="A572" t="s">
        <v>3123</v>
      </c>
      <c r="B572" t="s">
        <v>899</v>
      </c>
      <c r="C572" t="s">
        <v>10367</v>
      </c>
      <c r="D572" t="s">
        <v>10951</v>
      </c>
      <c r="E572">
        <v>917376131552</v>
      </c>
      <c r="F572" t="s">
        <v>10365</v>
      </c>
      <c r="G572" t="s">
        <v>10377</v>
      </c>
      <c r="H572" s="2">
        <v>33156</v>
      </c>
    </row>
    <row r="573" spans="1:8">
      <c r="A573" t="s">
        <v>3129</v>
      </c>
      <c r="B573" t="s">
        <v>1470</v>
      </c>
      <c r="C573" t="s">
        <v>10367</v>
      </c>
      <c r="D573" t="s">
        <v>10952</v>
      </c>
      <c r="E573">
        <v>919550968275</v>
      </c>
      <c r="F573" t="s">
        <v>10384</v>
      </c>
      <c r="G573" t="s">
        <v>10370</v>
      </c>
      <c r="H573" s="2">
        <v>31915</v>
      </c>
    </row>
    <row r="574" spans="1:8">
      <c r="A574" t="s">
        <v>3134</v>
      </c>
      <c r="B574" t="s">
        <v>229</v>
      </c>
      <c r="C574" t="s">
        <v>10367</v>
      </c>
      <c r="D574" t="s">
        <v>10953</v>
      </c>
      <c r="E574">
        <v>919699017190</v>
      </c>
      <c r="F574" t="s">
        <v>10381</v>
      </c>
      <c r="G574" t="s">
        <v>10377</v>
      </c>
      <c r="H574" s="2">
        <v>36020</v>
      </c>
    </row>
    <row r="575" spans="1:8">
      <c r="A575" t="s">
        <v>3139</v>
      </c>
      <c r="B575" t="s">
        <v>7839</v>
      </c>
      <c r="C575" t="s">
        <v>10367</v>
      </c>
      <c r="D575" t="s">
        <v>10954</v>
      </c>
      <c r="E575">
        <v>916774840914</v>
      </c>
      <c r="F575" t="s">
        <v>10402</v>
      </c>
      <c r="G575" t="s">
        <v>10377</v>
      </c>
      <c r="H575" s="2">
        <v>34874</v>
      </c>
    </row>
    <row r="576" spans="1:8">
      <c r="A576" t="s">
        <v>3144</v>
      </c>
      <c r="B576" t="s">
        <v>1361</v>
      </c>
      <c r="C576" t="s">
        <v>10367</v>
      </c>
      <c r="D576" t="s">
        <v>10955</v>
      </c>
      <c r="E576">
        <v>918779018621</v>
      </c>
      <c r="F576" t="s">
        <v>10384</v>
      </c>
      <c r="G576" t="s">
        <v>10379</v>
      </c>
      <c r="H576" s="2">
        <v>35112</v>
      </c>
    </row>
    <row r="577" spans="1:8">
      <c r="A577" t="s">
        <v>3149</v>
      </c>
      <c r="B577" t="s">
        <v>2297</v>
      </c>
      <c r="C577" t="s">
        <v>10363</v>
      </c>
      <c r="D577" t="s">
        <v>10956</v>
      </c>
      <c r="E577">
        <v>917666550260</v>
      </c>
      <c r="F577" t="s">
        <v>10369</v>
      </c>
      <c r="G577" t="s">
        <v>10377</v>
      </c>
      <c r="H577" s="2">
        <v>22661</v>
      </c>
    </row>
    <row r="578" spans="1:8">
      <c r="A578" t="s">
        <v>3154</v>
      </c>
      <c r="B578" t="s">
        <v>1699</v>
      </c>
      <c r="C578" t="s">
        <v>10363</v>
      </c>
      <c r="D578" t="s">
        <v>10957</v>
      </c>
      <c r="E578">
        <v>918383006544</v>
      </c>
      <c r="F578" t="s">
        <v>10381</v>
      </c>
      <c r="G578" t="s">
        <v>10379</v>
      </c>
      <c r="H578" s="2">
        <v>33154</v>
      </c>
    </row>
    <row r="579" spans="1:8">
      <c r="A579" t="s">
        <v>3159</v>
      </c>
      <c r="B579" t="s">
        <v>536</v>
      </c>
      <c r="C579" t="s">
        <v>10367</v>
      </c>
      <c r="D579" t="s">
        <v>10958</v>
      </c>
      <c r="E579">
        <v>918609072126</v>
      </c>
      <c r="F579" t="s">
        <v>10365</v>
      </c>
      <c r="G579" t="s">
        <v>10377</v>
      </c>
      <c r="H579" s="2">
        <v>25913</v>
      </c>
    </row>
    <row r="580" spans="1:8">
      <c r="A580" t="s">
        <v>3164</v>
      </c>
      <c r="B580" t="s">
        <v>4669</v>
      </c>
      <c r="C580" t="s">
        <v>10367</v>
      </c>
      <c r="D580" t="s">
        <v>10959</v>
      </c>
      <c r="E580">
        <v>918637897746</v>
      </c>
      <c r="F580" t="s">
        <v>10386</v>
      </c>
      <c r="G580" t="s">
        <v>10370</v>
      </c>
      <c r="H580" s="2">
        <v>24635</v>
      </c>
    </row>
    <row r="581" spans="1:8">
      <c r="A581" t="s">
        <v>3169</v>
      </c>
      <c r="B581" t="s">
        <v>2297</v>
      </c>
      <c r="C581" t="s">
        <v>10363</v>
      </c>
      <c r="D581" t="s">
        <v>10960</v>
      </c>
      <c r="E581">
        <v>919177137970</v>
      </c>
      <c r="F581" t="s">
        <v>10402</v>
      </c>
      <c r="G581" t="s">
        <v>10370</v>
      </c>
      <c r="H581" s="2">
        <v>35524</v>
      </c>
    </row>
    <row r="582" spans="1:8">
      <c r="A582" t="s">
        <v>3174</v>
      </c>
      <c r="B582" t="s">
        <v>2837</v>
      </c>
      <c r="C582" t="s">
        <v>10367</v>
      </c>
      <c r="D582" t="s">
        <v>10961</v>
      </c>
      <c r="E582">
        <v>917889692376</v>
      </c>
      <c r="F582" t="s">
        <v>10388</v>
      </c>
      <c r="G582" t="s">
        <v>10366</v>
      </c>
      <c r="H582" s="2">
        <v>23318</v>
      </c>
    </row>
    <row r="583" spans="1:8">
      <c r="A583" t="s">
        <v>3179</v>
      </c>
      <c r="B583" t="s">
        <v>2778</v>
      </c>
      <c r="C583" t="s">
        <v>10363</v>
      </c>
      <c r="D583" t="s">
        <v>10962</v>
      </c>
      <c r="E583">
        <v>918218686868</v>
      </c>
      <c r="F583" t="s">
        <v>10372</v>
      </c>
      <c r="G583" t="s">
        <v>10366</v>
      </c>
      <c r="H583" s="2">
        <v>25943</v>
      </c>
    </row>
    <row r="584" spans="1:8">
      <c r="A584" t="s">
        <v>3184</v>
      </c>
      <c r="B584" t="s">
        <v>8657</v>
      </c>
      <c r="C584" t="s">
        <v>10367</v>
      </c>
      <c r="D584" t="s">
        <v>10963</v>
      </c>
      <c r="E584">
        <v>916327920369</v>
      </c>
      <c r="F584" t="s">
        <v>10372</v>
      </c>
      <c r="G584" t="s">
        <v>10377</v>
      </c>
      <c r="H584" s="2">
        <v>27243</v>
      </c>
    </row>
    <row r="585" spans="1:8">
      <c r="A585" t="s">
        <v>3189</v>
      </c>
      <c r="B585" t="s">
        <v>21</v>
      </c>
      <c r="C585" t="s">
        <v>10363</v>
      </c>
      <c r="D585" t="s">
        <v>10964</v>
      </c>
      <c r="E585">
        <v>919654294642</v>
      </c>
      <c r="F585" t="s">
        <v>10388</v>
      </c>
      <c r="G585" t="s">
        <v>10370</v>
      </c>
      <c r="H585" s="2">
        <v>29479</v>
      </c>
    </row>
    <row r="586" spans="1:8">
      <c r="A586" t="s">
        <v>3194</v>
      </c>
      <c r="B586" t="s">
        <v>180</v>
      </c>
      <c r="C586" t="s">
        <v>10367</v>
      </c>
      <c r="D586" t="s">
        <v>10965</v>
      </c>
      <c r="E586">
        <v>919193972112</v>
      </c>
      <c r="F586" t="s">
        <v>10388</v>
      </c>
      <c r="G586" t="s">
        <v>10379</v>
      </c>
      <c r="H586" s="2">
        <v>30604</v>
      </c>
    </row>
    <row r="587" spans="1:8">
      <c r="A587" t="s">
        <v>3199</v>
      </c>
      <c r="B587" t="s">
        <v>1074</v>
      </c>
      <c r="C587" t="s">
        <v>10363</v>
      </c>
      <c r="D587" t="s">
        <v>10966</v>
      </c>
      <c r="E587">
        <v>919454427415</v>
      </c>
      <c r="F587" t="s">
        <v>10372</v>
      </c>
      <c r="G587" t="s">
        <v>10366</v>
      </c>
      <c r="H587" s="2">
        <v>30204</v>
      </c>
    </row>
    <row r="588" spans="1:8">
      <c r="A588" t="s">
        <v>3204</v>
      </c>
      <c r="B588" t="s">
        <v>1637</v>
      </c>
      <c r="C588" t="s">
        <v>10367</v>
      </c>
      <c r="D588" t="s">
        <v>10967</v>
      </c>
      <c r="E588">
        <v>919929806751</v>
      </c>
      <c r="F588" t="s">
        <v>10376</v>
      </c>
      <c r="G588" t="s">
        <v>10379</v>
      </c>
      <c r="H588" s="2">
        <v>37082</v>
      </c>
    </row>
    <row r="589" spans="1:8">
      <c r="A589" t="s">
        <v>3209</v>
      </c>
      <c r="B589" t="s">
        <v>1983</v>
      </c>
      <c r="C589" t="s">
        <v>10363</v>
      </c>
      <c r="D589" t="s">
        <v>10968</v>
      </c>
      <c r="E589">
        <v>918633484925</v>
      </c>
      <c r="F589" t="s">
        <v>10374</v>
      </c>
      <c r="G589" t="s">
        <v>10379</v>
      </c>
      <c r="H589" s="2">
        <v>25067</v>
      </c>
    </row>
    <row r="590" spans="1:8">
      <c r="A590" t="s">
        <v>3215</v>
      </c>
      <c r="B590" t="s">
        <v>673</v>
      </c>
      <c r="C590" t="s">
        <v>10363</v>
      </c>
      <c r="D590" t="s">
        <v>10969</v>
      </c>
      <c r="E590">
        <v>917572179164</v>
      </c>
      <c r="F590" t="s">
        <v>10365</v>
      </c>
      <c r="G590" t="s">
        <v>10370</v>
      </c>
      <c r="H590" s="2">
        <v>34325</v>
      </c>
    </row>
    <row r="591" spans="1:8">
      <c r="A591" t="s">
        <v>3221</v>
      </c>
      <c r="B591" t="s">
        <v>2804</v>
      </c>
      <c r="C591" t="s">
        <v>10367</v>
      </c>
      <c r="D591" t="s">
        <v>10970</v>
      </c>
      <c r="E591">
        <v>917690081691</v>
      </c>
      <c r="F591" t="s">
        <v>10384</v>
      </c>
      <c r="G591" t="s">
        <v>10370</v>
      </c>
      <c r="H591" s="2">
        <v>36530</v>
      </c>
    </row>
    <row r="592" spans="1:8">
      <c r="A592" t="s">
        <v>3226</v>
      </c>
      <c r="B592" t="s">
        <v>673</v>
      </c>
      <c r="C592" t="s">
        <v>10363</v>
      </c>
      <c r="D592" t="s">
        <v>10971</v>
      </c>
      <c r="E592">
        <v>919958957640</v>
      </c>
      <c r="F592" t="s">
        <v>10372</v>
      </c>
      <c r="G592" t="s">
        <v>10370</v>
      </c>
      <c r="H592" s="2">
        <v>25299</v>
      </c>
    </row>
    <row r="593" spans="1:8">
      <c r="A593" t="s">
        <v>3231</v>
      </c>
      <c r="B593" t="s">
        <v>1810</v>
      </c>
      <c r="C593" t="s">
        <v>10367</v>
      </c>
      <c r="D593" t="s">
        <v>10972</v>
      </c>
      <c r="E593">
        <v>917490179603</v>
      </c>
      <c r="F593" t="s">
        <v>10372</v>
      </c>
      <c r="G593" t="s">
        <v>10370</v>
      </c>
      <c r="H593" s="2">
        <v>33811</v>
      </c>
    </row>
    <row r="594" spans="1:8">
      <c r="A594" t="s">
        <v>3236</v>
      </c>
      <c r="B594" t="s">
        <v>2804</v>
      </c>
      <c r="C594" t="s">
        <v>10367</v>
      </c>
      <c r="D594" t="s">
        <v>10973</v>
      </c>
      <c r="E594">
        <v>919413249848</v>
      </c>
      <c r="F594" t="s">
        <v>10386</v>
      </c>
      <c r="G594" t="s">
        <v>10379</v>
      </c>
      <c r="H594" s="2">
        <v>36659</v>
      </c>
    </row>
    <row r="595" spans="1:8">
      <c r="A595" t="s">
        <v>3241</v>
      </c>
      <c r="B595" t="s">
        <v>823</v>
      </c>
      <c r="C595" t="s">
        <v>10367</v>
      </c>
      <c r="D595" t="s">
        <v>10974</v>
      </c>
      <c r="E595">
        <v>917532171944</v>
      </c>
      <c r="F595" t="s">
        <v>10384</v>
      </c>
      <c r="G595" t="s">
        <v>10366</v>
      </c>
      <c r="H595" s="2">
        <v>35116</v>
      </c>
    </row>
    <row r="596" spans="1:8">
      <c r="A596" t="s">
        <v>3246</v>
      </c>
      <c r="B596" t="s">
        <v>192</v>
      </c>
      <c r="C596" t="s">
        <v>10367</v>
      </c>
      <c r="D596" t="s">
        <v>10975</v>
      </c>
      <c r="E596">
        <v>917898175619</v>
      </c>
      <c r="F596" t="s">
        <v>10388</v>
      </c>
      <c r="G596" t="s">
        <v>10366</v>
      </c>
      <c r="H596" s="2">
        <v>20154</v>
      </c>
    </row>
    <row r="597" spans="1:8">
      <c r="A597" t="s">
        <v>3251</v>
      </c>
      <c r="B597" t="s">
        <v>1213</v>
      </c>
      <c r="C597" t="s">
        <v>10367</v>
      </c>
      <c r="D597" t="s">
        <v>10976</v>
      </c>
      <c r="E597">
        <v>916308401375</v>
      </c>
      <c r="F597" t="s">
        <v>10372</v>
      </c>
      <c r="G597" t="s">
        <v>10377</v>
      </c>
      <c r="H597" s="2">
        <v>25350</v>
      </c>
    </row>
    <row r="598" spans="1:8">
      <c r="A598" t="s">
        <v>3256</v>
      </c>
      <c r="B598" t="s">
        <v>751</v>
      </c>
      <c r="C598" t="s">
        <v>10367</v>
      </c>
      <c r="D598" t="s">
        <v>10977</v>
      </c>
      <c r="E598">
        <v>919028954388</v>
      </c>
      <c r="F598" t="s">
        <v>10369</v>
      </c>
      <c r="G598" t="s">
        <v>10366</v>
      </c>
      <c r="H598" s="2">
        <v>32986</v>
      </c>
    </row>
    <row r="599" spans="1:8">
      <c r="A599" t="s">
        <v>3262</v>
      </c>
      <c r="B599" t="s">
        <v>9647</v>
      </c>
      <c r="C599" t="s">
        <v>10367</v>
      </c>
      <c r="D599" t="s">
        <v>10978</v>
      </c>
      <c r="E599">
        <v>918540435927</v>
      </c>
      <c r="F599" t="s">
        <v>10381</v>
      </c>
      <c r="G599" t="s">
        <v>10379</v>
      </c>
      <c r="H599" s="2">
        <v>26989</v>
      </c>
    </row>
    <row r="600" spans="1:8">
      <c r="A600" t="s">
        <v>3267</v>
      </c>
      <c r="B600" t="s">
        <v>421</v>
      </c>
      <c r="C600" t="s">
        <v>10363</v>
      </c>
      <c r="D600" t="s">
        <v>10979</v>
      </c>
      <c r="E600">
        <v>919662495869</v>
      </c>
      <c r="F600" t="s">
        <v>10374</v>
      </c>
      <c r="G600" t="s">
        <v>10377</v>
      </c>
      <c r="H600" s="2">
        <v>33593</v>
      </c>
    </row>
    <row r="601" spans="1:8">
      <c r="A601" t="s">
        <v>3272</v>
      </c>
      <c r="B601" t="s">
        <v>80</v>
      </c>
      <c r="C601" t="s">
        <v>10363</v>
      </c>
      <c r="D601" t="s">
        <v>10980</v>
      </c>
      <c r="E601">
        <v>917785057644</v>
      </c>
      <c r="F601" t="s">
        <v>10386</v>
      </c>
      <c r="G601" t="s">
        <v>10379</v>
      </c>
      <c r="H601" s="2">
        <v>30732</v>
      </c>
    </row>
    <row r="602" spans="1:8">
      <c r="A602" t="s">
        <v>3277</v>
      </c>
      <c r="B602" t="s">
        <v>217</v>
      </c>
      <c r="C602" t="s">
        <v>10363</v>
      </c>
      <c r="D602" t="s">
        <v>10981</v>
      </c>
      <c r="E602">
        <v>916006423822</v>
      </c>
      <c r="F602" t="s">
        <v>10381</v>
      </c>
      <c r="G602" t="s">
        <v>10366</v>
      </c>
      <c r="H602" s="2">
        <v>37445</v>
      </c>
    </row>
    <row r="603" spans="1:8">
      <c r="A603" t="s">
        <v>3282</v>
      </c>
      <c r="B603" t="s">
        <v>1114</v>
      </c>
      <c r="C603" t="s">
        <v>10367</v>
      </c>
      <c r="D603" t="s">
        <v>10982</v>
      </c>
      <c r="E603">
        <v>918920789803</v>
      </c>
      <c r="F603" t="s">
        <v>10376</v>
      </c>
      <c r="G603" t="s">
        <v>10366</v>
      </c>
      <c r="H603" s="2">
        <v>34625</v>
      </c>
    </row>
    <row r="604" spans="1:8">
      <c r="A604" t="s">
        <v>3287</v>
      </c>
      <c r="B604" t="s">
        <v>1330</v>
      </c>
      <c r="C604" t="s">
        <v>10367</v>
      </c>
      <c r="D604" t="s">
        <v>10983</v>
      </c>
      <c r="E604">
        <v>916947930221</v>
      </c>
      <c r="F604" t="s">
        <v>10386</v>
      </c>
      <c r="G604" t="s">
        <v>10379</v>
      </c>
      <c r="H604" s="2">
        <v>28422</v>
      </c>
    </row>
    <row r="605" spans="1:8">
      <c r="A605" t="s">
        <v>3292</v>
      </c>
      <c r="B605" t="s">
        <v>1482</v>
      </c>
      <c r="C605" t="s">
        <v>10367</v>
      </c>
      <c r="D605" t="s">
        <v>10984</v>
      </c>
      <c r="E605">
        <v>917406162979</v>
      </c>
      <c r="F605" t="s">
        <v>10381</v>
      </c>
      <c r="G605" t="s">
        <v>10366</v>
      </c>
      <c r="H605" s="2">
        <v>26484</v>
      </c>
    </row>
    <row r="606" spans="1:8">
      <c r="A606" t="s">
        <v>3297</v>
      </c>
      <c r="B606" t="s">
        <v>667</v>
      </c>
      <c r="C606" t="s">
        <v>10367</v>
      </c>
      <c r="D606" t="s">
        <v>10985</v>
      </c>
      <c r="E606">
        <v>917053612298</v>
      </c>
      <c r="F606" t="s">
        <v>10374</v>
      </c>
      <c r="G606" t="s">
        <v>10377</v>
      </c>
      <c r="H606" s="2">
        <v>30830</v>
      </c>
    </row>
    <row r="607" spans="1:8">
      <c r="A607" t="s">
        <v>3302</v>
      </c>
      <c r="B607" t="s">
        <v>259</v>
      </c>
      <c r="C607" t="s">
        <v>10367</v>
      </c>
      <c r="D607" t="s">
        <v>10986</v>
      </c>
      <c r="E607">
        <v>919730409776</v>
      </c>
      <c r="F607" t="s">
        <v>10386</v>
      </c>
      <c r="G607" t="s">
        <v>10377</v>
      </c>
      <c r="H607" s="2">
        <v>22902</v>
      </c>
    </row>
    <row r="608" spans="1:8">
      <c r="A608" t="s">
        <v>3307</v>
      </c>
      <c r="B608" t="s">
        <v>5231</v>
      </c>
      <c r="C608" t="s">
        <v>10367</v>
      </c>
      <c r="D608" t="s">
        <v>10987</v>
      </c>
      <c r="E608">
        <v>918437873481</v>
      </c>
      <c r="F608" t="s">
        <v>10369</v>
      </c>
      <c r="G608" t="s">
        <v>10366</v>
      </c>
      <c r="H608" s="2">
        <v>37573</v>
      </c>
    </row>
    <row r="609" spans="1:8">
      <c r="A609" t="s">
        <v>3312</v>
      </c>
      <c r="B609" t="s">
        <v>484</v>
      </c>
      <c r="C609" t="s">
        <v>10363</v>
      </c>
      <c r="D609" t="s">
        <v>10988</v>
      </c>
      <c r="E609">
        <v>918746025078</v>
      </c>
      <c r="F609" t="s">
        <v>10381</v>
      </c>
      <c r="G609" t="s">
        <v>10379</v>
      </c>
      <c r="H609" s="2">
        <v>36020</v>
      </c>
    </row>
    <row r="610" spans="1:8">
      <c r="A610" t="s">
        <v>3317</v>
      </c>
      <c r="B610" t="s">
        <v>2154</v>
      </c>
      <c r="C610" t="s">
        <v>10363</v>
      </c>
      <c r="D610" t="s">
        <v>10989</v>
      </c>
      <c r="E610">
        <v>916193192782</v>
      </c>
      <c r="F610" t="s">
        <v>10388</v>
      </c>
      <c r="G610" t="s">
        <v>10370</v>
      </c>
      <c r="H610" s="2">
        <v>33025</v>
      </c>
    </row>
    <row r="611" spans="1:8">
      <c r="A611" t="s">
        <v>3322</v>
      </c>
      <c r="B611" t="s">
        <v>484</v>
      </c>
      <c r="C611" t="s">
        <v>10363</v>
      </c>
      <c r="D611" t="s">
        <v>10990</v>
      </c>
      <c r="E611">
        <v>919572311041</v>
      </c>
      <c r="F611" t="s">
        <v>10372</v>
      </c>
      <c r="G611" t="s">
        <v>10366</v>
      </c>
      <c r="H611" s="2">
        <v>35933</v>
      </c>
    </row>
    <row r="612" spans="1:8">
      <c r="A612" t="s">
        <v>3327</v>
      </c>
      <c r="B612" t="s">
        <v>118</v>
      </c>
      <c r="C612" t="s">
        <v>10367</v>
      </c>
      <c r="D612" t="s">
        <v>10991</v>
      </c>
      <c r="E612">
        <v>916982232465</v>
      </c>
      <c r="F612" t="s">
        <v>10369</v>
      </c>
      <c r="G612" t="s">
        <v>10377</v>
      </c>
      <c r="H612" s="2">
        <v>27266</v>
      </c>
    </row>
    <row r="613" spans="1:8">
      <c r="A613" t="s">
        <v>3332</v>
      </c>
      <c r="B613" t="s">
        <v>1164</v>
      </c>
      <c r="C613" t="s">
        <v>10367</v>
      </c>
      <c r="D613" t="s">
        <v>10992</v>
      </c>
      <c r="E613">
        <v>917185382334</v>
      </c>
      <c r="F613" t="s">
        <v>10386</v>
      </c>
      <c r="G613" t="s">
        <v>10377</v>
      </c>
      <c r="H613" s="2">
        <v>28810</v>
      </c>
    </row>
    <row r="614" spans="1:8">
      <c r="A614" t="s">
        <v>3337</v>
      </c>
      <c r="B614" t="s">
        <v>6567</v>
      </c>
      <c r="C614" t="s">
        <v>10367</v>
      </c>
      <c r="D614" t="s">
        <v>10993</v>
      </c>
      <c r="E614">
        <v>916491587815</v>
      </c>
      <c r="F614" t="s">
        <v>10372</v>
      </c>
      <c r="G614" t="s">
        <v>10379</v>
      </c>
      <c r="H614" s="2">
        <v>32401</v>
      </c>
    </row>
    <row r="615" spans="1:8">
      <c r="A615" t="s">
        <v>3342</v>
      </c>
      <c r="B615" t="s">
        <v>460</v>
      </c>
      <c r="C615" t="s">
        <v>10363</v>
      </c>
      <c r="D615" t="s">
        <v>10994</v>
      </c>
      <c r="E615">
        <v>919757446006</v>
      </c>
      <c r="F615" t="s">
        <v>10388</v>
      </c>
      <c r="G615" t="s">
        <v>10366</v>
      </c>
      <c r="H615" s="2">
        <v>20373</v>
      </c>
    </row>
    <row r="616" spans="1:8">
      <c r="A616" t="s">
        <v>3347</v>
      </c>
      <c r="B616" t="s">
        <v>2720</v>
      </c>
      <c r="C616" t="s">
        <v>10367</v>
      </c>
      <c r="D616" t="s">
        <v>10995</v>
      </c>
      <c r="E616">
        <v>917825042775</v>
      </c>
      <c r="F616" t="s">
        <v>10402</v>
      </c>
      <c r="G616" t="s">
        <v>10370</v>
      </c>
      <c r="H616" s="2">
        <v>21536</v>
      </c>
    </row>
    <row r="617" spans="1:8">
      <c r="A617" t="s">
        <v>3352</v>
      </c>
      <c r="B617" t="s">
        <v>466</v>
      </c>
      <c r="C617" t="s">
        <v>10363</v>
      </c>
      <c r="D617" t="s">
        <v>10996</v>
      </c>
      <c r="E617">
        <v>919105633558</v>
      </c>
      <c r="F617" t="s">
        <v>10384</v>
      </c>
      <c r="G617" t="s">
        <v>10379</v>
      </c>
      <c r="H617" s="2">
        <v>25609</v>
      </c>
    </row>
    <row r="618" spans="1:8">
      <c r="A618" t="s">
        <v>3357</v>
      </c>
      <c r="B618" t="s">
        <v>899</v>
      </c>
      <c r="C618" t="s">
        <v>10367</v>
      </c>
      <c r="D618" t="s">
        <v>10997</v>
      </c>
      <c r="E618">
        <v>917074474705</v>
      </c>
      <c r="F618" t="s">
        <v>10376</v>
      </c>
      <c r="G618" t="s">
        <v>10379</v>
      </c>
      <c r="H618" s="2">
        <v>31304</v>
      </c>
    </row>
    <row r="619" spans="1:8">
      <c r="A619" t="s">
        <v>3362</v>
      </c>
      <c r="B619" t="s">
        <v>4983</v>
      </c>
      <c r="C619" t="s">
        <v>10367</v>
      </c>
      <c r="D619" t="s">
        <v>10998</v>
      </c>
      <c r="E619">
        <v>916333359226</v>
      </c>
      <c r="F619" t="s">
        <v>10384</v>
      </c>
      <c r="G619" t="s">
        <v>10379</v>
      </c>
      <c r="H619" s="2">
        <v>22301</v>
      </c>
    </row>
    <row r="620" spans="1:8">
      <c r="A620" t="s">
        <v>3367</v>
      </c>
      <c r="B620" t="s">
        <v>587</v>
      </c>
      <c r="C620" t="s">
        <v>10363</v>
      </c>
      <c r="D620" t="s">
        <v>10999</v>
      </c>
      <c r="E620">
        <v>916553509248</v>
      </c>
      <c r="F620" t="s">
        <v>10374</v>
      </c>
      <c r="G620" t="s">
        <v>10379</v>
      </c>
      <c r="H620" s="2">
        <v>21387</v>
      </c>
    </row>
    <row r="621" spans="1:8">
      <c r="A621" t="s">
        <v>3372</v>
      </c>
      <c r="B621" t="s">
        <v>375</v>
      </c>
      <c r="C621" t="s">
        <v>10363</v>
      </c>
      <c r="D621" t="s">
        <v>11000</v>
      </c>
      <c r="E621">
        <v>918819842331</v>
      </c>
      <c r="F621" t="s">
        <v>10376</v>
      </c>
      <c r="G621" t="s">
        <v>10370</v>
      </c>
      <c r="H621" s="2">
        <v>36934</v>
      </c>
    </row>
    <row r="622" spans="1:8">
      <c r="A622" t="s">
        <v>3377</v>
      </c>
      <c r="B622" t="s">
        <v>1074</v>
      </c>
      <c r="C622" t="s">
        <v>10363</v>
      </c>
      <c r="D622" t="s">
        <v>11001</v>
      </c>
      <c r="E622">
        <v>916142766316</v>
      </c>
      <c r="F622" t="s">
        <v>10388</v>
      </c>
      <c r="G622" t="s">
        <v>10370</v>
      </c>
      <c r="H622" s="2">
        <v>24478</v>
      </c>
    </row>
    <row r="623" spans="1:8">
      <c r="A623" t="s">
        <v>3382</v>
      </c>
      <c r="B623" t="s">
        <v>163</v>
      </c>
      <c r="C623" t="s">
        <v>10363</v>
      </c>
      <c r="D623" t="s">
        <v>11002</v>
      </c>
      <c r="E623">
        <v>919908220996</v>
      </c>
      <c r="F623" t="s">
        <v>10388</v>
      </c>
      <c r="G623" t="s">
        <v>10366</v>
      </c>
      <c r="H623" s="2">
        <v>23080</v>
      </c>
    </row>
    <row r="624" spans="1:8">
      <c r="A624" t="s">
        <v>3387</v>
      </c>
      <c r="B624" t="s">
        <v>7311</v>
      </c>
      <c r="C624" t="s">
        <v>10363</v>
      </c>
      <c r="D624" t="s">
        <v>11003</v>
      </c>
      <c r="E624">
        <v>917733946259</v>
      </c>
      <c r="F624" t="s">
        <v>10386</v>
      </c>
      <c r="G624" t="s">
        <v>10379</v>
      </c>
      <c r="H624" s="2">
        <v>20862</v>
      </c>
    </row>
    <row r="625" spans="1:8">
      <c r="A625" t="s">
        <v>3392</v>
      </c>
      <c r="B625" t="s">
        <v>1207</v>
      </c>
      <c r="C625" t="s">
        <v>10367</v>
      </c>
      <c r="D625" t="s">
        <v>11004</v>
      </c>
      <c r="E625">
        <v>916082005169</v>
      </c>
      <c r="F625" t="s">
        <v>10402</v>
      </c>
      <c r="G625" t="s">
        <v>10379</v>
      </c>
      <c r="H625" s="2">
        <v>30048</v>
      </c>
    </row>
    <row r="626" spans="1:8">
      <c r="A626" t="s">
        <v>3397</v>
      </c>
      <c r="B626" t="s">
        <v>1757</v>
      </c>
      <c r="C626" t="s">
        <v>10363</v>
      </c>
      <c r="D626" t="s">
        <v>11005</v>
      </c>
      <c r="E626">
        <v>919663094112</v>
      </c>
      <c r="F626" t="s">
        <v>10381</v>
      </c>
      <c r="G626" t="s">
        <v>10366</v>
      </c>
      <c r="H626" s="2">
        <v>20831</v>
      </c>
    </row>
    <row r="627" spans="1:8">
      <c r="A627" t="s">
        <v>3402</v>
      </c>
      <c r="B627" t="s">
        <v>774</v>
      </c>
      <c r="C627" t="s">
        <v>10367</v>
      </c>
      <c r="D627" t="s">
        <v>11006</v>
      </c>
      <c r="E627">
        <v>916202686121</v>
      </c>
      <c r="F627" t="s">
        <v>10374</v>
      </c>
      <c r="G627" t="s">
        <v>10379</v>
      </c>
      <c r="H627" s="2">
        <v>23316</v>
      </c>
    </row>
    <row r="628" spans="1:8">
      <c r="A628" t="s">
        <v>3407</v>
      </c>
      <c r="B628" t="s">
        <v>621</v>
      </c>
      <c r="C628" t="s">
        <v>10367</v>
      </c>
      <c r="D628" t="s">
        <v>11007</v>
      </c>
      <c r="E628">
        <v>919256292504</v>
      </c>
      <c r="F628" t="s">
        <v>10376</v>
      </c>
      <c r="G628" t="s">
        <v>10366</v>
      </c>
      <c r="H628" s="2">
        <v>32635</v>
      </c>
    </row>
    <row r="629" spans="1:8">
      <c r="A629" t="s">
        <v>3412</v>
      </c>
      <c r="B629" t="s">
        <v>211</v>
      </c>
      <c r="C629" t="s">
        <v>10367</v>
      </c>
      <c r="D629" t="s">
        <v>11008</v>
      </c>
      <c r="E629">
        <v>917561723987</v>
      </c>
      <c r="F629" t="s">
        <v>10381</v>
      </c>
      <c r="G629" t="s">
        <v>10379</v>
      </c>
      <c r="H629" s="2">
        <v>22742</v>
      </c>
    </row>
    <row r="630" spans="1:8">
      <c r="A630" t="s">
        <v>3417</v>
      </c>
      <c r="B630" t="s">
        <v>655</v>
      </c>
      <c r="C630" t="s">
        <v>10367</v>
      </c>
      <c r="D630" t="s">
        <v>11009</v>
      </c>
      <c r="E630">
        <v>918917463545</v>
      </c>
      <c r="F630" t="s">
        <v>10372</v>
      </c>
      <c r="G630" t="s">
        <v>10366</v>
      </c>
      <c r="H630" s="2">
        <v>23111</v>
      </c>
    </row>
    <row r="631" spans="1:8">
      <c r="A631" t="s">
        <v>3422</v>
      </c>
      <c r="B631" t="s">
        <v>2924</v>
      </c>
      <c r="C631" t="s">
        <v>10367</v>
      </c>
      <c r="D631" t="s">
        <v>11010</v>
      </c>
      <c r="E631">
        <v>918617404197</v>
      </c>
      <c r="F631" t="s">
        <v>10365</v>
      </c>
      <c r="G631" t="s">
        <v>10379</v>
      </c>
      <c r="H631" s="2">
        <v>20157</v>
      </c>
    </row>
    <row r="632" spans="1:8">
      <c r="A632" t="s">
        <v>3427</v>
      </c>
      <c r="B632" t="s">
        <v>217</v>
      </c>
      <c r="C632" t="s">
        <v>10363</v>
      </c>
      <c r="D632" t="s">
        <v>11011</v>
      </c>
      <c r="E632">
        <v>916746755818</v>
      </c>
      <c r="F632" t="s">
        <v>10388</v>
      </c>
      <c r="G632" t="s">
        <v>10366</v>
      </c>
      <c r="H632" s="2">
        <v>25774</v>
      </c>
    </row>
    <row r="633" spans="1:8">
      <c r="A633" t="s">
        <v>3432</v>
      </c>
      <c r="B633" t="s">
        <v>593</v>
      </c>
      <c r="C633" t="s">
        <v>10367</v>
      </c>
      <c r="D633" t="s">
        <v>11012</v>
      </c>
      <c r="E633">
        <v>918362861077</v>
      </c>
      <c r="F633" t="s">
        <v>10374</v>
      </c>
      <c r="G633" t="s">
        <v>10370</v>
      </c>
      <c r="H633" s="2">
        <v>34573</v>
      </c>
    </row>
    <row r="634" spans="1:8">
      <c r="A634" t="s">
        <v>3437</v>
      </c>
      <c r="B634" t="s">
        <v>524</v>
      </c>
      <c r="C634" t="s">
        <v>10367</v>
      </c>
      <c r="D634" t="s">
        <v>11013</v>
      </c>
      <c r="E634">
        <v>917647757041</v>
      </c>
      <c r="F634" t="s">
        <v>10386</v>
      </c>
      <c r="G634" t="s">
        <v>10366</v>
      </c>
      <c r="H634" s="2">
        <v>28061</v>
      </c>
    </row>
    <row r="635" spans="1:8">
      <c r="A635" t="s">
        <v>3442</v>
      </c>
      <c r="B635" t="s">
        <v>751</v>
      </c>
      <c r="C635" t="s">
        <v>10367</v>
      </c>
      <c r="D635" t="s">
        <v>11014</v>
      </c>
      <c r="E635">
        <v>919382433666</v>
      </c>
      <c r="F635" t="s">
        <v>10376</v>
      </c>
      <c r="G635" t="s">
        <v>10377</v>
      </c>
      <c r="H635" s="2">
        <v>34529</v>
      </c>
    </row>
    <row r="636" spans="1:8">
      <c r="A636" t="s">
        <v>3447</v>
      </c>
      <c r="B636" t="s">
        <v>4081</v>
      </c>
      <c r="C636" t="s">
        <v>10367</v>
      </c>
      <c r="D636" t="s">
        <v>11015</v>
      </c>
      <c r="E636">
        <v>917070364228</v>
      </c>
      <c r="F636" t="s">
        <v>10386</v>
      </c>
      <c r="G636" t="s">
        <v>10366</v>
      </c>
      <c r="H636" s="2">
        <v>23877</v>
      </c>
    </row>
    <row r="637" spans="1:8">
      <c r="A637" t="s">
        <v>3453</v>
      </c>
      <c r="B637" t="s">
        <v>4359</v>
      </c>
      <c r="C637" t="s">
        <v>10363</v>
      </c>
      <c r="D637" t="s">
        <v>11016</v>
      </c>
      <c r="E637">
        <v>918864414002</v>
      </c>
      <c r="F637" t="s">
        <v>10376</v>
      </c>
      <c r="G637" t="s">
        <v>10366</v>
      </c>
      <c r="H637" s="2">
        <v>25100</v>
      </c>
    </row>
    <row r="638" spans="1:8">
      <c r="A638" t="s">
        <v>3458</v>
      </c>
      <c r="B638" t="s">
        <v>100</v>
      </c>
      <c r="C638" t="s">
        <v>10363</v>
      </c>
      <c r="D638" t="s">
        <v>11017</v>
      </c>
      <c r="E638">
        <v>918368435123</v>
      </c>
      <c r="F638" t="s">
        <v>10374</v>
      </c>
      <c r="G638" t="s">
        <v>10370</v>
      </c>
      <c r="H638" s="2">
        <v>23504</v>
      </c>
    </row>
    <row r="639" spans="1:8">
      <c r="A639" t="s">
        <v>3463</v>
      </c>
      <c r="B639" t="s">
        <v>38</v>
      </c>
      <c r="C639" t="s">
        <v>10363</v>
      </c>
      <c r="D639" t="s">
        <v>11018</v>
      </c>
      <c r="E639">
        <v>917279085185</v>
      </c>
      <c r="F639" t="s">
        <v>10402</v>
      </c>
      <c r="G639" t="s">
        <v>10366</v>
      </c>
      <c r="H639" s="2">
        <v>31084</v>
      </c>
    </row>
    <row r="640" spans="1:8">
      <c r="A640" t="s">
        <v>3468</v>
      </c>
      <c r="B640" t="s">
        <v>2463</v>
      </c>
      <c r="C640" t="s">
        <v>10363</v>
      </c>
      <c r="D640" t="s">
        <v>11019</v>
      </c>
      <c r="E640">
        <v>919999560451</v>
      </c>
      <c r="F640" t="s">
        <v>10376</v>
      </c>
      <c r="G640" t="s">
        <v>10366</v>
      </c>
      <c r="H640" s="2">
        <v>26411</v>
      </c>
    </row>
    <row r="641" spans="1:8">
      <c r="A641" t="s">
        <v>3473</v>
      </c>
      <c r="B641" t="s">
        <v>780</v>
      </c>
      <c r="C641" t="s">
        <v>10367</v>
      </c>
      <c r="D641" t="s">
        <v>11020</v>
      </c>
      <c r="E641">
        <v>917058069509</v>
      </c>
      <c r="F641" t="s">
        <v>10369</v>
      </c>
      <c r="G641" t="s">
        <v>10377</v>
      </c>
      <c r="H641" s="2">
        <v>29630</v>
      </c>
    </row>
    <row r="642" spans="1:8">
      <c r="A642" t="s">
        <v>3478</v>
      </c>
      <c r="B642" t="s">
        <v>363</v>
      </c>
      <c r="C642" t="s">
        <v>10363</v>
      </c>
      <c r="D642" t="s">
        <v>11021</v>
      </c>
      <c r="E642">
        <v>918535051628</v>
      </c>
      <c r="F642" t="s">
        <v>10376</v>
      </c>
      <c r="G642" t="s">
        <v>10377</v>
      </c>
      <c r="H642" s="2">
        <v>29629</v>
      </c>
    </row>
    <row r="643" spans="1:8">
      <c r="A643" t="s">
        <v>3483</v>
      </c>
      <c r="B643" t="s">
        <v>2831</v>
      </c>
      <c r="C643" t="s">
        <v>10363</v>
      </c>
      <c r="D643" t="s">
        <v>11022</v>
      </c>
      <c r="E643">
        <v>919852315981</v>
      </c>
      <c r="F643" t="s">
        <v>10384</v>
      </c>
      <c r="G643" t="s">
        <v>10370</v>
      </c>
      <c r="H643" s="2">
        <v>36375</v>
      </c>
    </row>
    <row r="644" spans="1:8">
      <c r="A644" t="s">
        <v>3488</v>
      </c>
      <c r="B644" t="s">
        <v>679</v>
      </c>
      <c r="C644" t="s">
        <v>10367</v>
      </c>
      <c r="D644" t="s">
        <v>11023</v>
      </c>
      <c r="E644">
        <v>916561776248</v>
      </c>
      <c r="F644" t="s">
        <v>10386</v>
      </c>
      <c r="G644" t="s">
        <v>10377</v>
      </c>
      <c r="H644" s="2">
        <v>31387</v>
      </c>
    </row>
    <row r="645" spans="1:8">
      <c r="A645" t="s">
        <v>3493</v>
      </c>
      <c r="B645" t="s">
        <v>106</v>
      </c>
      <c r="C645" t="s">
        <v>10363</v>
      </c>
      <c r="D645" t="s">
        <v>11024</v>
      </c>
      <c r="E645">
        <v>918635153946</v>
      </c>
      <c r="F645" t="s">
        <v>10386</v>
      </c>
      <c r="G645" t="s">
        <v>10379</v>
      </c>
      <c r="H645" s="2">
        <v>33208</v>
      </c>
    </row>
    <row r="646" spans="1:8">
      <c r="A646" t="s">
        <v>3499</v>
      </c>
      <c r="B646" t="s">
        <v>432</v>
      </c>
      <c r="C646" t="s">
        <v>10363</v>
      </c>
      <c r="D646" t="s">
        <v>11025</v>
      </c>
      <c r="E646">
        <v>918464627621</v>
      </c>
      <c r="F646" t="s">
        <v>10376</v>
      </c>
      <c r="G646" t="s">
        <v>10377</v>
      </c>
      <c r="H646" s="2">
        <v>23052</v>
      </c>
    </row>
    <row r="647" spans="1:8">
      <c r="A647" t="s">
        <v>3504</v>
      </c>
      <c r="B647" t="s">
        <v>9536</v>
      </c>
      <c r="C647" t="s">
        <v>10367</v>
      </c>
      <c r="D647" t="s">
        <v>11026</v>
      </c>
      <c r="E647">
        <v>919362947464</v>
      </c>
      <c r="F647" t="s">
        <v>10365</v>
      </c>
      <c r="G647" t="s">
        <v>10379</v>
      </c>
      <c r="H647" s="2">
        <v>24279</v>
      </c>
    </row>
    <row r="648" spans="1:8">
      <c r="A648" t="s">
        <v>3509</v>
      </c>
      <c r="B648" t="s">
        <v>1140</v>
      </c>
      <c r="C648" t="s">
        <v>10367</v>
      </c>
      <c r="D648" t="s">
        <v>11027</v>
      </c>
      <c r="E648">
        <v>917669026060</v>
      </c>
      <c r="F648" t="s">
        <v>10372</v>
      </c>
      <c r="G648" t="s">
        <v>10366</v>
      </c>
      <c r="H648" s="2">
        <v>29338</v>
      </c>
    </row>
    <row r="649" spans="1:8">
      <c r="A649" t="s">
        <v>3514</v>
      </c>
      <c r="B649" t="s">
        <v>2085</v>
      </c>
      <c r="C649" t="s">
        <v>10367</v>
      </c>
      <c r="D649" t="s">
        <v>11028</v>
      </c>
      <c r="E649">
        <v>919696139649</v>
      </c>
      <c r="F649" t="s">
        <v>10369</v>
      </c>
      <c r="G649" t="s">
        <v>10366</v>
      </c>
      <c r="H649" s="2">
        <v>20192</v>
      </c>
    </row>
    <row r="650" spans="1:8">
      <c r="A650" t="s">
        <v>3519</v>
      </c>
      <c r="B650" t="s">
        <v>1666</v>
      </c>
      <c r="C650" t="s">
        <v>10363</v>
      </c>
      <c r="D650" t="s">
        <v>11029</v>
      </c>
      <c r="E650">
        <v>918868048462</v>
      </c>
      <c r="F650" t="s">
        <v>10402</v>
      </c>
      <c r="G650" t="s">
        <v>10370</v>
      </c>
      <c r="H650" s="2">
        <v>35269</v>
      </c>
    </row>
    <row r="651" spans="1:8">
      <c r="A651" t="s">
        <v>3524</v>
      </c>
      <c r="B651" t="s">
        <v>961</v>
      </c>
      <c r="C651" t="s">
        <v>10363</v>
      </c>
      <c r="D651" t="s">
        <v>11030</v>
      </c>
      <c r="E651">
        <v>918664691681</v>
      </c>
      <c r="F651" t="s">
        <v>10386</v>
      </c>
      <c r="G651" t="s">
        <v>10379</v>
      </c>
      <c r="H651" s="2">
        <v>35809</v>
      </c>
    </row>
    <row r="652" spans="1:8">
      <c r="A652" t="s">
        <v>3530</v>
      </c>
      <c r="B652" t="s">
        <v>2313</v>
      </c>
      <c r="C652" t="s">
        <v>10363</v>
      </c>
      <c r="D652" t="s">
        <v>10829</v>
      </c>
      <c r="E652">
        <v>916947786054</v>
      </c>
      <c r="F652" t="s">
        <v>10369</v>
      </c>
      <c r="G652" t="s">
        <v>10377</v>
      </c>
      <c r="H652" s="2">
        <v>20864</v>
      </c>
    </row>
    <row r="653" spans="1:8">
      <c r="A653" t="s">
        <v>3535</v>
      </c>
      <c r="B653" t="s">
        <v>691</v>
      </c>
      <c r="C653" t="s">
        <v>10367</v>
      </c>
      <c r="D653" t="s">
        <v>11031</v>
      </c>
      <c r="E653">
        <v>917723794158</v>
      </c>
      <c r="F653" t="s">
        <v>10376</v>
      </c>
      <c r="G653" t="s">
        <v>10366</v>
      </c>
      <c r="H653" s="2">
        <v>37166</v>
      </c>
    </row>
    <row r="654" spans="1:8">
      <c r="A654" t="s">
        <v>3540</v>
      </c>
      <c r="B654" t="s">
        <v>1108</v>
      </c>
      <c r="C654" t="s">
        <v>10363</v>
      </c>
      <c r="D654" t="s">
        <v>11032</v>
      </c>
      <c r="E654">
        <v>917168984301</v>
      </c>
      <c r="F654" t="s">
        <v>10372</v>
      </c>
      <c r="G654" t="s">
        <v>10370</v>
      </c>
      <c r="H654" s="2">
        <v>31365</v>
      </c>
    </row>
    <row r="655" spans="1:8">
      <c r="A655" t="s">
        <v>3545</v>
      </c>
      <c r="B655" t="s">
        <v>1030</v>
      </c>
      <c r="C655" t="s">
        <v>10363</v>
      </c>
      <c r="D655" t="s">
        <v>11033</v>
      </c>
      <c r="E655">
        <v>917208805021</v>
      </c>
      <c r="F655" t="s">
        <v>10388</v>
      </c>
      <c r="G655" t="s">
        <v>10366</v>
      </c>
      <c r="H655" s="2">
        <v>22252</v>
      </c>
    </row>
    <row r="656" spans="1:8">
      <c r="A656" t="s">
        <v>3550</v>
      </c>
      <c r="B656" t="s">
        <v>38</v>
      </c>
      <c r="C656" t="s">
        <v>10363</v>
      </c>
      <c r="D656" t="s">
        <v>11034</v>
      </c>
      <c r="E656">
        <v>916161908393</v>
      </c>
      <c r="F656" t="s">
        <v>10402</v>
      </c>
      <c r="G656" t="s">
        <v>10366</v>
      </c>
      <c r="H656" s="2">
        <v>32543</v>
      </c>
    </row>
    <row r="657" spans="1:8">
      <c r="A657" t="s">
        <v>3555</v>
      </c>
      <c r="B657" t="s">
        <v>1431</v>
      </c>
      <c r="C657" t="s">
        <v>10367</v>
      </c>
      <c r="D657" t="s">
        <v>11035</v>
      </c>
      <c r="E657">
        <v>918847205829</v>
      </c>
      <c r="F657" t="s">
        <v>10402</v>
      </c>
      <c r="G657" t="s">
        <v>10377</v>
      </c>
      <c r="H657" s="2">
        <v>21326</v>
      </c>
    </row>
    <row r="658" spans="1:8">
      <c r="A658" t="s">
        <v>3560</v>
      </c>
      <c r="B658" t="s">
        <v>853</v>
      </c>
      <c r="C658" t="s">
        <v>10363</v>
      </c>
      <c r="D658" t="s">
        <v>11036</v>
      </c>
      <c r="E658">
        <v>918413003861</v>
      </c>
      <c r="F658" t="s">
        <v>10386</v>
      </c>
      <c r="G658" t="s">
        <v>10379</v>
      </c>
      <c r="H658" s="2">
        <v>22845</v>
      </c>
    </row>
    <row r="659" spans="1:8">
      <c r="A659" t="s">
        <v>3565</v>
      </c>
      <c r="B659" t="s">
        <v>558</v>
      </c>
      <c r="C659" t="s">
        <v>10363</v>
      </c>
      <c r="D659" t="s">
        <v>11037</v>
      </c>
      <c r="E659">
        <v>917058485255</v>
      </c>
      <c r="F659" t="s">
        <v>10372</v>
      </c>
      <c r="G659" t="s">
        <v>10370</v>
      </c>
      <c r="H659" s="2">
        <v>22745</v>
      </c>
    </row>
    <row r="660" spans="1:8">
      <c r="A660" t="s">
        <v>3570</v>
      </c>
      <c r="B660" t="s">
        <v>151</v>
      </c>
      <c r="C660" t="s">
        <v>10367</v>
      </c>
      <c r="D660" t="s">
        <v>11038</v>
      </c>
      <c r="E660">
        <v>919814597420</v>
      </c>
      <c r="F660" t="s">
        <v>10381</v>
      </c>
      <c r="G660" t="s">
        <v>10377</v>
      </c>
      <c r="H660" s="2">
        <v>24996</v>
      </c>
    </row>
    <row r="661" spans="1:8">
      <c r="A661" t="s">
        <v>3575</v>
      </c>
      <c r="B661" t="s">
        <v>1751</v>
      </c>
      <c r="C661" t="s">
        <v>10367</v>
      </c>
      <c r="D661" t="s">
        <v>11039</v>
      </c>
      <c r="E661">
        <v>918085908698</v>
      </c>
      <c r="F661" t="s">
        <v>10369</v>
      </c>
      <c r="G661" t="s">
        <v>10377</v>
      </c>
      <c r="H661" s="2">
        <v>25094</v>
      </c>
    </row>
    <row r="662" spans="1:8">
      <c r="A662" t="s">
        <v>3580</v>
      </c>
      <c r="B662" t="s">
        <v>786</v>
      </c>
      <c r="C662" t="s">
        <v>10367</v>
      </c>
      <c r="D662" t="s">
        <v>11040</v>
      </c>
      <c r="E662">
        <v>919396098016</v>
      </c>
      <c r="F662" t="s">
        <v>10365</v>
      </c>
      <c r="G662" t="s">
        <v>10377</v>
      </c>
      <c r="H662" s="2">
        <v>24923</v>
      </c>
    </row>
    <row r="663" spans="1:8">
      <c r="A663" t="s">
        <v>3585</v>
      </c>
      <c r="B663" t="s">
        <v>1036</v>
      </c>
      <c r="C663" t="s">
        <v>10363</v>
      </c>
      <c r="D663" t="s">
        <v>11041</v>
      </c>
      <c r="E663">
        <v>917303329770</v>
      </c>
      <c r="F663" t="s">
        <v>10365</v>
      </c>
      <c r="G663" t="s">
        <v>10377</v>
      </c>
      <c r="H663" s="2">
        <v>24003</v>
      </c>
    </row>
    <row r="664" spans="1:8">
      <c r="A664" t="s">
        <v>3591</v>
      </c>
      <c r="B664" t="s">
        <v>7311</v>
      </c>
      <c r="C664" t="s">
        <v>10363</v>
      </c>
      <c r="D664" t="s">
        <v>11042</v>
      </c>
      <c r="E664">
        <v>916569169106</v>
      </c>
      <c r="F664" t="s">
        <v>10384</v>
      </c>
      <c r="G664" t="s">
        <v>10379</v>
      </c>
      <c r="H664" s="2">
        <v>34830</v>
      </c>
    </row>
    <row r="665" spans="1:8">
      <c r="A665" t="s">
        <v>3596</v>
      </c>
      <c r="B665" t="s">
        <v>1551</v>
      </c>
      <c r="C665" t="s">
        <v>10367</v>
      </c>
      <c r="D665" t="s">
        <v>11043</v>
      </c>
      <c r="E665">
        <v>916915372472</v>
      </c>
      <c r="F665" t="s">
        <v>10386</v>
      </c>
      <c r="G665" t="s">
        <v>10379</v>
      </c>
      <c r="H665" s="2">
        <v>31944</v>
      </c>
    </row>
    <row r="666" spans="1:8">
      <c r="A666" t="s">
        <v>3601</v>
      </c>
      <c r="B666" t="s">
        <v>229</v>
      </c>
      <c r="C666" t="s">
        <v>10367</v>
      </c>
      <c r="D666" t="s">
        <v>11044</v>
      </c>
      <c r="E666">
        <v>917025819073</v>
      </c>
      <c r="F666" t="s">
        <v>10384</v>
      </c>
      <c r="G666" t="s">
        <v>10377</v>
      </c>
      <c r="H666" s="2">
        <v>21140</v>
      </c>
    </row>
    <row r="667" spans="1:8">
      <c r="A667" t="s">
        <v>3606</v>
      </c>
      <c r="B667" t="s">
        <v>1213</v>
      </c>
      <c r="C667" t="s">
        <v>10367</v>
      </c>
      <c r="D667" t="s">
        <v>11045</v>
      </c>
      <c r="E667">
        <v>917229511931</v>
      </c>
      <c r="F667" t="s">
        <v>10381</v>
      </c>
      <c r="G667" t="s">
        <v>10370</v>
      </c>
      <c r="H667" s="2">
        <v>35128</v>
      </c>
    </row>
    <row r="668" spans="1:8">
      <c r="A668" t="s">
        <v>3611</v>
      </c>
      <c r="B668" t="s">
        <v>982</v>
      </c>
      <c r="C668" t="s">
        <v>10367</v>
      </c>
      <c r="D668" t="s">
        <v>11046</v>
      </c>
      <c r="E668">
        <v>916353910316</v>
      </c>
      <c r="F668" t="s">
        <v>10374</v>
      </c>
      <c r="G668" t="s">
        <v>10370</v>
      </c>
      <c r="H668" s="2">
        <v>27773</v>
      </c>
    </row>
    <row r="669" spans="1:8">
      <c r="A669" t="s">
        <v>3616</v>
      </c>
      <c r="B669" t="s">
        <v>100</v>
      </c>
      <c r="C669" t="s">
        <v>10363</v>
      </c>
      <c r="D669" t="s">
        <v>11047</v>
      </c>
      <c r="E669">
        <v>917745989914</v>
      </c>
      <c r="F669" t="s">
        <v>10384</v>
      </c>
      <c r="G669" t="s">
        <v>10366</v>
      </c>
      <c r="H669" s="2">
        <v>28282</v>
      </c>
    </row>
    <row r="670" spans="1:8">
      <c r="A670" t="s">
        <v>3621</v>
      </c>
      <c r="B670" t="s">
        <v>1250</v>
      </c>
      <c r="C670" t="s">
        <v>10363</v>
      </c>
      <c r="D670" t="s">
        <v>11048</v>
      </c>
      <c r="E670">
        <v>919837214810</v>
      </c>
      <c r="F670" t="s">
        <v>10402</v>
      </c>
      <c r="G670" t="s">
        <v>10377</v>
      </c>
      <c r="H670" s="2">
        <v>23327</v>
      </c>
    </row>
    <row r="671" spans="1:8">
      <c r="A671" t="s">
        <v>3626</v>
      </c>
      <c r="B671" t="s">
        <v>1367</v>
      </c>
      <c r="C671" t="s">
        <v>10367</v>
      </c>
      <c r="D671" t="s">
        <v>11049</v>
      </c>
      <c r="E671">
        <v>918565000359</v>
      </c>
      <c r="F671" t="s">
        <v>10369</v>
      </c>
      <c r="G671" t="s">
        <v>10366</v>
      </c>
      <c r="H671" s="2">
        <v>32398</v>
      </c>
    </row>
    <row r="672" spans="1:8">
      <c r="A672" t="s">
        <v>3631</v>
      </c>
      <c r="B672" t="s">
        <v>655</v>
      </c>
      <c r="C672" t="s">
        <v>10367</v>
      </c>
      <c r="D672" t="s">
        <v>11050</v>
      </c>
      <c r="E672">
        <v>918567893482</v>
      </c>
      <c r="F672" t="s">
        <v>10376</v>
      </c>
      <c r="G672" t="s">
        <v>10377</v>
      </c>
      <c r="H672" s="2">
        <v>20610</v>
      </c>
    </row>
    <row r="673" spans="1:8">
      <c r="A673" t="s">
        <v>3636</v>
      </c>
      <c r="B673" t="s">
        <v>1282</v>
      </c>
      <c r="C673" t="s">
        <v>10363</v>
      </c>
      <c r="D673" t="s">
        <v>11051</v>
      </c>
      <c r="E673">
        <v>918849315791</v>
      </c>
      <c r="F673" t="s">
        <v>10386</v>
      </c>
      <c r="G673" t="s">
        <v>10370</v>
      </c>
      <c r="H673" s="2">
        <v>28666</v>
      </c>
    </row>
    <row r="674" spans="1:8">
      <c r="A674" t="s">
        <v>3641</v>
      </c>
      <c r="B674" t="s">
        <v>118</v>
      </c>
      <c r="C674" t="s">
        <v>10367</v>
      </c>
      <c r="D674" t="s">
        <v>11052</v>
      </c>
      <c r="E674">
        <v>917957151067</v>
      </c>
      <c r="F674" t="s">
        <v>10381</v>
      </c>
      <c r="G674" t="s">
        <v>10379</v>
      </c>
      <c r="H674" s="2">
        <v>29305</v>
      </c>
    </row>
    <row r="675" spans="1:8">
      <c r="A675" t="s">
        <v>3646</v>
      </c>
      <c r="B675" t="s">
        <v>163</v>
      </c>
      <c r="C675" t="s">
        <v>10363</v>
      </c>
      <c r="D675" t="s">
        <v>11053</v>
      </c>
      <c r="E675">
        <v>917644034370</v>
      </c>
      <c r="F675" t="s">
        <v>10388</v>
      </c>
      <c r="G675" t="s">
        <v>10379</v>
      </c>
      <c r="H675" s="2">
        <v>20761</v>
      </c>
    </row>
    <row r="676" spans="1:8">
      <c r="A676" t="s">
        <v>3651</v>
      </c>
      <c r="B676" t="s">
        <v>392</v>
      </c>
      <c r="C676" t="s">
        <v>10367</v>
      </c>
      <c r="D676" t="s">
        <v>11054</v>
      </c>
      <c r="E676">
        <v>919515051825</v>
      </c>
      <c r="F676" t="s">
        <v>10386</v>
      </c>
      <c r="G676" t="s">
        <v>10379</v>
      </c>
      <c r="H676" s="2">
        <v>24229</v>
      </c>
    </row>
    <row r="677" spans="1:8">
      <c r="A677" t="s">
        <v>3656</v>
      </c>
      <c r="B677" t="s">
        <v>404</v>
      </c>
      <c r="C677" t="s">
        <v>10363</v>
      </c>
      <c r="D677" t="s">
        <v>11055</v>
      </c>
      <c r="E677">
        <v>916014733383</v>
      </c>
      <c r="F677" t="s">
        <v>10386</v>
      </c>
      <c r="G677" t="s">
        <v>10379</v>
      </c>
      <c r="H677" s="2">
        <v>32783</v>
      </c>
    </row>
    <row r="678" spans="1:8">
      <c r="A678" t="s">
        <v>3661</v>
      </c>
      <c r="B678" t="s">
        <v>871</v>
      </c>
      <c r="C678" t="s">
        <v>10363</v>
      </c>
      <c r="D678" t="s">
        <v>11056</v>
      </c>
      <c r="E678">
        <v>916604381788</v>
      </c>
      <c r="F678" t="s">
        <v>10388</v>
      </c>
      <c r="G678" t="s">
        <v>10379</v>
      </c>
      <c r="H678" s="2">
        <v>29652</v>
      </c>
    </row>
    <row r="679" spans="1:8">
      <c r="A679" t="s">
        <v>3666</v>
      </c>
      <c r="B679" t="s">
        <v>2175</v>
      </c>
      <c r="C679" t="s">
        <v>10367</v>
      </c>
      <c r="D679" t="s">
        <v>11057</v>
      </c>
      <c r="E679">
        <v>916601325463</v>
      </c>
      <c r="F679" t="s">
        <v>10376</v>
      </c>
      <c r="G679" t="s">
        <v>10370</v>
      </c>
      <c r="H679" s="2">
        <v>32938</v>
      </c>
    </row>
    <row r="680" spans="1:8">
      <c r="A680" t="s">
        <v>3671</v>
      </c>
      <c r="B680" t="s">
        <v>2196</v>
      </c>
      <c r="C680" t="s">
        <v>10367</v>
      </c>
      <c r="D680" t="s">
        <v>11058</v>
      </c>
      <c r="E680">
        <v>917192789721</v>
      </c>
      <c r="F680" t="s">
        <v>10365</v>
      </c>
      <c r="G680" t="s">
        <v>10366</v>
      </c>
      <c r="H680" s="2">
        <v>23627</v>
      </c>
    </row>
    <row r="681" spans="1:8">
      <c r="A681" t="s">
        <v>3676</v>
      </c>
      <c r="B681" t="s">
        <v>927</v>
      </c>
      <c r="C681" t="s">
        <v>10367</v>
      </c>
      <c r="D681" t="s">
        <v>11059</v>
      </c>
      <c r="E681">
        <v>916137223267</v>
      </c>
      <c r="F681" t="s">
        <v>10388</v>
      </c>
      <c r="G681" t="s">
        <v>10366</v>
      </c>
      <c r="H681" s="2">
        <v>21939</v>
      </c>
    </row>
    <row r="682" spans="1:8">
      <c r="A682" t="s">
        <v>3681</v>
      </c>
      <c r="B682" t="s">
        <v>1594</v>
      </c>
      <c r="C682" t="s">
        <v>10363</v>
      </c>
      <c r="D682" t="s">
        <v>11060</v>
      </c>
      <c r="E682">
        <v>916979995695</v>
      </c>
      <c r="F682" t="s">
        <v>10374</v>
      </c>
      <c r="G682" t="s">
        <v>10377</v>
      </c>
      <c r="H682" s="2">
        <v>36564</v>
      </c>
    </row>
    <row r="683" spans="1:8">
      <c r="A683" t="s">
        <v>3686</v>
      </c>
      <c r="B683" t="s">
        <v>829</v>
      </c>
      <c r="C683" t="s">
        <v>10367</v>
      </c>
      <c r="D683" t="s">
        <v>11061</v>
      </c>
      <c r="E683">
        <v>919349080974</v>
      </c>
      <c r="F683" t="s">
        <v>10365</v>
      </c>
      <c r="G683" t="s">
        <v>10370</v>
      </c>
      <c r="H683" s="2">
        <v>24063</v>
      </c>
    </row>
    <row r="684" spans="1:8">
      <c r="A684" t="s">
        <v>3691</v>
      </c>
      <c r="B684" t="s">
        <v>610</v>
      </c>
      <c r="C684" t="s">
        <v>10363</v>
      </c>
      <c r="D684" t="s">
        <v>11062</v>
      </c>
      <c r="E684">
        <v>918746874685</v>
      </c>
      <c r="F684" t="s">
        <v>10374</v>
      </c>
      <c r="G684" t="s">
        <v>10379</v>
      </c>
      <c r="H684" s="2">
        <v>32893</v>
      </c>
    </row>
    <row r="685" spans="1:8">
      <c r="A685" t="s">
        <v>3696</v>
      </c>
      <c r="B685" t="s">
        <v>2313</v>
      </c>
      <c r="C685" t="s">
        <v>10363</v>
      </c>
      <c r="D685" t="s">
        <v>11063</v>
      </c>
      <c r="E685">
        <v>919979863752</v>
      </c>
      <c r="F685" t="s">
        <v>10384</v>
      </c>
      <c r="G685" t="s">
        <v>10377</v>
      </c>
      <c r="H685" s="2">
        <v>21560</v>
      </c>
    </row>
    <row r="686" spans="1:8">
      <c r="A686" t="s">
        <v>3701</v>
      </c>
      <c r="B686" t="s">
        <v>2329</v>
      </c>
      <c r="C686" t="s">
        <v>10367</v>
      </c>
      <c r="D686" t="s">
        <v>11064</v>
      </c>
      <c r="E686">
        <v>916331577038</v>
      </c>
      <c r="F686" t="s">
        <v>10369</v>
      </c>
      <c r="G686" t="s">
        <v>10366</v>
      </c>
      <c r="H686" s="2">
        <v>23279</v>
      </c>
    </row>
    <row r="687" spans="1:8">
      <c r="A687" t="s">
        <v>3706</v>
      </c>
      <c r="B687" t="s">
        <v>2101</v>
      </c>
      <c r="C687" t="s">
        <v>10363</v>
      </c>
      <c r="D687" t="s">
        <v>11065</v>
      </c>
      <c r="E687">
        <v>917760895364</v>
      </c>
      <c r="F687" t="s">
        <v>10365</v>
      </c>
      <c r="G687" t="s">
        <v>10366</v>
      </c>
      <c r="H687" s="2">
        <v>37200</v>
      </c>
    </row>
    <row r="688" spans="1:8">
      <c r="A688" t="s">
        <v>3711</v>
      </c>
      <c r="B688" t="s">
        <v>80</v>
      </c>
      <c r="C688" t="s">
        <v>10363</v>
      </c>
      <c r="D688" t="s">
        <v>11066</v>
      </c>
      <c r="E688">
        <v>918895386368</v>
      </c>
      <c r="F688" t="s">
        <v>10384</v>
      </c>
      <c r="G688" t="s">
        <v>10370</v>
      </c>
      <c r="H688" s="2">
        <v>20644</v>
      </c>
    </row>
    <row r="689" spans="1:8">
      <c r="A689" t="s">
        <v>3716</v>
      </c>
      <c r="B689" t="s">
        <v>1453</v>
      </c>
      <c r="C689" t="s">
        <v>10363</v>
      </c>
      <c r="D689" t="s">
        <v>11067</v>
      </c>
      <c r="E689">
        <v>918893470400</v>
      </c>
      <c r="F689" t="s">
        <v>10376</v>
      </c>
      <c r="G689" t="s">
        <v>10379</v>
      </c>
      <c r="H689" s="2">
        <v>33171</v>
      </c>
    </row>
    <row r="690" spans="1:8">
      <c r="A690" t="s">
        <v>3721</v>
      </c>
      <c r="B690" t="s">
        <v>1014</v>
      </c>
      <c r="C690" t="s">
        <v>10367</v>
      </c>
      <c r="D690" t="s">
        <v>11068</v>
      </c>
      <c r="E690">
        <v>919115506327</v>
      </c>
      <c r="F690" t="s">
        <v>10365</v>
      </c>
      <c r="G690" t="s">
        <v>10366</v>
      </c>
      <c r="H690" s="2">
        <v>25915</v>
      </c>
    </row>
    <row r="691" spans="1:8">
      <c r="A691" t="s">
        <v>3726</v>
      </c>
      <c r="B691" t="s">
        <v>130</v>
      </c>
      <c r="C691" t="s">
        <v>10363</v>
      </c>
      <c r="D691" t="s">
        <v>11069</v>
      </c>
      <c r="E691">
        <v>917387974037</v>
      </c>
      <c r="F691" t="s">
        <v>10374</v>
      </c>
      <c r="G691" t="s">
        <v>10379</v>
      </c>
      <c r="H691" s="2">
        <v>28782</v>
      </c>
    </row>
    <row r="692" spans="1:8">
      <c r="A692" t="s">
        <v>3731</v>
      </c>
      <c r="B692" t="s">
        <v>1763</v>
      </c>
      <c r="C692" t="s">
        <v>10367</v>
      </c>
      <c r="D692" t="s">
        <v>11070</v>
      </c>
      <c r="E692">
        <v>916801322673</v>
      </c>
      <c r="F692" t="s">
        <v>10369</v>
      </c>
      <c r="G692" t="s">
        <v>10377</v>
      </c>
      <c r="H692" s="2">
        <v>29873</v>
      </c>
    </row>
    <row r="693" spans="1:8">
      <c r="A693" t="s">
        <v>3736</v>
      </c>
      <c r="B693" t="s">
        <v>882</v>
      </c>
      <c r="C693" t="s">
        <v>10363</v>
      </c>
      <c r="D693" t="s">
        <v>11071</v>
      </c>
      <c r="E693">
        <v>918232618078</v>
      </c>
      <c r="F693" t="s">
        <v>10369</v>
      </c>
      <c r="G693" t="s">
        <v>10379</v>
      </c>
      <c r="H693" s="2">
        <v>20273</v>
      </c>
    </row>
    <row r="694" spans="1:8">
      <c r="A694" t="s">
        <v>3741</v>
      </c>
      <c r="B694" t="s">
        <v>163</v>
      </c>
      <c r="C694" t="s">
        <v>10363</v>
      </c>
      <c r="D694" t="s">
        <v>11072</v>
      </c>
      <c r="E694">
        <v>917033337951</v>
      </c>
      <c r="F694" t="s">
        <v>10376</v>
      </c>
      <c r="G694" t="s">
        <v>10379</v>
      </c>
      <c r="H694" s="2">
        <v>26465</v>
      </c>
    </row>
    <row r="695" spans="1:8">
      <c r="A695" t="s">
        <v>3746</v>
      </c>
      <c r="B695" t="s">
        <v>1983</v>
      </c>
      <c r="C695" t="s">
        <v>10363</v>
      </c>
      <c r="D695" t="s">
        <v>11073</v>
      </c>
      <c r="E695">
        <v>917907649934</v>
      </c>
      <c r="F695" t="s">
        <v>10386</v>
      </c>
      <c r="G695" t="s">
        <v>10377</v>
      </c>
      <c r="H695" s="2">
        <v>25406</v>
      </c>
    </row>
    <row r="696" spans="1:8">
      <c r="A696" t="s">
        <v>3751</v>
      </c>
      <c r="B696" t="s">
        <v>961</v>
      </c>
      <c r="C696" t="s">
        <v>10363</v>
      </c>
      <c r="D696" t="s">
        <v>11074</v>
      </c>
      <c r="E696">
        <v>916601353052</v>
      </c>
      <c r="F696" t="s">
        <v>10374</v>
      </c>
      <c r="G696" t="s">
        <v>10370</v>
      </c>
      <c r="H696" s="2">
        <v>34716</v>
      </c>
    </row>
    <row r="697" spans="1:8">
      <c r="A697" t="s">
        <v>3756</v>
      </c>
      <c r="B697" t="s">
        <v>751</v>
      </c>
      <c r="C697" t="s">
        <v>10367</v>
      </c>
      <c r="D697" t="s">
        <v>11075</v>
      </c>
      <c r="E697">
        <v>916690325861</v>
      </c>
      <c r="F697" t="s">
        <v>10369</v>
      </c>
      <c r="G697" t="s">
        <v>10379</v>
      </c>
      <c r="H697" s="2">
        <v>26794</v>
      </c>
    </row>
    <row r="698" spans="1:8">
      <c r="A698" t="s">
        <v>3761</v>
      </c>
      <c r="B698" t="s">
        <v>2276</v>
      </c>
      <c r="C698" t="s">
        <v>10367</v>
      </c>
      <c r="D698" t="s">
        <v>11076</v>
      </c>
      <c r="E698">
        <v>918282791273</v>
      </c>
      <c r="F698" t="s">
        <v>10372</v>
      </c>
      <c r="G698" t="s">
        <v>10370</v>
      </c>
      <c r="H698" s="2">
        <v>25907</v>
      </c>
    </row>
    <row r="699" spans="1:8">
      <c r="A699" t="s">
        <v>3767</v>
      </c>
      <c r="B699" t="s">
        <v>1074</v>
      </c>
      <c r="C699" t="s">
        <v>10363</v>
      </c>
      <c r="D699" t="s">
        <v>11077</v>
      </c>
      <c r="E699">
        <v>916020475920</v>
      </c>
      <c r="F699" t="s">
        <v>10388</v>
      </c>
      <c r="G699" t="s">
        <v>10366</v>
      </c>
      <c r="H699" s="2">
        <v>22151</v>
      </c>
    </row>
    <row r="700" spans="1:8">
      <c r="A700" t="s">
        <v>3772</v>
      </c>
      <c r="B700" t="s">
        <v>823</v>
      </c>
      <c r="C700" t="s">
        <v>10367</v>
      </c>
      <c r="D700" t="s">
        <v>11078</v>
      </c>
      <c r="E700">
        <v>919749959769</v>
      </c>
      <c r="F700" t="s">
        <v>10386</v>
      </c>
      <c r="G700" t="s">
        <v>10377</v>
      </c>
      <c r="H700" s="2">
        <v>27648</v>
      </c>
    </row>
    <row r="701" spans="1:8">
      <c r="A701" t="s">
        <v>3777</v>
      </c>
      <c r="B701" t="s">
        <v>1431</v>
      </c>
      <c r="C701" t="s">
        <v>10367</v>
      </c>
      <c r="D701" t="s">
        <v>11079</v>
      </c>
      <c r="E701">
        <v>916747827533</v>
      </c>
      <c r="F701" t="s">
        <v>10365</v>
      </c>
      <c r="G701" t="s">
        <v>10379</v>
      </c>
      <c r="H701" s="2">
        <v>20157</v>
      </c>
    </row>
    <row r="702" spans="1:8">
      <c r="A702" t="s">
        <v>3782</v>
      </c>
      <c r="B702" t="s">
        <v>6028</v>
      </c>
      <c r="C702" t="s">
        <v>10367</v>
      </c>
      <c r="D702" t="s">
        <v>11080</v>
      </c>
      <c r="E702">
        <v>916951864551</v>
      </c>
      <c r="F702" t="s">
        <v>10381</v>
      </c>
      <c r="G702" t="s">
        <v>10366</v>
      </c>
      <c r="H702" s="2">
        <v>36078</v>
      </c>
    </row>
    <row r="703" spans="1:8">
      <c r="A703" t="s">
        <v>3788</v>
      </c>
      <c r="B703" t="s">
        <v>1164</v>
      </c>
      <c r="C703" t="s">
        <v>10367</v>
      </c>
      <c r="D703" t="s">
        <v>11081</v>
      </c>
      <c r="E703">
        <v>919958338865</v>
      </c>
      <c r="F703" t="s">
        <v>10381</v>
      </c>
      <c r="G703" t="s">
        <v>10379</v>
      </c>
      <c r="H703" s="2">
        <v>25212</v>
      </c>
    </row>
    <row r="704" spans="1:8">
      <c r="A704" t="s">
        <v>3793</v>
      </c>
      <c r="B704" t="s">
        <v>1140</v>
      </c>
      <c r="C704" t="s">
        <v>10367</v>
      </c>
      <c r="D704" t="s">
        <v>11082</v>
      </c>
      <c r="E704">
        <v>916789505175</v>
      </c>
      <c r="F704" t="s">
        <v>10369</v>
      </c>
      <c r="G704" t="s">
        <v>10377</v>
      </c>
      <c r="H704" s="2">
        <v>30379</v>
      </c>
    </row>
    <row r="705" spans="1:8">
      <c r="A705" t="s">
        <v>3798</v>
      </c>
      <c r="B705" t="s">
        <v>841</v>
      </c>
      <c r="C705" t="s">
        <v>10367</v>
      </c>
      <c r="D705" t="s">
        <v>11083</v>
      </c>
      <c r="E705">
        <v>916113570978</v>
      </c>
      <c r="F705" t="s">
        <v>10372</v>
      </c>
      <c r="G705" t="s">
        <v>10377</v>
      </c>
      <c r="H705" s="2">
        <v>29816</v>
      </c>
    </row>
    <row r="706" spans="1:8">
      <c r="A706" t="s">
        <v>3803</v>
      </c>
      <c r="B706" t="s">
        <v>80</v>
      </c>
      <c r="C706" t="s">
        <v>10363</v>
      </c>
      <c r="D706" t="s">
        <v>11084</v>
      </c>
      <c r="E706">
        <v>918535492230</v>
      </c>
      <c r="F706" t="s">
        <v>10381</v>
      </c>
      <c r="G706" t="s">
        <v>10379</v>
      </c>
      <c r="H706" s="2">
        <v>29135</v>
      </c>
    </row>
    <row r="707" spans="1:8">
      <c r="A707" t="s">
        <v>3808</v>
      </c>
      <c r="B707" t="s">
        <v>247</v>
      </c>
      <c r="C707" t="s">
        <v>10367</v>
      </c>
      <c r="D707" t="s">
        <v>11085</v>
      </c>
      <c r="E707">
        <v>919519325045</v>
      </c>
      <c r="F707" t="s">
        <v>10374</v>
      </c>
      <c r="G707" t="s">
        <v>10377</v>
      </c>
      <c r="H707" s="2">
        <v>24895</v>
      </c>
    </row>
    <row r="708" spans="1:8">
      <c r="A708" t="s">
        <v>3813</v>
      </c>
      <c r="B708" t="s">
        <v>6268</v>
      </c>
      <c r="C708" t="s">
        <v>10367</v>
      </c>
      <c r="D708" t="s">
        <v>11086</v>
      </c>
      <c r="E708">
        <v>918283371340</v>
      </c>
      <c r="F708" t="s">
        <v>10374</v>
      </c>
      <c r="G708" t="s">
        <v>10377</v>
      </c>
      <c r="H708" s="2">
        <v>24168</v>
      </c>
    </row>
    <row r="709" spans="1:8">
      <c r="A709" t="s">
        <v>3818</v>
      </c>
      <c r="B709" t="s">
        <v>1158</v>
      </c>
      <c r="C709" t="s">
        <v>10367</v>
      </c>
      <c r="D709" t="s">
        <v>11087</v>
      </c>
      <c r="E709">
        <v>917028041343</v>
      </c>
      <c r="F709" t="s">
        <v>10376</v>
      </c>
      <c r="G709" t="s">
        <v>10370</v>
      </c>
      <c r="H709" s="2">
        <v>28771</v>
      </c>
    </row>
    <row r="710" spans="1:8">
      <c r="A710" t="s">
        <v>3823</v>
      </c>
      <c r="B710" t="s">
        <v>1551</v>
      </c>
      <c r="C710" t="s">
        <v>10367</v>
      </c>
      <c r="D710" t="s">
        <v>11088</v>
      </c>
      <c r="E710">
        <v>916008854808</v>
      </c>
      <c r="F710" t="s">
        <v>10388</v>
      </c>
      <c r="G710" t="s">
        <v>10377</v>
      </c>
      <c r="H710" s="2">
        <v>24460</v>
      </c>
    </row>
    <row r="711" spans="1:8">
      <c r="A711" t="s">
        <v>3828</v>
      </c>
      <c r="B711" t="s">
        <v>87</v>
      </c>
      <c r="C711" t="s">
        <v>10363</v>
      </c>
      <c r="D711" t="s">
        <v>11089</v>
      </c>
      <c r="E711">
        <v>916791158158</v>
      </c>
      <c r="F711" t="s">
        <v>10374</v>
      </c>
      <c r="G711" t="s">
        <v>10379</v>
      </c>
      <c r="H711" s="2">
        <v>36882</v>
      </c>
    </row>
    <row r="712" spans="1:8">
      <c r="A712" t="s">
        <v>3833</v>
      </c>
      <c r="B712" t="s">
        <v>1551</v>
      </c>
      <c r="C712" t="s">
        <v>10367</v>
      </c>
      <c r="D712" t="s">
        <v>11090</v>
      </c>
      <c r="E712">
        <v>917519977592</v>
      </c>
      <c r="F712" t="s">
        <v>10369</v>
      </c>
      <c r="G712" t="s">
        <v>10366</v>
      </c>
      <c r="H712" s="2">
        <v>20438</v>
      </c>
    </row>
    <row r="713" spans="1:8">
      <c r="A713" t="s">
        <v>3838</v>
      </c>
      <c r="B713" t="s">
        <v>955</v>
      </c>
      <c r="C713" t="s">
        <v>10363</v>
      </c>
      <c r="D713" t="s">
        <v>11091</v>
      </c>
      <c r="E713">
        <v>917226877442</v>
      </c>
      <c r="F713" t="s">
        <v>10374</v>
      </c>
      <c r="G713" t="s">
        <v>10370</v>
      </c>
      <c r="H713" s="2">
        <v>23353</v>
      </c>
    </row>
    <row r="714" spans="1:8">
      <c r="A714" t="s">
        <v>3843</v>
      </c>
      <c r="B714" t="s">
        <v>205</v>
      </c>
      <c r="C714" t="s">
        <v>10367</v>
      </c>
      <c r="D714" t="s">
        <v>11092</v>
      </c>
      <c r="E714">
        <v>919300165020</v>
      </c>
      <c r="F714" t="s">
        <v>10402</v>
      </c>
      <c r="G714" t="s">
        <v>10366</v>
      </c>
      <c r="H714" s="2">
        <v>27951</v>
      </c>
    </row>
    <row r="715" spans="1:8">
      <c r="A715" t="s">
        <v>3848</v>
      </c>
      <c r="B715" t="s">
        <v>30</v>
      </c>
      <c r="C715" t="s">
        <v>10367</v>
      </c>
      <c r="D715" t="s">
        <v>11093</v>
      </c>
      <c r="E715">
        <v>919360259274</v>
      </c>
      <c r="F715" t="s">
        <v>10402</v>
      </c>
      <c r="G715" t="s">
        <v>10366</v>
      </c>
      <c r="H715" s="2">
        <v>28237</v>
      </c>
    </row>
    <row r="716" spans="1:8">
      <c r="A716" t="s">
        <v>3853</v>
      </c>
      <c r="B716" t="s">
        <v>2815</v>
      </c>
      <c r="C716" t="s">
        <v>10363</v>
      </c>
      <c r="D716" t="s">
        <v>11094</v>
      </c>
      <c r="E716">
        <v>918142987901</v>
      </c>
      <c r="F716" t="s">
        <v>10386</v>
      </c>
      <c r="G716" t="s">
        <v>10379</v>
      </c>
      <c r="H716" s="2">
        <v>36718</v>
      </c>
    </row>
    <row r="717" spans="1:8">
      <c r="A717" t="s">
        <v>3858</v>
      </c>
      <c r="B717" t="s">
        <v>5293</v>
      </c>
      <c r="C717" t="s">
        <v>10367</v>
      </c>
      <c r="D717" t="s">
        <v>11095</v>
      </c>
      <c r="E717">
        <v>916287318169</v>
      </c>
      <c r="F717" t="s">
        <v>10381</v>
      </c>
      <c r="G717" t="s">
        <v>10377</v>
      </c>
      <c r="H717" s="2">
        <v>33315</v>
      </c>
    </row>
    <row r="718" spans="1:8">
      <c r="A718" t="s">
        <v>3863</v>
      </c>
      <c r="B718" t="s">
        <v>786</v>
      </c>
      <c r="C718" t="s">
        <v>10367</v>
      </c>
      <c r="D718" t="s">
        <v>11096</v>
      </c>
      <c r="E718">
        <v>917747104461</v>
      </c>
      <c r="F718" t="s">
        <v>10402</v>
      </c>
      <c r="G718" t="s">
        <v>10377</v>
      </c>
      <c r="H718" s="2">
        <v>23444</v>
      </c>
    </row>
    <row r="719" spans="1:8">
      <c r="A719" t="s">
        <v>3868</v>
      </c>
      <c r="B719" t="s">
        <v>1213</v>
      </c>
      <c r="C719" t="s">
        <v>10367</v>
      </c>
      <c r="D719" t="s">
        <v>11097</v>
      </c>
      <c r="E719">
        <v>918919515429</v>
      </c>
      <c r="F719" t="s">
        <v>10365</v>
      </c>
      <c r="G719" t="s">
        <v>10377</v>
      </c>
      <c r="H719" s="2">
        <v>29186</v>
      </c>
    </row>
    <row r="720" spans="1:8">
      <c r="A720" t="s">
        <v>3873</v>
      </c>
      <c r="B720" t="s">
        <v>229</v>
      </c>
      <c r="C720" t="s">
        <v>10367</v>
      </c>
      <c r="D720" t="s">
        <v>11098</v>
      </c>
      <c r="E720">
        <v>916581896260</v>
      </c>
      <c r="F720" t="s">
        <v>10381</v>
      </c>
      <c r="G720" t="s">
        <v>10370</v>
      </c>
      <c r="H720" s="2">
        <v>36011</v>
      </c>
    </row>
    <row r="721" spans="1:8">
      <c r="A721" t="s">
        <v>3878</v>
      </c>
      <c r="B721" t="s">
        <v>955</v>
      </c>
      <c r="C721" t="s">
        <v>10363</v>
      </c>
      <c r="D721" t="s">
        <v>11099</v>
      </c>
      <c r="E721">
        <v>917625863292</v>
      </c>
      <c r="F721" t="s">
        <v>10384</v>
      </c>
      <c r="G721" t="s">
        <v>10366</v>
      </c>
      <c r="H721" s="2">
        <v>35320</v>
      </c>
    </row>
    <row r="722" spans="1:8">
      <c r="A722" t="s">
        <v>3883</v>
      </c>
      <c r="B722" t="s">
        <v>1551</v>
      </c>
      <c r="C722" t="s">
        <v>10367</v>
      </c>
      <c r="D722" t="s">
        <v>11100</v>
      </c>
      <c r="E722">
        <v>919632696653</v>
      </c>
      <c r="F722" t="s">
        <v>10381</v>
      </c>
      <c r="G722" t="s">
        <v>10366</v>
      </c>
      <c r="H722" s="2">
        <v>24474</v>
      </c>
    </row>
    <row r="723" spans="1:8">
      <c r="A723" t="s">
        <v>3888</v>
      </c>
      <c r="B723" t="s">
        <v>2451</v>
      </c>
      <c r="C723" t="s">
        <v>10367</v>
      </c>
      <c r="D723" t="s">
        <v>11101</v>
      </c>
      <c r="E723">
        <v>918447262015</v>
      </c>
      <c r="F723" t="s">
        <v>10384</v>
      </c>
      <c r="G723" t="s">
        <v>10370</v>
      </c>
      <c r="H723" s="2">
        <v>25925</v>
      </c>
    </row>
    <row r="724" spans="1:8">
      <c r="A724" t="s">
        <v>3893</v>
      </c>
      <c r="B724" t="s">
        <v>2196</v>
      </c>
      <c r="C724" t="s">
        <v>10367</v>
      </c>
      <c r="D724" t="s">
        <v>11102</v>
      </c>
      <c r="E724">
        <v>918574567502</v>
      </c>
      <c r="F724" t="s">
        <v>10384</v>
      </c>
      <c r="G724" t="s">
        <v>10379</v>
      </c>
      <c r="H724" s="2">
        <v>29135</v>
      </c>
    </row>
    <row r="725" spans="1:8">
      <c r="A725" t="s">
        <v>3898</v>
      </c>
      <c r="B725" t="s">
        <v>5155</v>
      </c>
      <c r="C725" t="s">
        <v>10367</v>
      </c>
      <c r="D725" t="s">
        <v>11103</v>
      </c>
      <c r="E725">
        <v>916443590682</v>
      </c>
      <c r="F725" t="s">
        <v>10365</v>
      </c>
      <c r="G725" t="s">
        <v>10370</v>
      </c>
      <c r="H725" s="2">
        <v>36021</v>
      </c>
    </row>
    <row r="726" spans="1:8">
      <c r="A726" t="s">
        <v>3903</v>
      </c>
      <c r="B726" t="s">
        <v>899</v>
      </c>
      <c r="C726" t="s">
        <v>10367</v>
      </c>
      <c r="D726" t="s">
        <v>11104</v>
      </c>
      <c r="E726">
        <v>916598980635</v>
      </c>
      <c r="F726" t="s">
        <v>10388</v>
      </c>
      <c r="G726" t="s">
        <v>10377</v>
      </c>
      <c r="H726" s="2">
        <v>22423</v>
      </c>
    </row>
    <row r="727" spans="1:8">
      <c r="A727" t="s">
        <v>3908</v>
      </c>
      <c r="B727" t="s">
        <v>163</v>
      </c>
      <c r="C727" t="s">
        <v>10363</v>
      </c>
      <c r="D727" t="s">
        <v>11105</v>
      </c>
      <c r="E727">
        <v>917687575717</v>
      </c>
      <c r="F727" t="s">
        <v>10372</v>
      </c>
      <c r="G727" t="s">
        <v>10370</v>
      </c>
      <c r="H727" s="2">
        <v>30191</v>
      </c>
    </row>
    <row r="728" spans="1:8">
      <c r="A728" t="s">
        <v>3913</v>
      </c>
      <c r="B728" t="s">
        <v>449</v>
      </c>
      <c r="C728" t="s">
        <v>10363</v>
      </c>
      <c r="D728" t="s">
        <v>11106</v>
      </c>
      <c r="E728">
        <v>918095307333</v>
      </c>
      <c r="F728" t="s">
        <v>10381</v>
      </c>
      <c r="G728" t="s">
        <v>10366</v>
      </c>
      <c r="H728" s="2">
        <v>27553</v>
      </c>
    </row>
    <row r="729" spans="1:8">
      <c r="A729" t="s">
        <v>3918</v>
      </c>
      <c r="B729" t="s">
        <v>1699</v>
      </c>
      <c r="C729" t="s">
        <v>10363</v>
      </c>
      <c r="D729" t="s">
        <v>11107</v>
      </c>
      <c r="E729">
        <v>917348685726</v>
      </c>
      <c r="F729" t="s">
        <v>10386</v>
      </c>
      <c r="G729" t="s">
        <v>10379</v>
      </c>
      <c r="H729" s="2">
        <v>29723</v>
      </c>
    </row>
    <row r="730" spans="1:8">
      <c r="A730" t="s">
        <v>3923</v>
      </c>
      <c r="B730" t="s">
        <v>1431</v>
      </c>
      <c r="C730" t="s">
        <v>10367</v>
      </c>
      <c r="D730" t="s">
        <v>11108</v>
      </c>
      <c r="E730">
        <v>916707324109</v>
      </c>
      <c r="F730" t="s">
        <v>10372</v>
      </c>
      <c r="G730" t="s">
        <v>10366</v>
      </c>
      <c r="H730" s="2">
        <v>36704</v>
      </c>
    </row>
    <row r="731" spans="1:8">
      <c r="A731" t="s">
        <v>3928</v>
      </c>
      <c r="B731" t="s">
        <v>6613</v>
      </c>
      <c r="C731" t="s">
        <v>10367</v>
      </c>
      <c r="D731" t="s">
        <v>11109</v>
      </c>
      <c r="E731">
        <v>917352491308</v>
      </c>
      <c r="F731" t="s">
        <v>10388</v>
      </c>
      <c r="G731" t="s">
        <v>10379</v>
      </c>
      <c r="H731" s="2">
        <v>33682</v>
      </c>
    </row>
    <row r="732" spans="1:8">
      <c r="A732" t="s">
        <v>3934</v>
      </c>
      <c r="B732" t="s">
        <v>180</v>
      </c>
      <c r="C732" t="s">
        <v>10367</v>
      </c>
      <c r="D732" t="s">
        <v>11110</v>
      </c>
      <c r="E732">
        <v>916614156814</v>
      </c>
      <c r="F732" t="s">
        <v>10388</v>
      </c>
      <c r="G732" t="s">
        <v>10379</v>
      </c>
      <c r="H732" s="2">
        <v>23237</v>
      </c>
    </row>
    <row r="733" spans="1:8">
      <c r="A733" t="s">
        <v>3939</v>
      </c>
      <c r="B733" t="s">
        <v>1324</v>
      </c>
      <c r="C733" t="s">
        <v>10363</v>
      </c>
      <c r="D733" t="s">
        <v>11111</v>
      </c>
      <c r="E733">
        <v>919015725736</v>
      </c>
      <c r="F733" t="s">
        <v>10388</v>
      </c>
      <c r="G733" t="s">
        <v>10379</v>
      </c>
      <c r="H733" s="2">
        <v>33703</v>
      </c>
    </row>
    <row r="734" spans="1:8">
      <c r="A734" t="s">
        <v>3944</v>
      </c>
      <c r="B734" t="s">
        <v>547</v>
      </c>
      <c r="C734" t="s">
        <v>10363</v>
      </c>
      <c r="D734" t="s">
        <v>11112</v>
      </c>
      <c r="E734">
        <v>918471874048</v>
      </c>
      <c r="F734" t="s">
        <v>10402</v>
      </c>
      <c r="G734" t="s">
        <v>10366</v>
      </c>
      <c r="H734" s="2">
        <v>30267</v>
      </c>
    </row>
    <row r="735" spans="1:8">
      <c r="A735" t="s">
        <v>3949</v>
      </c>
      <c r="B735" t="s">
        <v>708</v>
      </c>
      <c r="C735" t="s">
        <v>10363</v>
      </c>
      <c r="D735" t="s">
        <v>11113</v>
      </c>
      <c r="E735">
        <v>919835318104</v>
      </c>
      <c r="F735" t="s">
        <v>10365</v>
      </c>
      <c r="G735" t="s">
        <v>10379</v>
      </c>
      <c r="H735" s="2">
        <v>33235</v>
      </c>
    </row>
    <row r="736" spans="1:8">
      <c r="A736" t="s">
        <v>3954</v>
      </c>
      <c r="B736" t="s">
        <v>882</v>
      </c>
      <c r="C736" t="s">
        <v>10363</v>
      </c>
      <c r="D736" t="s">
        <v>11114</v>
      </c>
      <c r="E736">
        <v>919105431262</v>
      </c>
      <c r="F736" t="s">
        <v>10369</v>
      </c>
      <c r="G736" t="s">
        <v>10379</v>
      </c>
      <c r="H736" s="2">
        <v>23166</v>
      </c>
    </row>
    <row r="737" spans="1:8">
      <c r="A737" t="s">
        <v>3959</v>
      </c>
      <c r="B737" t="s">
        <v>1710</v>
      </c>
      <c r="C737" t="s">
        <v>10363</v>
      </c>
      <c r="D737" t="s">
        <v>11115</v>
      </c>
      <c r="E737">
        <v>916874505985</v>
      </c>
      <c r="F737" t="s">
        <v>10376</v>
      </c>
      <c r="G737" t="s">
        <v>10370</v>
      </c>
      <c r="H737" s="2">
        <v>22051</v>
      </c>
    </row>
    <row r="738" spans="1:8">
      <c r="A738" t="s">
        <v>3964</v>
      </c>
      <c r="B738" t="s">
        <v>1074</v>
      </c>
      <c r="C738" t="s">
        <v>10363</v>
      </c>
      <c r="D738" t="s">
        <v>11116</v>
      </c>
      <c r="E738">
        <v>918770716369</v>
      </c>
      <c r="F738" t="s">
        <v>10381</v>
      </c>
      <c r="G738" t="s">
        <v>10377</v>
      </c>
      <c r="H738" s="2">
        <v>33595</v>
      </c>
    </row>
    <row r="739" spans="1:8">
      <c r="A739" t="s">
        <v>3969</v>
      </c>
      <c r="B739" t="s">
        <v>3494</v>
      </c>
      <c r="C739" t="s">
        <v>10367</v>
      </c>
      <c r="D739" t="s">
        <v>11117</v>
      </c>
      <c r="E739">
        <v>919289675643</v>
      </c>
      <c r="F739" t="s">
        <v>10365</v>
      </c>
      <c r="G739" t="s">
        <v>10377</v>
      </c>
      <c r="H739" s="2">
        <v>29325</v>
      </c>
    </row>
    <row r="740" spans="1:8">
      <c r="A740" t="s">
        <v>3974</v>
      </c>
      <c r="B740" t="s">
        <v>339</v>
      </c>
      <c r="C740" t="s">
        <v>10363</v>
      </c>
      <c r="D740" t="s">
        <v>11118</v>
      </c>
      <c r="E740">
        <v>916018658620</v>
      </c>
      <c r="F740" t="s">
        <v>10402</v>
      </c>
      <c r="G740" t="s">
        <v>10377</v>
      </c>
      <c r="H740" s="2">
        <v>23071</v>
      </c>
    </row>
    <row r="741" spans="1:8">
      <c r="A741" t="s">
        <v>3980</v>
      </c>
      <c r="B741" t="s">
        <v>865</v>
      </c>
      <c r="C741" t="s">
        <v>10363</v>
      </c>
      <c r="D741" t="s">
        <v>11119</v>
      </c>
      <c r="E741">
        <v>919943234627</v>
      </c>
      <c r="F741" t="s">
        <v>10372</v>
      </c>
      <c r="G741" t="s">
        <v>10370</v>
      </c>
      <c r="H741" s="2">
        <v>29000</v>
      </c>
    </row>
    <row r="742" spans="1:8">
      <c r="A742" t="s">
        <v>3985</v>
      </c>
      <c r="B742" t="s">
        <v>2313</v>
      </c>
      <c r="C742" t="s">
        <v>10363</v>
      </c>
      <c r="D742" t="s">
        <v>11120</v>
      </c>
      <c r="E742">
        <v>917816168162</v>
      </c>
      <c r="F742" t="s">
        <v>10365</v>
      </c>
      <c r="G742" t="s">
        <v>10379</v>
      </c>
      <c r="H742" s="2">
        <v>20704</v>
      </c>
    </row>
    <row r="743" spans="1:8">
      <c r="A743" t="s">
        <v>3990</v>
      </c>
      <c r="B743" t="s">
        <v>1068</v>
      </c>
      <c r="C743" t="s">
        <v>10363</v>
      </c>
      <c r="D743" t="s">
        <v>11121</v>
      </c>
      <c r="E743">
        <v>919108618533</v>
      </c>
      <c r="F743" t="s">
        <v>10402</v>
      </c>
      <c r="G743" t="s">
        <v>10370</v>
      </c>
      <c r="H743" s="2">
        <v>28883</v>
      </c>
    </row>
    <row r="744" spans="1:8">
      <c r="A744" t="s">
        <v>3995</v>
      </c>
      <c r="B744" t="s">
        <v>1102</v>
      </c>
      <c r="C744" t="s">
        <v>10367</v>
      </c>
      <c r="D744" t="s">
        <v>11122</v>
      </c>
      <c r="E744">
        <v>919765432532</v>
      </c>
      <c r="F744" t="s">
        <v>10369</v>
      </c>
      <c r="G744" t="s">
        <v>10370</v>
      </c>
      <c r="H744" s="2">
        <v>20710</v>
      </c>
    </row>
    <row r="745" spans="1:8">
      <c r="A745" t="s">
        <v>4000</v>
      </c>
      <c r="B745" t="s">
        <v>961</v>
      </c>
      <c r="C745" t="s">
        <v>10363</v>
      </c>
      <c r="D745" t="s">
        <v>11123</v>
      </c>
      <c r="E745">
        <v>916488443562</v>
      </c>
      <c r="F745" t="s">
        <v>10376</v>
      </c>
      <c r="G745" t="s">
        <v>10370</v>
      </c>
      <c r="H745" s="2">
        <v>26218</v>
      </c>
    </row>
    <row r="746" spans="1:8">
      <c r="A746" t="s">
        <v>4005</v>
      </c>
      <c r="B746" t="s">
        <v>558</v>
      </c>
      <c r="C746" t="s">
        <v>10363</v>
      </c>
      <c r="D746" t="s">
        <v>11124</v>
      </c>
      <c r="E746">
        <v>916214398285</v>
      </c>
      <c r="F746" t="s">
        <v>10388</v>
      </c>
      <c r="G746" t="s">
        <v>10377</v>
      </c>
      <c r="H746" s="2">
        <v>22442</v>
      </c>
    </row>
    <row r="747" spans="1:8">
      <c r="A747" t="s">
        <v>4010</v>
      </c>
      <c r="B747" t="s">
        <v>4669</v>
      </c>
      <c r="C747" t="s">
        <v>10367</v>
      </c>
      <c r="D747" t="s">
        <v>11125</v>
      </c>
      <c r="E747">
        <v>918323119296</v>
      </c>
      <c r="F747" t="s">
        <v>10388</v>
      </c>
      <c r="G747" t="s">
        <v>10370</v>
      </c>
      <c r="H747" s="2">
        <v>32494</v>
      </c>
    </row>
    <row r="748" spans="1:8">
      <c r="A748" t="s">
        <v>4015</v>
      </c>
      <c r="B748" t="s">
        <v>882</v>
      </c>
      <c r="C748" t="s">
        <v>10363</v>
      </c>
      <c r="D748" t="s">
        <v>11126</v>
      </c>
      <c r="E748">
        <v>916263071573</v>
      </c>
      <c r="F748" t="s">
        <v>10372</v>
      </c>
      <c r="G748" t="s">
        <v>10377</v>
      </c>
      <c r="H748" s="2">
        <v>26392</v>
      </c>
    </row>
    <row r="749" spans="1:8">
      <c r="A749" t="s">
        <v>4020</v>
      </c>
      <c r="B749" t="s">
        <v>180</v>
      </c>
      <c r="C749" t="s">
        <v>10367</v>
      </c>
      <c r="D749" t="s">
        <v>11127</v>
      </c>
      <c r="E749">
        <v>918951087403</v>
      </c>
      <c r="F749" t="s">
        <v>10376</v>
      </c>
      <c r="G749" t="s">
        <v>10366</v>
      </c>
      <c r="H749" s="2">
        <v>24736</v>
      </c>
    </row>
    <row r="750" spans="1:8">
      <c r="A750" t="s">
        <v>4025</v>
      </c>
      <c r="B750" t="s">
        <v>1666</v>
      </c>
      <c r="C750" t="s">
        <v>10363</v>
      </c>
      <c r="D750" t="s">
        <v>11128</v>
      </c>
      <c r="E750">
        <v>918050038654</v>
      </c>
      <c r="F750" t="s">
        <v>10372</v>
      </c>
      <c r="G750" t="s">
        <v>10379</v>
      </c>
      <c r="H750" s="2">
        <v>27562</v>
      </c>
    </row>
    <row r="751" spans="1:8">
      <c r="A751" t="s">
        <v>4030</v>
      </c>
      <c r="B751" t="s">
        <v>847</v>
      </c>
      <c r="C751" t="s">
        <v>10367</v>
      </c>
      <c r="D751" t="s">
        <v>11129</v>
      </c>
      <c r="E751">
        <v>916442851062</v>
      </c>
      <c r="F751" t="s">
        <v>10386</v>
      </c>
      <c r="G751" t="s">
        <v>10366</v>
      </c>
      <c r="H751" s="2">
        <v>28990</v>
      </c>
    </row>
    <row r="752" spans="1:8">
      <c r="A752" t="s">
        <v>4035</v>
      </c>
      <c r="B752" t="s">
        <v>2062</v>
      </c>
      <c r="C752" t="s">
        <v>10367</v>
      </c>
      <c r="D752" t="s">
        <v>11130</v>
      </c>
      <c r="E752">
        <v>916391746026</v>
      </c>
      <c r="F752" t="s">
        <v>10369</v>
      </c>
      <c r="G752" t="s">
        <v>10377</v>
      </c>
      <c r="H752" s="2">
        <v>23615</v>
      </c>
    </row>
    <row r="753" spans="1:8">
      <c r="A753" t="s">
        <v>4040</v>
      </c>
      <c r="B753" t="s">
        <v>1983</v>
      </c>
      <c r="C753" t="s">
        <v>10363</v>
      </c>
      <c r="D753" t="s">
        <v>11131</v>
      </c>
      <c r="E753">
        <v>918980341597</v>
      </c>
      <c r="F753" t="s">
        <v>10384</v>
      </c>
      <c r="G753" t="s">
        <v>10370</v>
      </c>
      <c r="H753" s="2">
        <v>31385</v>
      </c>
    </row>
    <row r="754" spans="1:8">
      <c r="A754" t="s">
        <v>4045</v>
      </c>
      <c r="B754" t="s">
        <v>823</v>
      </c>
      <c r="C754" t="s">
        <v>10367</v>
      </c>
      <c r="D754" t="s">
        <v>11132</v>
      </c>
      <c r="E754">
        <v>917822325639</v>
      </c>
      <c r="F754" t="s">
        <v>10384</v>
      </c>
      <c r="G754" t="s">
        <v>10379</v>
      </c>
      <c r="H754" s="2">
        <v>22696</v>
      </c>
    </row>
    <row r="755" spans="1:8">
      <c r="A755" t="s">
        <v>4050</v>
      </c>
      <c r="B755" t="s">
        <v>38</v>
      </c>
      <c r="C755" t="s">
        <v>10363</v>
      </c>
      <c r="D755" t="s">
        <v>11133</v>
      </c>
      <c r="E755">
        <v>919160422280</v>
      </c>
      <c r="F755" t="s">
        <v>10384</v>
      </c>
      <c r="G755" t="s">
        <v>10370</v>
      </c>
      <c r="H755" s="2">
        <v>35526</v>
      </c>
    </row>
    <row r="756" spans="1:8">
      <c r="A756" t="s">
        <v>4055</v>
      </c>
      <c r="B756" t="s">
        <v>398</v>
      </c>
      <c r="C756" t="s">
        <v>10367</v>
      </c>
      <c r="D756" t="s">
        <v>11134</v>
      </c>
      <c r="E756">
        <v>919714448882</v>
      </c>
      <c r="F756" t="s">
        <v>10388</v>
      </c>
      <c r="G756" t="s">
        <v>10366</v>
      </c>
      <c r="H756" s="2">
        <v>32610</v>
      </c>
    </row>
    <row r="757" spans="1:8">
      <c r="A757" t="s">
        <v>4060</v>
      </c>
      <c r="B757" t="s">
        <v>2457</v>
      </c>
      <c r="C757" t="s">
        <v>10367</v>
      </c>
      <c r="D757" t="s">
        <v>11135</v>
      </c>
      <c r="E757">
        <v>917493693032</v>
      </c>
      <c r="F757" t="s">
        <v>10386</v>
      </c>
      <c r="G757" t="s">
        <v>10366</v>
      </c>
      <c r="H757" s="2">
        <v>30655</v>
      </c>
    </row>
    <row r="758" spans="1:8">
      <c r="A758" t="s">
        <v>4065</v>
      </c>
      <c r="B758" t="s">
        <v>449</v>
      </c>
      <c r="C758" t="s">
        <v>10363</v>
      </c>
      <c r="D758" t="s">
        <v>11136</v>
      </c>
      <c r="E758">
        <v>918484649031</v>
      </c>
      <c r="F758" t="s">
        <v>10369</v>
      </c>
      <c r="G758" t="s">
        <v>10370</v>
      </c>
      <c r="H758" s="2">
        <v>26736</v>
      </c>
    </row>
    <row r="759" spans="1:8">
      <c r="A759" t="s">
        <v>4070</v>
      </c>
      <c r="B759" t="s">
        <v>1014</v>
      </c>
      <c r="C759" t="s">
        <v>10367</v>
      </c>
      <c r="D759" t="s">
        <v>11137</v>
      </c>
      <c r="E759">
        <v>917439462949</v>
      </c>
      <c r="F759" t="s">
        <v>10384</v>
      </c>
      <c r="G759" t="s">
        <v>10377</v>
      </c>
      <c r="H759" s="2">
        <v>21865</v>
      </c>
    </row>
    <row r="760" spans="1:8">
      <c r="A760" t="s">
        <v>4075</v>
      </c>
      <c r="B760" t="s">
        <v>4359</v>
      </c>
      <c r="C760" t="s">
        <v>10363</v>
      </c>
      <c r="D760" t="s">
        <v>11138</v>
      </c>
      <c r="E760">
        <v>918082532597</v>
      </c>
      <c r="F760" t="s">
        <v>10369</v>
      </c>
      <c r="G760" t="s">
        <v>10370</v>
      </c>
      <c r="H760" s="2">
        <v>20180</v>
      </c>
    </row>
    <row r="761" spans="1:8">
      <c r="A761" t="s">
        <v>4080</v>
      </c>
      <c r="B761" t="s">
        <v>1090</v>
      </c>
      <c r="C761" t="s">
        <v>10367</v>
      </c>
      <c r="D761" t="s">
        <v>11139</v>
      </c>
      <c r="E761">
        <v>919869551378</v>
      </c>
      <c r="F761" t="s">
        <v>10365</v>
      </c>
      <c r="G761" t="s">
        <v>10370</v>
      </c>
      <c r="H761" s="2">
        <v>31242</v>
      </c>
    </row>
    <row r="762" spans="1:8">
      <c r="A762" t="s">
        <v>4086</v>
      </c>
      <c r="B762" t="s">
        <v>1030</v>
      </c>
      <c r="C762" t="s">
        <v>10363</v>
      </c>
      <c r="D762" t="s">
        <v>11140</v>
      </c>
      <c r="E762">
        <v>918740066049</v>
      </c>
      <c r="F762" t="s">
        <v>10374</v>
      </c>
      <c r="G762" t="s">
        <v>10377</v>
      </c>
      <c r="H762" s="2">
        <v>23898</v>
      </c>
    </row>
    <row r="763" spans="1:8">
      <c r="A763" t="s">
        <v>4091</v>
      </c>
      <c r="B763" t="s">
        <v>472</v>
      </c>
      <c r="C763" t="s">
        <v>10363</v>
      </c>
      <c r="D763" t="s">
        <v>11141</v>
      </c>
      <c r="E763">
        <v>917024578053</v>
      </c>
      <c r="F763" t="s">
        <v>10388</v>
      </c>
      <c r="G763" t="s">
        <v>10379</v>
      </c>
      <c r="H763" s="2">
        <v>24490</v>
      </c>
    </row>
    <row r="764" spans="1:8">
      <c r="A764" t="s">
        <v>4096</v>
      </c>
      <c r="B764" t="s">
        <v>1826</v>
      </c>
      <c r="C764" t="s">
        <v>10363</v>
      </c>
      <c r="D764" t="s">
        <v>11142</v>
      </c>
      <c r="E764">
        <v>918744091413</v>
      </c>
      <c r="F764" t="s">
        <v>10365</v>
      </c>
      <c r="G764" t="s">
        <v>10370</v>
      </c>
      <c r="H764" s="2">
        <v>33235</v>
      </c>
    </row>
    <row r="765" spans="1:8">
      <c r="A765" t="s">
        <v>4101</v>
      </c>
      <c r="B765" t="s">
        <v>1482</v>
      </c>
      <c r="C765" t="s">
        <v>10367</v>
      </c>
      <c r="D765" t="s">
        <v>11143</v>
      </c>
      <c r="E765">
        <v>919950742232</v>
      </c>
      <c r="F765" t="s">
        <v>10402</v>
      </c>
      <c r="G765" t="s">
        <v>10377</v>
      </c>
      <c r="H765" s="2">
        <v>31902</v>
      </c>
    </row>
    <row r="766" spans="1:8">
      <c r="A766" t="s">
        <v>4106</v>
      </c>
      <c r="B766" t="s">
        <v>5155</v>
      </c>
      <c r="C766" t="s">
        <v>10367</v>
      </c>
      <c r="D766" t="s">
        <v>11144</v>
      </c>
      <c r="E766">
        <v>916004710329</v>
      </c>
      <c r="F766" t="s">
        <v>10369</v>
      </c>
      <c r="G766" t="s">
        <v>10377</v>
      </c>
      <c r="H766" s="2">
        <v>20304</v>
      </c>
    </row>
    <row r="767" spans="1:8">
      <c r="A767" t="s">
        <v>4111</v>
      </c>
      <c r="B767" t="s">
        <v>1114</v>
      </c>
      <c r="C767" t="s">
        <v>10367</v>
      </c>
      <c r="D767" t="s">
        <v>11145</v>
      </c>
      <c r="E767">
        <v>916604784162</v>
      </c>
      <c r="F767" t="s">
        <v>10376</v>
      </c>
      <c r="G767" t="s">
        <v>10366</v>
      </c>
      <c r="H767" s="2">
        <v>35931</v>
      </c>
    </row>
    <row r="768" spans="1:8">
      <c r="A768" t="s">
        <v>4116</v>
      </c>
      <c r="B768" t="s">
        <v>768</v>
      </c>
      <c r="C768" t="s">
        <v>10367</v>
      </c>
      <c r="D768" t="s">
        <v>11146</v>
      </c>
      <c r="E768">
        <v>919645423447</v>
      </c>
      <c r="F768" t="s">
        <v>10365</v>
      </c>
      <c r="G768" t="s">
        <v>10379</v>
      </c>
      <c r="H768" s="2">
        <v>22581</v>
      </c>
    </row>
    <row r="769" spans="1:8">
      <c r="A769" t="s">
        <v>4121</v>
      </c>
      <c r="B769" t="s">
        <v>87</v>
      </c>
      <c r="C769" t="s">
        <v>10363</v>
      </c>
      <c r="D769" t="s">
        <v>11147</v>
      </c>
      <c r="E769">
        <v>918502094241</v>
      </c>
      <c r="F769" t="s">
        <v>10365</v>
      </c>
      <c r="G769" t="s">
        <v>10377</v>
      </c>
      <c r="H769" s="2">
        <v>29029</v>
      </c>
    </row>
    <row r="770" spans="1:8">
      <c r="A770" t="s">
        <v>4126</v>
      </c>
      <c r="B770" t="s">
        <v>1282</v>
      </c>
      <c r="C770" t="s">
        <v>10363</v>
      </c>
      <c r="D770" t="s">
        <v>11148</v>
      </c>
      <c r="E770">
        <v>917746847556</v>
      </c>
      <c r="F770" t="s">
        <v>10372</v>
      </c>
      <c r="G770" t="s">
        <v>10377</v>
      </c>
      <c r="H770" s="2">
        <v>34266</v>
      </c>
    </row>
    <row r="771" spans="1:8">
      <c r="A771" t="s">
        <v>4131</v>
      </c>
      <c r="B771" t="s">
        <v>2313</v>
      </c>
      <c r="C771" t="s">
        <v>10363</v>
      </c>
      <c r="D771" t="s">
        <v>11149</v>
      </c>
      <c r="E771">
        <v>919345687981</v>
      </c>
      <c r="F771" t="s">
        <v>10372</v>
      </c>
      <c r="G771" t="s">
        <v>10377</v>
      </c>
      <c r="H771" s="2">
        <v>20751</v>
      </c>
    </row>
    <row r="772" spans="1:8">
      <c r="A772" t="s">
        <v>4136</v>
      </c>
      <c r="B772" t="s">
        <v>2143</v>
      </c>
      <c r="C772" t="s">
        <v>10367</v>
      </c>
      <c r="D772" t="s">
        <v>11150</v>
      </c>
      <c r="E772">
        <v>918929815261</v>
      </c>
      <c r="F772" t="s">
        <v>10374</v>
      </c>
      <c r="G772" t="s">
        <v>10370</v>
      </c>
      <c r="H772" s="2">
        <v>30962</v>
      </c>
    </row>
    <row r="773" spans="1:8">
      <c r="A773" t="s">
        <v>4141</v>
      </c>
      <c r="B773" t="s">
        <v>708</v>
      </c>
      <c r="C773" t="s">
        <v>10363</v>
      </c>
      <c r="D773" t="s">
        <v>11151</v>
      </c>
      <c r="E773">
        <v>916326154627</v>
      </c>
      <c r="F773" t="s">
        <v>10372</v>
      </c>
      <c r="G773" t="s">
        <v>10370</v>
      </c>
      <c r="H773" s="2">
        <v>34669</v>
      </c>
    </row>
    <row r="774" spans="1:8">
      <c r="A774" t="s">
        <v>4146</v>
      </c>
      <c r="B774" t="s">
        <v>661</v>
      </c>
      <c r="C774" t="s">
        <v>10367</v>
      </c>
      <c r="D774" t="s">
        <v>11152</v>
      </c>
      <c r="E774">
        <v>917809613318</v>
      </c>
      <c r="F774" t="s">
        <v>10388</v>
      </c>
      <c r="G774" t="s">
        <v>10377</v>
      </c>
      <c r="H774" s="2">
        <v>27998</v>
      </c>
    </row>
    <row r="775" spans="1:8">
      <c r="A775" t="s">
        <v>4151</v>
      </c>
      <c r="B775" t="s">
        <v>2815</v>
      </c>
      <c r="C775" t="s">
        <v>10363</v>
      </c>
      <c r="D775" t="s">
        <v>11153</v>
      </c>
      <c r="E775">
        <v>919200702516</v>
      </c>
      <c r="F775" t="s">
        <v>10402</v>
      </c>
      <c r="G775" t="s">
        <v>10377</v>
      </c>
      <c r="H775" s="2">
        <v>21754</v>
      </c>
    </row>
    <row r="776" spans="1:8">
      <c r="A776" t="s">
        <v>4156</v>
      </c>
      <c r="B776" t="s">
        <v>432</v>
      </c>
      <c r="C776" t="s">
        <v>10363</v>
      </c>
      <c r="D776" t="s">
        <v>11154</v>
      </c>
      <c r="E776">
        <v>918164317192</v>
      </c>
      <c r="F776" t="s">
        <v>10388</v>
      </c>
      <c r="G776" t="s">
        <v>10370</v>
      </c>
      <c r="H776" s="2">
        <v>29390</v>
      </c>
    </row>
    <row r="777" spans="1:8">
      <c r="A777" t="s">
        <v>4161</v>
      </c>
      <c r="B777" t="s">
        <v>1030</v>
      </c>
      <c r="C777" t="s">
        <v>10363</v>
      </c>
      <c r="D777" t="s">
        <v>11155</v>
      </c>
      <c r="E777">
        <v>918567846528</v>
      </c>
      <c r="F777" t="s">
        <v>10365</v>
      </c>
      <c r="G777" t="s">
        <v>10370</v>
      </c>
      <c r="H777" s="2">
        <v>25364</v>
      </c>
    </row>
    <row r="778" spans="1:8">
      <c r="A778" t="s">
        <v>4166</v>
      </c>
      <c r="B778" t="s">
        <v>1610</v>
      </c>
      <c r="C778" t="s">
        <v>10367</v>
      </c>
      <c r="D778" t="s">
        <v>11156</v>
      </c>
      <c r="E778">
        <v>918577508675</v>
      </c>
      <c r="F778" t="s">
        <v>10381</v>
      </c>
      <c r="G778" t="s">
        <v>10377</v>
      </c>
      <c r="H778" s="2">
        <v>26950</v>
      </c>
    </row>
    <row r="779" spans="1:8">
      <c r="A779" t="s">
        <v>4171</v>
      </c>
      <c r="B779" t="s">
        <v>2663</v>
      </c>
      <c r="C779" t="s">
        <v>10367</v>
      </c>
      <c r="D779" t="s">
        <v>11157</v>
      </c>
      <c r="E779">
        <v>919849349447</v>
      </c>
      <c r="F779" t="s">
        <v>10384</v>
      </c>
      <c r="G779" t="s">
        <v>10379</v>
      </c>
      <c r="H779" s="2">
        <v>34908</v>
      </c>
    </row>
    <row r="780" spans="1:8">
      <c r="A780" t="s">
        <v>4176</v>
      </c>
      <c r="B780" t="s">
        <v>3525</v>
      </c>
      <c r="C780" t="s">
        <v>10367</v>
      </c>
      <c r="D780" t="s">
        <v>11158</v>
      </c>
      <c r="E780">
        <v>916393501634</v>
      </c>
      <c r="F780" t="s">
        <v>10365</v>
      </c>
      <c r="G780" t="s">
        <v>10370</v>
      </c>
      <c r="H780" s="2">
        <v>35625</v>
      </c>
    </row>
    <row r="781" spans="1:8">
      <c r="A781" t="s">
        <v>4181</v>
      </c>
      <c r="B781" t="s">
        <v>627</v>
      </c>
      <c r="C781" t="s">
        <v>10367</v>
      </c>
      <c r="D781" t="s">
        <v>11159</v>
      </c>
      <c r="E781">
        <v>918313810755</v>
      </c>
      <c r="F781" t="s">
        <v>10374</v>
      </c>
      <c r="G781" t="s">
        <v>10366</v>
      </c>
      <c r="H781" s="2">
        <v>33687</v>
      </c>
    </row>
    <row r="782" spans="1:8">
      <c r="A782" t="s">
        <v>4186</v>
      </c>
      <c r="B782" t="s">
        <v>2196</v>
      </c>
      <c r="C782" t="s">
        <v>10367</v>
      </c>
      <c r="D782" t="s">
        <v>11160</v>
      </c>
      <c r="E782">
        <v>919482548488</v>
      </c>
      <c r="F782" t="s">
        <v>10388</v>
      </c>
      <c r="G782" t="s">
        <v>10370</v>
      </c>
      <c r="H782" s="2">
        <v>20711</v>
      </c>
    </row>
    <row r="783" spans="1:8">
      <c r="A783" t="s">
        <v>4191</v>
      </c>
      <c r="B783" t="s">
        <v>7311</v>
      </c>
      <c r="C783" t="s">
        <v>10363</v>
      </c>
      <c r="D783" t="s">
        <v>11161</v>
      </c>
      <c r="E783">
        <v>919392640827</v>
      </c>
      <c r="F783" t="s">
        <v>10388</v>
      </c>
      <c r="G783" t="s">
        <v>10366</v>
      </c>
      <c r="H783" s="2">
        <v>22190</v>
      </c>
    </row>
    <row r="784" spans="1:8">
      <c r="A784" t="s">
        <v>4196</v>
      </c>
      <c r="B784" t="s">
        <v>472</v>
      </c>
      <c r="C784" t="s">
        <v>10363</v>
      </c>
      <c r="D784" t="s">
        <v>11162</v>
      </c>
      <c r="E784">
        <v>918128187517</v>
      </c>
      <c r="F784" t="s">
        <v>10402</v>
      </c>
      <c r="G784" t="s">
        <v>10379</v>
      </c>
      <c r="H784" s="2">
        <v>35179</v>
      </c>
    </row>
    <row r="785" spans="1:8">
      <c r="A785" t="s">
        <v>4201</v>
      </c>
      <c r="B785" t="s">
        <v>67</v>
      </c>
      <c r="C785" t="s">
        <v>10367</v>
      </c>
      <c r="D785" t="s">
        <v>11163</v>
      </c>
      <c r="E785">
        <v>919629314997</v>
      </c>
      <c r="F785" t="s">
        <v>10376</v>
      </c>
      <c r="G785" t="s">
        <v>10379</v>
      </c>
      <c r="H785" s="2">
        <v>34328</v>
      </c>
    </row>
    <row r="786" spans="1:8">
      <c r="A786" t="s">
        <v>4206</v>
      </c>
      <c r="B786" t="s">
        <v>421</v>
      </c>
      <c r="C786" t="s">
        <v>10363</v>
      </c>
      <c r="D786" t="s">
        <v>11164</v>
      </c>
      <c r="E786">
        <v>916244230835</v>
      </c>
      <c r="F786" t="s">
        <v>10388</v>
      </c>
      <c r="G786" t="s">
        <v>10377</v>
      </c>
      <c r="H786" s="2">
        <v>32435</v>
      </c>
    </row>
    <row r="787" spans="1:8">
      <c r="A787" t="s">
        <v>4211</v>
      </c>
      <c r="B787" t="s">
        <v>61</v>
      </c>
      <c r="C787" t="s">
        <v>10367</v>
      </c>
      <c r="D787" t="s">
        <v>11165</v>
      </c>
      <c r="E787">
        <v>919122949893</v>
      </c>
      <c r="F787" t="s">
        <v>10388</v>
      </c>
      <c r="G787" t="s">
        <v>10366</v>
      </c>
      <c r="H787" s="2">
        <v>32514</v>
      </c>
    </row>
    <row r="788" spans="1:8">
      <c r="A788" t="s">
        <v>4216</v>
      </c>
      <c r="B788" t="s">
        <v>449</v>
      </c>
      <c r="C788" t="s">
        <v>10363</v>
      </c>
      <c r="D788" t="s">
        <v>11166</v>
      </c>
      <c r="E788">
        <v>916276892085</v>
      </c>
      <c r="F788" t="s">
        <v>10374</v>
      </c>
      <c r="G788" t="s">
        <v>10370</v>
      </c>
      <c r="H788" s="2">
        <v>34640</v>
      </c>
    </row>
    <row r="789" spans="1:8">
      <c r="A789" t="s">
        <v>4221</v>
      </c>
      <c r="B789" t="s">
        <v>421</v>
      </c>
      <c r="C789" t="s">
        <v>10363</v>
      </c>
      <c r="D789" t="s">
        <v>11167</v>
      </c>
      <c r="E789">
        <v>918720248556</v>
      </c>
      <c r="F789" t="s">
        <v>10365</v>
      </c>
      <c r="G789" t="s">
        <v>10379</v>
      </c>
      <c r="H789" s="2">
        <v>29990</v>
      </c>
    </row>
    <row r="790" spans="1:8">
      <c r="A790" t="s">
        <v>4226</v>
      </c>
      <c r="B790" t="s">
        <v>100</v>
      </c>
      <c r="C790" t="s">
        <v>10363</v>
      </c>
      <c r="D790" t="s">
        <v>11168</v>
      </c>
      <c r="E790">
        <v>918198357262</v>
      </c>
      <c r="F790" t="s">
        <v>10402</v>
      </c>
      <c r="G790" t="s">
        <v>10370</v>
      </c>
      <c r="H790" s="2">
        <v>23336</v>
      </c>
    </row>
    <row r="791" spans="1:8">
      <c r="A791" t="s">
        <v>4231</v>
      </c>
      <c r="B791" t="s">
        <v>899</v>
      </c>
      <c r="C791" t="s">
        <v>10367</v>
      </c>
      <c r="D791" t="s">
        <v>11169</v>
      </c>
      <c r="E791">
        <v>917301803857</v>
      </c>
      <c r="F791" t="s">
        <v>10365</v>
      </c>
      <c r="G791" t="s">
        <v>10366</v>
      </c>
      <c r="H791" s="2">
        <v>30709</v>
      </c>
    </row>
    <row r="792" spans="1:8">
      <c r="A792" t="s">
        <v>4236</v>
      </c>
      <c r="B792" t="s">
        <v>1164</v>
      </c>
      <c r="C792" t="s">
        <v>10367</v>
      </c>
      <c r="D792" t="s">
        <v>11170</v>
      </c>
      <c r="E792">
        <v>917498305895</v>
      </c>
      <c r="F792" t="s">
        <v>10384</v>
      </c>
      <c r="G792" t="s">
        <v>10370</v>
      </c>
      <c r="H792" s="2">
        <v>36137</v>
      </c>
    </row>
    <row r="793" spans="1:8">
      <c r="A793" t="s">
        <v>4241</v>
      </c>
      <c r="B793" t="s">
        <v>1470</v>
      </c>
      <c r="C793" t="s">
        <v>10367</v>
      </c>
      <c r="D793" t="s">
        <v>11171</v>
      </c>
      <c r="E793">
        <v>918596996151</v>
      </c>
      <c r="F793" t="s">
        <v>10365</v>
      </c>
      <c r="G793" t="s">
        <v>10366</v>
      </c>
      <c r="H793" s="2">
        <v>23060</v>
      </c>
    </row>
    <row r="794" spans="1:8">
      <c r="A794" t="s">
        <v>4246</v>
      </c>
      <c r="B794" t="s">
        <v>7311</v>
      </c>
      <c r="C794" t="s">
        <v>10363</v>
      </c>
      <c r="D794" t="s">
        <v>11172</v>
      </c>
      <c r="E794">
        <v>918604485882</v>
      </c>
      <c r="F794" t="s">
        <v>10376</v>
      </c>
      <c r="G794" t="s">
        <v>10379</v>
      </c>
      <c r="H794" s="2">
        <v>29948</v>
      </c>
    </row>
    <row r="795" spans="1:8">
      <c r="A795" t="s">
        <v>4251</v>
      </c>
      <c r="B795" t="s">
        <v>4751</v>
      </c>
      <c r="C795" t="s">
        <v>10367</v>
      </c>
      <c r="D795" t="s">
        <v>11173</v>
      </c>
      <c r="E795">
        <v>917834555751</v>
      </c>
      <c r="F795" t="s">
        <v>10365</v>
      </c>
      <c r="G795" t="s">
        <v>10377</v>
      </c>
      <c r="H795" s="2">
        <v>32005</v>
      </c>
    </row>
    <row r="796" spans="1:8">
      <c r="A796" t="s">
        <v>4257</v>
      </c>
      <c r="B796" t="s">
        <v>4512</v>
      </c>
      <c r="C796" t="s">
        <v>10367</v>
      </c>
      <c r="D796" t="s">
        <v>11174</v>
      </c>
      <c r="E796">
        <v>917757359066</v>
      </c>
      <c r="F796" t="s">
        <v>10376</v>
      </c>
      <c r="G796" t="s">
        <v>10379</v>
      </c>
      <c r="H796" s="2">
        <v>32773</v>
      </c>
    </row>
    <row r="797" spans="1:8">
      <c r="A797" t="s">
        <v>4262</v>
      </c>
      <c r="B797" t="s">
        <v>106</v>
      </c>
      <c r="C797" t="s">
        <v>10363</v>
      </c>
      <c r="D797" t="s">
        <v>11175</v>
      </c>
      <c r="E797">
        <v>919775696438</v>
      </c>
      <c r="F797" t="s">
        <v>10381</v>
      </c>
      <c r="G797" t="s">
        <v>10379</v>
      </c>
      <c r="H797" s="2">
        <v>29299</v>
      </c>
    </row>
    <row r="798" spans="1:8">
      <c r="A798" t="s">
        <v>4267</v>
      </c>
      <c r="B798" t="s">
        <v>4892</v>
      </c>
      <c r="C798" t="s">
        <v>10367</v>
      </c>
      <c r="D798" t="s">
        <v>11176</v>
      </c>
      <c r="E798">
        <v>918210719476</v>
      </c>
      <c r="F798" t="s">
        <v>10384</v>
      </c>
      <c r="G798" t="s">
        <v>10377</v>
      </c>
      <c r="H798" s="2">
        <v>33595</v>
      </c>
    </row>
    <row r="799" spans="1:8">
      <c r="A799" t="s">
        <v>4272</v>
      </c>
      <c r="B799" t="s">
        <v>524</v>
      </c>
      <c r="C799" t="s">
        <v>10367</v>
      </c>
      <c r="D799" t="s">
        <v>11177</v>
      </c>
      <c r="E799">
        <v>916725884178</v>
      </c>
      <c r="F799" t="s">
        <v>10381</v>
      </c>
      <c r="G799" t="s">
        <v>10377</v>
      </c>
      <c r="H799" s="2">
        <v>30821</v>
      </c>
    </row>
    <row r="800" spans="1:8">
      <c r="A800" t="s">
        <v>4277</v>
      </c>
      <c r="B800" t="s">
        <v>2636</v>
      </c>
      <c r="C800" t="s">
        <v>10363</v>
      </c>
      <c r="D800" t="s">
        <v>11178</v>
      </c>
      <c r="E800">
        <v>916582307639</v>
      </c>
      <c r="F800" t="s">
        <v>10374</v>
      </c>
      <c r="G800" t="s">
        <v>10366</v>
      </c>
      <c r="H800" s="2">
        <v>34562</v>
      </c>
    </row>
    <row r="801" spans="1:8">
      <c r="A801" t="s">
        <v>4282</v>
      </c>
      <c r="B801" t="s">
        <v>300</v>
      </c>
      <c r="C801" t="s">
        <v>10367</v>
      </c>
      <c r="D801" t="s">
        <v>11179</v>
      </c>
      <c r="E801">
        <v>917632868928</v>
      </c>
      <c r="F801" t="s">
        <v>10372</v>
      </c>
      <c r="G801" t="s">
        <v>10377</v>
      </c>
      <c r="H801" s="2">
        <v>32981</v>
      </c>
    </row>
    <row r="802" spans="1:8">
      <c r="A802" t="s">
        <v>4287</v>
      </c>
      <c r="B802" t="s">
        <v>1626</v>
      </c>
      <c r="C802" t="s">
        <v>10367</v>
      </c>
      <c r="D802" t="s">
        <v>11180</v>
      </c>
      <c r="E802">
        <v>919969742424</v>
      </c>
      <c r="F802" t="s">
        <v>10402</v>
      </c>
      <c r="G802" t="s">
        <v>10366</v>
      </c>
      <c r="H802" s="2">
        <v>22862</v>
      </c>
    </row>
    <row r="803" spans="1:8">
      <c r="A803" t="s">
        <v>4292</v>
      </c>
      <c r="B803" t="s">
        <v>163</v>
      </c>
      <c r="C803" t="s">
        <v>10363</v>
      </c>
      <c r="D803" t="s">
        <v>11181</v>
      </c>
      <c r="E803">
        <v>918502730449</v>
      </c>
      <c r="F803" t="s">
        <v>10376</v>
      </c>
      <c r="G803" t="s">
        <v>10377</v>
      </c>
      <c r="H803" s="2">
        <v>23312</v>
      </c>
    </row>
    <row r="804" spans="1:8">
      <c r="A804" t="s">
        <v>4297</v>
      </c>
      <c r="B804" t="s">
        <v>1810</v>
      </c>
      <c r="C804" t="s">
        <v>10367</v>
      </c>
      <c r="D804" t="s">
        <v>11182</v>
      </c>
      <c r="E804">
        <v>918288688587</v>
      </c>
      <c r="F804" t="s">
        <v>10365</v>
      </c>
      <c r="G804" t="s">
        <v>10377</v>
      </c>
      <c r="H804" s="2">
        <v>35122</v>
      </c>
    </row>
    <row r="805" spans="1:8">
      <c r="A805" t="s">
        <v>4302</v>
      </c>
      <c r="B805" t="s">
        <v>253</v>
      </c>
      <c r="C805" t="s">
        <v>10363</v>
      </c>
      <c r="D805" t="s">
        <v>11183</v>
      </c>
      <c r="E805">
        <v>919749667335</v>
      </c>
      <c r="F805" t="s">
        <v>10374</v>
      </c>
      <c r="G805" t="s">
        <v>10377</v>
      </c>
      <c r="H805" s="2">
        <v>20443</v>
      </c>
    </row>
    <row r="806" spans="1:8">
      <c r="A806" t="s">
        <v>4307</v>
      </c>
      <c r="B806" t="s">
        <v>1102</v>
      </c>
      <c r="C806" t="s">
        <v>10367</v>
      </c>
      <c r="D806" t="s">
        <v>11184</v>
      </c>
      <c r="E806">
        <v>918245636538</v>
      </c>
      <c r="F806" t="s">
        <v>10365</v>
      </c>
      <c r="G806" t="s">
        <v>10379</v>
      </c>
      <c r="H806" s="2">
        <v>28444</v>
      </c>
    </row>
    <row r="807" spans="1:8">
      <c r="A807" t="s">
        <v>4312</v>
      </c>
      <c r="B807" t="s">
        <v>421</v>
      </c>
      <c r="C807" t="s">
        <v>10363</v>
      </c>
      <c r="D807" t="s">
        <v>11185</v>
      </c>
      <c r="E807">
        <v>916842573576</v>
      </c>
      <c r="F807" t="s">
        <v>10388</v>
      </c>
      <c r="G807" t="s">
        <v>10377</v>
      </c>
      <c r="H807" s="2">
        <v>22620</v>
      </c>
    </row>
    <row r="808" spans="1:8">
      <c r="A808" t="s">
        <v>4317</v>
      </c>
      <c r="B808" t="s">
        <v>4751</v>
      </c>
      <c r="C808" t="s">
        <v>10367</v>
      </c>
      <c r="D808" t="s">
        <v>11186</v>
      </c>
      <c r="E808">
        <v>917681157681</v>
      </c>
      <c r="F808" t="s">
        <v>10388</v>
      </c>
      <c r="G808" t="s">
        <v>10379</v>
      </c>
      <c r="H808" s="2">
        <v>26377</v>
      </c>
    </row>
    <row r="809" spans="1:8">
      <c r="A809" t="s">
        <v>4322</v>
      </c>
      <c r="B809" t="s">
        <v>610</v>
      </c>
      <c r="C809" t="s">
        <v>10363</v>
      </c>
      <c r="D809" t="s">
        <v>11187</v>
      </c>
      <c r="E809">
        <v>917480172663</v>
      </c>
      <c r="F809" t="s">
        <v>10381</v>
      </c>
      <c r="G809" t="s">
        <v>10370</v>
      </c>
      <c r="H809" s="2">
        <v>23860</v>
      </c>
    </row>
    <row r="810" spans="1:8">
      <c r="A810" t="s">
        <v>4327</v>
      </c>
      <c r="B810" t="s">
        <v>112</v>
      </c>
      <c r="C810" t="s">
        <v>10367</v>
      </c>
      <c r="D810" t="s">
        <v>11188</v>
      </c>
      <c r="E810">
        <v>916067333459</v>
      </c>
      <c r="F810" t="s">
        <v>10386</v>
      </c>
      <c r="G810" t="s">
        <v>10370</v>
      </c>
      <c r="H810" s="2">
        <v>20846</v>
      </c>
    </row>
    <row r="811" spans="1:8">
      <c r="A811" t="s">
        <v>4333</v>
      </c>
      <c r="B811" t="s">
        <v>421</v>
      </c>
      <c r="C811" t="s">
        <v>10363</v>
      </c>
      <c r="D811" t="s">
        <v>11189</v>
      </c>
      <c r="E811">
        <v>919373681211</v>
      </c>
      <c r="F811" t="s">
        <v>10381</v>
      </c>
      <c r="G811" t="s">
        <v>10379</v>
      </c>
      <c r="H811" s="2">
        <v>35413</v>
      </c>
    </row>
    <row r="812" spans="1:8">
      <c r="A812" t="s">
        <v>4338</v>
      </c>
      <c r="B812" t="s">
        <v>3112</v>
      </c>
      <c r="C812" t="s">
        <v>10367</v>
      </c>
      <c r="D812" t="s">
        <v>11190</v>
      </c>
      <c r="E812">
        <v>918016802947</v>
      </c>
      <c r="F812" t="s">
        <v>10372</v>
      </c>
      <c r="G812" t="s">
        <v>10377</v>
      </c>
      <c r="H812" s="2">
        <v>36327</v>
      </c>
    </row>
    <row r="813" spans="1:8">
      <c r="A813" t="s">
        <v>4343</v>
      </c>
      <c r="B813" t="s">
        <v>7311</v>
      </c>
      <c r="C813" t="s">
        <v>10363</v>
      </c>
      <c r="D813" t="s">
        <v>11191</v>
      </c>
      <c r="E813">
        <v>918849046392</v>
      </c>
      <c r="F813" t="s">
        <v>10369</v>
      </c>
      <c r="G813" t="s">
        <v>10366</v>
      </c>
      <c r="H813" s="2">
        <v>29915</v>
      </c>
    </row>
    <row r="814" spans="1:8">
      <c r="A814" t="s">
        <v>4348</v>
      </c>
      <c r="B814" t="s">
        <v>1710</v>
      </c>
      <c r="C814" t="s">
        <v>10363</v>
      </c>
      <c r="D814" t="s">
        <v>11192</v>
      </c>
      <c r="E814">
        <v>918331094147</v>
      </c>
      <c r="F814" t="s">
        <v>10365</v>
      </c>
      <c r="G814" t="s">
        <v>10370</v>
      </c>
      <c r="H814" s="2">
        <v>28804</v>
      </c>
    </row>
    <row r="815" spans="1:8">
      <c r="A815" t="s">
        <v>4353</v>
      </c>
      <c r="B815" t="s">
        <v>2642</v>
      </c>
      <c r="C815" t="s">
        <v>10367</v>
      </c>
      <c r="D815" t="s">
        <v>11193</v>
      </c>
      <c r="E815">
        <v>919111933993</v>
      </c>
      <c r="F815" t="s">
        <v>10402</v>
      </c>
      <c r="G815" t="s">
        <v>10366</v>
      </c>
      <c r="H815" s="2">
        <v>29173</v>
      </c>
    </row>
    <row r="816" spans="1:8">
      <c r="A816" t="s">
        <v>4358</v>
      </c>
      <c r="B816" t="s">
        <v>253</v>
      </c>
      <c r="C816" t="s">
        <v>10363</v>
      </c>
      <c r="D816" t="s">
        <v>11194</v>
      </c>
      <c r="E816">
        <v>916853094965</v>
      </c>
      <c r="F816" t="s">
        <v>10372</v>
      </c>
      <c r="G816" t="s">
        <v>10370</v>
      </c>
      <c r="H816" s="2">
        <v>26931</v>
      </c>
    </row>
    <row r="817" spans="1:8">
      <c r="A817" t="s">
        <v>4364</v>
      </c>
      <c r="B817" t="s">
        <v>2474</v>
      </c>
      <c r="C817" t="s">
        <v>10363</v>
      </c>
      <c r="D817" t="s">
        <v>11195</v>
      </c>
      <c r="E817">
        <v>919670805500</v>
      </c>
      <c r="F817" t="s">
        <v>10386</v>
      </c>
      <c r="G817" t="s">
        <v>10379</v>
      </c>
      <c r="H817" s="2">
        <v>25032</v>
      </c>
    </row>
    <row r="818" spans="1:8">
      <c r="A818" t="s">
        <v>4369</v>
      </c>
      <c r="B818" t="s">
        <v>587</v>
      </c>
      <c r="C818" t="s">
        <v>10363</v>
      </c>
      <c r="D818" t="s">
        <v>11196</v>
      </c>
      <c r="E818">
        <v>916125836254</v>
      </c>
      <c r="F818" t="s">
        <v>10365</v>
      </c>
      <c r="G818" t="s">
        <v>10379</v>
      </c>
      <c r="H818" s="2">
        <v>28749</v>
      </c>
    </row>
    <row r="819" spans="1:8">
      <c r="A819" t="s">
        <v>4375</v>
      </c>
      <c r="B819" t="s">
        <v>512</v>
      </c>
      <c r="C819" t="s">
        <v>10367</v>
      </c>
      <c r="D819" t="s">
        <v>11197</v>
      </c>
      <c r="E819">
        <v>916683192290</v>
      </c>
      <c r="F819" t="s">
        <v>10386</v>
      </c>
      <c r="G819" t="s">
        <v>10370</v>
      </c>
      <c r="H819" s="2">
        <v>35743</v>
      </c>
    </row>
    <row r="820" spans="1:8">
      <c r="A820" t="s">
        <v>4380</v>
      </c>
      <c r="B820" t="s">
        <v>1175</v>
      </c>
      <c r="C820" t="s">
        <v>10367</v>
      </c>
      <c r="D820" t="s">
        <v>11198</v>
      </c>
      <c r="E820">
        <v>919721677571</v>
      </c>
      <c r="F820" t="s">
        <v>10384</v>
      </c>
      <c r="G820" t="s">
        <v>10377</v>
      </c>
      <c r="H820" s="2">
        <v>28150</v>
      </c>
    </row>
    <row r="821" spans="1:8">
      <c r="A821" t="s">
        <v>4385</v>
      </c>
      <c r="B821" t="s">
        <v>124</v>
      </c>
      <c r="C821" t="s">
        <v>10363</v>
      </c>
      <c r="D821" t="s">
        <v>11199</v>
      </c>
      <c r="E821">
        <v>919095515938</v>
      </c>
      <c r="F821" t="s">
        <v>10388</v>
      </c>
      <c r="G821" t="s">
        <v>10370</v>
      </c>
      <c r="H821" s="2">
        <v>32641</v>
      </c>
    </row>
    <row r="822" spans="1:8">
      <c r="A822" t="s">
        <v>4390</v>
      </c>
      <c r="B822" t="s">
        <v>443</v>
      </c>
      <c r="C822" t="s">
        <v>10367</v>
      </c>
      <c r="D822" t="s">
        <v>11200</v>
      </c>
      <c r="E822">
        <v>917204154538</v>
      </c>
      <c r="F822" t="s">
        <v>10381</v>
      </c>
      <c r="G822" t="s">
        <v>10370</v>
      </c>
      <c r="H822" s="2">
        <v>33261</v>
      </c>
    </row>
    <row r="823" spans="1:8">
      <c r="A823" t="s">
        <v>4395</v>
      </c>
      <c r="B823" t="s">
        <v>2451</v>
      </c>
      <c r="C823" t="s">
        <v>10367</v>
      </c>
      <c r="D823" t="s">
        <v>11201</v>
      </c>
      <c r="E823">
        <v>917351764863</v>
      </c>
      <c r="F823" t="s">
        <v>10372</v>
      </c>
      <c r="G823" t="s">
        <v>10366</v>
      </c>
      <c r="H823" s="2">
        <v>35756</v>
      </c>
    </row>
    <row r="824" spans="1:8">
      <c r="A824" t="s">
        <v>4400</v>
      </c>
      <c r="B824" t="s">
        <v>1626</v>
      </c>
      <c r="C824" t="s">
        <v>10367</v>
      </c>
      <c r="D824" t="s">
        <v>11202</v>
      </c>
      <c r="E824">
        <v>916591448214</v>
      </c>
      <c r="F824" t="s">
        <v>10374</v>
      </c>
      <c r="G824" t="s">
        <v>10366</v>
      </c>
      <c r="H824" s="2">
        <v>22799</v>
      </c>
    </row>
    <row r="825" spans="1:8">
      <c r="A825" t="s">
        <v>4405</v>
      </c>
      <c r="B825" t="s">
        <v>882</v>
      </c>
      <c r="C825" t="s">
        <v>10363</v>
      </c>
      <c r="D825" t="s">
        <v>11203</v>
      </c>
      <c r="E825">
        <v>918825803399</v>
      </c>
      <c r="F825" t="s">
        <v>10381</v>
      </c>
      <c r="G825" t="s">
        <v>10377</v>
      </c>
      <c r="H825" s="2">
        <v>27130</v>
      </c>
    </row>
    <row r="826" spans="1:8">
      <c r="A826" t="s">
        <v>4410</v>
      </c>
      <c r="B826" t="s">
        <v>2270</v>
      </c>
      <c r="C826" t="s">
        <v>10367</v>
      </c>
      <c r="D826" t="s">
        <v>11204</v>
      </c>
      <c r="E826">
        <v>917137407221</v>
      </c>
      <c r="F826" t="s">
        <v>10376</v>
      </c>
      <c r="G826" t="s">
        <v>10370</v>
      </c>
      <c r="H826" s="2">
        <v>31713</v>
      </c>
    </row>
    <row r="827" spans="1:8">
      <c r="A827" t="s">
        <v>4415</v>
      </c>
      <c r="B827" t="s">
        <v>460</v>
      </c>
      <c r="C827" t="s">
        <v>10363</v>
      </c>
      <c r="D827" t="s">
        <v>11205</v>
      </c>
      <c r="E827">
        <v>916479641898</v>
      </c>
      <c r="F827" t="s">
        <v>10381</v>
      </c>
      <c r="G827" t="s">
        <v>10370</v>
      </c>
      <c r="H827" s="2">
        <v>35600</v>
      </c>
    </row>
    <row r="828" spans="1:8">
      <c r="A828" t="s">
        <v>4420</v>
      </c>
      <c r="B828" t="s">
        <v>2742</v>
      </c>
      <c r="C828" t="s">
        <v>10367</v>
      </c>
      <c r="D828" t="s">
        <v>11206</v>
      </c>
      <c r="E828">
        <v>919800699345</v>
      </c>
      <c r="F828" t="s">
        <v>10365</v>
      </c>
      <c r="G828" t="s">
        <v>10366</v>
      </c>
      <c r="H828" s="2">
        <v>23634</v>
      </c>
    </row>
    <row r="829" spans="1:8">
      <c r="A829" t="s">
        <v>4425</v>
      </c>
      <c r="B829" t="s">
        <v>100</v>
      </c>
      <c r="C829" t="s">
        <v>10363</v>
      </c>
      <c r="D829" t="s">
        <v>11207</v>
      </c>
      <c r="E829">
        <v>916476782160</v>
      </c>
      <c r="F829" t="s">
        <v>10388</v>
      </c>
      <c r="G829" t="s">
        <v>10366</v>
      </c>
      <c r="H829" s="2">
        <v>31519</v>
      </c>
    </row>
    <row r="830" spans="1:8">
      <c r="A830" t="s">
        <v>4430</v>
      </c>
      <c r="B830" t="s">
        <v>8808</v>
      </c>
      <c r="C830" t="s">
        <v>10367</v>
      </c>
      <c r="D830" t="s">
        <v>11208</v>
      </c>
      <c r="E830">
        <v>916344658334</v>
      </c>
      <c r="F830" t="s">
        <v>10372</v>
      </c>
      <c r="G830" t="s">
        <v>10379</v>
      </c>
      <c r="H830" s="2">
        <v>21120</v>
      </c>
    </row>
    <row r="831" spans="1:8">
      <c r="A831" t="s">
        <v>4435</v>
      </c>
      <c r="B831" t="s">
        <v>558</v>
      </c>
      <c r="C831" t="s">
        <v>10363</v>
      </c>
      <c r="D831" t="s">
        <v>11209</v>
      </c>
      <c r="E831">
        <v>916402726139</v>
      </c>
      <c r="F831" t="s">
        <v>10402</v>
      </c>
      <c r="G831" t="s">
        <v>10379</v>
      </c>
      <c r="H831" s="2">
        <v>35562</v>
      </c>
    </row>
    <row r="832" spans="1:8">
      <c r="A832" t="s">
        <v>4441</v>
      </c>
      <c r="B832" t="s">
        <v>460</v>
      </c>
      <c r="C832" t="s">
        <v>10363</v>
      </c>
      <c r="D832" t="s">
        <v>11210</v>
      </c>
      <c r="E832">
        <v>919000196273</v>
      </c>
      <c r="F832" t="s">
        <v>10388</v>
      </c>
      <c r="G832" t="s">
        <v>10379</v>
      </c>
      <c r="H832" s="2">
        <v>23229</v>
      </c>
    </row>
    <row r="833" spans="1:8">
      <c r="A833" t="s">
        <v>4446</v>
      </c>
      <c r="B833" t="s">
        <v>1983</v>
      </c>
      <c r="C833" t="s">
        <v>10363</v>
      </c>
      <c r="D833" t="s">
        <v>11211</v>
      </c>
      <c r="E833">
        <v>917062792809</v>
      </c>
      <c r="F833" t="s">
        <v>10365</v>
      </c>
      <c r="G833" t="s">
        <v>10366</v>
      </c>
      <c r="H833" s="2">
        <v>28913</v>
      </c>
    </row>
    <row r="834" spans="1:8">
      <c r="A834" t="s">
        <v>4451</v>
      </c>
      <c r="B834" t="s">
        <v>899</v>
      </c>
      <c r="C834" t="s">
        <v>10367</v>
      </c>
      <c r="D834" t="s">
        <v>11212</v>
      </c>
      <c r="E834">
        <v>917817537412</v>
      </c>
      <c r="F834" t="s">
        <v>10381</v>
      </c>
      <c r="G834" t="s">
        <v>10379</v>
      </c>
      <c r="H834" s="2">
        <v>25970</v>
      </c>
    </row>
    <row r="835" spans="1:8">
      <c r="A835" t="s">
        <v>4456</v>
      </c>
      <c r="B835" t="s">
        <v>865</v>
      </c>
      <c r="C835" t="s">
        <v>10363</v>
      </c>
      <c r="D835" t="s">
        <v>11213</v>
      </c>
      <c r="E835">
        <v>916509075120</v>
      </c>
      <c r="F835" t="s">
        <v>10384</v>
      </c>
      <c r="G835" t="s">
        <v>10379</v>
      </c>
      <c r="H835" s="2">
        <v>29281</v>
      </c>
    </row>
    <row r="836" spans="1:8">
      <c r="A836" t="s">
        <v>4461</v>
      </c>
      <c r="B836" t="s">
        <v>610</v>
      </c>
      <c r="C836" t="s">
        <v>10363</v>
      </c>
      <c r="D836" t="s">
        <v>11214</v>
      </c>
      <c r="E836">
        <v>916360074046</v>
      </c>
      <c r="F836" t="s">
        <v>10369</v>
      </c>
      <c r="G836" t="s">
        <v>10379</v>
      </c>
      <c r="H836" s="2">
        <v>25594</v>
      </c>
    </row>
    <row r="837" spans="1:8">
      <c r="A837" t="s">
        <v>4466</v>
      </c>
      <c r="B837" t="s">
        <v>2778</v>
      </c>
      <c r="C837" t="s">
        <v>10363</v>
      </c>
      <c r="D837" t="s">
        <v>11215</v>
      </c>
      <c r="E837">
        <v>917871860989</v>
      </c>
      <c r="F837" t="s">
        <v>10365</v>
      </c>
      <c r="G837" t="s">
        <v>10377</v>
      </c>
      <c r="H837" s="2">
        <v>27182</v>
      </c>
    </row>
    <row r="838" spans="1:8">
      <c r="A838" t="s">
        <v>4471</v>
      </c>
      <c r="B838" t="s">
        <v>2778</v>
      </c>
      <c r="C838" t="s">
        <v>10363</v>
      </c>
      <c r="D838" t="s">
        <v>11216</v>
      </c>
      <c r="E838">
        <v>919941428320</v>
      </c>
      <c r="F838" t="s">
        <v>10381</v>
      </c>
      <c r="G838" t="s">
        <v>10379</v>
      </c>
      <c r="H838" s="2">
        <v>30428</v>
      </c>
    </row>
    <row r="839" spans="1:8">
      <c r="A839" t="s">
        <v>4476</v>
      </c>
      <c r="B839" t="s">
        <v>1074</v>
      </c>
      <c r="C839" t="s">
        <v>10363</v>
      </c>
      <c r="D839" t="s">
        <v>11217</v>
      </c>
      <c r="E839">
        <v>919555308019</v>
      </c>
      <c r="F839" t="s">
        <v>10384</v>
      </c>
      <c r="G839" t="s">
        <v>10377</v>
      </c>
      <c r="H839" s="2">
        <v>27284</v>
      </c>
    </row>
    <row r="840" spans="1:8">
      <c r="A840" t="s">
        <v>4481</v>
      </c>
      <c r="B840" t="s">
        <v>7311</v>
      </c>
      <c r="C840" t="s">
        <v>10363</v>
      </c>
      <c r="D840" t="s">
        <v>11218</v>
      </c>
      <c r="E840">
        <v>916245604745</v>
      </c>
      <c r="F840" t="s">
        <v>10381</v>
      </c>
      <c r="G840" t="s">
        <v>10366</v>
      </c>
      <c r="H840" s="2">
        <v>34072</v>
      </c>
    </row>
    <row r="841" spans="1:8">
      <c r="A841" t="s">
        <v>4486</v>
      </c>
      <c r="B841" t="s">
        <v>1114</v>
      </c>
      <c r="C841" t="s">
        <v>10367</v>
      </c>
      <c r="D841" t="s">
        <v>11219</v>
      </c>
      <c r="E841">
        <v>919373410318</v>
      </c>
      <c r="F841" t="s">
        <v>10376</v>
      </c>
      <c r="G841" t="s">
        <v>10377</v>
      </c>
      <c r="H841" s="2">
        <v>25693</v>
      </c>
    </row>
    <row r="842" spans="1:8">
      <c r="A842" t="s">
        <v>4491</v>
      </c>
      <c r="B842" t="s">
        <v>6774</v>
      </c>
      <c r="C842" t="s">
        <v>10367</v>
      </c>
      <c r="D842" t="s">
        <v>11220</v>
      </c>
      <c r="E842">
        <v>916793732961</v>
      </c>
      <c r="F842" t="s">
        <v>10369</v>
      </c>
      <c r="G842" t="s">
        <v>10377</v>
      </c>
      <c r="H842" s="2">
        <v>22991</v>
      </c>
    </row>
    <row r="843" spans="1:8">
      <c r="A843" t="s">
        <v>4496</v>
      </c>
      <c r="B843" t="s">
        <v>1383</v>
      </c>
      <c r="C843" t="s">
        <v>10367</v>
      </c>
      <c r="D843" t="s">
        <v>11221</v>
      </c>
      <c r="E843">
        <v>916833578001</v>
      </c>
      <c r="F843" t="s">
        <v>10402</v>
      </c>
      <c r="G843" t="s">
        <v>10370</v>
      </c>
      <c r="H843" s="2">
        <v>35193</v>
      </c>
    </row>
    <row r="844" spans="1:8">
      <c r="A844" t="s">
        <v>4501</v>
      </c>
      <c r="B844" t="s">
        <v>3975</v>
      </c>
      <c r="C844" t="s">
        <v>10367</v>
      </c>
      <c r="D844" t="s">
        <v>11222</v>
      </c>
      <c r="E844">
        <v>919807912159</v>
      </c>
      <c r="F844" t="s">
        <v>10388</v>
      </c>
      <c r="G844" t="s">
        <v>10370</v>
      </c>
      <c r="H844" s="2">
        <v>35719</v>
      </c>
    </row>
    <row r="845" spans="1:8">
      <c r="A845" t="s">
        <v>4506</v>
      </c>
      <c r="B845" t="s">
        <v>823</v>
      </c>
      <c r="C845" t="s">
        <v>10367</v>
      </c>
      <c r="D845" t="s">
        <v>11223</v>
      </c>
      <c r="E845">
        <v>916631692536</v>
      </c>
      <c r="F845" t="s">
        <v>10369</v>
      </c>
      <c r="G845" t="s">
        <v>10377</v>
      </c>
      <c r="H845" s="2">
        <v>36027</v>
      </c>
    </row>
    <row r="846" spans="1:8">
      <c r="A846" t="s">
        <v>4511</v>
      </c>
      <c r="B846" t="s">
        <v>5746</v>
      </c>
      <c r="C846" t="s">
        <v>10367</v>
      </c>
      <c r="D846" t="s">
        <v>11224</v>
      </c>
      <c r="E846">
        <v>919681788096</v>
      </c>
      <c r="F846" t="s">
        <v>10381</v>
      </c>
      <c r="G846" t="s">
        <v>10377</v>
      </c>
      <c r="H846" s="2">
        <v>30032</v>
      </c>
    </row>
    <row r="847" spans="1:8">
      <c r="A847" t="s">
        <v>4517</v>
      </c>
      <c r="B847" t="s">
        <v>865</v>
      </c>
      <c r="C847" t="s">
        <v>10363</v>
      </c>
      <c r="D847" t="s">
        <v>11225</v>
      </c>
      <c r="E847">
        <v>919522289521</v>
      </c>
      <c r="F847" t="s">
        <v>10369</v>
      </c>
      <c r="G847" t="s">
        <v>10370</v>
      </c>
      <c r="H847" s="2">
        <v>23792</v>
      </c>
    </row>
    <row r="848" spans="1:8">
      <c r="A848" t="s">
        <v>4522</v>
      </c>
      <c r="B848" t="s">
        <v>835</v>
      </c>
      <c r="C848" t="s">
        <v>10363</v>
      </c>
      <c r="D848" t="s">
        <v>11226</v>
      </c>
      <c r="E848">
        <v>917901182679</v>
      </c>
      <c r="F848" t="s">
        <v>10376</v>
      </c>
      <c r="G848" t="s">
        <v>10379</v>
      </c>
      <c r="H848" s="2">
        <v>30167</v>
      </c>
    </row>
    <row r="849" spans="1:8">
      <c r="A849" t="s">
        <v>4527</v>
      </c>
      <c r="B849" t="s">
        <v>74</v>
      </c>
      <c r="C849" t="s">
        <v>10363</v>
      </c>
      <c r="D849" t="s">
        <v>11227</v>
      </c>
      <c r="E849">
        <v>918931077436</v>
      </c>
      <c r="F849" t="s">
        <v>10365</v>
      </c>
      <c r="G849" t="s">
        <v>10379</v>
      </c>
      <c r="H849" s="2">
        <v>20322</v>
      </c>
    </row>
    <row r="850" spans="1:8">
      <c r="A850" t="s">
        <v>4532</v>
      </c>
      <c r="B850" t="s">
        <v>927</v>
      </c>
      <c r="C850" t="s">
        <v>10367</v>
      </c>
      <c r="D850" t="s">
        <v>11228</v>
      </c>
      <c r="E850">
        <v>917602710433</v>
      </c>
      <c r="F850" t="s">
        <v>10376</v>
      </c>
      <c r="G850" t="s">
        <v>10377</v>
      </c>
      <c r="H850" s="2">
        <v>26064</v>
      </c>
    </row>
    <row r="851" spans="1:8">
      <c r="A851" t="s">
        <v>4537</v>
      </c>
      <c r="B851" t="s">
        <v>1271</v>
      </c>
      <c r="C851" t="s">
        <v>10367</v>
      </c>
      <c r="D851" t="s">
        <v>11229</v>
      </c>
      <c r="E851">
        <v>919188589115</v>
      </c>
      <c r="F851" t="s">
        <v>10384</v>
      </c>
      <c r="G851" t="s">
        <v>10370</v>
      </c>
      <c r="H851" s="2">
        <v>33103</v>
      </c>
    </row>
    <row r="852" spans="1:8">
      <c r="A852" t="s">
        <v>4542</v>
      </c>
      <c r="B852" t="s">
        <v>1030</v>
      </c>
      <c r="C852" t="s">
        <v>10363</v>
      </c>
      <c r="D852" t="s">
        <v>11230</v>
      </c>
      <c r="E852">
        <v>919781709099</v>
      </c>
      <c r="F852" t="s">
        <v>10388</v>
      </c>
      <c r="G852" t="s">
        <v>10370</v>
      </c>
      <c r="H852" s="2">
        <v>34137</v>
      </c>
    </row>
    <row r="853" spans="1:8">
      <c r="A853" t="s">
        <v>4547</v>
      </c>
      <c r="B853" t="s">
        <v>174</v>
      </c>
      <c r="C853" t="s">
        <v>10367</v>
      </c>
      <c r="D853" t="s">
        <v>11231</v>
      </c>
      <c r="E853">
        <v>917169092754</v>
      </c>
      <c r="F853" t="s">
        <v>10388</v>
      </c>
      <c r="G853" t="s">
        <v>10370</v>
      </c>
      <c r="H853" s="2">
        <v>26502</v>
      </c>
    </row>
    <row r="854" spans="1:8">
      <c r="A854" t="s">
        <v>4552</v>
      </c>
      <c r="B854" t="s">
        <v>472</v>
      </c>
      <c r="C854" t="s">
        <v>10363</v>
      </c>
      <c r="D854" t="s">
        <v>11232</v>
      </c>
      <c r="E854">
        <v>918304118785</v>
      </c>
      <c r="F854" t="s">
        <v>10381</v>
      </c>
      <c r="G854" t="s">
        <v>10370</v>
      </c>
      <c r="H854" s="2">
        <v>30211</v>
      </c>
    </row>
    <row r="855" spans="1:8">
      <c r="A855" t="s">
        <v>4557</v>
      </c>
      <c r="B855" t="s">
        <v>2019</v>
      </c>
      <c r="C855" t="s">
        <v>10367</v>
      </c>
      <c r="D855" t="s">
        <v>11233</v>
      </c>
      <c r="E855">
        <v>917917304394</v>
      </c>
      <c r="F855" t="s">
        <v>10381</v>
      </c>
      <c r="G855" t="s">
        <v>10377</v>
      </c>
      <c r="H855" s="2">
        <v>21340</v>
      </c>
    </row>
    <row r="856" spans="1:8">
      <c r="A856" t="s">
        <v>4562</v>
      </c>
      <c r="B856" t="s">
        <v>729</v>
      </c>
      <c r="C856" t="s">
        <v>10367</v>
      </c>
      <c r="D856" t="s">
        <v>11234</v>
      </c>
      <c r="E856">
        <v>918342870575</v>
      </c>
      <c r="F856" t="s">
        <v>10372</v>
      </c>
      <c r="G856" t="s">
        <v>10370</v>
      </c>
      <c r="H856" s="2">
        <v>23380</v>
      </c>
    </row>
    <row r="857" spans="1:8">
      <c r="A857" t="s">
        <v>4567</v>
      </c>
      <c r="B857" t="s">
        <v>1447</v>
      </c>
      <c r="C857" t="s">
        <v>10367</v>
      </c>
      <c r="D857" t="s">
        <v>11235</v>
      </c>
      <c r="E857">
        <v>916746519522</v>
      </c>
      <c r="F857" t="s">
        <v>10388</v>
      </c>
      <c r="G857" t="s">
        <v>10370</v>
      </c>
      <c r="H857" s="2">
        <v>36132</v>
      </c>
    </row>
    <row r="858" spans="1:8">
      <c r="A858" t="s">
        <v>4572</v>
      </c>
      <c r="B858" t="s">
        <v>1498</v>
      </c>
      <c r="C858" t="s">
        <v>10363</v>
      </c>
      <c r="D858" t="s">
        <v>11236</v>
      </c>
      <c r="E858">
        <v>916954615001</v>
      </c>
      <c r="F858" t="s">
        <v>10386</v>
      </c>
      <c r="G858" t="s">
        <v>10377</v>
      </c>
      <c r="H858" s="2">
        <v>25830</v>
      </c>
    </row>
    <row r="859" spans="1:8">
      <c r="A859" t="s">
        <v>4577</v>
      </c>
      <c r="B859" t="s">
        <v>871</v>
      </c>
      <c r="C859" t="s">
        <v>10363</v>
      </c>
      <c r="D859" t="s">
        <v>11237</v>
      </c>
      <c r="E859">
        <v>918577979652</v>
      </c>
      <c r="F859" t="s">
        <v>10388</v>
      </c>
      <c r="G859" t="s">
        <v>10379</v>
      </c>
      <c r="H859" s="2">
        <v>37518</v>
      </c>
    </row>
    <row r="860" spans="1:8">
      <c r="A860" t="s">
        <v>4582</v>
      </c>
      <c r="B860" t="s">
        <v>762</v>
      </c>
      <c r="C860" t="s">
        <v>10363</v>
      </c>
      <c r="D860" t="s">
        <v>11238</v>
      </c>
      <c r="E860">
        <v>916198311432</v>
      </c>
      <c r="F860" t="s">
        <v>10388</v>
      </c>
      <c r="G860" t="s">
        <v>10377</v>
      </c>
      <c r="H860" s="2">
        <v>28187</v>
      </c>
    </row>
    <row r="861" spans="1:8">
      <c r="A861" t="s">
        <v>4587</v>
      </c>
      <c r="B861" t="s">
        <v>4983</v>
      </c>
      <c r="C861" t="s">
        <v>10367</v>
      </c>
      <c r="D861" t="s">
        <v>11239</v>
      </c>
      <c r="E861">
        <v>917961734951</v>
      </c>
      <c r="F861" t="s">
        <v>10402</v>
      </c>
      <c r="G861" t="s">
        <v>10379</v>
      </c>
      <c r="H861" s="2">
        <v>25706</v>
      </c>
    </row>
    <row r="862" spans="1:8">
      <c r="A862" t="s">
        <v>4592</v>
      </c>
      <c r="B862" t="s">
        <v>1763</v>
      </c>
      <c r="C862" t="s">
        <v>10367</v>
      </c>
      <c r="D862" t="s">
        <v>11240</v>
      </c>
      <c r="E862">
        <v>916447533710</v>
      </c>
      <c r="F862" t="s">
        <v>10381</v>
      </c>
      <c r="G862" t="s">
        <v>10370</v>
      </c>
      <c r="H862" s="2">
        <v>30698</v>
      </c>
    </row>
    <row r="863" spans="1:8">
      <c r="A863" t="s">
        <v>4597</v>
      </c>
      <c r="B863" t="s">
        <v>5369</v>
      </c>
      <c r="C863" t="s">
        <v>10367</v>
      </c>
      <c r="D863" t="s">
        <v>11241</v>
      </c>
      <c r="E863">
        <v>918672396443</v>
      </c>
      <c r="F863" t="s">
        <v>10372</v>
      </c>
      <c r="G863" t="s">
        <v>10366</v>
      </c>
      <c r="H863" s="2">
        <v>28622</v>
      </c>
    </row>
    <row r="864" spans="1:8">
      <c r="A864" t="s">
        <v>4602</v>
      </c>
      <c r="B864" t="s">
        <v>2276</v>
      </c>
      <c r="C864" t="s">
        <v>10367</v>
      </c>
      <c r="D864" t="s">
        <v>11242</v>
      </c>
      <c r="E864">
        <v>917477971897</v>
      </c>
      <c r="F864" t="s">
        <v>10374</v>
      </c>
      <c r="G864" t="s">
        <v>10379</v>
      </c>
      <c r="H864" s="2">
        <v>22925</v>
      </c>
    </row>
    <row r="865" spans="1:8">
      <c r="A865" t="s">
        <v>4607</v>
      </c>
      <c r="B865" t="s">
        <v>1551</v>
      </c>
      <c r="C865" t="s">
        <v>10367</v>
      </c>
      <c r="D865" t="s">
        <v>11243</v>
      </c>
      <c r="E865">
        <v>917916187753</v>
      </c>
      <c r="F865" t="s">
        <v>10402</v>
      </c>
      <c r="G865" t="s">
        <v>10379</v>
      </c>
      <c r="H865" s="2">
        <v>23566</v>
      </c>
    </row>
    <row r="866" spans="1:8">
      <c r="A866" t="s">
        <v>4612</v>
      </c>
      <c r="B866" t="s">
        <v>87</v>
      </c>
      <c r="C866" t="s">
        <v>10363</v>
      </c>
      <c r="D866" t="s">
        <v>11244</v>
      </c>
      <c r="E866">
        <v>919285273750</v>
      </c>
      <c r="F866" t="s">
        <v>10386</v>
      </c>
      <c r="G866" t="s">
        <v>10379</v>
      </c>
      <c r="H866" s="2">
        <v>32599</v>
      </c>
    </row>
    <row r="867" spans="1:8">
      <c r="A867" t="s">
        <v>4617</v>
      </c>
      <c r="B867" t="s">
        <v>593</v>
      </c>
      <c r="C867" t="s">
        <v>10367</v>
      </c>
      <c r="D867" t="s">
        <v>11245</v>
      </c>
      <c r="E867">
        <v>916840083515</v>
      </c>
      <c r="F867" t="s">
        <v>10384</v>
      </c>
      <c r="G867" t="s">
        <v>10379</v>
      </c>
      <c r="H867" s="2">
        <v>37403</v>
      </c>
    </row>
    <row r="868" spans="1:8">
      <c r="A868" t="s">
        <v>4622</v>
      </c>
      <c r="B868" t="s">
        <v>708</v>
      </c>
      <c r="C868" t="s">
        <v>10363</v>
      </c>
      <c r="D868" t="s">
        <v>11246</v>
      </c>
      <c r="E868">
        <v>918865674636</v>
      </c>
      <c r="F868" t="s">
        <v>10386</v>
      </c>
      <c r="G868" t="s">
        <v>10377</v>
      </c>
      <c r="H868" s="2">
        <v>27175</v>
      </c>
    </row>
    <row r="869" spans="1:8">
      <c r="A869" t="s">
        <v>4627</v>
      </c>
      <c r="B869" t="s">
        <v>4740</v>
      </c>
      <c r="C869" t="s">
        <v>10367</v>
      </c>
      <c r="D869" t="s">
        <v>11247</v>
      </c>
      <c r="E869">
        <v>916879581486</v>
      </c>
      <c r="F869" t="s">
        <v>10376</v>
      </c>
      <c r="G869" t="s">
        <v>10377</v>
      </c>
      <c r="H869" s="2">
        <v>26972</v>
      </c>
    </row>
    <row r="870" spans="1:8">
      <c r="A870" t="s">
        <v>4632</v>
      </c>
      <c r="B870" t="s">
        <v>2689</v>
      </c>
      <c r="C870" t="s">
        <v>10367</v>
      </c>
      <c r="D870" t="s">
        <v>11248</v>
      </c>
      <c r="E870">
        <v>916747821603</v>
      </c>
      <c r="F870" t="s">
        <v>10402</v>
      </c>
      <c r="G870" t="s">
        <v>10366</v>
      </c>
      <c r="H870" s="2">
        <v>24244</v>
      </c>
    </row>
    <row r="871" spans="1:8">
      <c r="A871" t="s">
        <v>4637</v>
      </c>
      <c r="B871" t="s">
        <v>1470</v>
      </c>
      <c r="C871" t="s">
        <v>10367</v>
      </c>
      <c r="D871" t="s">
        <v>11249</v>
      </c>
      <c r="E871">
        <v>916889955618</v>
      </c>
      <c r="F871" t="s">
        <v>10386</v>
      </c>
      <c r="G871" t="s">
        <v>10366</v>
      </c>
      <c r="H871" s="2">
        <v>31074</v>
      </c>
    </row>
    <row r="872" spans="1:8">
      <c r="A872" t="s">
        <v>4642</v>
      </c>
      <c r="B872" t="s">
        <v>1476</v>
      </c>
      <c r="C872" t="s">
        <v>10367</v>
      </c>
      <c r="D872" t="s">
        <v>11250</v>
      </c>
      <c r="E872">
        <v>917664296314</v>
      </c>
      <c r="F872" t="s">
        <v>10369</v>
      </c>
      <c r="G872" t="s">
        <v>10379</v>
      </c>
      <c r="H872" s="2">
        <v>20558</v>
      </c>
    </row>
    <row r="873" spans="1:8">
      <c r="A873" t="s">
        <v>4647</v>
      </c>
      <c r="B873" t="s">
        <v>421</v>
      </c>
      <c r="C873" t="s">
        <v>10363</v>
      </c>
      <c r="D873" t="s">
        <v>11251</v>
      </c>
      <c r="E873">
        <v>918324795806</v>
      </c>
      <c r="F873" t="s">
        <v>10376</v>
      </c>
      <c r="G873" t="s">
        <v>10379</v>
      </c>
      <c r="H873" s="2">
        <v>36089</v>
      </c>
    </row>
    <row r="874" spans="1:8">
      <c r="A874" t="s">
        <v>4653</v>
      </c>
      <c r="B874" t="s">
        <v>1164</v>
      </c>
      <c r="C874" t="s">
        <v>10367</v>
      </c>
      <c r="D874" t="s">
        <v>11252</v>
      </c>
      <c r="E874">
        <v>918476706343</v>
      </c>
      <c r="F874" t="s">
        <v>10381</v>
      </c>
      <c r="G874" t="s">
        <v>10370</v>
      </c>
      <c r="H874" s="2">
        <v>36803</v>
      </c>
    </row>
    <row r="875" spans="1:8">
      <c r="A875" t="s">
        <v>4658</v>
      </c>
      <c r="B875" t="s">
        <v>1250</v>
      </c>
      <c r="C875" t="s">
        <v>10363</v>
      </c>
      <c r="D875" t="s">
        <v>11253</v>
      </c>
      <c r="E875">
        <v>917416611432</v>
      </c>
      <c r="F875" t="s">
        <v>10369</v>
      </c>
      <c r="G875" t="s">
        <v>10370</v>
      </c>
      <c r="H875" s="2">
        <v>26331</v>
      </c>
    </row>
    <row r="876" spans="1:8">
      <c r="A876" t="s">
        <v>4663</v>
      </c>
      <c r="B876" t="s">
        <v>610</v>
      </c>
      <c r="C876" t="s">
        <v>10363</v>
      </c>
      <c r="D876" t="s">
        <v>11254</v>
      </c>
      <c r="E876">
        <v>918486826558</v>
      </c>
      <c r="F876" t="s">
        <v>10402</v>
      </c>
      <c r="G876" t="s">
        <v>10377</v>
      </c>
      <c r="H876" s="2">
        <v>32726</v>
      </c>
    </row>
    <row r="877" spans="1:8">
      <c r="A877" t="s">
        <v>4668</v>
      </c>
      <c r="B877" t="s">
        <v>2143</v>
      </c>
      <c r="C877" t="s">
        <v>10367</v>
      </c>
      <c r="D877" t="s">
        <v>11255</v>
      </c>
      <c r="E877">
        <v>918227343782</v>
      </c>
      <c r="F877" t="s">
        <v>10376</v>
      </c>
      <c r="G877" t="s">
        <v>10377</v>
      </c>
      <c r="H877" s="2">
        <v>22163</v>
      </c>
    </row>
    <row r="878" spans="1:8">
      <c r="A878" t="s">
        <v>4674</v>
      </c>
      <c r="B878" t="s">
        <v>506</v>
      </c>
      <c r="C878" t="s">
        <v>10367</v>
      </c>
      <c r="D878" t="s">
        <v>11256</v>
      </c>
      <c r="E878">
        <v>919642056311</v>
      </c>
      <c r="F878" t="s">
        <v>10365</v>
      </c>
      <c r="G878" t="s">
        <v>10366</v>
      </c>
      <c r="H878" s="2">
        <v>36024</v>
      </c>
    </row>
    <row r="879" spans="1:8">
      <c r="A879" t="s">
        <v>4679</v>
      </c>
      <c r="B879" t="s">
        <v>333</v>
      </c>
      <c r="C879" t="s">
        <v>10363</v>
      </c>
      <c r="D879" t="s">
        <v>11257</v>
      </c>
      <c r="E879">
        <v>919841375879</v>
      </c>
      <c r="F879" t="s">
        <v>10372</v>
      </c>
      <c r="G879" t="s">
        <v>10379</v>
      </c>
      <c r="H879" s="2">
        <v>34609</v>
      </c>
    </row>
    <row r="880" spans="1:8">
      <c r="A880" t="s">
        <v>4684</v>
      </c>
      <c r="B880" t="s">
        <v>1014</v>
      </c>
      <c r="C880" t="s">
        <v>10367</v>
      </c>
      <c r="D880" t="s">
        <v>11258</v>
      </c>
      <c r="E880">
        <v>916474073551</v>
      </c>
      <c r="F880" t="s">
        <v>10372</v>
      </c>
      <c r="G880" t="s">
        <v>10379</v>
      </c>
      <c r="H880" s="2">
        <v>27953</v>
      </c>
    </row>
    <row r="881" spans="1:8">
      <c r="A881" t="s">
        <v>4689</v>
      </c>
      <c r="B881" t="s">
        <v>939</v>
      </c>
      <c r="C881" t="s">
        <v>10367</v>
      </c>
      <c r="D881" t="s">
        <v>11259</v>
      </c>
      <c r="E881">
        <v>918847175007</v>
      </c>
      <c r="F881" t="s">
        <v>10402</v>
      </c>
      <c r="G881" t="s">
        <v>10377</v>
      </c>
      <c r="H881" s="2">
        <v>29998</v>
      </c>
    </row>
    <row r="882" spans="1:8">
      <c r="A882" t="s">
        <v>4694</v>
      </c>
      <c r="B882" t="s">
        <v>1476</v>
      </c>
      <c r="C882" t="s">
        <v>10367</v>
      </c>
      <c r="D882" t="s">
        <v>11260</v>
      </c>
      <c r="E882">
        <v>917752065915</v>
      </c>
      <c r="F882" t="s">
        <v>10376</v>
      </c>
      <c r="G882" t="s">
        <v>10377</v>
      </c>
      <c r="H882" s="2">
        <v>24030</v>
      </c>
    </row>
    <row r="883" spans="1:8">
      <c r="A883" t="s">
        <v>4699</v>
      </c>
      <c r="B883" t="s">
        <v>484</v>
      </c>
      <c r="C883" t="s">
        <v>10363</v>
      </c>
      <c r="D883" t="s">
        <v>11261</v>
      </c>
      <c r="E883">
        <v>919199090994</v>
      </c>
      <c r="F883" t="s">
        <v>10386</v>
      </c>
      <c r="G883" t="s">
        <v>10377</v>
      </c>
      <c r="H883" s="2">
        <v>29869</v>
      </c>
    </row>
    <row r="884" spans="1:8">
      <c r="A884" t="s">
        <v>4704</v>
      </c>
      <c r="B884" t="s">
        <v>1699</v>
      </c>
      <c r="C884" t="s">
        <v>10363</v>
      </c>
      <c r="D884" t="s">
        <v>11262</v>
      </c>
      <c r="E884">
        <v>916305074068</v>
      </c>
      <c r="F884" t="s">
        <v>10402</v>
      </c>
      <c r="G884" t="s">
        <v>10370</v>
      </c>
      <c r="H884" s="2">
        <v>32500</v>
      </c>
    </row>
    <row r="885" spans="1:8">
      <c r="A885" t="s">
        <v>4709</v>
      </c>
      <c r="B885" t="s">
        <v>2778</v>
      </c>
      <c r="C885" t="s">
        <v>10363</v>
      </c>
      <c r="D885" t="s">
        <v>11263</v>
      </c>
      <c r="E885">
        <v>918278056127</v>
      </c>
      <c r="F885" t="s">
        <v>10381</v>
      </c>
      <c r="G885" t="s">
        <v>10377</v>
      </c>
      <c r="H885" s="2">
        <v>22757</v>
      </c>
    </row>
    <row r="886" spans="1:8">
      <c r="A886" t="s">
        <v>4714</v>
      </c>
      <c r="B886" t="s">
        <v>137</v>
      </c>
      <c r="C886" t="s">
        <v>10363</v>
      </c>
      <c r="D886" t="s">
        <v>11264</v>
      </c>
      <c r="E886">
        <v>917494902096</v>
      </c>
      <c r="F886" t="s">
        <v>10376</v>
      </c>
      <c r="G886" t="s">
        <v>10370</v>
      </c>
      <c r="H886" s="2">
        <v>22835</v>
      </c>
    </row>
    <row r="887" spans="1:8">
      <c r="A887" t="s">
        <v>4719</v>
      </c>
      <c r="B887" t="s">
        <v>311</v>
      </c>
      <c r="C887" t="s">
        <v>10363</v>
      </c>
      <c r="D887" t="s">
        <v>11265</v>
      </c>
      <c r="E887">
        <v>916330204554</v>
      </c>
      <c r="F887" t="s">
        <v>10365</v>
      </c>
      <c r="G887" t="s">
        <v>10366</v>
      </c>
      <c r="H887" s="2">
        <v>26574</v>
      </c>
    </row>
    <row r="888" spans="1:8">
      <c r="A888" t="s">
        <v>4724</v>
      </c>
      <c r="B888" t="s">
        <v>882</v>
      </c>
      <c r="C888" t="s">
        <v>10363</v>
      </c>
      <c r="D888" t="s">
        <v>11266</v>
      </c>
      <c r="E888">
        <v>919585412129</v>
      </c>
      <c r="F888" t="s">
        <v>10388</v>
      </c>
      <c r="G888" t="s">
        <v>10370</v>
      </c>
      <c r="H888" s="2">
        <v>31357</v>
      </c>
    </row>
    <row r="889" spans="1:8">
      <c r="A889" t="s">
        <v>4729</v>
      </c>
      <c r="B889" t="s">
        <v>124</v>
      </c>
      <c r="C889" t="s">
        <v>10363</v>
      </c>
      <c r="D889" t="s">
        <v>11267</v>
      </c>
      <c r="E889">
        <v>918162611166</v>
      </c>
      <c r="F889" t="s">
        <v>10376</v>
      </c>
      <c r="G889" t="s">
        <v>10366</v>
      </c>
      <c r="H889" s="2">
        <v>36368</v>
      </c>
    </row>
    <row r="890" spans="1:8">
      <c r="A890" t="s">
        <v>4734</v>
      </c>
      <c r="B890" t="s">
        <v>2778</v>
      </c>
      <c r="C890" t="s">
        <v>10363</v>
      </c>
      <c r="D890" t="s">
        <v>11268</v>
      </c>
      <c r="E890">
        <v>916657768209</v>
      </c>
      <c r="F890" t="s">
        <v>10365</v>
      </c>
      <c r="G890" t="s">
        <v>10366</v>
      </c>
      <c r="H890" s="2">
        <v>37001</v>
      </c>
    </row>
    <row r="891" spans="1:8">
      <c r="A891" t="s">
        <v>4739</v>
      </c>
      <c r="B891" t="s">
        <v>351</v>
      </c>
      <c r="C891" t="s">
        <v>10363</v>
      </c>
      <c r="D891" t="s">
        <v>11269</v>
      </c>
      <c r="E891">
        <v>917880960996</v>
      </c>
      <c r="F891" t="s">
        <v>10372</v>
      </c>
      <c r="G891" t="s">
        <v>10377</v>
      </c>
      <c r="H891" s="2">
        <v>34327</v>
      </c>
    </row>
    <row r="892" spans="1:8">
      <c r="A892" t="s">
        <v>4745</v>
      </c>
      <c r="B892" t="s">
        <v>1361</v>
      </c>
      <c r="C892" t="s">
        <v>10367</v>
      </c>
      <c r="D892" t="s">
        <v>11270</v>
      </c>
      <c r="E892">
        <v>919573719579</v>
      </c>
      <c r="F892" t="s">
        <v>10365</v>
      </c>
      <c r="G892" t="s">
        <v>10379</v>
      </c>
      <c r="H892" s="2">
        <v>24165</v>
      </c>
    </row>
    <row r="893" spans="1:8">
      <c r="A893" t="s">
        <v>4750</v>
      </c>
      <c r="B893" t="s">
        <v>1074</v>
      </c>
      <c r="C893" t="s">
        <v>10363</v>
      </c>
      <c r="D893" t="s">
        <v>11271</v>
      </c>
      <c r="E893">
        <v>916521899890</v>
      </c>
      <c r="F893" t="s">
        <v>10384</v>
      </c>
      <c r="G893" t="s">
        <v>10379</v>
      </c>
      <c r="H893" s="2">
        <v>25496</v>
      </c>
    </row>
    <row r="894" spans="1:8">
      <c r="A894" t="s">
        <v>4756</v>
      </c>
      <c r="B894" t="s">
        <v>392</v>
      </c>
      <c r="C894" t="s">
        <v>10367</v>
      </c>
      <c r="D894" t="s">
        <v>11272</v>
      </c>
      <c r="E894">
        <v>917080996550</v>
      </c>
      <c r="F894" t="s">
        <v>10374</v>
      </c>
      <c r="G894" t="s">
        <v>10370</v>
      </c>
      <c r="H894" s="2">
        <v>22445</v>
      </c>
    </row>
    <row r="895" spans="1:8">
      <c r="A895" t="s">
        <v>4761</v>
      </c>
      <c r="B895" t="s">
        <v>847</v>
      </c>
      <c r="C895" t="s">
        <v>10367</v>
      </c>
      <c r="D895" t="s">
        <v>11273</v>
      </c>
      <c r="E895">
        <v>919842949039</v>
      </c>
      <c r="F895" t="s">
        <v>10365</v>
      </c>
      <c r="G895" t="s">
        <v>10379</v>
      </c>
      <c r="H895" s="2">
        <v>32471</v>
      </c>
    </row>
    <row r="896" spans="1:8">
      <c r="A896" t="s">
        <v>4766</v>
      </c>
      <c r="B896" t="s">
        <v>621</v>
      </c>
      <c r="C896" t="s">
        <v>10367</v>
      </c>
      <c r="D896" t="s">
        <v>11274</v>
      </c>
      <c r="E896">
        <v>917841033464</v>
      </c>
      <c r="F896" t="s">
        <v>10372</v>
      </c>
      <c r="G896" t="s">
        <v>10366</v>
      </c>
      <c r="H896" s="2">
        <v>33862</v>
      </c>
    </row>
    <row r="897" spans="1:8">
      <c r="A897" t="s">
        <v>4771</v>
      </c>
      <c r="B897" t="s">
        <v>1288</v>
      </c>
      <c r="C897" t="s">
        <v>10367</v>
      </c>
      <c r="D897" t="s">
        <v>11275</v>
      </c>
      <c r="E897">
        <v>918599965691</v>
      </c>
      <c r="F897" t="s">
        <v>10381</v>
      </c>
      <c r="G897" t="s">
        <v>10377</v>
      </c>
      <c r="H897" s="2">
        <v>30915</v>
      </c>
    </row>
    <row r="898" spans="1:8">
      <c r="A898" t="s">
        <v>4776</v>
      </c>
      <c r="B898" t="s">
        <v>449</v>
      </c>
      <c r="C898" t="s">
        <v>10363</v>
      </c>
      <c r="D898" t="s">
        <v>11276</v>
      </c>
      <c r="E898">
        <v>917797602939</v>
      </c>
      <c r="F898" t="s">
        <v>10386</v>
      </c>
      <c r="G898" t="s">
        <v>10377</v>
      </c>
      <c r="H898" s="2">
        <v>21647</v>
      </c>
    </row>
    <row r="899" spans="1:8">
      <c r="A899" t="s">
        <v>4781</v>
      </c>
      <c r="B899" t="s">
        <v>2041</v>
      </c>
      <c r="C899" t="s">
        <v>10363</v>
      </c>
      <c r="D899" t="s">
        <v>11277</v>
      </c>
      <c r="E899">
        <v>916123621414</v>
      </c>
      <c r="F899" t="s">
        <v>10365</v>
      </c>
      <c r="G899" t="s">
        <v>10370</v>
      </c>
      <c r="H899" s="2">
        <v>22880</v>
      </c>
    </row>
    <row r="900" spans="1:8">
      <c r="A900" t="s">
        <v>4786</v>
      </c>
      <c r="B900" t="s">
        <v>8266</v>
      </c>
      <c r="C900" t="s">
        <v>10367</v>
      </c>
      <c r="D900" t="s">
        <v>11278</v>
      </c>
      <c r="E900">
        <v>917312670490</v>
      </c>
      <c r="F900" t="s">
        <v>10381</v>
      </c>
      <c r="G900" t="s">
        <v>10370</v>
      </c>
      <c r="H900" s="2">
        <v>35148</v>
      </c>
    </row>
    <row r="901" spans="1:8">
      <c r="A901" t="s">
        <v>4791</v>
      </c>
      <c r="B901" t="s">
        <v>2154</v>
      </c>
      <c r="C901" t="s">
        <v>10363</v>
      </c>
      <c r="D901" t="s">
        <v>11279</v>
      </c>
      <c r="E901">
        <v>918255762156</v>
      </c>
      <c r="F901" t="s">
        <v>10376</v>
      </c>
      <c r="G901" t="s">
        <v>10377</v>
      </c>
      <c r="H901" s="2">
        <v>29898</v>
      </c>
    </row>
    <row r="902" spans="1:8">
      <c r="A902" t="s">
        <v>4796</v>
      </c>
      <c r="B902" t="s">
        <v>1693</v>
      </c>
      <c r="C902" t="s">
        <v>10367</v>
      </c>
      <c r="D902" t="s">
        <v>11280</v>
      </c>
      <c r="E902">
        <v>919873147483</v>
      </c>
      <c r="F902" t="s">
        <v>10388</v>
      </c>
      <c r="G902" t="s">
        <v>10377</v>
      </c>
      <c r="H902" s="2">
        <v>32560</v>
      </c>
    </row>
    <row r="903" spans="1:8">
      <c r="A903" t="s">
        <v>4801</v>
      </c>
      <c r="B903" t="s">
        <v>2101</v>
      </c>
      <c r="C903" t="s">
        <v>10363</v>
      </c>
      <c r="D903" t="s">
        <v>11281</v>
      </c>
      <c r="E903">
        <v>919267521951</v>
      </c>
      <c r="F903" t="s">
        <v>10384</v>
      </c>
      <c r="G903" t="s">
        <v>10366</v>
      </c>
      <c r="H903" s="2">
        <v>23703</v>
      </c>
    </row>
    <row r="904" spans="1:8">
      <c r="A904" t="s">
        <v>4806</v>
      </c>
      <c r="B904" t="s">
        <v>3118</v>
      </c>
      <c r="C904" t="s">
        <v>10367</v>
      </c>
      <c r="D904" t="s">
        <v>11282</v>
      </c>
      <c r="E904">
        <v>916031451473</v>
      </c>
      <c r="F904" t="s">
        <v>10369</v>
      </c>
      <c r="G904" t="s">
        <v>10366</v>
      </c>
      <c r="H904" s="2">
        <v>30509</v>
      </c>
    </row>
    <row r="905" spans="1:8">
      <c r="A905" t="s">
        <v>4811</v>
      </c>
      <c r="B905" t="s">
        <v>2815</v>
      </c>
      <c r="C905" t="s">
        <v>10363</v>
      </c>
      <c r="D905" t="s">
        <v>11283</v>
      </c>
      <c r="E905">
        <v>917828782841</v>
      </c>
      <c r="F905" t="s">
        <v>10402</v>
      </c>
      <c r="G905" t="s">
        <v>10366</v>
      </c>
      <c r="H905" s="2">
        <v>29707</v>
      </c>
    </row>
    <row r="906" spans="1:8">
      <c r="A906" t="s">
        <v>4816</v>
      </c>
      <c r="B906" t="s">
        <v>1036</v>
      </c>
      <c r="C906" t="s">
        <v>10363</v>
      </c>
      <c r="D906" t="s">
        <v>11284</v>
      </c>
      <c r="E906">
        <v>918125977865</v>
      </c>
      <c r="F906" t="s">
        <v>10374</v>
      </c>
      <c r="G906" t="s">
        <v>10370</v>
      </c>
      <c r="H906" s="2">
        <v>34597</v>
      </c>
    </row>
    <row r="907" spans="1:8">
      <c r="A907" t="s">
        <v>4821</v>
      </c>
      <c r="B907" t="s">
        <v>1699</v>
      </c>
      <c r="C907" t="s">
        <v>10363</v>
      </c>
      <c r="D907" t="s">
        <v>11285</v>
      </c>
      <c r="E907">
        <v>917335932694</v>
      </c>
      <c r="F907" t="s">
        <v>10381</v>
      </c>
      <c r="G907" t="s">
        <v>10366</v>
      </c>
      <c r="H907" s="2">
        <v>27447</v>
      </c>
    </row>
    <row r="908" spans="1:8">
      <c r="A908" t="s">
        <v>4826</v>
      </c>
      <c r="B908" t="s">
        <v>865</v>
      </c>
      <c r="C908" t="s">
        <v>10363</v>
      </c>
      <c r="D908" t="s">
        <v>11286</v>
      </c>
      <c r="E908">
        <v>919694006517</v>
      </c>
      <c r="F908" t="s">
        <v>10402</v>
      </c>
      <c r="G908" t="s">
        <v>10377</v>
      </c>
      <c r="H908" s="2">
        <v>20766</v>
      </c>
    </row>
    <row r="909" spans="1:8">
      <c r="A909" t="s">
        <v>4831</v>
      </c>
      <c r="B909" t="s">
        <v>1207</v>
      </c>
      <c r="C909" t="s">
        <v>10367</v>
      </c>
      <c r="D909" t="s">
        <v>11287</v>
      </c>
      <c r="E909">
        <v>919218429183</v>
      </c>
      <c r="F909" t="s">
        <v>10369</v>
      </c>
      <c r="G909" t="s">
        <v>10370</v>
      </c>
      <c r="H909" s="2">
        <v>21130</v>
      </c>
    </row>
    <row r="910" spans="1:8">
      <c r="A910" t="s">
        <v>4836</v>
      </c>
      <c r="B910" t="s">
        <v>6181</v>
      </c>
      <c r="C910" t="s">
        <v>10367</v>
      </c>
      <c r="D910" t="s">
        <v>11288</v>
      </c>
      <c r="E910">
        <v>918851708239</v>
      </c>
      <c r="F910" t="s">
        <v>10386</v>
      </c>
      <c r="G910" t="s">
        <v>10370</v>
      </c>
      <c r="H910" s="2">
        <v>24027</v>
      </c>
    </row>
    <row r="911" spans="1:8">
      <c r="A911" t="s">
        <v>4841</v>
      </c>
      <c r="B911" t="s">
        <v>1794</v>
      </c>
      <c r="C911" t="s">
        <v>10367</v>
      </c>
      <c r="D911" t="s">
        <v>11289</v>
      </c>
      <c r="E911">
        <v>917073949459</v>
      </c>
      <c r="F911" t="s">
        <v>10402</v>
      </c>
      <c r="G911" t="s">
        <v>10377</v>
      </c>
      <c r="H911" s="2">
        <v>34968</v>
      </c>
    </row>
    <row r="912" spans="1:8">
      <c r="A912" t="s">
        <v>4846</v>
      </c>
      <c r="B912" t="s">
        <v>186</v>
      </c>
      <c r="C912" t="s">
        <v>10363</v>
      </c>
      <c r="D912" t="s">
        <v>11290</v>
      </c>
      <c r="E912">
        <v>919364856248</v>
      </c>
      <c r="F912" t="s">
        <v>10372</v>
      </c>
      <c r="G912" t="s">
        <v>10370</v>
      </c>
      <c r="H912" s="2">
        <v>26624</v>
      </c>
    </row>
    <row r="913" spans="1:8">
      <c r="A913" t="s">
        <v>4851</v>
      </c>
      <c r="B913" t="s">
        <v>1710</v>
      </c>
      <c r="C913" t="s">
        <v>10363</v>
      </c>
      <c r="D913" t="s">
        <v>11291</v>
      </c>
      <c r="E913">
        <v>918892005700</v>
      </c>
      <c r="F913" t="s">
        <v>10381</v>
      </c>
      <c r="G913" t="s">
        <v>10370</v>
      </c>
      <c r="H913" s="2">
        <v>26487</v>
      </c>
    </row>
    <row r="914" spans="1:8">
      <c r="A914" t="s">
        <v>4856</v>
      </c>
      <c r="B914" t="s">
        <v>5074</v>
      </c>
      <c r="C914" t="s">
        <v>10367</v>
      </c>
      <c r="D914" t="s">
        <v>11292</v>
      </c>
      <c r="E914">
        <v>916988152392</v>
      </c>
      <c r="F914" t="s">
        <v>10376</v>
      </c>
      <c r="G914" t="s">
        <v>10366</v>
      </c>
      <c r="H914" s="2">
        <v>25062</v>
      </c>
    </row>
    <row r="915" spans="1:8">
      <c r="A915" t="s">
        <v>4861</v>
      </c>
      <c r="B915" t="s">
        <v>536</v>
      </c>
      <c r="C915" t="s">
        <v>10367</v>
      </c>
      <c r="D915" t="s">
        <v>11293</v>
      </c>
      <c r="E915">
        <v>917092647469</v>
      </c>
      <c r="F915" t="s">
        <v>10388</v>
      </c>
      <c r="G915" t="s">
        <v>10379</v>
      </c>
      <c r="H915" s="2">
        <v>28616</v>
      </c>
    </row>
    <row r="916" spans="1:8">
      <c r="A916" t="s">
        <v>4866</v>
      </c>
      <c r="B916" t="s">
        <v>1447</v>
      </c>
      <c r="C916" t="s">
        <v>10367</v>
      </c>
      <c r="D916" t="s">
        <v>11294</v>
      </c>
      <c r="E916">
        <v>916573596224</v>
      </c>
      <c r="F916" t="s">
        <v>10384</v>
      </c>
      <c r="G916" t="s">
        <v>10366</v>
      </c>
      <c r="H916" s="2">
        <v>27774</v>
      </c>
    </row>
    <row r="917" spans="1:8">
      <c r="A917" t="s">
        <v>4871</v>
      </c>
      <c r="B917" t="s">
        <v>2837</v>
      </c>
      <c r="C917" t="s">
        <v>10367</v>
      </c>
      <c r="D917" t="s">
        <v>11295</v>
      </c>
      <c r="E917">
        <v>916700462844</v>
      </c>
      <c r="F917" t="s">
        <v>10384</v>
      </c>
      <c r="G917" t="s">
        <v>10366</v>
      </c>
      <c r="H917" s="2">
        <v>34105</v>
      </c>
    </row>
    <row r="918" spans="1:8">
      <c r="A918" t="s">
        <v>4876</v>
      </c>
      <c r="B918" t="s">
        <v>500</v>
      </c>
      <c r="C918" t="s">
        <v>10363</v>
      </c>
      <c r="D918" t="s">
        <v>11296</v>
      </c>
      <c r="E918">
        <v>919464615233</v>
      </c>
      <c r="F918" t="s">
        <v>10369</v>
      </c>
      <c r="G918" t="s">
        <v>10379</v>
      </c>
      <c r="H918" s="2">
        <v>26822</v>
      </c>
    </row>
    <row r="919" spans="1:8">
      <c r="A919" t="s">
        <v>4881</v>
      </c>
      <c r="B919" t="s">
        <v>2085</v>
      </c>
      <c r="C919" t="s">
        <v>10367</v>
      </c>
      <c r="D919" t="s">
        <v>11297</v>
      </c>
      <c r="E919">
        <v>916192421307</v>
      </c>
      <c r="F919" t="s">
        <v>10372</v>
      </c>
      <c r="G919" t="s">
        <v>10379</v>
      </c>
      <c r="H919" s="2">
        <v>22906</v>
      </c>
    </row>
    <row r="920" spans="1:8">
      <c r="A920" t="s">
        <v>4886</v>
      </c>
      <c r="B920" t="s">
        <v>847</v>
      </c>
      <c r="C920" t="s">
        <v>10367</v>
      </c>
      <c r="D920" t="s">
        <v>11298</v>
      </c>
      <c r="E920">
        <v>917176686702</v>
      </c>
      <c r="F920" t="s">
        <v>10381</v>
      </c>
      <c r="G920" t="s">
        <v>10379</v>
      </c>
      <c r="H920" s="2">
        <v>24968</v>
      </c>
    </row>
    <row r="921" spans="1:8">
      <c r="A921" t="s">
        <v>4891</v>
      </c>
      <c r="B921" t="s">
        <v>3586</v>
      </c>
      <c r="C921" t="s">
        <v>10363</v>
      </c>
      <c r="D921" t="s">
        <v>11299</v>
      </c>
      <c r="E921">
        <v>918217684043</v>
      </c>
      <c r="F921" t="s">
        <v>10386</v>
      </c>
      <c r="G921" t="s">
        <v>10379</v>
      </c>
      <c r="H921" s="2">
        <v>30607</v>
      </c>
    </row>
    <row r="922" spans="1:8">
      <c r="A922" t="s">
        <v>4897</v>
      </c>
      <c r="B922" t="s">
        <v>1594</v>
      </c>
      <c r="C922" t="s">
        <v>10363</v>
      </c>
      <c r="D922" t="s">
        <v>11300</v>
      </c>
      <c r="E922">
        <v>919009896847</v>
      </c>
      <c r="F922" t="s">
        <v>10402</v>
      </c>
      <c r="G922" t="s">
        <v>10379</v>
      </c>
      <c r="H922" s="2">
        <v>36465</v>
      </c>
    </row>
    <row r="923" spans="1:8">
      <c r="A923" t="s">
        <v>4902</v>
      </c>
      <c r="B923" t="s">
        <v>835</v>
      </c>
      <c r="C923" t="s">
        <v>10363</v>
      </c>
      <c r="D923" t="s">
        <v>11301</v>
      </c>
      <c r="E923">
        <v>919634742057</v>
      </c>
      <c r="F923" t="s">
        <v>10372</v>
      </c>
      <c r="G923" t="s">
        <v>10379</v>
      </c>
      <c r="H923" s="2">
        <v>21947</v>
      </c>
    </row>
    <row r="924" spans="1:8">
      <c r="A924" t="s">
        <v>4907</v>
      </c>
      <c r="B924" t="s">
        <v>6465</v>
      </c>
      <c r="C924" t="s">
        <v>10363</v>
      </c>
      <c r="D924" t="s">
        <v>11302</v>
      </c>
      <c r="E924">
        <v>916440788325</v>
      </c>
      <c r="F924" t="s">
        <v>10374</v>
      </c>
      <c r="G924" t="s">
        <v>10379</v>
      </c>
      <c r="H924" s="2">
        <v>31212</v>
      </c>
    </row>
    <row r="925" spans="1:8">
      <c r="A925" t="s">
        <v>4912</v>
      </c>
      <c r="B925" t="s">
        <v>2837</v>
      </c>
      <c r="C925" t="s">
        <v>10367</v>
      </c>
      <c r="D925" t="s">
        <v>11303</v>
      </c>
      <c r="E925">
        <v>916328881036</v>
      </c>
      <c r="F925" t="s">
        <v>10384</v>
      </c>
      <c r="G925" t="s">
        <v>10379</v>
      </c>
      <c r="H925" s="2">
        <v>20763</v>
      </c>
    </row>
    <row r="926" spans="1:8">
      <c r="A926" t="s">
        <v>4917</v>
      </c>
      <c r="B926" t="s">
        <v>1399</v>
      </c>
      <c r="C926" t="s">
        <v>10367</v>
      </c>
      <c r="D926" t="s">
        <v>11304</v>
      </c>
      <c r="E926">
        <v>916877935103</v>
      </c>
      <c r="F926" t="s">
        <v>10372</v>
      </c>
      <c r="G926" t="s">
        <v>10370</v>
      </c>
      <c r="H926" s="2">
        <v>28784</v>
      </c>
    </row>
    <row r="927" spans="1:8">
      <c r="A927" t="s">
        <v>4922</v>
      </c>
      <c r="B927" t="s">
        <v>1643</v>
      </c>
      <c r="C927" t="s">
        <v>10363</v>
      </c>
      <c r="D927" t="s">
        <v>10729</v>
      </c>
      <c r="E927">
        <v>919792213087</v>
      </c>
      <c r="F927" t="s">
        <v>10372</v>
      </c>
      <c r="G927" t="s">
        <v>10366</v>
      </c>
      <c r="H927" s="2">
        <v>20770</v>
      </c>
    </row>
    <row r="928" spans="1:8">
      <c r="A928" t="s">
        <v>4927</v>
      </c>
      <c r="B928" t="s">
        <v>835</v>
      </c>
      <c r="C928" t="s">
        <v>10363</v>
      </c>
      <c r="D928" t="s">
        <v>11305</v>
      </c>
      <c r="E928">
        <v>917473842450</v>
      </c>
      <c r="F928" t="s">
        <v>10372</v>
      </c>
      <c r="G928" t="s">
        <v>10377</v>
      </c>
      <c r="H928" s="2">
        <v>23369</v>
      </c>
    </row>
    <row r="929" spans="1:8">
      <c r="A929" t="s">
        <v>4932</v>
      </c>
      <c r="B929" t="s">
        <v>339</v>
      </c>
      <c r="C929" t="s">
        <v>10363</v>
      </c>
      <c r="D929" t="s">
        <v>11306</v>
      </c>
      <c r="E929">
        <v>918025630555</v>
      </c>
      <c r="F929" t="s">
        <v>10384</v>
      </c>
      <c r="G929" t="s">
        <v>10370</v>
      </c>
      <c r="H929" s="2">
        <v>27976</v>
      </c>
    </row>
    <row r="930" spans="1:8">
      <c r="A930" t="s">
        <v>4937</v>
      </c>
      <c r="B930" t="s">
        <v>1114</v>
      </c>
      <c r="C930" t="s">
        <v>10367</v>
      </c>
      <c r="D930" t="s">
        <v>11307</v>
      </c>
      <c r="E930">
        <v>919703139440</v>
      </c>
      <c r="F930" t="s">
        <v>10376</v>
      </c>
      <c r="G930" t="s">
        <v>10366</v>
      </c>
      <c r="H930" s="2">
        <v>36752</v>
      </c>
    </row>
    <row r="931" spans="1:8">
      <c r="A931" t="s">
        <v>4942</v>
      </c>
      <c r="B931" t="s">
        <v>639</v>
      </c>
      <c r="C931" t="s">
        <v>10363</v>
      </c>
      <c r="D931" t="s">
        <v>11308</v>
      </c>
      <c r="E931">
        <v>918702329035</v>
      </c>
      <c r="F931" t="s">
        <v>10386</v>
      </c>
      <c r="G931" t="s">
        <v>10370</v>
      </c>
      <c r="H931" s="2">
        <v>32457</v>
      </c>
    </row>
    <row r="932" spans="1:8">
      <c r="A932" t="s">
        <v>4947</v>
      </c>
      <c r="B932" t="s">
        <v>1498</v>
      </c>
      <c r="C932" t="s">
        <v>10363</v>
      </c>
      <c r="D932" t="s">
        <v>11309</v>
      </c>
      <c r="E932">
        <v>916841222397</v>
      </c>
      <c r="F932" t="s">
        <v>10374</v>
      </c>
      <c r="G932" t="s">
        <v>10366</v>
      </c>
      <c r="H932" s="2">
        <v>25227</v>
      </c>
    </row>
    <row r="933" spans="1:8">
      <c r="A933" t="s">
        <v>4952</v>
      </c>
      <c r="B933" t="s">
        <v>106</v>
      </c>
      <c r="C933" t="s">
        <v>10363</v>
      </c>
      <c r="D933" t="s">
        <v>11310</v>
      </c>
      <c r="E933">
        <v>917886671534</v>
      </c>
      <c r="F933" t="s">
        <v>10384</v>
      </c>
      <c r="G933" t="s">
        <v>10379</v>
      </c>
      <c r="H933" s="2">
        <v>34123</v>
      </c>
    </row>
    <row r="934" spans="1:8">
      <c r="A934" t="s">
        <v>4957</v>
      </c>
      <c r="B934" t="s">
        <v>386</v>
      </c>
      <c r="C934" t="s">
        <v>10363</v>
      </c>
      <c r="D934" t="s">
        <v>11311</v>
      </c>
      <c r="E934">
        <v>918760377193</v>
      </c>
      <c r="F934" t="s">
        <v>10384</v>
      </c>
      <c r="G934" t="s">
        <v>10366</v>
      </c>
      <c r="H934" s="2">
        <v>23727</v>
      </c>
    </row>
    <row r="935" spans="1:8">
      <c r="A935" t="s">
        <v>4962</v>
      </c>
      <c r="B935" t="s">
        <v>536</v>
      </c>
      <c r="C935" t="s">
        <v>10367</v>
      </c>
      <c r="D935" t="s">
        <v>11312</v>
      </c>
      <c r="E935">
        <v>916209476951</v>
      </c>
      <c r="F935" t="s">
        <v>10376</v>
      </c>
      <c r="G935" t="s">
        <v>10379</v>
      </c>
      <c r="H935" s="2">
        <v>27580</v>
      </c>
    </row>
    <row r="936" spans="1:8">
      <c r="A936" t="s">
        <v>4967</v>
      </c>
      <c r="B936" t="s">
        <v>415</v>
      </c>
      <c r="C936" t="s">
        <v>10367</v>
      </c>
      <c r="D936" t="s">
        <v>11313</v>
      </c>
      <c r="E936">
        <v>917305861545</v>
      </c>
      <c r="F936" t="s">
        <v>10372</v>
      </c>
      <c r="G936" t="s">
        <v>10370</v>
      </c>
      <c r="H936" s="2">
        <v>34981</v>
      </c>
    </row>
    <row r="937" spans="1:8">
      <c r="A937" t="s">
        <v>4972</v>
      </c>
      <c r="B937" t="s">
        <v>1470</v>
      </c>
      <c r="C937" t="s">
        <v>10367</v>
      </c>
      <c r="D937" t="s">
        <v>11314</v>
      </c>
      <c r="E937">
        <v>916999134603</v>
      </c>
      <c r="F937" t="s">
        <v>10402</v>
      </c>
      <c r="G937" t="s">
        <v>10377</v>
      </c>
      <c r="H937" s="2">
        <v>35861</v>
      </c>
    </row>
    <row r="938" spans="1:8">
      <c r="A938" t="s">
        <v>4977</v>
      </c>
      <c r="B938" t="s">
        <v>2689</v>
      </c>
      <c r="C938" t="s">
        <v>10367</v>
      </c>
      <c r="D938" t="s">
        <v>11315</v>
      </c>
      <c r="E938">
        <v>919066883301</v>
      </c>
      <c r="F938" t="s">
        <v>10388</v>
      </c>
      <c r="G938" t="s">
        <v>10379</v>
      </c>
      <c r="H938" s="2">
        <v>25249</v>
      </c>
    </row>
    <row r="939" spans="1:8">
      <c r="A939" t="s">
        <v>4982</v>
      </c>
      <c r="B939" t="s">
        <v>6774</v>
      </c>
      <c r="C939" t="s">
        <v>10367</v>
      </c>
      <c r="D939" t="s">
        <v>11316</v>
      </c>
      <c r="E939">
        <v>916743284177</v>
      </c>
      <c r="F939" t="s">
        <v>10386</v>
      </c>
      <c r="G939" t="s">
        <v>10370</v>
      </c>
      <c r="H939" s="2">
        <v>28958</v>
      </c>
    </row>
    <row r="940" spans="1:8">
      <c r="A940" t="s">
        <v>4988</v>
      </c>
      <c r="B940" t="s">
        <v>2837</v>
      </c>
      <c r="C940" t="s">
        <v>10367</v>
      </c>
      <c r="D940" t="s">
        <v>11317</v>
      </c>
      <c r="E940">
        <v>919872895887</v>
      </c>
      <c r="F940" t="s">
        <v>10384</v>
      </c>
      <c r="G940" t="s">
        <v>10379</v>
      </c>
      <c r="H940" s="2">
        <v>31558</v>
      </c>
    </row>
    <row r="941" spans="1:8">
      <c r="A941" t="s">
        <v>4993</v>
      </c>
      <c r="B941" t="s">
        <v>691</v>
      </c>
      <c r="C941" t="s">
        <v>10367</v>
      </c>
      <c r="D941" t="s">
        <v>11318</v>
      </c>
      <c r="E941">
        <v>918792000344</v>
      </c>
      <c r="F941" t="s">
        <v>10376</v>
      </c>
      <c r="G941" t="s">
        <v>10366</v>
      </c>
      <c r="H941" s="2">
        <v>32122</v>
      </c>
    </row>
    <row r="942" spans="1:8">
      <c r="A942" t="s">
        <v>4998</v>
      </c>
      <c r="B942" t="s">
        <v>2642</v>
      </c>
      <c r="C942" t="s">
        <v>10367</v>
      </c>
      <c r="D942" t="s">
        <v>11319</v>
      </c>
      <c r="E942">
        <v>919381047597</v>
      </c>
      <c r="F942" t="s">
        <v>10372</v>
      </c>
      <c r="G942" t="s">
        <v>10377</v>
      </c>
      <c r="H942" s="2">
        <v>25793</v>
      </c>
    </row>
    <row r="943" spans="1:8">
      <c r="A943" t="s">
        <v>5003</v>
      </c>
      <c r="B943" t="s">
        <v>61</v>
      </c>
      <c r="C943" t="s">
        <v>10367</v>
      </c>
      <c r="D943" t="s">
        <v>11320</v>
      </c>
      <c r="E943">
        <v>917138760832</v>
      </c>
      <c r="F943" t="s">
        <v>10381</v>
      </c>
      <c r="G943" t="s">
        <v>10377</v>
      </c>
      <c r="H943" s="2">
        <v>31243</v>
      </c>
    </row>
    <row r="944" spans="1:8">
      <c r="A944" t="s">
        <v>5008</v>
      </c>
      <c r="B944" t="s">
        <v>1431</v>
      </c>
      <c r="C944" t="s">
        <v>10367</v>
      </c>
      <c r="D944" t="s">
        <v>11321</v>
      </c>
      <c r="E944">
        <v>916857796244</v>
      </c>
      <c r="F944" t="s">
        <v>10372</v>
      </c>
      <c r="G944" t="s">
        <v>10377</v>
      </c>
      <c r="H944" s="2">
        <v>21726</v>
      </c>
    </row>
    <row r="945" spans="1:8">
      <c r="A945" t="s">
        <v>5013</v>
      </c>
      <c r="B945" t="s">
        <v>67</v>
      </c>
      <c r="C945" t="s">
        <v>10367</v>
      </c>
      <c r="D945" t="s">
        <v>11322</v>
      </c>
      <c r="E945">
        <v>918526989347</v>
      </c>
      <c r="F945" t="s">
        <v>10388</v>
      </c>
      <c r="G945" t="s">
        <v>10377</v>
      </c>
      <c r="H945" s="2">
        <v>35401</v>
      </c>
    </row>
    <row r="946" spans="1:8">
      <c r="A946" t="s">
        <v>5018</v>
      </c>
      <c r="B946" t="s">
        <v>1710</v>
      </c>
      <c r="C946" t="s">
        <v>10363</v>
      </c>
      <c r="D946" t="s">
        <v>11323</v>
      </c>
      <c r="E946">
        <v>917711235206</v>
      </c>
      <c r="F946" t="s">
        <v>10374</v>
      </c>
      <c r="G946" t="s">
        <v>10370</v>
      </c>
      <c r="H946" s="2">
        <v>25912</v>
      </c>
    </row>
    <row r="947" spans="1:8">
      <c r="A947" t="s">
        <v>5023</v>
      </c>
      <c r="B947" t="s">
        <v>460</v>
      </c>
      <c r="C947" t="s">
        <v>10363</v>
      </c>
      <c r="D947" t="s">
        <v>11324</v>
      </c>
      <c r="E947">
        <v>918811889881</v>
      </c>
      <c r="F947" t="s">
        <v>10386</v>
      </c>
      <c r="G947" t="s">
        <v>10366</v>
      </c>
      <c r="H947" s="2">
        <v>25725</v>
      </c>
    </row>
    <row r="948" spans="1:8">
      <c r="A948" t="s">
        <v>5028</v>
      </c>
      <c r="B948" t="s">
        <v>432</v>
      </c>
      <c r="C948" t="s">
        <v>10363</v>
      </c>
      <c r="D948" t="s">
        <v>11325</v>
      </c>
      <c r="E948">
        <v>918711403519</v>
      </c>
      <c r="F948" t="s">
        <v>10388</v>
      </c>
      <c r="G948" t="s">
        <v>10377</v>
      </c>
      <c r="H948" s="2">
        <v>26146</v>
      </c>
    </row>
    <row r="949" spans="1:8">
      <c r="A949" t="s">
        <v>5033</v>
      </c>
      <c r="B949" t="s">
        <v>2112</v>
      </c>
      <c r="C949" t="s">
        <v>10363</v>
      </c>
      <c r="D949" t="s">
        <v>11326</v>
      </c>
      <c r="E949">
        <v>919159430696</v>
      </c>
      <c r="F949" t="s">
        <v>10376</v>
      </c>
      <c r="G949" t="s">
        <v>10366</v>
      </c>
      <c r="H949" s="2">
        <v>33920</v>
      </c>
    </row>
    <row r="950" spans="1:8">
      <c r="A950" t="s">
        <v>5038</v>
      </c>
      <c r="B950" t="s">
        <v>2815</v>
      </c>
      <c r="C950" t="s">
        <v>10363</v>
      </c>
      <c r="D950" t="s">
        <v>11327</v>
      </c>
      <c r="E950">
        <v>918155490386</v>
      </c>
      <c r="F950" t="s">
        <v>10369</v>
      </c>
      <c r="G950" t="s">
        <v>10379</v>
      </c>
      <c r="H950" s="2">
        <v>27428</v>
      </c>
    </row>
    <row r="951" spans="1:8">
      <c r="A951" t="s">
        <v>5043</v>
      </c>
      <c r="B951" t="s">
        <v>2474</v>
      </c>
      <c r="C951" t="s">
        <v>10363</v>
      </c>
      <c r="D951" t="s">
        <v>11328</v>
      </c>
      <c r="E951">
        <v>919382524776</v>
      </c>
      <c r="F951" t="s">
        <v>10372</v>
      </c>
      <c r="G951" t="s">
        <v>10379</v>
      </c>
      <c r="H951" s="2">
        <v>29992</v>
      </c>
    </row>
    <row r="952" spans="1:8">
      <c r="A952" t="s">
        <v>5048</v>
      </c>
      <c r="B952" t="s">
        <v>157</v>
      </c>
      <c r="C952" t="s">
        <v>10363</v>
      </c>
      <c r="D952" t="s">
        <v>11329</v>
      </c>
      <c r="E952">
        <v>918193554505</v>
      </c>
      <c r="F952" t="s">
        <v>10386</v>
      </c>
      <c r="G952" t="s">
        <v>10379</v>
      </c>
      <c r="H952" s="2">
        <v>35439</v>
      </c>
    </row>
    <row r="953" spans="1:8">
      <c r="A953" t="s">
        <v>5053</v>
      </c>
      <c r="B953" t="s">
        <v>3586</v>
      </c>
      <c r="C953" t="s">
        <v>10363</v>
      </c>
      <c r="D953" t="s">
        <v>11330</v>
      </c>
      <c r="E953">
        <v>918351752678</v>
      </c>
      <c r="F953" t="s">
        <v>10381</v>
      </c>
      <c r="G953" t="s">
        <v>10377</v>
      </c>
      <c r="H953" s="2">
        <v>37430</v>
      </c>
    </row>
    <row r="954" spans="1:8">
      <c r="A954" t="s">
        <v>5058</v>
      </c>
      <c r="B954" t="s">
        <v>1810</v>
      </c>
      <c r="C954" t="s">
        <v>10367</v>
      </c>
      <c r="D954" t="s">
        <v>11331</v>
      </c>
      <c r="E954">
        <v>917610300273</v>
      </c>
      <c r="F954" t="s">
        <v>10388</v>
      </c>
      <c r="G954" t="s">
        <v>10377</v>
      </c>
      <c r="H954" s="2">
        <v>26639</v>
      </c>
    </row>
    <row r="955" spans="1:8">
      <c r="A955" t="s">
        <v>5063</v>
      </c>
      <c r="B955" t="s">
        <v>421</v>
      </c>
      <c r="C955" t="s">
        <v>10363</v>
      </c>
      <c r="D955" t="s">
        <v>11332</v>
      </c>
      <c r="E955">
        <v>918466391609</v>
      </c>
      <c r="F955" t="s">
        <v>10381</v>
      </c>
      <c r="G955" t="s">
        <v>10379</v>
      </c>
      <c r="H955" s="2">
        <v>30099</v>
      </c>
    </row>
    <row r="956" spans="1:8">
      <c r="A956" t="s">
        <v>5068</v>
      </c>
      <c r="B956" t="s">
        <v>4081</v>
      </c>
      <c r="C956" t="s">
        <v>10367</v>
      </c>
      <c r="D956" t="s">
        <v>11333</v>
      </c>
      <c r="E956">
        <v>918676373346</v>
      </c>
      <c r="F956" t="s">
        <v>10384</v>
      </c>
      <c r="G956" t="s">
        <v>10379</v>
      </c>
      <c r="H956" s="2">
        <v>24169</v>
      </c>
    </row>
    <row r="957" spans="1:8">
      <c r="A957" t="s">
        <v>5073</v>
      </c>
      <c r="B957" t="s">
        <v>11334</v>
      </c>
      <c r="C957" t="s">
        <v>10367</v>
      </c>
      <c r="D957" t="s">
        <v>11335</v>
      </c>
      <c r="E957">
        <v>918284639663</v>
      </c>
      <c r="F957" t="s">
        <v>10386</v>
      </c>
      <c r="G957" t="s">
        <v>10379</v>
      </c>
      <c r="H957" s="2">
        <v>20956</v>
      </c>
    </row>
    <row r="958" spans="1:8">
      <c r="A958" t="s">
        <v>5079</v>
      </c>
      <c r="B958" t="s">
        <v>1186</v>
      </c>
      <c r="C958" t="s">
        <v>10367</v>
      </c>
      <c r="D958" t="s">
        <v>11336</v>
      </c>
      <c r="E958">
        <v>919599219091</v>
      </c>
      <c r="F958" t="s">
        <v>10402</v>
      </c>
      <c r="G958" t="s">
        <v>10366</v>
      </c>
      <c r="H958" s="2">
        <v>31040</v>
      </c>
    </row>
    <row r="959" spans="1:8">
      <c r="A959" t="s">
        <v>5084</v>
      </c>
      <c r="B959" t="s">
        <v>2143</v>
      </c>
      <c r="C959" t="s">
        <v>10367</v>
      </c>
      <c r="D959" t="s">
        <v>11337</v>
      </c>
      <c r="E959">
        <v>919714047222</v>
      </c>
      <c r="F959" t="s">
        <v>10372</v>
      </c>
      <c r="G959" t="s">
        <v>10370</v>
      </c>
      <c r="H959" s="2">
        <v>20190</v>
      </c>
    </row>
    <row r="960" spans="1:8">
      <c r="A960" t="s">
        <v>5089</v>
      </c>
      <c r="B960" t="s">
        <v>2154</v>
      </c>
      <c r="C960" t="s">
        <v>10363</v>
      </c>
      <c r="D960" t="s">
        <v>11338</v>
      </c>
      <c r="E960">
        <v>919935581236</v>
      </c>
      <c r="F960" t="s">
        <v>10376</v>
      </c>
      <c r="G960" t="s">
        <v>10379</v>
      </c>
      <c r="H960" s="2">
        <v>35182</v>
      </c>
    </row>
    <row r="961" spans="1:8">
      <c r="A961" t="s">
        <v>5094</v>
      </c>
      <c r="B961" t="s">
        <v>288</v>
      </c>
      <c r="C961" t="s">
        <v>10367</v>
      </c>
      <c r="D961" t="s">
        <v>11339</v>
      </c>
      <c r="E961">
        <v>917776483509</v>
      </c>
      <c r="F961" t="s">
        <v>10372</v>
      </c>
      <c r="G961" t="s">
        <v>10379</v>
      </c>
      <c r="H961" s="2">
        <v>31171</v>
      </c>
    </row>
    <row r="962" spans="1:8">
      <c r="A962" t="s">
        <v>5099</v>
      </c>
      <c r="B962" t="s">
        <v>1610</v>
      </c>
      <c r="C962" t="s">
        <v>10367</v>
      </c>
      <c r="D962" t="s">
        <v>11340</v>
      </c>
      <c r="E962">
        <v>918896165215</v>
      </c>
      <c r="F962" t="s">
        <v>10376</v>
      </c>
      <c r="G962" t="s">
        <v>10377</v>
      </c>
      <c r="H962" s="2">
        <v>23545</v>
      </c>
    </row>
    <row r="963" spans="1:8">
      <c r="A963" t="s">
        <v>5104</v>
      </c>
      <c r="B963" t="s">
        <v>729</v>
      </c>
      <c r="C963" t="s">
        <v>10367</v>
      </c>
      <c r="D963" t="s">
        <v>11341</v>
      </c>
      <c r="E963">
        <v>918295710390</v>
      </c>
      <c r="F963" t="s">
        <v>10402</v>
      </c>
      <c r="G963" t="s">
        <v>10366</v>
      </c>
      <c r="H963" s="2">
        <v>25128</v>
      </c>
    </row>
    <row r="964" spans="1:8">
      <c r="A964" t="s">
        <v>5109</v>
      </c>
      <c r="B964" t="s">
        <v>74</v>
      </c>
      <c r="C964" t="s">
        <v>10363</v>
      </c>
      <c r="D964" t="s">
        <v>11342</v>
      </c>
      <c r="E964">
        <v>918100064445</v>
      </c>
      <c r="F964" t="s">
        <v>10384</v>
      </c>
      <c r="G964" t="s">
        <v>10366</v>
      </c>
      <c r="H964" s="2">
        <v>28059</v>
      </c>
    </row>
    <row r="965" spans="1:8">
      <c r="A965" t="s">
        <v>5114</v>
      </c>
      <c r="B965" t="s">
        <v>1643</v>
      </c>
      <c r="C965" t="s">
        <v>10363</v>
      </c>
      <c r="D965" t="s">
        <v>11343</v>
      </c>
      <c r="E965">
        <v>919937083693</v>
      </c>
      <c r="F965" t="s">
        <v>10381</v>
      </c>
      <c r="G965" t="s">
        <v>10379</v>
      </c>
      <c r="H965" s="2">
        <v>27937</v>
      </c>
    </row>
    <row r="966" spans="1:8">
      <c r="A966" t="s">
        <v>5119</v>
      </c>
      <c r="B966" t="s">
        <v>1213</v>
      </c>
      <c r="C966" t="s">
        <v>10367</v>
      </c>
      <c r="D966" t="s">
        <v>11344</v>
      </c>
      <c r="E966">
        <v>919255148809</v>
      </c>
      <c r="F966" t="s">
        <v>10369</v>
      </c>
      <c r="G966" t="s">
        <v>10370</v>
      </c>
      <c r="H966" s="2">
        <v>25088</v>
      </c>
    </row>
    <row r="967" spans="1:8">
      <c r="A967" t="s">
        <v>5124</v>
      </c>
      <c r="B967" t="s">
        <v>558</v>
      </c>
      <c r="C967" t="s">
        <v>10363</v>
      </c>
      <c r="D967" t="s">
        <v>11345</v>
      </c>
      <c r="E967">
        <v>918287042052</v>
      </c>
      <c r="F967" t="s">
        <v>10369</v>
      </c>
      <c r="G967" t="s">
        <v>10377</v>
      </c>
      <c r="H967" s="2">
        <v>33232</v>
      </c>
    </row>
    <row r="968" spans="1:8">
      <c r="A968" t="s">
        <v>5129</v>
      </c>
      <c r="B968" t="s">
        <v>910</v>
      </c>
      <c r="C968" t="s">
        <v>10367</v>
      </c>
      <c r="D968" t="s">
        <v>11346</v>
      </c>
      <c r="E968">
        <v>919518111839</v>
      </c>
      <c r="F968" t="s">
        <v>10372</v>
      </c>
      <c r="G968" t="s">
        <v>10379</v>
      </c>
      <c r="H968" s="2">
        <v>24597</v>
      </c>
    </row>
    <row r="969" spans="1:8">
      <c r="A969" t="s">
        <v>5134</v>
      </c>
      <c r="B969" t="s">
        <v>363</v>
      </c>
      <c r="C969" t="s">
        <v>10363</v>
      </c>
      <c r="D969" t="s">
        <v>11347</v>
      </c>
      <c r="E969">
        <v>918959822536</v>
      </c>
      <c r="F969" t="s">
        <v>10369</v>
      </c>
      <c r="G969" t="s">
        <v>10366</v>
      </c>
      <c r="H969" s="2">
        <v>33474</v>
      </c>
    </row>
    <row r="970" spans="1:8">
      <c r="A970" t="s">
        <v>5139</v>
      </c>
      <c r="B970" t="s">
        <v>575</v>
      </c>
      <c r="C970" t="s">
        <v>10363</v>
      </c>
      <c r="D970" t="s">
        <v>11348</v>
      </c>
      <c r="E970">
        <v>916744699578</v>
      </c>
      <c r="F970" t="s">
        <v>10402</v>
      </c>
      <c r="G970" t="s">
        <v>10366</v>
      </c>
      <c r="H970" s="2">
        <v>23596</v>
      </c>
    </row>
    <row r="971" spans="1:8">
      <c r="A971" t="s">
        <v>5144</v>
      </c>
      <c r="B971" t="s">
        <v>2663</v>
      </c>
      <c r="C971" t="s">
        <v>10367</v>
      </c>
      <c r="D971" t="s">
        <v>11349</v>
      </c>
      <c r="E971">
        <v>916378477126</v>
      </c>
      <c r="F971" t="s">
        <v>10376</v>
      </c>
      <c r="G971" t="s">
        <v>10370</v>
      </c>
      <c r="H971" s="2">
        <v>22088</v>
      </c>
    </row>
    <row r="972" spans="1:8">
      <c r="A972" t="s">
        <v>5149</v>
      </c>
      <c r="B972" t="s">
        <v>1152</v>
      </c>
      <c r="C972" t="s">
        <v>10367</v>
      </c>
      <c r="D972" t="s">
        <v>11350</v>
      </c>
      <c r="E972">
        <v>916959740598</v>
      </c>
      <c r="F972" t="s">
        <v>10388</v>
      </c>
      <c r="G972" t="s">
        <v>10370</v>
      </c>
      <c r="H972" s="2">
        <v>21315</v>
      </c>
    </row>
    <row r="973" spans="1:8">
      <c r="A973" t="s">
        <v>5154</v>
      </c>
      <c r="B973" t="s">
        <v>2062</v>
      </c>
      <c r="C973" t="s">
        <v>10367</v>
      </c>
      <c r="D973" t="s">
        <v>11351</v>
      </c>
      <c r="E973">
        <v>919838426604</v>
      </c>
      <c r="F973" t="s">
        <v>10388</v>
      </c>
      <c r="G973" t="s">
        <v>10379</v>
      </c>
      <c r="H973" s="2">
        <v>28781</v>
      </c>
    </row>
    <row r="974" spans="1:8">
      <c r="A974" t="s">
        <v>5160</v>
      </c>
      <c r="B974" t="s">
        <v>4648</v>
      </c>
      <c r="C974" t="s">
        <v>10367</v>
      </c>
      <c r="D974" t="s">
        <v>11352</v>
      </c>
      <c r="E974">
        <v>919184384683</v>
      </c>
      <c r="F974" t="s">
        <v>10386</v>
      </c>
      <c r="G974" t="s">
        <v>10370</v>
      </c>
      <c r="H974" s="2">
        <v>37387</v>
      </c>
    </row>
    <row r="975" spans="1:8">
      <c r="A975" t="s">
        <v>5165</v>
      </c>
      <c r="B975" t="s">
        <v>2154</v>
      </c>
      <c r="C975" t="s">
        <v>10363</v>
      </c>
      <c r="D975" t="s">
        <v>11353</v>
      </c>
      <c r="E975">
        <v>918566826540</v>
      </c>
      <c r="F975" t="s">
        <v>10369</v>
      </c>
      <c r="G975" t="s">
        <v>10377</v>
      </c>
      <c r="H975" s="2">
        <v>23578</v>
      </c>
    </row>
    <row r="976" spans="1:8">
      <c r="A976" t="s">
        <v>5170</v>
      </c>
      <c r="B976" t="s">
        <v>1036</v>
      </c>
      <c r="C976" t="s">
        <v>10363</v>
      </c>
      <c r="D976" t="s">
        <v>11354</v>
      </c>
      <c r="E976">
        <v>916236551302</v>
      </c>
      <c r="F976" t="s">
        <v>10386</v>
      </c>
      <c r="G976" t="s">
        <v>10366</v>
      </c>
      <c r="H976" s="2">
        <v>35846</v>
      </c>
    </row>
    <row r="977" spans="1:8">
      <c r="A977" t="s">
        <v>5175</v>
      </c>
      <c r="B977" t="s">
        <v>1545</v>
      </c>
      <c r="C977" t="s">
        <v>10363</v>
      </c>
      <c r="D977" t="s">
        <v>11355</v>
      </c>
      <c r="E977">
        <v>919941568968</v>
      </c>
      <c r="F977" t="s">
        <v>10386</v>
      </c>
      <c r="G977" t="s">
        <v>10379</v>
      </c>
      <c r="H977" s="2">
        <v>36436</v>
      </c>
    </row>
    <row r="978" spans="1:8">
      <c r="A978" t="s">
        <v>5180</v>
      </c>
      <c r="B978" t="s">
        <v>627</v>
      </c>
      <c r="C978" t="s">
        <v>10367</v>
      </c>
      <c r="D978" t="s">
        <v>11356</v>
      </c>
      <c r="E978">
        <v>916575515386</v>
      </c>
      <c r="F978" t="s">
        <v>10402</v>
      </c>
      <c r="G978" t="s">
        <v>10379</v>
      </c>
      <c r="H978" s="2">
        <v>32581</v>
      </c>
    </row>
    <row r="979" spans="1:8">
      <c r="A979" t="s">
        <v>5185</v>
      </c>
      <c r="B979" t="s">
        <v>708</v>
      </c>
      <c r="C979" t="s">
        <v>10363</v>
      </c>
      <c r="D979" t="s">
        <v>11357</v>
      </c>
      <c r="E979">
        <v>918717939765</v>
      </c>
      <c r="F979" t="s">
        <v>10365</v>
      </c>
      <c r="G979" t="s">
        <v>10366</v>
      </c>
      <c r="H979" s="2">
        <v>34886</v>
      </c>
    </row>
    <row r="980" spans="1:8">
      <c r="A980" t="s">
        <v>5190</v>
      </c>
      <c r="B980" t="s">
        <v>835</v>
      </c>
      <c r="C980" t="s">
        <v>10363</v>
      </c>
      <c r="D980" t="s">
        <v>11358</v>
      </c>
      <c r="E980">
        <v>916627110756</v>
      </c>
      <c r="F980" t="s">
        <v>10388</v>
      </c>
      <c r="G980" t="s">
        <v>10370</v>
      </c>
      <c r="H980" s="2">
        <v>34835</v>
      </c>
    </row>
    <row r="981" spans="1:8">
      <c r="A981" t="s">
        <v>5195</v>
      </c>
      <c r="B981" t="s">
        <v>1545</v>
      </c>
      <c r="C981" t="s">
        <v>10363</v>
      </c>
      <c r="D981" t="s">
        <v>11359</v>
      </c>
      <c r="E981">
        <v>918442561079</v>
      </c>
      <c r="F981" t="s">
        <v>10376</v>
      </c>
      <c r="G981" t="s">
        <v>10370</v>
      </c>
      <c r="H981" s="2">
        <v>35755</v>
      </c>
    </row>
    <row r="982" spans="1:8">
      <c r="A982" t="s">
        <v>5200</v>
      </c>
      <c r="B982" t="s">
        <v>697</v>
      </c>
      <c r="C982" t="s">
        <v>10363</v>
      </c>
      <c r="D982" t="s">
        <v>11360</v>
      </c>
      <c r="E982">
        <v>918367678948</v>
      </c>
      <c r="F982" t="s">
        <v>10365</v>
      </c>
      <c r="G982" t="s">
        <v>10377</v>
      </c>
      <c r="H982" s="2">
        <v>36622</v>
      </c>
    </row>
    <row r="983" spans="1:8">
      <c r="A983" t="s">
        <v>5205</v>
      </c>
      <c r="B983" t="s">
        <v>1751</v>
      </c>
      <c r="C983" t="s">
        <v>10367</v>
      </c>
      <c r="D983" t="s">
        <v>11361</v>
      </c>
      <c r="E983">
        <v>917458572249</v>
      </c>
      <c r="F983" t="s">
        <v>10369</v>
      </c>
      <c r="G983" t="s">
        <v>10379</v>
      </c>
      <c r="H983" s="2">
        <v>37324</v>
      </c>
    </row>
    <row r="984" spans="1:8">
      <c r="A984" t="s">
        <v>5210</v>
      </c>
      <c r="B984" t="s">
        <v>404</v>
      </c>
      <c r="C984" t="s">
        <v>10363</v>
      </c>
      <c r="D984" t="s">
        <v>11362</v>
      </c>
      <c r="E984">
        <v>918620188692</v>
      </c>
      <c r="F984" t="s">
        <v>10374</v>
      </c>
      <c r="G984" t="s">
        <v>10377</v>
      </c>
      <c r="H984" s="2">
        <v>26821</v>
      </c>
    </row>
    <row r="985" spans="1:8">
      <c r="A985" t="s">
        <v>5215</v>
      </c>
      <c r="B985" t="s">
        <v>130</v>
      </c>
      <c r="C985" t="s">
        <v>10363</v>
      </c>
      <c r="D985" t="s">
        <v>11363</v>
      </c>
      <c r="E985">
        <v>919799259413</v>
      </c>
      <c r="F985" t="s">
        <v>10388</v>
      </c>
      <c r="G985" t="s">
        <v>10370</v>
      </c>
      <c r="H985" s="2">
        <v>34955</v>
      </c>
    </row>
    <row r="986" spans="1:8">
      <c r="A986" t="s">
        <v>5220</v>
      </c>
      <c r="B986" t="s">
        <v>174</v>
      </c>
      <c r="C986" t="s">
        <v>10367</v>
      </c>
      <c r="D986" t="s">
        <v>11364</v>
      </c>
      <c r="E986">
        <v>916123179307</v>
      </c>
      <c r="F986" t="s">
        <v>10381</v>
      </c>
      <c r="G986" t="s">
        <v>10370</v>
      </c>
      <c r="H986" s="2">
        <v>25947</v>
      </c>
    </row>
    <row r="987" spans="1:8">
      <c r="A987" t="s">
        <v>5225</v>
      </c>
      <c r="B987" t="s">
        <v>1594</v>
      </c>
      <c r="C987" t="s">
        <v>10363</v>
      </c>
      <c r="D987" t="s">
        <v>11365</v>
      </c>
      <c r="E987">
        <v>919455918057</v>
      </c>
      <c r="F987" t="s">
        <v>10386</v>
      </c>
      <c r="G987" t="s">
        <v>10366</v>
      </c>
      <c r="H987" s="2">
        <v>21173</v>
      </c>
    </row>
    <row r="988" spans="1:8">
      <c r="A988" t="s">
        <v>5230</v>
      </c>
      <c r="B988" t="s">
        <v>288</v>
      </c>
      <c r="C988" t="s">
        <v>10367</v>
      </c>
      <c r="D988" t="s">
        <v>11366</v>
      </c>
      <c r="E988">
        <v>918169213850</v>
      </c>
      <c r="F988" t="s">
        <v>10374</v>
      </c>
      <c r="G988" t="s">
        <v>10379</v>
      </c>
      <c r="H988" s="2">
        <v>29564</v>
      </c>
    </row>
    <row r="989" spans="1:8">
      <c r="A989" t="s">
        <v>5236</v>
      </c>
      <c r="B989" t="s">
        <v>1213</v>
      </c>
      <c r="C989" t="s">
        <v>10367</v>
      </c>
      <c r="D989" t="s">
        <v>11367</v>
      </c>
      <c r="E989">
        <v>917852914073</v>
      </c>
      <c r="F989" t="s">
        <v>10381</v>
      </c>
      <c r="G989" t="s">
        <v>10370</v>
      </c>
      <c r="H989" s="2">
        <v>32036</v>
      </c>
    </row>
    <row r="990" spans="1:8">
      <c r="A990" t="s">
        <v>5241</v>
      </c>
      <c r="B990" t="s">
        <v>404</v>
      </c>
      <c r="C990" t="s">
        <v>10363</v>
      </c>
      <c r="D990" t="s">
        <v>11368</v>
      </c>
      <c r="E990">
        <v>917492907975</v>
      </c>
      <c r="F990" t="s">
        <v>10386</v>
      </c>
      <c r="G990" t="s">
        <v>10370</v>
      </c>
      <c r="H990" s="2">
        <v>21653</v>
      </c>
    </row>
    <row r="991" spans="1:8">
      <c r="A991" t="s">
        <v>5246</v>
      </c>
      <c r="B991" t="s">
        <v>610</v>
      </c>
      <c r="C991" t="s">
        <v>10363</v>
      </c>
      <c r="D991" t="s">
        <v>11369</v>
      </c>
      <c r="E991">
        <v>919801256860</v>
      </c>
      <c r="F991" t="s">
        <v>10381</v>
      </c>
      <c r="G991" t="s">
        <v>10377</v>
      </c>
      <c r="H991" s="2">
        <v>21972</v>
      </c>
    </row>
    <row r="992" spans="1:8">
      <c r="A992" t="s">
        <v>5251</v>
      </c>
      <c r="B992" t="s">
        <v>6465</v>
      </c>
      <c r="C992" t="s">
        <v>10363</v>
      </c>
      <c r="D992" t="s">
        <v>11370</v>
      </c>
      <c r="E992">
        <v>919960410455</v>
      </c>
      <c r="F992" t="s">
        <v>10372</v>
      </c>
      <c r="G992" t="s">
        <v>10379</v>
      </c>
      <c r="H992" s="2">
        <v>33746</v>
      </c>
    </row>
    <row r="993" spans="1:8">
      <c r="A993" t="s">
        <v>5256</v>
      </c>
      <c r="B993" t="s">
        <v>558</v>
      </c>
      <c r="C993" t="s">
        <v>10363</v>
      </c>
      <c r="D993" t="s">
        <v>11371</v>
      </c>
      <c r="E993">
        <v>916920493342</v>
      </c>
      <c r="F993" t="s">
        <v>10384</v>
      </c>
      <c r="G993" t="s">
        <v>10377</v>
      </c>
      <c r="H993" s="2">
        <v>24993</v>
      </c>
    </row>
    <row r="994" spans="1:8">
      <c r="A994" t="s">
        <v>5261</v>
      </c>
      <c r="B994" t="s">
        <v>1666</v>
      </c>
      <c r="C994" t="s">
        <v>10363</v>
      </c>
      <c r="D994" t="s">
        <v>11372</v>
      </c>
      <c r="E994">
        <v>919134693281</v>
      </c>
      <c r="F994" t="s">
        <v>10376</v>
      </c>
      <c r="G994" t="s">
        <v>10370</v>
      </c>
      <c r="H994" s="2">
        <v>36809</v>
      </c>
    </row>
    <row r="995" spans="1:8">
      <c r="A995" t="s">
        <v>5266</v>
      </c>
      <c r="B995" t="s">
        <v>7577</v>
      </c>
      <c r="C995" t="s">
        <v>10367</v>
      </c>
      <c r="D995" t="s">
        <v>11373</v>
      </c>
      <c r="E995">
        <v>919474109203</v>
      </c>
      <c r="F995" t="s">
        <v>10369</v>
      </c>
      <c r="G995" t="s">
        <v>10377</v>
      </c>
      <c r="H995" s="2">
        <v>28590</v>
      </c>
    </row>
    <row r="996" spans="1:8">
      <c r="A996" t="s">
        <v>5272</v>
      </c>
      <c r="B996" t="s">
        <v>564</v>
      </c>
      <c r="C996" t="s">
        <v>10367</v>
      </c>
      <c r="D996" t="s">
        <v>11374</v>
      </c>
      <c r="E996">
        <v>919791188982</v>
      </c>
      <c r="F996" t="s">
        <v>10402</v>
      </c>
      <c r="G996" t="s">
        <v>10379</v>
      </c>
      <c r="H996" s="2">
        <v>31158</v>
      </c>
    </row>
    <row r="997" spans="1:8">
      <c r="A997" t="s">
        <v>5277</v>
      </c>
      <c r="B997" t="s">
        <v>6354</v>
      </c>
      <c r="C997" t="s">
        <v>10367</v>
      </c>
      <c r="D997" t="s">
        <v>11375</v>
      </c>
      <c r="E997">
        <v>916541572095</v>
      </c>
      <c r="F997" t="s">
        <v>10386</v>
      </c>
      <c r="G997" t="s">
        <v>10379</v>
      </c>
      <c r="H997" s="2">
        <v>20341</v>
      </c>
    </row>
    <row r="998" spans="1:8">
      <c r="A998" t="s">
        <v>5282</v>
      </c>
      <c r="B998" t="s">
        <v>253</v>
      </c>
      <c r="C998" t="s">
        <v>10363</v>
      </c>
      <c r="D998" t="s">
        <v>11376</v>
      </c>
      <c r="E998">
        <v>919213557529</v>
      </c>
      <c r="F998" t="s">
        <v>10386</v>
      </c>
      <c r="G998" t="s">
        <v>10366</v>
      </c>
      <c r="H998" s="2">
        <v>29211</v>
      </c>
    </row>
    <row r="999" spans="1:8">
      <c r="A999" t="s">
        <v>5287</v>
      </c>
      <c r="B999" t="s">
        <v>5425</v>
      </c>
      <c r="C999" t="s">
        <v>10367</v>
      </c>
      <c r="D999" t="s">
        <v>11377</v>
      </c>
      <c r="E999">
        <v>918849924259</v>
      </c>
      <c r="F999" t="s">
        <v>10381</v>
      </c>
      <c r="G999" t="s">
        <v>10370</v>
      </c>
      <c r="H999" s="2">
        <v>32225</v>
      </c>
    </row>
    <row r="1000" spans="1:8">
      <c r="A1000" t="s">
        <v>5292</v>
      </c>
      <c r="B1000" t="s">
        <v>106</v>
      </c>
      <c r="C1000" t="s">
        <v>10363</v>
      </c>
      <c r="D1000" t="s">
        <v>11378</v>
      </c>
      <c r="E1000">
        <v>916662552006</v>
      </c>
      <c r="F1000" t="s">
        <v>10376</v>
      </c>
      <c r="G1000" t="s">
        <v>10366</v>
      </c>
      <c r="H1000" s="2">
        <v>24851</v>
      </c>
    </row>
    <row r="1001" spans="1:8">
      <c r="A1001" t="s">
        <v>5298</v>
      </c>
      <c r="B1001" t="s">
        <v>587</v>
      </c>
      <c r="C1001" t="s">
        <v>10363</v>
      </c>
      <c r="D1001" t="s">
        <v>11379</v>
      </c>
      <c r="E1001">
        <v>919124558980</v>
      </c>
      <c r="F1001" t="s">
        <v>10372</v>
      </c>
      <c r="G1001" t="s">
        <v>10379</v>
      </c>
      <c r="H1001" s="2">
        <v>31614</v>
      </c>
    </row>
    <row r="1002" spans="1:8">
      <c r="A1002" t="s">
        <v>5303</v>
      </c>
      <c r="B1002" t="s">
        <v>667</v>
      </c>
      <c r="C1002" t="s">
        <v>10367</v>
      </c>
      <c r="D1002" t="s">
        <v>11380</v>
      </c>
      <c r="E1002">
        <v>917391345077</v>
      </c>
      <c r="F1002" t="s">
        <v>10384</v>
      </c>
      <c r="G1002" t="s">
        <v>10370</v>
      </c>
      <c r="H1002" s="2">
        <v>31191</v>
      </c>
    </row>
    <row r="1003" spans="1:8">
      <c r="A1003" t="s">
        <v>5308</v>
      </c>
      <c r="B1003" t="s">
        <v>1207</v>
      </c>
      <c r="C1003" t="s">
        <v>10367</v>
      </c>
      <c r="D1003" t="s">
        <v>11381</v>
      </c>
      <c r="E1003">
        <v>916629467410</v>
      </c>
      <c r="F1003" t="s">
        <v>10402</v>
      </c>
      <c r="G1003" t="s">
        <v>10370</v>
      </c>
      <c r="H1003" s="2">
        <v>28436</v>
      </c>
    </row>
    <row r="1004" spans="1:8">
      <c r="A1004" t="s">
        <v>5313</v>
      </c>
      <c r="B1004" t="s">
        <v>4669</v>
      </c>
      <c r="C1004" t="s">
        <v>10367</v>
      </c>
      <c r="D1004" t="s">
        <v>11382</v>
      </c>
      <c r="E1004">
        <v>918575693073</v>
      </c>
      <c r="F1004" t="s">
        <v>10381</v>
      </c>
      <c r="G1004" t="s">
        <v>10379</v>
      </c>
      <c r="H1004" s="2">
        <v>26565</v>
      </c>
    </row>
    <row r="1005" spans="1:8">
      <c r="A1005" t="s">
        <v>5318</v>
      </c>
      <c r="B1005" t="s">
        <v>392</v>
      </c>
      <c r="C1005" t="s">
        <v>10367</v>
      </c>
      <c r="D1005" t="s">
        <v>11383</v>
      </c>
      <c r="E1005">
        <v>919031190737</v>
      </c>
      <c r="F1005" t="s">
        <v>10372</v>
      </c>
      <c r="G1005" t="s">
        <v>10379</v>
      </c>
      <c r="H1005" s="2">
        <v>35868</v>
      </c>
    </row>
    <row r="1006" spans="1:8">
      <c r="A1006" t="s">
        <v>5323</v>
      </c>
      <c r="B1006" t="s">
        <v>2175</v>
      </c>
      <c r="C1006" t="s">
        <v>10367</v>
      </c>
      <c r="D1006" t="s">
        <v>11384</v>
      </c>
      <c r="E1006">
        <v>918117503792</v>
      </c>
      <c r="F1006" t="s">
        <v>10386</v>
      </c>
      <c r="G1006" t="s">
        <v>10366</v>
      </c>
      <c r="H1006" s="2">
        <v>27859</v>
      </c>
    </row>
    <row r="1007" spans="1:8">
      <c r="A1007" t="s">
        <v>5328</v>
      </c>
      <c r="B1007" t="s">
        <v>484</v>
      </c>
      <c r="C1007" t="s">
        <v>10363</v>
      </c>
      <c r="D1007" t="s">
        <v>11385</v>
      </c>
      <c r="E1007">
        <v>919344275117</v>
      </c>
      <c r="F1007" t="s">
        <v>10386</v>
      </c>
      <c r="G1007" t="s">
        <v>10366</v>
      </c>
      <c r="H1007" s="2">
        <v>22932</v>
      </c>
    </row>
    <row r="1008" spans="1:8">
      <c r="A1008" t="s">
        <v>5333</v>
      </c>
      <c r="B1008" t="s">
        <v>1470</v>
      </c>
      <c r="C1008" t="s">
        <v>10367</v>
      </c>
      <c r="D1008" t="s">
        <v>11386</v>
      </c>
      <c r="E1008">
        <v>919923516860</v>
      </c>
      <c r="F1008" t="s">
        <v>10388</v>
      </c>
      <c r="G1008" t="s">
        <v>10370</v>
      </c>
      <c r="H1008" s="2">
        <v>28476</v>
      </c>
    </row>
    <row r="1009" spans="1:8">
      <c r="A1009" t="s">
        <v>5338</v>
      </c>
      <c r="B1009" t="s">
        <v>106</v>
      </c>
      <c r="C1009" t="s">
        <v>10363</v>
      </c>
      <c r="D1009" t="s">
        <v>11387</v>
      </c>
      <c r="E1009">
        <v>919595418544</v>
      </c>
      <c r="F1009" t="s">
        <v>10388</v>
      </c>
      <c r="G1009" t="s">
        <v>10377</v>
      </c>
      <c r="H1009" s="2">
        <v>37426</v>
      </c>
    </row>
    <row r="1010" spans="1:8">
      <c r="A1010" t="s">
        <v>5343</v>
      </c>
      <c r="B1010" t="s">
        <v>118</v>
      </c>
      <c r="C1010" t="s">
        <v>10367</v>
      </c>
      <c r="D1010" t="s">
        <v>11388</v>
      </c>
      <c r="E1010">
        <v>916542251212</v>
      </c>
      <c r="F1010" t="s">
        <v>10384</v>
      </c>
      <c r="G1010" t="s">
        <v>10366</v>
      </c>
      <c r="H1010" s="2">
        <v>32849</v>
      </c>
    </row>
    <row r="1011" spans="1:8">
      <c r="A1011" t="s">
        <v>5348</v>
      </c>
      <c r="B1011" t="s">
        <v>357</v>
      </c>
      <c r="C1011" t="s">
        <v>10367</v>
      </c>
      <c r="D1011" t="s">
        <v>11389</v>
      </c>
      <c r="E1011">
        <v>917761837746</v>
      </c>
      <c r="F1011" t="s">
        <v>10384</v>
      </c>
      <c r="G1011" t="s">
        <v>10377</v>
      </c>
      <c r="H1011" s="2">
        <v>33559</v>
      </c>
    </row>
    <row r="1012" spans="1:8">
      <c r="A1012" t="s">
        <v>5353</v>
      </c>
      <c r="B1012" t="s">
        <v>241</v>
      </c>
      <c r="C1012" t="s">
        <v>10363</v>
      </c>
      <c r="D1012" t="s">
        <v>11390</v>
      </c>
      <c r="E1012">
        <v>916144251042</v>
      </c>
      <c r="F1012" t="s">
        <v>10372</v>
      </c>
      <c r="G1012" t="s">
        <v>10377</v>
      </c>
      <c r="H1012" s="2">
        <v>24938</v>
      </c>
    </row>
    <row r="1013" spans="1:8">
      <c r="A1013" t="s">
        <v>5358</v>
      </c>
      <c r="B1013" t="s">
        <v>673</v>
      </c>
      <c r="C1013" t="s">
        <v>10363</v>
      </c>
      <c r="D1013" t="s">
        <v>11391</v>
      </c>
      <c r="E1013">
        <v>919211566169</v>
      </c>
      <c r="F1013" t="s">
        <v>10376</v>
      </c>
      <c r="G1013" t="s">
        <v>10366</v>
      </c>
      <c r="H1013" s="2">
        <v>32337</v>
      </c>
    </row>
    <row r="1014" spans="1:8">
      <c r="A1014" t="s">
        <v>5363</v>
      </c>
      <c r="B1014" t="s">
        <v>137</v>
      </c>
      <c r="C1014" t="s">
        <v>10363</v>
      </c>
      <c r="D1014" t="s">
        <v>11392</v>
      </c>
      <c r="E1014">
        <v>917121908551</v>
      </c>
      <c r="F1014" t="s">
        <v>10372</v>
      </c>
      <c r="G1014" t="s">
        <v>10379</v>
      </c>
      <c r="H1014" s="2">
        <v>20614</v>
      </c>
    </row>
    <row r="1015" spans="1:8">
      <c r="A1015" t="s">
        <v>5368</v>
      </c>
      <c r="B1015" t="s">
        <v>241</v>
      </c>
      <c r="C1015" t="s">
        <v>10363</v>
      </c>
      <c r="D1015" t="s">
        <v>11393</v>
      </c>
      <c r="E1015">
        <v>918081151018</v>
      </c>
      <c r="F1015" t="s">
        <v>10372</v>
      </c>
      <c r="G1015" t="s">
        <v>10379</v>
      </c>
      <c r="H1015" s="2">
        <v>35038</v>
      </c>
    </row>
    <row r="1016" spans="1:8">
      <c r="A1016" t="s">
        <v>5374</v>
      </c>
      <c r="B1016" t="s">
        <v>768</v>
      </c>
      <c r="C1016" t="s">
        <v>10367</v>
      </c>
      <c r="D1016" t="s">
        <v>11394</v>
      </c>
      <c r="E1016">
        <v>917696888883</v>
      </c>
      <c r="F1016" t="s">
        <v>10372</v>
      </c>
      <c r="G1016" t="s">
        <v>10377</v>
      </c>
      <c r="H1016" s="2">
        <v>22577</v>
      </c>
    </row>
    <row r="1017" spans="1:8">
      <c r="A1017" t="s">
        <v>5379</v>
      </c>
      <c r="B1017" t="s">
        <v>1090</v>
      </c>
      <c r="C1017" t="s">
        <v>10367</v>
      </c>
      <c r="D1017" t="s">
        <v>11395</v>
      </c>
      <c r="E1017">
        <v>919173490648</v>
      </c>
      <c r="F1017" t="s">
        <v>10381</v>
      </c>
      <c r="G1017" t="s">
        <v>10366</v>
      </c>
      <c r="H1017" s="2">
        <v>37262</v>
      </c>
    </row>
    <row r="1018" spans="1:8">
      <c r="A1018" t="s">
        <v>5384</v>
      </c>
      <c r="B1018" t="s">
        <v>484</v>
      </c>
      <c r="C1018" t="s">
        <v>10363</v>
      </c>
      <c r="D1018" t="s">
        <v>11396</v>
      </c>
      <c r="E1018">
        <v>918392652436</v>
      </c>
      <c r="F1018" t="s">
        <v>10376</v>
      </c>
      <c r="G1018" t="s">
        <v>10377</v>
      </c>
      <c r="H1018" s="2">
        <v>36022</v>
      </c>
    </row>
    <row r="1019" spans="1:8">
      <c r="A1019" t="s">
        <v>5389</v>
      </c>
      <c r="B1019" t="s">
        <v>5907</v>
      </c>
      <c r="C1019" t="s">
        <v>10367</v>
      </c>
      <c r="D1019" t="s">
        <v>11397</v>
      </c>
      <c r="E1019">
        <v>919926398275</v>
      </c>
      <c r="F1019" t="s">
        <v>10381</v>
      </c>
      <c r="G1019" t="s">
        <v>10379</v>
      </c>
      <c r="H1019" s="2">
        <v>24297</v>
      </c>
    </row>
    <row r="1020" spans="1:8">
      <c r="A1020" t="s">
        <v>5394</v>
      </c>
      <c r="B1020" t="s">
        <v>3975</v>
      </c>
      <c r="C1020" t="s">
        <v>10367</v>
      </c>
      <c r="D1020" t="s">
        <v>11398</v>
      </c>
      <c r="E1020">
        <v>918754567548</v>
      </c>
      <c r="F1020" t="s">
        <v>10384</v>
      </c>
      <c r="G1020" t="s">
        <v>10366</v>
      </c>
      <c r="H1020" s="2">
        <v>27011</v>
      </c>
    </row>
    <row r="1021" spans="1:8">
      <c r="A1021" t="s">
        <v>5399</v>
      </c>
      <c r="B1021" t="s">
        <v>45</v>
      </c>
      <c r="C1021" t="s">
        <v>10367</v>
      </c>
      <c r="D1021" t="s">
        <v>11399</v>
      </c>
      <c r="E1021">
        <v>919565406985</v>
      </c>
      <c r="F1021" t="s">
        <v>10374</v>
      </c>
      <c r="G1021" t="s">
        <v>10377</v>
      </c>
      <c r="H1021" s="2">
        <v>35726</v>
      </c>
    </row>
    <row r="1022" spans="1:8">
      <c r="A1022" t="s">
        <v>5404</v>
      </c>
      <c r="B1022" t="s">
        <v>558</v>
      </c>
      <c r="C1022" t="s">
        <v>10363</v>
      </c>
      <c r="D1022" t="s">
        <v>11400</v>
      </c>
      <c r="E1022">
        <v>917958869428</v>
      </c>
      <c r="F1022" t="s">
        <v>10365</v>
      </c>
      <c r="G1022" t="s">
        <v>10366</v>
      </c>
      <c r="H1022" s="2">
        <v>28526</v>
      </c>
    </row>
    <row r="1023" spans="1:8">
      <c r="A1023" t="s">
        <v>5409</v>
      </c>
      <c r="B1023" t="s">
        <v>2101</v>
      </c>
      <c r="C1023" t="s">
        <v>10363</v>
      </c>
      <c r="D1023" t="s">
        <v>11401</v>
      </c>
      <c r="E1023">
        <v>918594226036</v>
      </c>
      <c r="F1023" t="s">
        <v>10381</v>
      </c>
      <c r="G1023" t="s">
        <v>10366</v>
      </c>
      <c r="H1023" s="2">
        <v>25146</v>
      </c>
    </row>
    <row r="1024" spans="1:8">
      <c r="A1024" t="s">
        <v>5414</v>
      </c>
      <c r="B1024" t="s">
        <v>1102</v>
      </c>
      <c r="C1024" t="s">
        <v>10367</v>
      </c>
      <c r="D1024" t="s">
        <v>11402</v>
      </c>
      <c r="E1024">
        <v>918233440848</v>
      </c>
      <c r="F1024" t="s">
        <v>10376</v>
      </c>
      <c r="G1024" t="s">
        <v>10366</v>
      </c>
      <c r="H1024" s="2">
        <v>35719</v>
      </c>
    </row>
    <row r="1025" spans="1:8">
      <c r="A1025" t="s">
        <v>5419</v>
      </c>
      <c r="B1025" t="s">
        <v>2689</v>
      </c>
      <c r="C1025" t="s">
        <v>10367</v>
      </c>
      <c r="D1025" t="s">
        <v>11403</v>
      </c>
      <c r="E1025">
        <v>919350641266</v>
      </c>
      <c r="F1025" t="s">
        <v>10374</v>
      </c>
      <c r="G1025" t="s">
        <v>10377</v>
      </c>
      <c r="H1025" s="2">
        <v>31059</v>
      </c>
    </row>
    <row r="1026" spans="1:8">
      <c r="A1026" t="s">
        <v>5424</v>
      </c>
      <c r="B1026" t="s">
        <v>655</v>
      </c>
      <c r="C1026" t="s">
        <v>10367</v>
      </c>
      <c r="D1026" t="s">
        <v>11404</v>
      </c>
      <c r="E1026">
        <v>918742968146</v>
      </c>
      <c r="F1026" t="s">
        <v>10372</v>
      </c>
      <c r="G1026" t="s">
        <v>10370</v>
      </c>
      <c r="H1026" s="2">
        <v>30210</v>
      </c>
    </row>
    <row r="1027" spans="1:8">
      <c r="A1027" t="s">
        <v>5430</v>
      </c>
      <c r="B1027" t="s">
        <v>673</v>
      </c>
      <c r="C1027" t="s">
        <v>10363</v>
      </c>
      <c r="D1027" t="s">
        <v>11405</v>
      </c>
      <c r="E1027">
        <v>916750422412</v>
      </c>
      <c r="F1027" t="s">
        <v>10381</v>
      </c>
      <c r="G1027" t="s">
        <v>10377</v>
      </c>
      <c r="H1027" s="2">
        <v>33749</v>
      </c>
    </row>
    <row r="1028" spans="1:8">
      <c r="A1028" t="s">
        <v>5435</v>
      </c>
      <c r="B1028" t="s">
        <v>2297</v>
      </c>
      <c r="C1028" t="s">
        <v>10363</v>
      </c>
      <c r="D1028" t="s">
        <v>11406</v>
      </c>
      <c r="E1028">
        <v>917281868047</v>
      </c>
      <c r="F1028" t="s">
        <v>10402</v>
      </c>
      <c r="G1028" t="s">
        <v>10366</v>
      </c>
      <c r="H1028" s="2">
        <v>25008</v>
      </c>
    </row>
    <row r="1029" spans="1:8">
      <c r="A1029" t="s">
        <v>5440</v>
      </c>
      <c r="B1029" t="s">
        <v>4983</v>
      </c>
      <c r="C1029" t="s">
        <v>10367</v>
      </c>
      <c r="D1029" t="s">
        <v>11407</v>
      </c>
      <c r="E1029">
        <v>916471543773</v>
      </c>
      <c r="F1029" t="s">
        <v>10402</v>
      </c>
      <c r="G1029" t="s">
        <v>10366</v>
      </c>
      <c r="H1029" s="2">
        <v>35200</v>
      </c>
    </row>
    <row r="1030" spans="1:8">
      <c r="A1030" t="s">
        <v>5445</v>
      </c>
      <c r="B1030" t="s">
        <v>5267</v>
      </c>
      <c r="C1030" t="s">
        <v>10367</v>
      </c>
      <c r="D1030" t="s">
        <v>11408</v>
      </c>
      <c r="E1030">
        <v>917032475505</v>
      </c>
      <c r="F1030" t="s">
        <v>10402</v>
      </c>
      <c r="G1030" t="s">
        <v>10366</v>
      </c>
      <c r="H1030" s="2">
        <v>36419</v>
      </c>
    </row>
    <row r="1031" spans="1:8">
      <c r="A1031" t="s">
        <v>5450</v>
      </c>
      <c r="B1031" t="s">
        <v>8808</v>
      </c>
      <c r="C1031" t="s">
        <v>10367</v>
      </c>
      <c r="D1031" t="s">
        <v>11409</v>
      </c>
      <c r="E1031">
        <v>917446400963</v>
      </c>
      <c r="F1031" t="s">
        <v>10386</v>
      </c>
      <c r="G1031" t="s">
        <v>10366</v>
      </c>
      <c r="H1031" s="2">
        <v>22382</v>
      </c>
    </row>
    <row r="1032" spans="1:8">
      <c r="A1032" t="s">
        <v>5455</v>
      </c>
      <c r="B1032" t="s">
        <v>1682</v>
      </c>
      <c r="C1032" t="s">
        <v>10367</v>
      </c>
      <c r="D1032" t="s">
        <v>11410</v>
      </c>
      <c r="E1032">
        <v>918293371827</v>
      </c>
      <c r="F1032" t="s">
        <v>10374</v>
      </c>
      <c r="G1032" t="s">
        <v>10366</v>
      </c>
      <c r="H1032" s="2">
        <v>30792</v>
      </c>
    </row>
    <row r="1033" spans="1:8">
      <c r="A1033" t="s">
        <v>5460</v>
      </c>
      <c r="B1033" t="s">
        <v>1074</v>
      </c>
      <c r="C1033" t="s">
        <v>10363</v>
      </c>
      <c r="D1033" t="s">
        <v>11411</v>
      </c>
      <c r="E1033">
        <v>917575044160</v>
      </c>
      <c r="F1033" t="s">
        <v>10374</v>
      </c>
      <c r="G1033" t="s">
        <v>10366</v>
      </c>
      <c r="H1033" s="2">
        <v>32900</v>
      </c>
    </row>
    <row r="1034" spans="1:8">
      <c r="A1034" t="s">
        <v>5465</v>
      </c>
      <c r="B1034" t="s">
        <v>1660</v>
      </c>
      <c r="C1034" t="s">
        <v>10363</v>
      </c>
      <c r="D1034" t="s">
        <v>11412</v>
      </c>
      <c r="E1034">
        <v>917294554135</v>
      </c>
      <c r="F1034" t="s">
        <v>10365</v>
      </c>
      <c r="G1034" t="s">
        <v>10366</v>
      </c>
      <c r="H1034" s="2">
        <v>31829</v>
      </c>
    </row>
    <row r="1035" spans="1:8">
      <c r="A1035" t="s">
        <v>5470</v>
      </c>
      <c r="B1035" t="s">
        <v>1114</v>
      </c>
      <c r="C1035" t="s">
        <v>10367</v>
      </c>
      <c r="D1035" t="s">
        <v>11413</v>
      </c>
      <c r="E1035">
        <v>918697539398</v>
      </c>
      <c r="F1035" t="s">
        <v>10402</v>
      </c>
      <c r="G1035" t="s">
        <v>10370</v>
      </c>
      <c r="H1035" s="2">
        <v>29653</v>
      </c>
    </row>
    <row r="1036" spans="1:8">
      <c r="A1036" t="s">
        <v>5475</v>
      </c>
      <c r="B1036" t="s">
        <v>10897</v>
      </c>
      <c r="C1036" t="s">
        <v>10367</v>
      </c>
      <c r="D1036" t="s">
        <v>11414</v>
      </c>
      <c r="E1036">
        <v>916078352612</v>
      </c>
      <c r="F1036" t="s">
        <v>10365</v>
      </c>
      <c r="G1036" t="s">
        <v>10377</v>
      </c>
      <c r="H1036" s="2">
        <v>26140</v>
      </c>
    </row>
    <row r="1037" spans="1:8">
      <c r="A1037" t="s">
        <v>5480</v>
      </c>
      <c r="B1037" t="s">
        <v>137</v>
      </c>
      <c r="C1037" t="s">
        <v>10363</v>
      </c>
      <c r="D1037" t="s">
        <v>11415</v>
      </c>
      <c r="E1037">
        <v>918875227056</v>
      </c>
      <c r="F1037" t="s">
        <v>10369</v>
      </c>
      <c r="G1037" t="s">
        <v>10379</v>
      </c>
      <c r="H1037" s="2">
        <v>37233</v>
      </c>
    </row>
    <row r="1038" spans="1:8">
      <c r="A1038" t="s">
        <v>5485</v>
      </c>
      <c r="B1038" t="s">
        <v>223</v>
      </c>
      <c r="C1038" t="s">
        <v>10363</v>
      </c>
      <c r="D1038" t="s">
        <v>11416</v>
      </c>
      <c r="E1038">
        <v>918456315991</v>
      </c>
      <c r="F1038" t="s">
        <v>10374</v>
      </c>
      <c r="G1038" t="s">
        <v>10377</v>
      </c>
      <c r="H1038" s="2">
        <v>32484</v>
      </c>
    </row>
    <row r="1039" spans="1:8">
      <c r="A1039" t="s">
        <v>5490</v>
      </c>
      <c r="B1039" t="s">
        <v>2329</v>
      </c>
      <c r="C1039" t="s">
        <v>10367</v>
      </c>
      <c r="D1039" t="s">
        <v>11417</v>
      </c>
      <c r="E1039">
        <v>916159255725</v>
      </c>
      <c r="F1039" t="s">
        <v>10402</v>
      </c>
      <c r="G1039" t="s">
        <v>10379</v>
      </c>
      <c r="H1039" s="2">
        <v>20565</v>
      </c>
    </row>
    <row r="1040" spans="1:8">
      <c r="A1040" t="s">
        <v>5495</v>
      </c>
      <c r="B1040" t="s">
        <v>1545</v>
      </c>
      <c r="C1040" t="s">
        <v>10363</v>
      </c>
      <c r="D1040" t="s">
        <v>11418</v>
      </c>
      <c r="E1040">
        <v>917494367747</v>
      </c>
      <c r="F1040" t="s">
        <v>10369</v>
      </c>
      <c r="G1040" t="s">
        <v>10377</v>
      </c>
      <c r="H1040" s="2">
        <v>35455</v>
      </c>
    </row>
    <row r="1041" spans="1:8">
      <c r="A1041" t="s">
        <v>5500</v>
      </c>
      <c r="B1041" t="s">
        <v>2863</v>
      </c>
      <c r="C1041" t="s">
        <v>10367</v>
      </c>
      <c r="D1041" t="s">
        <v>11419</v>
      </c>
      <c r="E1041">
        <v>919395505032</v>
      </c>
      <c r="F1041" t="s">
        <v>10372</v>
      </c>
      <c r="G1041" t="s">
        <v>10377</v>
      </c>
      <c r="H1041" s="2">
        <v>31669</v>
      </c>
    </row>
    <row r="1042" spans="1:8">
      <c r="A1042" t="s">
        <v>5505</v>
      </c>
      <c r="B1042" t="s">
        <v>339</v>
      </c>
      <c r="C1042" t="s">
        <v>10363</v>
      </c>
      <c r="D1042" t="s">
        <v>11420</v>
      </c>
      <c r="E1042">
        <v>918920165757</v>
      </c>
      <c r="F1042" t="s">
        <v>10402</v>
      </c>
      <c r="G1042" t="s">
        <v>10379</v>
      </c>
      <c r="H1042" s="2">
        <v>36589</v>
      </c>
    </row>
    <row r="1043" spans="1:8">
      <c r="A1043" t="s">
        <v>5510</v>
      </c>
      <c r="B1043" t="s">
        <v>2636</v>
      </c>
      <c r="C1043" t="s">
        <v>10363</v>
      </c>
      <c r="D1043" t="s">
        <v>11421</v>
      </c>
      <c r="E1043">
        <v>919309918423</v>
      </c>
      <c r="F1043" t="s">
        <v>10369</v>
      </c>
      <c r="G1043" t="s">
        <v>10379</v>
      </c>
      <c r="H1043" s="2">
        <v>30519</v>
      </c>
    </row>
    <row r="1044" spans="1:8">
      <c r="A1044" t="s">
        <v>5515</v>
      </c>
      <c r="B1044" t="s">
        <v>415</v>
      </c>
      <c r="C1044" t="s">
        <v>10367</v>
      </c>
      <c r="D1044" t="s">
        <v>11422</v>
      </c>
      <c r="E1044">
        <v>917580609901</v>
      </c>
      <c r="F1044" t="s">
        <v>10374</v>
      </c>
      <c r="G1044" t="s">
        <v>10379</v>
      </c>
      <c r="H1044" s="2">
        <v>21034</v>
      </c>
    </row>
    <row r="1045" spans="1:8">
      <c r="A1045" t="s">
        <v>5520</v>
      </c>
      <c r="B1045" t="s">
        <v>4512</v>
      </c>
      <c r="C1045" t="s">
        <v>10367</v>
      </c>
      <c r="D1045" t="s">
        <v>11423</v>
      </c>
      <c r="E1045">
        <v>917160030430</v>
      </c>
      <c r="F1045" t="s">
        <v>10402</v>
      </c>
      <c r="G1045" t="s">
        <v>10370</v>
      </c>
      <c r="H1045" s="2">
        <v>25381</v>
      </c>
    </row>
    <row r="1046" spans="1:8">
      <c r="A1046" t="s">
        <v>5525</v>
      </c>
      <c r="B1046" t="s">
        <v>9536</v>
      </c>
      <c r="C1046" t="s">
        <v>10367</v>
      </c>
      <c r="D1046" t="s">
        <v>11424</v>
      </c>
      <c r="E1046">
        <v>917168681905</v>
      </c>
      <c r="F1046" t="s">
        <v>10376</v>
      </c>
      <c r="G1046" t="s">
        <v>10377</v>
      </c>
      <c r="H1046" s="2">
        <v>34209</v>
      </c>
    </row>
    <row r="1047" spans="1:8">
      <c r="A1047" t="s">
        <v>5530</v>
      </c>
      <c r="B1047" t="s">
        <v>1682</v>
      </c>
      <c r="C1047" t="s">
        <v>10367</v>
      </c>
      <c r="D1047" t="s">
        <v>11425</v>
      </c>
      <c r="E1047">
        <v>917856341843</v>
      </c>
      <c r="F1047" t="s">
        <v>10386</v>
      </c>
      <c r="G1047" t="s">
        <v>10370</v>
      </c>
      <c r="H1047" s="2">
        <v>27629</v>
      </c>
    </row>
    <row r="1048" spans="1:8">
      <c r="A1048" t="s">
        <v>5535</v>
      </c>
      <c r="B1048" t="s">
        <v>3586</v>
      </c>
      <c r="C1048" t="s">
        <v>10363</v>
      </c>
      <c r="D1048" t="s">
        <v>11426</v>
      </c>
      <c r="E1048">
        <v>918982872321</v>
      </c>
      <c r="F1048" t="s">
        <v>10372</v>
      </c>
      <c r="G1048" t="s">
        <v>10377</v>
      </c>
      <c r="H1048" s="2">
        <v>24831</v>
      </c>
    </row>
    <row r="1049" spans="1:8">
      <c r="A1049" t="s">
        <v>5540</v>
      </c>
      <c r="B1049" t="s">
        <v>52</v>
      </c>
      <c r="C1049" t="s">
        <v>10363</v>
      </c>
      <c r="D1049" t="s">
        <v>11427</v>
      </c>
      <c r="E1049">
        <v>919455699409</v>
      </c>
      <c r="F1049" t="s">
        <v>10374</v>
      </c>
      <c r="G1049" t="s">
        <v>10379</v>
      </c>
      <c r="H1049" s="2">
        <v>28760</v>
      </c>
    </row>
    <row r="1050" spans="1:8">
      <c r="A1050" t="s">
        <v>5545</v>
      </c>
      <c r="B1050" t="s">
        <v>1763</v>
      </c>
      <c r="C1050" t="s">
        <v>10367</v>
      </c>
      <c r="D1050" t="s">
        <v>11428</v>
      </c>
      <c r="E1050">
        <v>916779428068</v>
      </c>
      <c r="F1050" t="s">
        <v>10386</v>
      </c>
      <c r="G1050" t="s">
        <v>10370</v>
      </c>
      <c r="H1050" s="2">
        <v>37129</v>
      </c>
    </row>
    <row r="1051" spans="1:8">
      <c r="A1051" t="s">
        <v>5550</v>
      </c>
      <c r="B1051" t="s">
        <v>2154</v>
      </c>
      <c r="C1051" t="s">
        <v>10363</v>
      </c>
      <c r="D1051" t="s">
        <v>11429</v>
      </c>
      <c r="E1051">
        <v>919710780218</v>
      </c>
      <c r="F1051" t="s">
        <v>10384</v>
      </c>
      <c r="G1051" t="s">
        <v>10379</v>
      </c>
      <c r="H1051" s="2">
        <v>30228</v>
      </c>
    </row>
    <row r="1052" spans="1:8">
      <c r="A1052" t="s">
        <v>5555</v>
      </c>
      <c r="B1052" t="s">
        <v>118</v>
      </c>
      <c r="C1052" t="s">
        <v>10367</v>
      </c>
      <c r="D1052" t="s">
        <v>11430</v>
      </c>
      <c r="E1052">
        <v>916324522750</v>
      </c>
      <c r="F1052" t="s">
        <v>10372</v>
      </c>
      <c r="G1052" t="s">
        <v>10370</v>
      </c>
      <c r="H1052" s="2">
        <v>27479</v>
      </c>
    </row>
    <row r="1053" spans="1:8">
      <c r="A1053" t="s">
        <v>5560</v>
      </c>
      <c r="B1053" t="s">
        <v>5369</v>
      </c>
      <c r="C1053" t="s">
        <v>10367</v>
      </c>
      <c r="D1053" t="s">
        <v>11431</v>
      </c>
      <c r="E1053">
        <v>918437861059</v>
      </c>
      <c r="F1053" t="s">
        <v>10381</v>
      </c>
      <c r="G1053" t="s">
        <v>10366</v>
      </c>
      <c r="H1053" s="2">
        <v>34467</v>
      </c>
    </row>
    <row r="1054" spans="1:8">
      <c r="A1054" t="s">
        <v>5565</v>
      </c>
      <c r="B1054" t="s">
        <v>697</v>
      </c>
      <c r="C1054" t="s">
        <v>10363</v>
      </c>
      <c r="D1054" t="s">
        <v>11432</v>
      </c>
      <c r="E1054">
        <v>917621532214</v>
      </c>
      <c r="F1054" t="s">
        <v>10374</v>
      </c>
      <c r="G1054" t="s">
        <v>10370</v>
      </c>
      <c r="H1054" s="2">
        <v>24280</v>
      </c>
    </row>
    <row r="1055" spans="1:8">
      <c r="A1055" t="s">
        <v>5570</v>
      </c>
      <c r="B1055" t="s">
        <v>2101</v>
      </c>
      <c r="C1055" t="s">
        <v>10363</v>
      </c>
      <c r="D1055" t="s">
        <v>11433</v>
      </c>
      <c r="E1055">
        <v>918236698326</v>
      </c>
      <c r="F1055" t="s">
        <v>10402</v>
      </c>
      <c r="G1055" t="s">
        <v>10366</v>
      </c>
      <c r="H1055" s="2">
        <v>22019</v>
      </c>
    </row>
    <row r="1056" spans="1:8">
      <c r="A1056" t="s">
        <v>5575</v>
      </c>
      <c r="B1056" t="s">
        <v>6465</v>
      </c>
      <c r="C1056" t="s">
        <v>10363</v>
      </c>
      <c r="D1056" t="s">
        <v>11434</v>
      </c>
      <c r="E1056">
        <v>916620126644</v>
      </c>
      <c r="F1056" t="s">
        <v>10388</v>
      </c>
      <c r="G1056" t="s">
        <v>10370</v>
      </c>
      <c r="H1056" s="2">
        <v>33198</v>
      </c>
    </row>
    <row r="1057" spans="1:8">
      <c r="A1057" t="s">
        <v>5580</v>
      </c>
      <c r="B1057" t="s">
        <v>386</v>
      </c>
      <c r="C1057" t="s">
        <v>10363</v>
      </c>
      <c r="D1057" t="s">
        <v>10378</v>
      </c>
      <c r="E1057">
        <v>918203279749</v>
      </c>
      <c r="F1057" t="s">
        <v>10372</v>
      </c>
      <c r="G1057" t="s">
        <v>10377</v>
      </c>
      <c r="H1057" s="2">
        <v>32656</v>
      </c>
    </row>
    <row r="1058" spans="1:8">
      <c r="A1058" t="s">
        <v>5585</v>
      </c>
      <c r="B1058" t="s">
        <v>2663</v>
      </c>
      <c r="C1058" t="s">
        <v>10367</v>
      </c>
      <c r="D1058" t="s">
        <v>11435</v>
      </c>
      <c r="E1058">
        <v>916712159283</v>
      </c>
      <c r="F1058" t="s">
        <v>10388</v>
      </c>
      <c r="G1058" t="s">
        <v>10377</v>
      </c>
      <c r="H1058" s="2">
        <v>26254</v>
      </c>
    </row>
    <row r="1059" spans="1:8">
      <c r="A1059" t="s">
        <v>5590</v>
      </c>
      <c r="B1059" t="s">
        <v>3783</v>
      </c>
      <c r="C1059" t="s">
        <v>10367</v>
      </c>
      <c r="D1059" t="s">
        <v>11436</v>
      </c>
      <c r="E1059">
        <v>919862894413</v>
      </c>
      <c r="F1059" t="s">
        <v>10402</v>
      </c>
      <c r="G1059" t="s">
        <v>10377</v>
      </c>
      <c r="H1059" s="2">
        <v>24325</v>
      </c>
    </row>
    <row r="1060" spans="1:8">
      <c r="A1060" t="s">
        <v>5595</v>
      </c>
      <c r="B1060" t="s">
        <v>241</v>
      </c>
      <c r="C1060" t="s">
        <v>10363</v>
      </c>
      <c r="D1060" t="s">
        <v>11437</v>
      </c>
      <c r="E1060">
        <v>918182522886</v>
      </c>
      <c r="F1060" t="s">
        <v>10365</v>
      </c>
      <c r="G1060" t="s">
        <v>10379</v>
      </c>
      <c r="H1060" s="2">
        <v>26892</v>
      </c>
    </row>
    <row r="1061" spans="1:8">
      <c r="A1061" t="s">
        <v>5600</v>
      </c>
      <c r="B1061" t="s">
        <v>1158</v>
      </c>
      <c r="C1061" t="s">
        <v>10367</v>
      </c>
      <c r="D1061" t="s">
        <v>11438</v>
      </c>
      <c r="E1061">
        <v>917870417878</v>
      </c>
      <c r="F1061" t="s">
        <v>10402</v>
      </c>
      <c r="G1061" t="s">
        <v>10370</v>
      </c>
      <c r="H1061" s="2">
        <v>30868</v>
      </c>
    </row>
    <row r="1062" spans="1:8">
      <c r="A1062" t="s">
        <v>5605</v>
      </c>
      <c r="B1062" t="s">
        <v>2035</v>
      </c>
      <c r="C1062" t="s">
        <v>10363</v>
      </c>
      <c r="D1062" t="s">
        <v>11439</v>
      </c>
      <c r="E1062">
        <v>918809792055</v>
      </c>
      <c r="F1062" t="s">
        <v>10365</v>
      </c>
      <c r="G1062" t="s">
        <v>10377</v>
      </c>
      <c r="H1062" s="2">
        <v>34886</v>
      </c>
    </row>
    <row r="1063" spans="1:8">
      <c r="A1063" t="s">
        <v>5610</v>
      </c>
      <c r="B1063" t="s">
        <v>1826</v>
      </c>
      <c r="C1063" t="s">
        <v>10363</v>
      </c>
      <c r="D1063" t="s">
        <v>11440</v>
      </c>
      <c r="E1063">
        <v>918343334812</v>
      </c>
      <c r="F1063" t="s">
        <v>10384</v>
      </c>
      <c r="G1063" t="s">
        <v>10379</v>
      </c>
      <c r="H1063" s="2">
        <v>32895</v>
      </c>
    </row>
    <row r="1064" spans="1:8">
      <c r="A1064" t="s">
        <v>5615</v>
      </c>
      <c r="B1064" t="s">
        <v>536</v>
      </c>
      <c r="C1064" t="s">
        <v>10367</v>
      </c>
      <c r="D1064" t="s">
        <v>11441</v>
      </c>
      <c r="E1064">
        <v>916192054222</v>
      </c>
      <c r="F1064" t="s">
        <v>10376</v>
      </c>
      <c r="G1064" t="s">
        <v>10370</v>
      </c>
      <c r="H1064" s="2">
        <v>28996</v>
      </c>
    </row>
    <row r="1065" spans="1:8">
      <c r="A1065" t="s">
        <v>5620</v>
      </c>
      <c r="B1065" t="s">
        <v>2924</v>
      </c>
      <c r="C1065" t="s">
        <v>10367</v>
      </c>
      <c r="D1065" t="s">
        <v>11442</v>
      </c>
      <c r="E1065">
        <v>918006901552</v>
      </c>
      <c r="F1065" t="s">
        <v>10372</v>
      </c>
      <c r="G1065" t="s">
        <v>10377</v>
      </c>
      <c r="H1065" s="2">
        <v>33880</v>
      </c>
    </row>
    <row r="1066" spans="1:8">
      <c r="A1066" t="s">
        <v>5625</v>
      </c>
      <c r="B1066" t="s">
        <v>2420</v>
      </c>
      <c r="C1066" t="s">
        <v>10367</v>
      </c>
      <c r="D1066" t="s">
        <v>11443</v>
      </c>
      <c r="E1066">
        <v>917661738628</v>
      </c>
      <c r="F1066" t="s">
        <v>10372</v>
      </c>
      <c r="G1066" t="s">
        <v>10377</v>
      </c>
      <c r="H1066" s="2">
        <v>33595</v>
      </c>
    </row>
    <row r="1067" spans="1:8">
      <c r="A1067" t="s">
        <v>5630</v>
      </c>
      <c r="B1067" t="s">
        <v>500</v>
      </c>
      <c r="C1067" t="s">
        <v>10363</v>
      </c>
      <c r="D1067" t="s">
        <v>11444</v>
      </c>
      <c r="E1067">
        <v>917444367774</v>
      </c>
      <c r="F1067" t="s">
        <v>10402</v>
      </c>
      <c r="G1067" t="s">
        <v>10379</v>
      </c>
      <c r="H1067" s="2">
        <v>35799</v>
      </c>
    </row>
    <row r="1068" spans="1:8">
      <c r="A1068" t="s">
        <v>5635</v>
      </c>
      <c r="B1068" t="s">
        <v>2474</v>
      </c>
      <c r="C1068" t="s">
        <v>10363</v>
      </c>
      <c r="D1068" t="s">
        <v>11445</v>
      </c>
      <c r="E1068">
        <v>916806716024</v>
      </c>
      <c r="F1068" t="s">
        <v>10386</v>
      </c>
      <c r="G1068" t="s">
        <v>10370</v>
      </c>
      <c r="H1068" s="2">
        <v>33800</v>
      </c>
    </row>
    <row r="1069" spans="1:8">
      <c r="A1069" t="s">
        <v>5640</v>
      </c>
      <c r="B1069" t="s">
        <v>3762</v>
      </c>
      <c r="C1069" t="s">
        <v>10363</v>
      </c>
      <c r="D1069" t="s">
        <v>11446</v>
      </c>
      <c r="E1069">
        <v>917426418083</v>
      </c>
      <c r="F1069" t="s">
        <v>10376</v>
      </c>
      <c r="G1069" t="s">
        <v>10377</v>
      </c>
      <c r="H1069" s="2">
        <v>34080</v>
      </c>
    </row>
    <row r="1070" spans="1:8">
      <c r="A1070" t="s">
        <v>5645</v>
      </c>
      <c r="B1070" t="s">
        <v>351</v>
      </c>
      <c r="C1070" t="s">
        <v>10363</v>
      </c>
      <c r="D1070" t="s">
        <v>11447</v>
      </c>
      <c r="E1070">
        <v>919418322859</v>
      </c>
      <c r="F1070" t="s">
        <v>10388</v>
      </c>
      <c r="G1070" t="s">
        <v>10370</v>
      </c>
      <c r="H1070" s="2">
        <v>24152</v>
      </c>
    </row>
    <row r="1071" spans="1:8">
      <c r="A1071" t="s">
        <v>5650</v>
      </c>
      <c r="B1071" t="s">
        <v>865</v>
      </c>
      <c r="C1071" t="s">
        <v>10363</v>
      </c>
      <c r="D1071" t="s">
        <v>11448</v>
      </c>
      <c r="E1071">
        <v>917956338670</v>
      </c>
      <c r="F1071" t="s">
        <v>10374</v>
      </c>
      <c r="G1071" t="s">
        <v>10366</v>
      </c>
      <c r="H1071" s="2">
        <v>31782</v>
      </c>
    </row>
    <row r="1072" spans="1:8">
      <c r="A1072" t="s">
        <v>5655</v>
      </c>
      <c r="B1072" t="s">
        <v>386</v>
      </c>
      <c r="C1072" t="s">
        <v>10363</v>
      </c>
      <c r="D1072" t="s">
        <v>11449</v>
      </c>
      <c r="E1072">
        <v>918341772427</v>
      </c>
      <c r="F1072" t="s">
        <v>10376</v>
      </c>
      <c r="G1072" t="s">
        <v>10366</v>
      </c>
      <c r="H1072" s="2">
        <v>24803</v>
      </c>
    </row>
    <row r="1073" spans="1:8">
      <c r="A1073" t="s">
        <v>5660</v>
      </c>
      <c r="B1073" t="s">
        <v>1545</v>
      </c>
      <c r="C1073" t="s">
        <v>10363</v>
      </c>
      <c r="D1073" t="s">
        <v>11450</v>
      </c>
      <c r="E1073">
        <v>917926870597</v>
      </c>
      <c r="F1073" t="s">
        <v>10376</v>
      </c>
      <c r="G1073" t="s">
        <v>10366</v>
      </c>
      <c r="H1073" s="2">
        <v>22138</v>
      </c>
    </row>
    <row r="1074" spans="1:8">
      <c r="A1074" t="s">
        <v>5665</v>
      </c>
      <c r="B1074" t="s">
        <v>729</v>
      </c>
      <c r="C1074" t="s">
        <v>10367</v>
      </c>
      <c r="D1074" t="s">
        <v>11451</v>
      </c>
      <c r="E1074">
        <v>919313517135</v>
      </c>
      <c r="F1074" t="s">
        <v>10374</v>
      </c>
      <c r="G1074" t="s">
        <v>10377</v>
      </c>
      <c r="H1074" s="2">
        <v>20538</v>
      </c>
    </row>
    <row r="1075" spans="1:8">
      <c r="A1075" t="s">
        <v>5670</v>
      </c>
      <c r="B1075" t="s">
        <v>982</v>
      </c>
      <c r="C1075" t="s">
        <v>10367</v>
      </c>
      <c r="D1075" t="s">
        <v>11452</v>
      </c>
      <c r="E1075">
        <v>917050306262</v>
      </c>
      <c r="F1075" t="s">
        <v>10376</v>
      </c>
      <c r="G1075" t="s">
        <v>10377</v>
      </c>
      <c r="H1075" s="2">
        <v>33401</v>
      </c>
    </row>
    <row r="1076" spans="1:8">
      <c r="A1076" t="s">
        <v>5675</v>
      </c>
      <c r="B1076" t="s">
        <v>3112</v>
      </c>
      <c r="C1076" t="s">
        <v>10367</v>
      </c>
      <c r="D1076" t="s">
        <v>11453</v>
      </c>
      <c r="E1076">
        <v>916051258035</v>
      </c>
      <c r="F1076" t="s">
        <v>10376</v>
      </c>
      <c r="G1076" t="s">
        <v>10366</v>
      </c>
      <c r="H1076" s="2">
        <v>34185</v>
      </c>
    </row>
    <row r="1077" spans="1:8">
      <c r="A1077" t="s">
        <v>5680</v>
      </c>
      <c r="B1077" t="s">
        <v>1551</v>
      </c>
      <c r="C1077" t="s">
        <v>10367</v>
      </c>
      <c r="D1077" t="s">
        <v>11454</v>
      </c>
      <c r="E1077">
        <v>916825688500</v>
      </c>
      <c r="F1077" t="s">
        <v>10388</v>
      </c>
      <c r="G1077" t="s">
        <v>10366</v>
      </c>
      <c r="H1077" s="2">
        <v>29844</v>
      </c>
    </row>
    <row r="1078" spans="1:8">
      <c r="A1078" t="s">
        <v>5685</v>
      </c>
      <c r="B1078" t="s">
        <v>1036</v>
      </c>
      <c r="C1078" t="s">
        <v>10363</v>
      </c>
      <c r="D1078" t="s">
        <v>11455</v>
      </c>
      <c r="E1078">
        <v>917089415010</v>
      </c>
      <c r="F1078" t="s">
        <v>10386</v>
      </c>
      <c r="G1078" t="s">
        <v>10377</v>
      </c>
      <c r="H1078" s="2">
        <v>27803</v>
      </c>
    </row>
    <row r="1079" spans="1:8">
      <c r="A1079" t="s">
        <v>5690</v>
      </c>
      <c r="B1079" t="s">
        <v>3124</v>
      </c>
      <c r="C1079" t="s">
        <v>10367</v>
      </c>
      <c r="D1079" t="s">
        <v>11456</v>
      </c>
      <c r="E1079">
        <v>916896934780</v>
      </c>
      <c r="F1079" t="s">
        <v>10376</v>
      </c>
      <c r="G1079" t="s">
        <v>10379</v>
      </c>
      <c r="H1079" s="2">
        <v>29107</v>
      </c>
    </row>
    <row r="1080" spans="1:8">
      <c r="A1080" t="s">
        <v>5695</v>
      </c>
      <c r="B1080" t="s">
        <v>61</v>
      </c>
      <c r="C1080" t="s">
        <v>10367</v>
      </c>
      <c r="D1080" t="s">
        <v>11457</v>
      </c>
      <c r="E1080">
        <v>917964969434</v>
      </c>
      <c r="F1080" t="s">
        <v>10365</v>
      </c>
      <c r="G1080" t="s">
        <v>10379</v>
      </c>
      <c r="H1080" s="2">
        <v>21198</v>
      </c>
    </row>
    <row r="1081" spans="1:8">
      <c r="A1081" t="s">
        <v>5700</v>
      </c>
      <c r="B1081" t="s">
        <v>2329</v>
      </c>
      <c r="C1081" t="s">
        <v>10367</v>
      </c>
      <c r="D1081" t="s">
        <v>11458</v>
      </c>
      <c r="E1081">
        <v>919431842476</v>
      </c>
      <c r="F1081" t="s">
        <v>10365</v>
      </c>
      <c r="G1081" t="s">
        <v>10370</v>
      </c>
      <c r="H1081" s="2">
        <v>22245</v>
      </c>
    </row>
    <row r="1082" spans="1:8">
      <c r="A1082" t="s">
        <v>5705</v>
      </c>
      <c r="B1082" t="s">
        <v>2233</v>
      </c>
      <c r="C1082" t="s">
        <v>10367</v>
      </c>
      <c r="D1082" t="s">
        <v>11459</v>
      </c>
      <c r="E1082">
        <v>916760411396</v>
      </c>
      <c r="F1082" t="s">
        <v>10372</v>
      </c>
      <c r="G1082" t="s">
        <v>10379</v>
      </c>
      <c r="H1082" s="2">
        <v>37614</v>
      </c>
    </row>
    <row r="1083" spans="1:8">
      <c r="A1083" t="s">
        <v>5710</v>
      </c>
      <c r="B1083" t="s">
        <v>1682</v>
      </c>
      <c r="C1083" t="s">
        <v>10367</v>
      </c>
      <c r="D1083" t="s">
        <v>11460</v>
      </c>
      <c r="E1083">
        <v>919347848051</v>
      </c>
      <c r="F1083" t="s">
        <v>10388</v>
      </c>
      <c r="G1083" t="s">
        <v>10366</v>
      </c>
      <c r="H1083" s="2">
        <v>32646</v>
      </c>
    </row>
    <row r="1084" spans="1:8">
      <c r="A1084" t="s">
        <v>5715</v>
      </c>
      <c r="B1084" t="s">
        <v>1036</v>
      </c>
      <c r="C1084" t="s">
        <v>10363</v>
      </c>
      <c r="D1084" t="s">
        <v>11461</v>
      </c>
      <c r="E1084">
        <v>919115405165</v>
      </c>
      <c r="F1084" t="s">
        <v>10376</v>
      </c>
      <c r="G1084" t="s">
        <v>10377</v>
      </c>
      <c r="H1084" s="2">
        <v>32551</v>
      </c>
    </row>
    <row r="1085" spans="1:8">
      <c r="A1085" t="s">
        <v>5720</v>
      </c>
      <c r="B1085" t="s">
        <v>151</v>
      </c>
      <c r="C1085" t="s">
        <v>10367</v>
      </c>
      <c r="D1085" t="s">
        <v>11462</v>
      </c>
      <c r="E1085">
        <v>916221037788</v>
      </c>
      <c r="F1085" t="s">
        <v>10365</v>
      </c>
      <c r="G1085" t="s">
        <v>10366</v>
      </c>
      <c r="H1085" s="2">
        <v>33948</v>
      </c>
    </row>
    <row r="1086" spans="1:8">
      <c r="A1086" t="s">
        <v>5725</v>
      </c>
      <c r="B1086" t="s">
        <v>87</v>
      </c>
      <c r="C1086" t="s">
        <v>10363</v>
      </c>
      <c r="D1086" t="s">
        <v>11463</v>
      </c>
      <c r="E1086">
        <v>916220009632</v>
      </c>
      <c r="F1086" t="s">
        <v>10365</v>
      </c>
      <c r="G1086" t="s">
        <v>10379</v>
      </c>
      <c r="H1086" s="2">
        <v>29356</v>
      </c>
    </row>
    <row r="1087" spans="1:8">
      <c r="A1087" t="s">
        <v>5730</v>
      </c>
      <c r="B1087" t="s">
        <v>259</v>
      </c>
      <c r="C1087" t="s">
        <v>10367</v>
      </c>
      <c r="D1087" t="s">
        <v>11464</v>
      </c>
      <c r="E1087">
        <v>916643635446</v>
      </c>
      <c r="F1087" t="s">
        <v>10384</v>
      </c>
      <c r="G1087" t="s">
        <v>10379</v>
      </c>
      <c r="H1087" s="2">
        <v>23449</v>
      </c>
    </row>
    <row r="1088" spans="1:8">
      <c r="A1088" t="s">
        <v>5735</v>
      </c>
      <c r="B1088" t="s">
        <v>1030</v>
      </c>
      <c r="C1088" t="s">
        <v>10363</v>
      </c>
      <c r="D1088" t="s">
        <v>11465</v>
      </c>
      <c r="E1088">
        <v>917152610908</v>
      </c>
      <c r="F1088" t="s">
        <v>10388</v>
      </c>
      <c r="G1088" t="s">
        <v>10370</v>
      </c>
      <c r="H1088" s="2">
        <v>33623</v>
      </c>
    </row>
    <row r="1089" spans="1:8">
      <c r="A1089" t="s">
        <v>5740</v>
      </c>
      <c r="B1089" t="s">
        <v>180</v>
      </c>
      <c r="C1089" t="s">
        <v>10367</v>
      </c>
      <c r="D1089" t="s">
        <v>11466</v>
      </c>
      <c r="E1089">
        <v>916048996045</v>
      </c>
      <c r="F1089" t="s">
        <v>10386</v>
      </c>
      <c r="G1089" t="s">
        <v>10379</v>
      </c>
      <c r="H1089" s="2">
        <v>37188</v>
      </c>
    </row>
    <row r="1090" spans="1:8">
      <c r="A1090" t="s">
        <v>5745</v>
      </c>
      <c r="B1090" t="s">
        <v>87</v>
      </c>
      <c r="C1090" t="s">
        <v>10363</v>
      </c>
      <c r="D1090" t="s">
        <v>11467</v>
      </c>
      <c r="E1090">
        <v>916567866742</v>
      </c>
      <c r="F1090" t="s">
        <v>10386</v>
      </c>
      <c r="G1090" t="s">
        <v>10379</v>
      </c>
      <c r="H1090" s="2">
        <v>21118</v>
      </c>
    </row>
    <row r="1091" spans="1:8">
      <c r="A1091" t="s">
        <v>5751</v>
      </c>
      <c r="B1091" t="s">
        <v>157</v>
      </c>
      <c r="C1091" t="s">
        <v>10363</v>
      </c>
      <c r="D1091" t="s">
        <v>11468</v>
      </c>
      <c r="E1091">
        <v>917608831320</v>
      </c>
      <c r="F1091" t="s">
        <v>10365</v>
      </c>
      <c r="G1091" t="s">
        <v>10377</v>
      </c>
      <c r="H1091" s="2">
        <v>35174</v>
      </c>
    </row>
    <row r="1092" spans="1:8">
      <c r="A1092" t="s">
        <v>5756</v>
      </c>
      <c r="B1092" t="s">
        <v>100</v>
      </c>
      <c r="C1092" t="s">
        <v>10363</v>
      </c>
      <c r="D1092" t="s">
        <v>11469</v>
      </c>
      <c r="E1092">
        <v>918134609083</v>
      </c>
      <c r="F1092" t="s">
        <v>10365</v>
      </c>
      <c r="G1092" t="s">
        <v>10370</v>
      </c>
      <c r="H1092" s="2">
        <v>37471</v>
      </c>
    </row>
    <row r="1093" spans="1:8">
      <c r="A1093" t="s">
        <v>5761</v>
      </c>
      <c r="B1093" t="s">
        <v>1545</v>
      </c>
      <c r="C1093" t="s">
        <v>10363</v>
      </c>
      <c r="D1093" t="s">
        <v>11470</v>
      </c>
      <c r="E1093">
        <v>917535839044</v>
      </c>
      <c r="F1093" t="s">
        <v>10402</v>
      </c>
      <c r="G1093" t="s">
        <v>10370</v>
      </c>
      <c r="H1093" s="2">
        <v>33160</v>
      </c>
    </row>
    <row r="1094" spans="1:8">
      <c r="A1094" t="s">
        <v>5766</v>
      </c>
      <c r="B1094" t="s">
        <v>2863</v>
      </c>
      <c r="C1094" t="s">
        <v>10367</v>
      </c>
      <c r="D1094" t="s">
        <v>11471</v>
      </c>
      <c r="E1094">
        <v>917234457906</v>
      </c>
      <c r="F1094" t="s">
        <v>10376</v>
      </c>
      <c r="G1094" t="s">
        <v>10370</v>
      </c>
      <c r="H1094" s="2">
        <v>25315</v>
      </c>
    </row>
    <row r="1095" spans="1:8">
      <c r="A1095" t="s">
        <v>5771</v>
      </c>
      <c r="B1095" t="s">
        <v>421</v>
      </c>
      <c r="C1095" t="s">
        <v>10363</v>
      </c>
      <c r="D1095" t="s">
        <v>11472</v>
      </c>
      <c r="E1095">
        <v>918649061066</v>
      </c>
      <c r="F1095" t="s">
        <v>10369</v>
      </c>
      <c r="G1095" t="s">
        <v>10370</v>
      </c>
      <c r="H1095" s="2">
        <v>26066</v>
      </c>
    </row>
    <row r="1096" spans="1:8">
      <c r="A1096" t="s">
        <v>5776</v>
      </c>
      <c r="B1096" t="s">
        <v>174</v>
      </c>
      <c r="C1096" t="s">
        <v>10367</v>
      </c>
      <c r="D1096" t="s">
        <v>11473</v>
      </c>
      <c r="E1096">
        <v>917110635766</v>
      </c>
      <c r="F1096" t="s">
        <v>10376</v>
      </c>
      <c r="G1096" t="s">
        <v>10377</v>
      </c>
      <c r="H1096" s="2">
        <v>29506</v>
      </c>
    </row>
    <row r="1097" spans="1:8">
      <c r="A1097" t="s">
        <v>5781</v>
      </c>
      <c r="B1097" t="s">
        <v>449</v>
      </c>
      <c r="C1097" t="s">
        <v>10363</v>
      </c>
      <c r="D1097" t="s">
        <v>11474</v>
      </c>
      <c r="E1097">
        <v>919779376810</v>
      </c>
      <c r="F1097" t="s">
        <v>10386</v>
      </c>
      <c r="G1097" t="s">
        <v>10366</v>
      </c>
      <c r="H1097" s="2">
        <v>23294</v>
      </c>
    </row>
    <row r="1098" spans="1:8">
      <c r="A1098" t="s">
        <v>5786</v>
      </c>
      <c r="B1098" t="s">
        <v>1090</v>
      </c>
      <c r="C1098" t="s">
        <v>10367</v>
      </c>
      <c r="D1098" t="s">
        <v>11475</v>
      </c>
      <c r="E1098">
        <v>919072630137</v>
      </c>
      <c r="F1098" t="s">
        <v>10388</v>
      </c>
      <c r="G1098" t="s">
        <v>10377</v>
      </c>
      <c r="H1098" s="2">
        <v>28984</v>
      </c>
    </row>
    <row r="1099" spans="1:8">
      <c r="A1099" t="s">
        <v>5791</v>
      </c>
      <c r="B1099" t="s">
        <v>587</v>
      </c>
      <c r="C1099" t="s">
        <v>10363</v>
      </c>
      <c r="D1099" t="s">
        <v>11476</v>
      </c>
      <c r="E1099">
        <v>918056758751</v>
      </c>
      <c r="F1099" t="s">
        <v>10374</v>
      </c>
      <c r="G1099" t="s">
        <v>10370</v>
      </c>
      <c r="H1099" s="2">
        <v>22331</v>
      </c>
    </row>
    <row r="1100" spans="1:8">
      <c r="A1100" t="s">
        <v>5796</v>
      </c>
      <c r="B1100" t="s">
        <v>466</v>
      </c>
      <c r="C1100" t="s">
        <v>10363</v>
      </c>
      <c r="D1100" t="s">
        <v>11477</v>
      </c>
      <c r="E1100">
        <v>917555250603</v>
      </c>
      <c r="F1100" t="s">
        <v>10374</v>
      </c>
      <c r="G1100" t="s">
        <v>10366</v>
      </c>
      <c r="H1100" s="2">
        <v>23646</v>
      </c>
    </row>
    <row r="1101" spans="1:8">
      <c r="A1101" t="s">
        <v>5801</v>
      </c>
      <c r="B1101" t="s">
        <v>2451</v>
      </c>
      <c r="C1101" t="s">
        <v>10367</v>
      </c>
      <c r="D1101" t="s">
        <v>11478</v>
      </c>
      <c r="E1101">
        <v>916566988063</v>
      </c>
      <c r="F1101" t="s">
        <v>10374</v>
      </c>
      <c r="G1101" t="s">
        <v>10366</v>
      </c>
      <c r="H1101" s="2">
        <v>20685</v>
      </c>
    </row>
    <row r="1102" spans="1:8">
      <c r="A1102" t="s">
        <v>5806</v>
      </c>
      <c r="B1102" t="s">
        <v>1498</v>
      </c>
      <c r="C1102" t="s">
        <v>10363</v>
      </c>
      <c r="D1102" t="s">
        <v>11479</v>
      </c>
      <c r="E1102">
        <v>918337993170</v>
      </c>
      <c r="F1102" t="s">
        <v>10386</v>
      </c>
      <c r="G1102" t="s">
        <v>10377</v>
      </c>
      <c r="H1102" s="2">
        <v>35856</v>
      </c>
    </row>
    <row r="1103" spans="1:8">
      <c r="A1103" t="s">
        <v>5811</v>
      </c>
      <c r="B1103" t="s">
        <v>774</v>
      </c>
      <c r="C1103" t="s">
        <v>10367</v>
      </c>
      <c r="D1103" t="s">
        <v>11480</v>
      </c>
      <c r="E1103">
        <v>917069903993</v>
      </c>
      <c r="F1103" t="s">
        <v>10402</v>
      </c>
      <c r="G1103" t="s">
        <v>10379</v>
      </c>
      <c r="H1103" s="2">
        <v>20871</v>
      </c>
    </row>
    <row r="1104" spans="1:8">
      <c r="A1104" t="s">
        <v>5816</v>
      </c>
      <c r="B1104" t="s">
        <v>2474</v>
      </c>
      <c r="C1104" t="s">
        <v>10363</v>
      </c>
      <c r="D1104" t="s">
        <v>11481</v>
      </c>
      <c r="E1104">
        <v>919962122987</v>
      </c>
      <c r="F1104" t="s">
        <v>10376</v>
      </c>
      <c r="G1104" t="s">
        <v>10370</v>
      </c>
      <c r="H1104" s="2">
        <v>32739</v>
      </c>
    </row>
    <row r="1105" spans="1:8">
      <c r="A1105" t="s">
        <v>5821</v>
      </c>
      <c r="B1105" t="s">
        <v>1826</v>
      </c>
      <c r="C1105" t="s">
        <v>10363</v>
      </c>
      <c r="D1105" t="s">
        <v>11482</v>
      </c>
      <c r="E1105">
        <v>916871804007</v>
      </c>
      <c r="F1105" t="s">
        <v>10402</v>
      </c>
      <c r="G1105" t="s">
        <v>10366</v>
      </c>
      <c r="H1105" s="2">
        <v>23881</v>
      </c>
    </row>
    <row r="1106" spans="1:8">
      <c r="A1106" t="s">
        <v>5826</v>
      </c>
      <c r="B1106" t="s">
        <v>2073</v>
      </c>
      <c r="C1106" t="s">
        <v>10367</v>
      </c>
      <c r="D1106" t="s">
        <v>11483</v>
      </c>
      <c r="E1106">
        <v>918035339710</v>
      </c>
      <c r="F1106" t="s">
        <v>10369</v>
      </c>
      <c r="G1106" t="s">
        <v>10379</v>
      </c>
      <c r="H1106" s="2">
        <v>27153</v>
      </c>
    </row>
    <row r="1107" spans="1:8">
      <c r="A1107" t="s">
        <v>5831</v>
      </c>
      <c r="B1107" t="s">
        <v>1186</v>
      </c>
      <c r="C1107" t="s">
        <v>10367</v>
      </c>
      <c r="D1107" t="s">
        <v>11484</v>
      </c>
      <c r="E1107">
        <v>918327451268</v>
      </c>
      <c r="F1107" t="s">
        <v>10384</v>
      </c>
      <c r="G1107" t="s">
        <v>10377</v>
      </c>
      <c r="H1107" s="2">
        <v>31048</v>
      </c>
    </row>
    <row r="1108" spans="1:8">
      <c r="A1108" t="s">
        <v>5836</v>
      </c>
      <c r="B1108" t="s">
        <v>1114</v>
      </c>
      <c r="C1108" t="s">
        <v>10367</v>
      </c>
      <c r="D1108" t="s">
        <v>11485</v>
      </c>
      <c r="E1108">
        <v>917340972356</v>
      </c>
      <c r="F1108" t="s">
        <v>10374</v>
      </c>
      <c r="G1108" t="s">
        <v>10377</v>
      </c>
      <c r="H1108" s="2">
        <v>23381</v>
      </c>
    </row>
    <row r="1109" spans="1:8">
      <c r="A1109" t="s">
        <v>5841</v>
      </c>
      <c r="B1109" t="s">
        <v>106</v>
      </c>
      <c r="C1109" t="s">
        <v>10363</v>
      </c>
      <c r="D1109" t="s">
        <v>11486</v>
      </c>
      <c r="E1109">
        <v>917549848880</v>
      </c>
      <c r="F1109" t="s">
        <v>10372</v>
      </c>
      <c r="G1109" t="s">
        <v>10366</v>
      </c>
      <c r="H1109" s="2">
        <v>26342</v>
      </c>
    </row>
    <row r="1110" spans="1:8">
      <c r="A1110" t="s">
        <v>5846</v>
      </c>
      <c r="B1110" t="s">
        <v>1637</v>
      </c>
      <c r="C1110" t="s">
        <v>10367</v>
      </c>
      <c r="D1110" t="s">
        <v>11487</v>
      </c>
      <c r="E1110">
        <v>916238601030</v>
      </c>
      <c r="F1110" t="s">
        <v>10372</v>
      </c>
      <c r="G1110" t="s">
        <v>10379</v>
      </c>
      <c r="H1110" s="2">
        <v>29673</v>
      </c>
    </row>
    <row r="1111" spans="1:8">
      <c r="A1111" t="s">
        <v>5851</v>
      </c>
      <c r="B1111" t="s">
        <v>4751</v>
      </c>
      <c r="C1111" t="s">
        <v>10367</v>
      </c>
      <c r="D1111" t="s">
        <v>11488</v>
      </c>
      <c r="E1111">
        <v>917742699219</v>
      </c>
      <c r="F1111" t="s">
        <v>10369</v>
      </c>
      <c r="G1111" t="s">
        <v>10379</v>
      </c>
      <c r="H1111" s="2">
        <v>26059</v>
      </c>
    </row>
    <row r="1112" spans="1:8">
      <c r="A1112" t="s">
        <v>5856</v>
      </c>
      <c r="B1112" t="s">
        <v>311</v>
      </c>
      <c r="C1112" t="s">
        <v>10363</v>
      </c>
      <c r="D1112" t="s">
        <v>11489</v>
      </c>
      <c r="E1112">
        <v>918295891037</v>
      </c>
      <c r="F1112" t="s">
        <v>10374</v>
      </c>
      <c r="G1112" t="s">
        <v>10366</v>
      </c>
      <c r="H1112" s="2">
        <v>37525</v>
      </c>
    </row>
    <row r="1113" spans="1:8">
      <c r="A1113" t="s">
        <v>5861</v>
      </c>
      <c r="B1113" t="s">
        <v>667</v>
      </c>
      <c r="C1113" t="s">
        <v>10367</v>
      </c>
      <c r="D1113" t="s">
        <v>11490</v>
      </c>
      <c r="E1113">
        <v>918119185275</v>
      </c>
      <c r="F1113" t="s">
        <v>10381</v>
      </c>
      <c r="G1113" t="s">
        <v>10370</v>
      </c>
      <c r="H1113" s="2">
        <v>36410</v>
      </c>
    </row>
    <row r="1114" spans="1:8">
      <c r="A1114" t="s">
        <v>5866</v>
      </c>
      <c r="B1114" t="s">
        <v>247</v>
      </c>
      <c r="C1114" t="s">
        <v>10367</v>
      </c>
      <c r="D1114" t="s">
        <v>11491</v>
      </c>
      <c r="E1114">
        <v>919712692643</v>
      </c>
      <c r="F1114" t="s">
        <v>10372</v>
      </c>
      <c r="G1114" t="s">
        <v>10366</v>
      </c>
      <c r="H1114" s="2">
        <v>30594</v>
      </c>
    </row>
    <row r="1115" spans="1:8">
      <c r="A1115" t="s">
        <v>5871</v>
      </c>
      <c r="B1115" t="s">
        <v>205</v>
      </c>
      <c r="C1115" t="s">
        <v>10367</v>
      </c>
      <c r="D1115" t="s">
        <v>11492</v>
      </c>
      <c r="E1115">
        <v>919184832557</v>
      </c>
      <c r="F1115" t="s">
        <v>10384</v>
      </c>
      <c r="G1115" t="s">
        <v>10366</v>
      </c>
      <c r="H1115" s="2">
        <v>32115</v>
      </c>
    </row>
    <row r="1116" spans="1:8">
      <c r="A1116" t="s">
        <v>5876</v>
      </c>
      <c r="B1116" t="s">
        <v>604</v>
      </c>
      <c r="C1116" t="s">
        <v>10363</v>
      </c>
      <c r="D1116" t="s">
        <v>11493</v>
      </c>
      <c r="E1116">
        <v>916190201816</v>
      </c>
      <c r="F1116" t="s">
        <v>10402</v>
      </c>
      <c r="G1116" t="s">
        <v>10379</v>
      </c>
      <c r="H1116" s="2">
        <v>31713</v>
      </c>
    </row>
    <row r="1117" spans="1:8">
      <c r="A1117" t="s">
        <v>5881</v>
      </c>
      <c r="B1117" t="s">
        <v>853</v>
      </c>
      <c r="C1117" t="s">
        <v>10363</v>
      </c>
      <c r="D1117" t="s">
        <v>11494</v>
      </c>
      <c r="E1117">
        <v>917504946076</v>
      </c>
      <c r="F1117" t="s">
        <v>10402</v>
      </c>
      <c r="G1117" t="s">
        <v>10370</v>
      </c>
      <c r="H1117" s="2">
        <v>20879</v>
      </c>
    </row>
    <row r="1118" spans="1:8">
      <c r="A1118" t="s">
        <v>5886</v>
      </c>
      <c r="B1118" t="s">
        <v>587</v>
      </c>
      <c r="C1118" t="s">
        <v>10363</v>
      </c>
      <c r="D1118" t="s">
        <v>11495</v>
      </c>
      <c r="E1118">
        <v>916974290606</v>
      </c>
      <c r="F1118" t="s">
        <v>10381</v>
      </c>
      <c r="G1118" t="s">
        <v>10379</v>
      </c>
      <c r="H1118" s="2">
        <v>20228</v>
      </c>
    </row>
    <row r="1119" spans="1:8">
      <c r="A1119" t="s">
        <v>5891</v>
      </c>
      <c r="B1119" t="s">
        <v>1699</v>
      </c>
      <c r="C1119" t="s">
        <v>10363</v>
      </c>
      <c r="D1119" t="s">
        <v>11496</v>
      </c>
      <c r="E1119">
        <v>918171195599</v>
      </c>
      <c r="F1119" t="s">
        <v>10381</v>
      </c>
      <c r="G1119" t="s">
        <v>10377</v>
      </c>
      <c r="H1119" s="2">
        <v>28024</v>
      </c>
    </row>
    <row r="1120" spans="1:8">
      <c r="A1120" t="s">
        <v>5896</v>
      </c>
      <c r="B1120" t="s">
        <v>2510</v>
      </c>
      <c r="C1120" t="s">
        <v>10363</v>
      </c>
      <c r="D1120" t="s">
        <v>11497</v>
      </c>
      <c r="E1120">
        <v>919617727633</v>
      </c>
      <c r="F1120" t="s">
        <v>10376</v>
      </c>
      <c r="G1120" t="s">
        <v>10379</v>
      </c>
      <c r="H1120" s="2">
        <v>22056</v>
      </c>
    </row>
    <row r="1121" spans="1:8">
      <c r="A1121" t="s">
        <v>5901</v>
      </c>
      <c r="B1121" t="s">
        <v>679</v>
      </c>
      <c r="C1121" t="s">
        <v>10367</v>
      </c>
      <c r="D1121" t="s">
        <v>11498</v>
      </c>
      <c r="E1121">
        <v>917300103472</v>
      </c>
      <c r="F1121" t="s">
        <v>10402</v>
      </c>
      <c r="G1121" t="s">
        <v>10366</v>
      </c>
      <c r="H1121" s="2">
        <v>24245</v>
      </c>
    </row>
    <row r="1122" spans="1:8">
      <c r="A1122" t="s">
        <v>5906</v>
      </c>
      <c r="B1122" t="s">
        <v>265</v>
      </c>
      <c r="C1122" t="s">
        <v>10363</v>
      </c>
      <c r="D1122" t="s">
        <v>11499</v>
      </c>
      <c r="E1122">
        <v>917655618998</v>
      </c>
      <c r="F1122" t="s">
        <v>10381</v>
      </c>
      <c r="G1122" t="s">
        <v>10366</v>
      </c>
      <c r="H1122" s="2">
        <v>34017</v>
      </c>
    </row>
    <row r="1123" spans="1:8">
      <c r="A1123" t="s">
        <v>5912</v>
      </c>
      <c r="B1123" t="s">
        <v>6202</v>
      </c>
      <c r="C1123" t="s">
        <v>10363</v>
      </c>
      <c r="D1123" t="s">
        <v>11500</v>
      </c>
      <c r="E1123">
        <v>918805194726</v>
      </c>
      <c r="F1123" t="s">
        <v>10369</v>
      </c>
      <c r="G1123" t="s">
        <v>10379</v>
      </c>
      <c r="H1123" s="2">
        <v>37111</v>
      </c>
    </row>
    <row r="1124" spans="1:8">
      <c r="A1124" t="s">
        <v>5917</v>
      </c>
      <c r="B1124" t="s">
        <v>38</v>
      </c>
      <c r="C1124" t="s">
        <v>10363</v>
      </c>
      <c r="D1124" t="s">
        <v>11501</v>
      </c>
      <c r="E1124">
        <v>919787596361</v>
      </c>
      <c r="F1124" t="s">
        <v>10372</v>
      </c>
      <c r="G1124" t="s">
        <v>10366</v>
      </c>
      <c r="H1124" s="2">
        <v>24786</v>
      </c>
    </row>
    <row r="1125" spans="1:8">
      <c r="A1125" t="s">
        <v>5922</v>
      </c>
      <c r="B1125" t="s">
        <v>151</v>
      </c>
      <c r="C1125" t="s">
        <v>10367</v>
      </c>
      <c r="D1125" t="s">
        <v>11502</v>
      </c>
      <c r="E1125">
        <v>918228624291</v>
      </c>
      <c r="F1125" t="s">
        <v>10365</v>
      </c>
      <c r="G1125" t="s">
        <v>10370</v>
      </c>
      <c r="H1125" s="2">
        <v>34162</v>
      </c>
    </row>
    <row r="1126" spans="1:8">
      <c r="A1126" t="s">
        <v>5927</v>
      </c>
      <c r="B1126" t="s">
        <v>1476</v>
      </c>
      <c r="C1126" t="s">
        <v>10367</v>
      </c>
      <c r="D1126" t="s">
        <v>11503</v>
      </c>
      <c r="E1126">
        <v>916956920681</v>
      </c>
      <c r="F1126" t="s">
        <v>10384</v>
      </c>
      <c r="G1126" t="s">
        <v>10377</v>
      </c>
      <c r="H1126" s="2">
        <v>24034</v>
      </c>
    </row>
    <row r="1127" spans="1:8">
      <c r="A1127" t="s">
        <v>5932</v>
      </c>
      <c r="B1127" t="s">
        <v>5267</v>
      </c>
      <c r="C1127" t="s">
        <v>10367</v>
      </c>
      <c r="D1127" t="s">
        <v>11504</v>
      </c>
      <c r="E1127">
        <v>918751817388</v>
      </c>
      <c r="F1127" t="s">
        <v>10372</v>
      </c>
      <c r="G1127" t="s">
        <v>10370</v>
      </c>
      <c r="H1127" s="2">
        <v>26895</v>
      </c>
    </row>
    <row r="1128" spans="1:8">
      <c r="A1128" t="s">
        <v>5937</v>
      </c>
      <c r="B1128" t="s">
        <v>52</v>
      </c>
      <c r="C1128" t="s">
        <v>10363</v>
      </c>
      <c r="D1128" t="s">
        <v>11505</v>
      </c>
      <c r="E1128">
        <v>918437927172</v>
      </c>
      <c r="F1128" t="s">
        <v>10372</v>
      </c>
      <c r="G1128" t="s">
        <v>10377</v>
      </c>
      <c r="H1128" s="2">
        <v>34014</v>
      </c>
    </row>
    <row r="1129" spans="1:8">
      <c r="A1129" t="s">
        <v>5942</v>
      </c>
      <c r="B1129" t="s">
        <v>2041</v>
      </c>
      <c r="C1129" t="s">
        <v>10363</v>
      </c>
      <c r="D1129" t="s">
        <v>11506</v>
      </c>
      <c r="E1129">
        <v>916547371260</v>
      </c>
      <c r="F1129" t="s">
        <v>10372</v>
      </c>
      <c r="G1129" t="s">
        <v>10370</v>
      </c>
      <c r="H1129" s="2">
        <v>29425</v>
      </c>
    </row>
    <row r="1130" spans="1:8">
      <c r="A1130" t="s">
        <v>5947</v>
      </c>
      <c r="B1130" t="s">
        <v>708</v>
      </c>
      <c r="C1130" t="s">
        <v>10363</v>
      </c>
      <c r="D1130" t="s">
        <v>11507</v>
      </c>
      <c r="E1130">
        <v>918550778341</v>
      </c>
      <c r="F1130" t="s">
        <v>10381</v>
      </c>
      <c r="G1130" t="s">
        <v>10377</v>
      </c>
      <c r="H1130" s="2">
        <v>25410</v>
      </c>
    </row>
    <row r="1131" spans="1:8">
      <c r="A1131" t="s">
        <v>5952</v>
      </c>
      <c r="B1131" t="s">
        <v>575</v>
      </c>
      <c r="C1131" t="s">
        <v>10363</v>
      </c>
      <c r="D1131" t="s">
        <v>11508</v>
      </c>
      <c r="E1131">
        <v>919083066732</v>
      </c>
      <c r="F1131" t="s">
        <v>10372</v>
      </c>
      <c r="G1131" t="s">
        <v>10377</v>
      </c>
      <c r="H1131" s="2">
        <v>22596</v>
      </c>
    </row>
    <row r="1132" spans="1:8">
      <c r="A1132" t="s">
        <v>5957</v>
      </c>
      <c r="B1132" t="s">
        <v>1164</v>
      </c>
      <c r="C1132" t="s">
        <v>10367</v>
      </c>
      <c r="D1132" t="s">
        <v>11509</v>
      </c>
      <c r="E1132">
        <v>919230425852</v>
      </c>
      <c r="F1132" t="s">
        <v>10365</v>
      </c>
      <c r="G1132" t="s">
        <v>10370</v>
      </c>
      <c r="H1132" s="2">
        <v>24298</v>
      </c>
    </row>
    <row r="1133" spans="1:8">
      <c r="A1133" t="s">
        <v>5962</v>
      </c>
      <c r="B1133" t="s">
        <v>1594</v>
      </c>
      <c r="C1133" t="s">
        <v>10363</v>
      </c>
      <c r="D1133" t="s">
        <v>11510</v>
      </c>
      <c r="E1133">
        <v>918454908292</v>
      </c>
      <c r="F1133" t="s">
        <v>10388</v>
      </c>
      <c r="G1133" t="s">
        <v>10377</v>
      </c>
      <c r="H1133" s="2">
        <v>34747</v>
      </c>
    </row>
    <row r="1134" spans="1:8">
      <c r="A1134" t="s">
        <v>5967</v>
      </c>
      <c r="B1134" t="s">
        <v>112</v>
      </c>
      <c r="C1134" t="s">
        <v>10367</v>
      </c>
      <c r="D1134" t="s">
        <v>11511</v>
      </c>
      <c r="E1134">
        <v>918623449503</v>
      </c>
      <c r="F1134" t="s">
        <v>10384</v>
      </c>
      <c r="G1134" t="s">
        <v>10366</v>
      </c>
      <c r="H1134" s="2">
        <v>30442</v>
      </c>
    </row>
    <row r="1135" spans="1:8">
      <c r="A1135" t="s">
        <v>5972</v>
      </c>
      <c r="B1135" t="s">
        <v>564</v>
      </c>
      <c r="C1135" t="s">
        <v>10367</v>
      </c>
      <c r="D1135" t="s">
        <v>11512</v>
      </c>
      <c r="E1135">
        <v>918647661787</v>
      </c>
      <c r="F1135" t="s">
        <v>10386</v>
      </c>
      <c r="G1135" t="s">
        <v>10379</v>
      </c>
      <c r="H1135" s="2">
        <v>36398</v>
      </c>
    </row>
    <row r="1136" spans="1:8">
      <c r="A1136" t="s">
        <v>5977</v>
      </c>
      <c r="B1136" t="s">
        <v>899</v>
      </c>
      <c r="C1136" t="s">
        <v>10367</v>
      </c>
      <c r="D1136" t="s">
        <v>11513</v>
      </c>
      <c r="E1136">
        <v>916085380028</v>
      </c>
      <c r="F1136" t="s">
        <v>10381</v>
      </c>
      <c r="G1136" t="s">
        <v>10370</v>
      </c>
      <c r="H1136" s="2">
        <v>30034</v>
      </c>
    </row>
    <row r="1137" spans="1:8">
      <c r="A1137" t="s">
        <v>5982</v>
      </c>
      <c r="B1137" t="s">
        <v>1693</v>
      </c>
      <c r="C1137" t="s">
        <v>10367</v>
      </c>
      <c r="D1137" t="s">
        <v>11514</v>
      </c>
      <c r="E1137">
        <v>916183421140</v>
      </c>
      <c r="F1137" t="s">
        <v>10376</v>
      </c>
      <c r="G1137" t="s">
        <v>10370</v>
      </c>
      <c r="H1137" s="2">
        <v>34243</v>
      </c>
    </row>
    <row r="1138" spans="1:8">
      <c r="A1138" t="s">
        <v>5987</v>
      </c>
      <c r="B1138" t="s">
        <v>610</v>
      </c>
      <c r="C1138" t="s">
        <v>10363</v>
      </c>
      <c r="D1138" t="s">
        <v>11515</v>
      </c>
      <c r="E1138">
        <v>917746244541</v>
      </c>
      <c r="F1138" t="s">
        <v>10402</v>
      </c>
      <c r="G1138" t="s">
        <v>10366</v>
      </c>
      <c r="H1138" s="2">
        <v>27103</v>
      </c>
    </row>
    <row r="1139" spans="1:8">
      <c r="A1139" t="s">
        <v>5992</v>
      </c>
      <c r="B1139" t="s">
        <v>3783</v>
      </c>
      <c r="C1139" t="s">
        <v>10367</v>
      </c>
      <c r="D1139" t="s">
        <v>11516</v>
      </c>
      <c r="E1139">
        <v>918828917644</v>
      </c>
      <c r="F1139" t="s">
        <v>10388</v>
      </c>
      <c r="G1139" t="s">
        <v>10366</v>
      </c>
      <c r="H1139" s="2">
        <v>24419</v>
      </c>
    </row>
    <row r="1140" spans="1:8">
      <c r="A1140" t="s">
        <v>5997</v>
      </c>
      <c r="B1140" t="s">
        <v>6865</v>
      </c>
      <c r="C1140" t="s">
        <v>10367</v>
      </c>
      <c r="D1140" t="s">
        <v>11517</v>
      </c>
      <c r="E1140">
        <v>919110064776</v>
      </c>
      <c r="F1140" t="s">
        <v>10388</v>
      </c>
      <c r="G1140" t="s">
        <v>10379</v>
      </c>
      <c r="H1140" s="2">
        <v>30493</v>
      </c>
    </row>
    <row r="1141" spans="1:8">
      <c r="A1141" t="s">
        <v>6002</v>
      </c>
      <c r="B1141" t="s">
        <v>386</v>
      </c>
      <c r="C1141" t="s">
        <v>10363</v>
      </c>
      <c r="D1141" t="s">
        <v>11518</v>
      </c>
      <c r="E1141">
        <v>917313302301</v>
      </c>
      <c r="F1141" t="s">
        <v>10376</v>
      </c>
      <c r="G1141" t="s">
        <v>10379</v>
      </c>
      <c r="H1141" s="2">
        <v>33612</v>
      </c>
    </row>
    <row r="1142" spans="1:8">
      <c r="A1142" t="s">
        <v>6007</v>
      </c>
      <c r="B1142" t="s">
        <v>9536</v>
      </c>
      <c r="C1142" t="s">
        <v>10367</v>
      </c>
      <c r="D1142" t="s">
        <v>11519</v>
      </c>
      <c r="E1142">
        <v>916749546853</v>
      </c>
      <c r="F1142" t="s">
        <v>10384</v>
      </c>
      <c r="G1142" t="s">
        <v>10379</v>
      </c>
      <c r="H1142" s="2">
        <v>33215</v>
      </c>
    </row>
    <row r="1143" spans="1:8">
      <c r="A1143" t="s">
        <v>6012</v>
      </c>
      <c r="B1143" t="s">
        <v>67</v>
      </c>
      <c r="C1143" t="s">
        <v>10367</v>
      </c>
      <c r="D1143" t="s">
        <v>11520</v>
      </c>
      <c r="E1143">
        <v>919830838821</v>
      </c>
      <c r="F1143" t="s">
        <v>10376</v>
      </c>
      <c r="G1143" t="s">
        <v>10370</v>
      </c>
      <c r="H1143" s="2">
        <v>20675</v>
      </c>
    </row>
    <row r="1144" spans="1:8">
      <c r="A1144" t="s">
        <v>6017</v>
      </c>
      <c r="B1144" t="s">
        <v>1186</v>
      </c>
      <c r="C1144" t="s">
        <v>10367</v>
      </c>
      <c r="D1144" t="s">
        <v>11521</v>
      </c>
      <c r="E1144">
        <v>916987854369</v>
      </c>
      <c r="F1144" t="s">
        <v>10386</v>
      </c>
      <c r="G1144" t="s">
        <v>10366</v>
      </c>
      <c r="H1144" s="2">
        <v>22345</v>
      </c>
    </row>
    <row r="1145" spans="1:8">
      <c r="A1145" t="s">
        <v>6022</v>
      </c>
      <c r="B1145" t="s">
        <v>1682</v>
      </c>
      <c r="C1145" t="s">
        <v>10367</v>
      </c>
      <c r="D1145" t="s">
        <v>11522</v>
      </c>
      <c r="E1145">
        <v>918313843478</v>
      </c>
      <c r="F1145" t="s">
        <v>10374</v>
      </c>
      <c r="G1145" t="s">
        <v>10370</v>
      </c>
      <c r="H1145" s="2">
        <v>36744</v>
      </c>
    </row>
    <row r="1146" spans="1:8">
      <c r="A1146" t="s">
        <v>6027</v>
      </c>
      <c r="B1146" t="s">
        <v>3783</v>
      </c>
      <c r="C1146" t="s">
        <v>10367</v>
      </c>
      <c r="D1146" t="s">
        <v>11523</v>
      </c>
      <c r="E1146">
        <v>919933565222</v>
      </c>
      <c r="F1146" t="s">
        <v>10402</v>
      </c>
      <c r="G1146" t="s">
        <v>10379</v>
      </c>
      <c r="H1146" s="2">
        <v>21252</v>
      </c>
    </row>
    <row r="1147" spans="1:8">
      <c r="A1147" t="s">
        <v>6033</v>
      </c>
      <c r="B1147" t="s">
        <v>2510</v>
      </c>
      <c r="C1147" t="s">
        <v>10363</v>
      </c>
      <c r="D1147" t="s">
        <v>11524</v>
      </c>
      <c r="E1147">
        <v>919043850951</v>
      </c>
      <c r="F1147" t="s">
        <v>10402</v>
      </c>
      <c r="G1147" t="s">
        <v>10366</v>
      </c>
      <c r="H1147" s="2">
        <v>28294</v>
      </c>
    </row>
    <row r="1148" spans="1:8">
      <c r="A1148" t="s">
        <v>6038</v>
      </c>
      <c r="B1148" t="s">
        <v>575</v>
      </c>
      <c r="C1148" t="s">
        <v>10363</v>
      </c>
      <c r="D1148" t="s">
        <v>11525</v>
      </c>
      <c r="E1148">
        <v>917174170367</v>
      </c>
      <c r="F1148" t="s">
        <v>10381</v>
      </c>
      <c r="G1148" t="s">
        <v>10370</v>
      </c>
      <c r="H1148" s="2">
        <v>35391</v>
      </c>
    </row>
    <row r="1149" spans="1:8">
      <c r="A1149" t="s">
        <v>6043</v>
      </c>
      <c r="B1149" t="s">
        <v>1476</v>
      </c>
      <c r="C1149" t="s">
        <v>10367</v>
      </c>
      <c r="D1149" t="s">
        <v>11526</v>
      </c>
      <c r="E1149">
        <v>916337997758</v>
      </c>
      <c r="F1149" t="s">
        <v>10369</v>
      </c>
      <c r="G1149" t="s">
        <v>10370</v>
      </c>
      <c r="H1149" s="2">
        <v>28669</v>
      </c>
    </row>
    <row r="1150" spans="1:8">
      <c r="A1150" t="s">
        <v>6049</v>
      </c>
      <c r="B1150" t="s">
        <v>2420</v>
      </c>
      <c r="C1150" t="s">
        <v>10367</v>
      </c>
      <c r="D1150" t="s">
        <v>11527</v>
      </c>
      <c r="E1150">
        <v>918088703173</v>
      </c>
      <c r="F1150" t="s">
        <v>10384</v>
      </c>
      <c r="G1150" t="s">
        <v>10377</v>
      </c>
      <c r="H1150" s="2">
        <v>33662</v>
      </c>
    </row>
    <row r="1151" spans="1:8">
      <c r="A1151" t="s">
        <v>6054</v>
      </c>
      <c r="B1151" t="s">
        <v>3257</v>
      </c>
      <c r="C1151" t="s">
        <v>10367</v>
      </c>
      <c r="D1151" t="s">
        <v>11528</v>
      </c>
      <c r="E1151">
        <v>919132001778</v>
      </c>
      <c r="F1151" t="s">
        <v>10372</v>
      </c>
      <c r="G1151" t="s">
        <v>10366</v>
      </c>
      <c r="H1151" s="2">
        <v>21846</v>
      </c>
    </row>
    <row r="1152" spans="1:8">
      <c r="A1152" t="s">
        <v>6059</v>
      </c>
      <c r="B1152" t="s">
        <v>673</v>
      </c>
      <c r="C1152" t="s">
        <v>10363</v>
      </c>
      <c r="D1152" t="s">
        <v>11529</v>
      </c>
      <c r="E1152">
        <v>919686462797</v>
      </c>
      <c r="F1152" t="s">
        <v>10374</v>
      </c>
      <c r="G1152" t="s">
        <v>10366</v>
      </c>
      <c r="H1152" s="2">
        <v>31456</v>
      </c>
    </row>
    <row r="1153" spans="1:8">
      <c r="A1153" t="s">
        <v>6064</v>
      </c>
      <c r="B1153" t="s">
        <v>3525</v>
      </c>
      <c r="C1153" t="s">
        <v>10367</v>
      </c>
      <c r="D1153" t="s">
        <v>11530</v>
      </c>
      <c r="E1153">
        <v>917192571348</v>
      </c>
      <c r="F1153" t="s">
        <v>10386</v>
      </c>
      <c r="G1153" t="s">
        <v>10370</v>
      </c>
      <c r="H1153" s="2">
        <v>20640</v>
      </c>
    </row>
    <row r="1154" spans="1:8">
      <c r="A1154" t="s">
        <v>6069</v>
      </c>
      <c r="B1154" t="s">
        <v>80</v>
      </c>
      <c r="C1154" t="s">
        <v>10363</v>
      </c>
      <c r="D1154" t="s">
        <v>11531</v>
      </c>
      <c r="E1154">
        <v>918822365282</v>
      </c>
      <c r="F1154" t="s">
        <v>10374</v>
      </c>
      <c r="G1154" t="s">
        <v>10379</v>
      </c>
      <c r="H1154" s="2">
        <v>25724</v>
      </c>
    </row>
    <row r="1155" spans="1:8">
      <c r="A1155" t="s">
        <v>6074</v>
      </c>
      <c r="B1155" t="s">
        <v>679</v>
      </c>
      <c r="C1155" t="s">
        <v>10367</v>
      </c>
      <c r="D1155" t="s">
        <v>11532</v>
      </c>
      <c r="E1155">
        <v>917342868128</v>
      </c>
      <c r="F1155" t="s">
        <v>10388</v>
      </c>
      <c r="G1155" t="s">
        <v>10366</v>
      </c>
      <c r="H1155" s="2">
        <v>23387</v>
      </c>
    </row>
    <row r="1156" spans="1:8">
      <c r="A1156" t="s">
        <v>6079</v>
      </c>
      <c r="B1156" t="s">
        <v>1498</v>
      </c>
      <c r="C1156" t="s">
        <v>10363</v>
      </c>
      <c r="D1156" t="s">
        <v>11533</v>
      </c>
      <c r="E1156">
        <v>918558281943</v>
      </c>
      <c r="F1156" t="s">
        <v>10365</v>
      </c>
      <c r="G1156" t="s">
        <v>10379</v>
      </c>
      <c r="H1156" s="2">
        <v>21677</v>
      </c>
    </row>
    <row r="1157" spans="1:8">
      <c r="A1157" t="s">
        <v>6084</v>
      </c>
      <c r="B1157" t="s">
        <v>241</v>
      </c>
      <c r="C1157" t="s">
        <v>10363</v>
      </c>
      <c r="D1157" t="s">
        <v>11534</v>
      </c>
      <c r="E1157">
        <v>919200450308</v>
      </c>
      <c r="F1157" t="s">
        <v>10369</v>
      </c>
      <c r="G1157" t="s">
        <v>10377</v>
      </c>
      <c r="H1157" s="2">
        <v>22284</v>
      </c>
    </row>
    <row r="1158" spans="1:8">
      <c r="A1158" t="s">
        <v>6089</v>
      </c>
      <c r="B1158" t="s">
        <v>87</v>
      </c>
      <c r="C1158" t="s">
        <v>10363</v>
      </c>
      <c r="D1158" t="s">
        <v>11535</v>
      </c>
      <c r="E1158">
        <v>918576532483</v>
      </c>
      <c r="F1158" t="s">
        <v>10381</v>
      </c>
      <c r="G1158" t="s">
        <v>10379</v>
      </c>
      <c r="H1158" s="2">
        <v>32037</v>
      </c>
    </row>
    <row r="1159" spans="1:8">
      <c r="A1159" t="s">
        <v>6094</v>
      </c>
      <c r="B1159" t="s">
        <v>1068</v>
      </c>
      <c r="C1159" t="s">
        <v>10363</v>
      </c>
      <c r="D1159" t="s">
        <v>11536</v>
      </c>
      <c r="E1159">
        <v>917207090189</v>
      </c>
      <c r="F1159" t="s">
        <v>10386</v>
      </c>
      <c r="G1159" t="s">
        <v>10377</v>
      </c>
      <c r="H1159" s="2">
        <v>28963</v>
      </c>
    </row>
    <row r="1160" spans="1:8">
      <c r="A1160" t="s">
        <v>6099</v>
      </c>
      <c r="B1160" t="s">
        <v>1498</v>
      </c>
      <c r="C1160" t="s">
        <v>10363</v>
      </c>
      <c r="D1160" t="s">
        <v>11537</v>
      </c>
      <c r="E1160">
        <v>919151900856</v>
      </c>
      <c r="F1160" t="s">
        <v>10374</v>
      </c>
      <c r="G1160" t="s">
        <v>10377</v>
      </c>
      <c r="H1160" s="2">
        <v>32459</v>
      </c>
    </row>
    <row r="1161" spans="1:8">
      <c r="A1161" t="s">
        <v>6104</v>
      </c>
      <c r="B1161" t="s">
        <v>186</v>
      </c>
      <c r="C1161" t="s">
        <v>10363</v>
      </c>
      <c r="D1161" t="s">
        <v>11538</v>
      </c>
      <c r="E1161">
        <v>918838279148</v>
      </c>
      <c r="F1161" t="s">
        <v>10369</v>
      </c>
      <c r="G1161" t="s">
        <v>10379</v>
      </c>
      <c r="H1161" s="2">
        <v>27966</v>
      </c>
    </row>
    <row r="1162" spans="1:8">
      <c r="A1162" t="s">
        <v>6109</v>
      </c>
      <c r="B1162" t="s">
        <v>432</v>
      </c>
      <c r="C1162" t="s">
        <v>10363</v>
      </c>
      <c r="D1162" t="s">
        <v>11539</v>
      </c>
      <c r="E1162">
        <v>918250586080</v>
      </c>
      <c r="F1162" t="s">
        <v>10388</v>
      </c>
      <c r="G1162" t="s">
        <v>10377</v>
      </c>
      <c r="H1162" s="2">
        <v>31129</v>
      </c>
    </row>
    <row r="1163" spans="1:8">
      <c r="A1163" t="s">
        <v>6114</v>
      </c>
      <c r="B1163" t="s">
        <v>1763</v>
      </c>
      <c r="C1163" t="s">
        <v>10367</v>
      </c>
      <c r="D1163" t="s">
        <v>11540</v>
      </c>
      <c r="E1163">
        <v>917921691185</v>
      </c>
      <c r="F1163" t="s">
        <v>10381</v>
      </c>
      <c r="G1163" t="s">
        <v>10370</v>
      </c>
      <c r="H1163" s="2">
        <v>30784</v>
      </c>
    </row>
    <row r="1164" spans="1:8">
      <c r="A1164" t="s">
        <v>6119</v>
      </c>
      <c r="B1164" t="s">
        <v>679</v>
      </c>
      <c r="C1164" t="s">
        <v>10367</v>
      </c>
      <c r="D1164" t="s">
        <v>11541</v>
      </c>
      <c r="E1164">
        <v>919123092958</v>
      </c>
      <c r="F1164" t="s">
        <v>10388</v>
      </c>
      <c r="G1164" t="s">
        <v>10370</v>
      </c>
      <c r="H1164" s="2">
        <v>21386</v>
      </c>
    </row>
    <row r="1165" spans="1:8">
      <c r="A1165" t="s">
        <v>6124</v>
      </c>
      <c r="B1165" t="s">
        <v>512</v>
      </c>
      <c r="C1165" t="s">
        <v>10367</v>
      </c>
      <c r="D1165" t="s">
        <v>11542</v>
      </c>
      <c r="E1165">
        <v>917594413644</v>
      </c>
      <c r="F1165" t="s">
        <v>10402</v>
      </c>
      <c r="G1165" t="s">
        <v>10366</v>
      </c>
      <c r="H1165" s="2">
        <v>28265</v>
      </c>
    </row>
    <row r="1166" spans="1:8">
      <c r="A1166" t="s">
        <v>6129</v>
      </c>
      <c r="B1166" t="s">
        <v>38</v>
      </c>
      <c r="C1166" t="s">
        <v>10363</v>
      </c>
      <c r="D1166" t="s">
        <v>11543</v>
      </c>
      <c r="E1166">
        <v>917664421026</v>
      </c>
      <c r="F1166" t="s">
        <v>10365</v>
      </c>
      <c r="G1166" t="s">
        <v>10366</v>
      </c>
      <c r="H1166" s="2">
        <v>33252</v>
      </c>
    </row>
    <row r="1167" spans="1:8">
      <c r="A1167" t="s">
        <v>6134</v>
      </c>
      <c r="B1167" t="s">
        <v>536</v>
      </c>
      <c r="C1167" t="s">
        <v>10367</v>
      </c>
      <c r="D1167" t="s">
        <v>11544</v>
      </c>
      <c r="E1167">
        <v>916293681736</v>
      </c>
      <c r="F1167" t="s">
        <v>10384</v>
      </c>
      <c r="G1167" t="s">
        <v>10366</v>
      </c>
      <c r="H1167" s="2">
        <v>31446</v>
      </c>
    </row>
    <row r="1168" spans="1:8">
      <c r="A1168" t="s">
        <v>6140</v>
      </c>
      <c r="B1168" t="s">
        <v>259</v>
      </c>
      <c r="C1168" t="s">
        <v>10367</v>
      </c>
      <c r="D1168" t="s">
        <v>11545</v>
      </c>
      <c r="E1168">
        <v>918872625705</v>
      </c>
      <c r="F1168" t="s">
        <v>10369</v>
      </c>
      <c r="G1168" t="s">
        <v>10366</v>
      </c>
      <c r="H1168" s="2">
        <v>29321</v>
      </c>
    </row>
    <row r="1169" spans="1:8">
      <c r="A1169" t="s">
        <v>6145</v>
      </c>
      <c r="B1169" t="s">
        <v>288</v>
      </c>
      <c r="C1169" t="s">
        <v>10367</v>
      </c>
      <c r="D1169" t="s">
        <v>11546</v>
      </c>
      <c r="E1169">
        <v>916899834615</v>
      </c>
      <c r="F1169" t="s">
        <v>10369</v>
      </c>
      <c r="G1169" t="s">
        <v>10370</v>
      </c>
      <c r="H1169" s="2">
        <v>20791</v>
      </c>
    </row>
    <row r="1170" spans="1:8">
      <c r="A1170" t="s">
        <v>6150</v>
      </c>
      <c r="B1170" t="s">
        <v>1090</v>
      </c>
      <c r="C1170" t="s">
        <v>10367</v>
      </c>
      <c r="D1170" t="s">
        <v>11547</v>
      </c>
      <c r="E1170">
        <v>919257396560</v>
      </c>
      <c r="F1170" t="s">
        <v>10376</v>
      </c>
      <c r="G1170" t="s">
        <v>10370</v>
      </c>
      <c r="H1170" s="2">
        <v>31397</v>
      </c>
    </row>
    <row r="1171" spans="1:8">
      <c r="A1171" t="s">
        <v>6155</v>
      </c>
      <c r="B1171" t="s">
        <v>2233</v>
      </c>
      <c r="C1171" t="s">
        <v>10367</v>
      </c>
      <c r="D1171" t="s">
        <v>11548</v>
      </c>
      <c r="E1171">
        <v>916427012797</v>
      </c>
      <c r="F1171" t="s">
        <v>10386</v>
      </c>
      <c r="G1171" t="s">
        <v>10379</v>
      </c>
      <c r="H1171" s="2">
        <v>36419</v>
      </c>
    </row>
    <row r="1172" spans="1:8">
      <c r="A1172" t="s">
        <v>6160</v>
      </c>
      <c r="B1172" t="s">
        <v>2742</v>
      </c>
      <c r="C1172" t="s">
        <v>10367</v>
      </c>
      <c r="D1172" t="s">
        <v>11549</v>
      </c>
      <c r="E1172">
        <v>917216211499</v>
      </c>
      <c r="F1172" t="s">
        <v>10384</v>
      </c>
      <c r="G1172" t="s">
        <v>10379</v>
      </c>
      <c r="H1172" s="2">
        <v>35855</v>
      </c>
    </row>
    <row r="1173" spans="1:8">
      <c r="A1173" t="s">
        <v>6165</v>
      </c>
      <c r="B1173" t="s">
        <v>363</v>
      </c>
      <c r="C1173" t="s">
        <v>10363</v>
      </c>
      <c r="D1173" t="s">
        <v>11550</v>
      </c>
      <c r="E1173">
        <v>916594834533</v>
      </c>
      <c r="F1173" t="s">
        <v>10374</v>
      </c>
      <c r="G1173" t="s">
        <v>10366</v>
      </c>
      <c r="H1173" s="2">
        <v>27912</v>
      </c>
    </row>
    <row r="1174" spans="1:8">
      <c r="A1174" t="s">
        <v>6170</v>
      </c>
      <c r="B1174" t="s">
        <v>472</v>
      </c>
      <c r="C1174" t="s">
        <v>10363</v>
      </c>
      <c r="D1174" t="s">
        <v>11551</v>
      </c>
      <c r="E1174">
        <v>918178754547</v>
      </c>
      <c r="F1174" t="s">
        <v>10388</v>
      </c>
      <c r="G1174" t="s">
        <v>10370</v>
      </c>
      <c r="H1174" s="2">
        <v>33463</v>
      </c>
    </row>
    <row r="1175" spans="1:8">
      <c r="A1175" t="s">
        <v>6175</v>
      </c>
      <c r="B1175" t="s">
        <v>6465</v>
      </c>
      <c r="C1175" t="s">
        <v>10363</v>
      </c>
      <c r="D1175" t="s">
        <v>11552</v>
      </c>
      <c r="E1175">
        <v>916580269920</v>
      </c>
      <c r="F1175" t="s">
        <v>10372</v>
      </c>
      <c r="G1175" t="s">
        <v>10379</v>
      </c>
      <c r="H1175" s="2">
        <v>22469</v>
      </c>
    </row>
    <row r="1176" spans="1:8">
      <c r="A1176" t="s">
        <v>6180</v>
      </c>
      <c r="B1176" t="s">
        <v>30</v>
      </c>
      <c r="C1176" t="s">
        <v>10367</v>
      </c>
      <c r="D1176" t="s">
        <v>11553</v>
      </c>
      <c r="E1176">
        <v>919317634620</v>
      </c>
      <c r="F1176" t="s">
        <v>10388</v>
      </c>
      <c r="G1176" t="s">
        <v>10377</v>
      </c>
      <c r="H1176" s="2">
        <v>20731</v>
      </c>
    </row>
    <row r="1177" spans="1:8">
      <c r="A1177" t="s">
        <v>6186</v>
      </c>
      <c r="B1177" t="s">
        <v>1146</v>
      </c>
      <c r="C1177" t="s">
        <v>10367</v>
      </c>
      <c r="D1177" t="s">
        <v>11554</v>
      </c>
      <c r="E1177">
        <v>918656271163</v>
      </c>
      <c r="F1177" t="s">
        <v>10376</v>
      </c>
      <c r="G1177" t="s">
        <v>10377</v>
      </c>
      <c r="H1177" s="2">
        <v>31769</v>
      </c>
    </row>
    <row r="1178" spans="1:8">
      <c r="A1178" t="s">
        <v>6191</v>
      </c>
      <c r="B1178" t="s">
        <v>1008</v>
      </c>
      <c r="C1178" t="s">
        <v>10367</v>
      </c>
      <c r="D1178" t="s">
        <v>11555</v>
      </c>
      <c r="E1178">
        <v>917349014434</v>
      </c>
      <c r="F1178" t="s">
        <v>10372</v>
      </c>
      <c r="G1178" t="s">
        <v>10379</v>
      </c>
      <c r="H1178" s="2">
        <v>28931</v>
      </c>
    </row>
    <row r="1179" spans="1:8">
      <c r="A1179" t="s">
        <v>6196</v>
      </c>
      <c r="B1179" t="s">
        <v>449</v>
      </c>
      <c r="C1179" t="s">
        <v>10363</v>
      </c>
      <c r="D1179" t="s">
        <v>11556</v>
      </c>
      <c r="E1179">
        <v>918601184404</v>
      </c>
      <c r="F1179" t="s">
        <v>10386</v>
      </c>
      <c r="G1179" t="s">
        <v>10370</v>
      </c>
      <c r="H1179" s="2">
        <v>23533</v>
      </c>
    </row>
    <row r="1180" spans="1:8">
      <c r="A1180" t="s">
        <v>6201</v>
      </c>
      <c r="B1180" t="s">
        <v>1476</v>
      </c>
      <c r="C1180" t="s">
        <v>10367</v>
      </c>
      <c r="D1180" t="s">
        <v>11557</v>
      </c>
      <c r="E1180">
        <v>916712679330</v>
      </c>
      <c r="F1180" t="s">
        <v>10381</v>
      </c>
      <c r="G1180" t="s">
        <v>10370</v>
      </c>
      <c r="H1180" s="2">
        <v>20887</v>
      </c>
    </row>
    <row r="1181" spans="1:8">
      <c r="A1181" t="s">
        <v>6207</v>
      </c>
      <c r="B1181" t="s">
        <v>1710</v>
      </c>
      <c r="C1181" t="s">
        <v>10363</v>
      </c>
      <c r="D1181" t="s">
        <v>11558</v>
      </c>
      <c r="E1181">
        <v>919193557588</v>
      </c>
      <c r="F1181" t="s">
        <v>10365</v>
      </c>
      <c r="G1181" t="s">
        <v>10379</v>
      </c>
      <c r="H1181" s="2">
        <v>22352</v>
      </c>
    </row>
    <row r="1182" spans="1:8">
      <c r="A1182" t="s">
        <v>6212</v>
      </c>
      <c r="B1182" t="s">
        <v>2457</v>
      </c>
      <c r="C1182" t="s">
        <v>10367</v>
      </c>
      <c r="D1182" t="s">
        <v>11559</v>
      </c>
      <c r="E1182">
        <v>919547925443</v>
      </c>
      <c r="F1182" t="s">
        <v>10372</v>
      </c>
      <c r="G1182" t="s">
        <v>10377</v>
      </c>
      <c r="H1182" s="2">
        <v>32453</v>
      </c>
    </row>
    <row r="1183" spans="1:8">
      <c r="A1183" t="s">
        <v>6217</v>
      </c>
      <c r="B1183" t="s">
        <v>466</v>
      </c>
      <c r="C1183" t="s">
        <v>10363</v>
      </c>
      <c r="D1183" t="s">
        <v>11560</v>
      </c>
      <c r="E1183">
        <v>917773038709</v>
      </c>
      <c r="F1183" t="s">
        <v>10386</v>
      </c>
      <c r="G1183" t="s">
        <v>10379</v>
      </c>
      <c r="H1183" s="2">
        <v>21172</v>
      </c>
    </row>
    <row r="1184" spans="1:8">
      <c r="A1184" t="s">
        <v>6222</v>
      </c>
      <c r="B1184" t="s">
        <v>1074</v>
      </c>
      <c r="C1184" t="s">
        <v>10363</v>
      </c>
      <c r="D1184" t="s">
        <v>11561</v>
      </c>
      <c r="E1184">
        <v>918095070569</v>
      </c>
      <c r="F1184" t="s">
        <v>10384</v>
      </c>
      <c r="G1184" t="s">
        <v>10366</v>
      </c>
      <c r="H1184" s="2">
        <v>26532</v>
      </c>
    </row>
    <row r="1185" spans="1:8">
      <c r="A1185" t="s">
        <v>6227</v>
      </c>
      <c r="B1185" t="s">
        <v>1643</v>
      </c>
      <c r="C1185" t="s">
        <v>10363</v>
      </c>
      <c r="D1185" t="s">
        <v>11562</v>
      </c>
      <c r="E1185">
        <v>917787927021</v>
      </c>
      <c r="F1185" t="s">
        <v>10402</v>
      </c>
      <c r="G1185" t="s">
        <v>10366</v>
      </c>
      <c r="H1185" s="2">
        <v>23236</v>
      </c>
    </row>
    <row r="1186" spans="1:8">
      <c r="A1186" t="s">
        <v>6232</v>
      </c>
      <c r="B1186" t="s">
        <v>333</v>
      </c>
      <c r="C1186" t="s">
        <v>10363</v>
      </c>
      <c r="D1186" t="s">
        <v>11563</v>
      </c>
      <c r="E1186">
        <v>916666977372</v>
      </c>
      <c r="F1186" t="s">
        <v>10388</v>
      </c>
      <c r="G1186" t="s">
        <v>10370</v>
      </c>
      <c r="H1186" s="2">
        <v>23885</v>
      </c>
    </row>
    <row r="1187" spans="1:8">
      <c r="A1187" t="s">
        <v>6237</v>
      </c>
      <c r="B1187" t="s">
        <v>1666</v>
      </c>
      <c r="C1187" t="s">
        <v>10363</v>
      </c>
      <c r="D1187" t="s">
        <v>11564</v>
      </c>
      <c r="E1187">
        <v>916822025999</v>
      </c>
      <c r="F1187" t="s">
        <v>10402</v>
      </c>
      <c r="G1187" t="s">
        <v>10370</v>
      </c>
      <c r="H1187" s="2">
        <v>30787</v>
      </c>
    </row>
    <row r="1188" spans="1:8">
      <c r="A1188" t="s">
        <v>6242</v>
      </c>
      <c r="B1188" t="s">
        <v>3257</v>
      </c>
      <c r="C1188" t="s">
        <v>10367</v>
      </c>
      <c r="D1188" t="s">
        <v>11565</v>
      </c>
      <c r="E1188">
        <v>919597456723</v>
      </c>
      <c r="F1188" t="s">
        <v>10402</v>
      </c>
      <c r="G1188" t="s">
        <v>10377</v>
      </c>
      <c r="H1188" s="2">
        <v>36232</v>
      </c>
    </row>
    <row r="1189" spans="1:8">
      <c r="A1189" t="s">
        <v>6247</v>
      </c>
      <c r="B1189" t="s">
        <v>2112</v>
      </c>
      <c r="C1189" t="s">
        <v>10363</v>
      </c>
      <c r="D1189" t="s">
        <v>11566</v>
      </c>
      <c r="E1189">
        <v>918595374765</v>
      </c>
      <c r="F1189" t="s">
        <v>10376</v>
      </c>
      <c r="G1189" t="s">
        <v>10379</v>
      </c>
      <c r="H1189" s="2">
        <v>20273</v>
      </c>
    </row>
    <row r="1190" spans="1:8">
      <c r="A1190" t="s">
        <v>6252</v>
      </c>
      <c r="B1190" t="s">
        <v>6135</v>
      </c>
      <c r="C1190" t="s">
        <v>10367</v>
      </c>
      <c r="D1190" t="s">
        <v>11567</v>
      </c>
      <c r="E1190">
        <v>919579049833</v>
      </c>
      <c r="F1190" t="s">
        <v>10402</v>
      </c>
      <c r="G1190" t="s">
        <v>10377</v>
      </c>
      <c r="H1190" s="2">
        <v>33882</v>
      </c>
    </row>
    <row r="1191" spans="1:8">
      <c r="A1191" t="s">
        <v>6257</v>
      </c>
      <c r="B1191" t="s">
        <v>835</v>
      </c>
      <c r="C1191" t="s">
        <v>10363</v>
      </c>
      <c r="D1191" t="s">
        <v>11568</v>
      </c>
      <c r="E1191">
        <v>919119353582</v>
      </c>
      <c r="F1191" t="s">
        <v>10365</v>
      </c>
      <c r="G1191" t="s">
        <v>10379</v>
      </c>
      <c r="H1191" s="2">
        <v>33138</v>
      </c>
    </row>
    <row r="1192" spans="1:8">
      <c r="A1192" t="s">
        <v>6262</v>
      </c>
      <c r="B1192" t="s">
        <v>2154</v>
      </c>
      <c r="C1192" t="s">
        <v>10363</v>
      </c>
      <c r="D1192" t="s">
        <v>11569</v>
      </c>
      <c r="E1192">
        <v>917124566911</v>
      </c>
      <c r="F1192" t="s">
        <v>10402</v>
      </c>
      <c r="G1192" t="s">
        <v>10366</v>
      </c>
      <c r="H1192" s="2">
        <v>22031</v>
      </c>
    </row>
    <row r="1193" spans="1:8">
      <c r="A1193" t="s">
        <v>6267</v>
      </c>
      <c r="B1193" t="s">
        <v>2175</v>
      </c>
      <c r="C1193" t="s">
        <v>10367</v>
      </c>
      <c r="D1193" t="s">
        <v>11570</v>
      </c>
      <c r="E1193">
        <v>917340246568</v>
      </c>
      <c r="F1193" t="s">
        <v>10388</v>
      </c>
      <c r="G1193" t="s">
        <v>10366</v>
      </c>
      <c r="H1193" s="2">
        <v>22273</v>
      </c>
    </row>
    <row r="1194" spans="1:8">
      <c r="A1194" t="s">
        <v>6273</v>
      </c>
      <c r="B1194" t="s">
        <v>5746</v>
      </c>
      <c r="C1194" t="s">
        <v>10367</v>
      </c>
      <c r="D1194" t="s">
        <v>11571</v>
      </c>
      <c r="E1194">
        <v>918871256369</v>
      </c>
      <c r="F1194" t="s">
        <v>10388</v>
      </c>
      <c r="G1194" t="s">
        <v>10366</v>
      </c>
      <c r="H1194" s="2">
        <v>27243</v>
      </c>
    </row>
    <row r="1195" spans="1:8">
      <c r="A1195" t="s">
        <v>6278</v>
      </c>
      <c r="B1195" t="s">
        <v>893</v>
      </c>
      <c r="C1195" t="s">
        <v>10367</v>
      </c>
      <c r="D1195" t="s">
        <v>11572</v>
      </c>
      <c r="E1195">
        <v>919403267241</v>
      </c>
      <c r="F1195" t="s">
        <v>10388</v>
      </c>
      <c r="G1195" t="s">
        <v>10379</v>
      </c>
      <c r="H1195" s="2">
        <v>30722</v>
      </c>
    </row>
    <row r="1196" spans="1:8">
      <c r="A1196" t="s">
        <v>6283</v>
      </c>
      <c r="B1196" t="s">
        <v>404</v>
      </c>
      <c r="C1196" t="s">
        <v>10363</v>
      </c>
      <c r="D1196" t="s">
        <v>11573</v>
      </c>
      <c r="E1196">
        <v>916297250240</v>
      </c>
      <c r="F1196" t="s">
        <v>10388</v>
      </c>
      <c r="G1196" t="s">
        <v>10370</v>
      </c>
      <c r="H1196" s="2">
        <v>22427</v>
      </c>
    </row>
    <row r="1197" spans="1:8">
      <c r="A1197" t="s">
        <v>6288</v>
      </c>
      <c r="B1197" t="s">
        <v>639</v>
      </c>
      <c r="C1197" t="s">
        <v>10363</v>
      </c>
      <c r="D1197" t="s">
        <v>11574</v>
      </c>
      <c r="E1197">
        <v>916537486264</v>
      </c>
      <c r="F1197" t="s">
        <v>10381</v>
      </c>
      <c r="G1197" t="s">
        <v>10379</v>
      </c>
      <c r="H1197" s="2">
        <v>27714</v>
      </c>
    </row>
    <row r="1198" spans="1:8">
      <c r="A1198" t="s">
        <v>6293</v>
      </c>
      <c r="B1198" t="s">
        <v>2297</v>
      </c>
      <c r="C1198" t="s">
        <v>10363</v>
      </c>
      <c r="D1198" t="s">
        <v>11575</v>
      </c>
      <c r="E1198">
        <v>916117344467</v>
      </c>
      <c r="F1198" t="s">
        <v>10376</v>
      </c>
      <c r="G1198" t="s">
        <v>10370</v>
      </c>
      <c r="H1198" s="2">
        <v>30445</v>
      </c>
    </row>
    <row r="1199" spans="1:8">
      <c r="A1199" t="s">
        <v>6298</v>
      </c>
      <c r="B1199" t="s">
        <v>2778</v>
      </c>
      <c r="C1199" t="s">
        <v>10363</v>
      </c>
      <c r="D1199" t="s">
        <v>11576</v>
      </c>
      <c r="E1199">
        <v>916015934160</v>
      </c>
      <c r="F1199" t="s">
        <v>10369</v>
      </c>
      <c r="G1199" t="s">
        <v>10370</v>
      </c>
      <c r="H1199" s="2">
        <v>25845</v>
      </c>
    </row>
    <row r="1200" spans="1:8">
      <c r="A1200" t="s">
        <v>6303</v>
      </c>
      <c r="B1200" t="s">
        <v>835</v>
      </c>
      <c r="C1200" t="s">
        <v>10363</v>
      </c>
      <c r="D1200" t="s">
        <v>11577</v>
      </c>
      <c r="E1200">
        <v>916798099966</v>
      </c>
      <c r="F1200" t="s">
        <v>10386</v>
      </c>
      <c r="G1200" t="s">
        <v>10366</v>
      </c>
      <c r="H1200" s="2">
        <v>21577</v>
      </c>
    </row>
    <row r="1201" spans="1:8">
      <c r="A1201" t="s">
        <v>6308</v>
      </c>
      <c r="B1201" t="s">
        <v>3525</v>
      </c>
      <c r="C1201" t="s">
        <v>10367</v>
      </c>
      <c r="D1201" t="s">
        <v>11578</v>
      </c>
      <c r="E1201">
        <v>917505785041</v>
      </c>
      <c r="F1201" t="s">
        <v>10376</v>
      </c>
      <c r="G1201" t="s">
        <v>10377</v>
      </c>
      <c r="H1201" s="2">
        <v>36482</v>
      </c>
    </row>
    <row r="1202" spans="1:8">
      <c r="A1202" t="s">
        <v>6313</v>
      </c>
      <c r="B1202" t="s">
        <v>751</v>
      </c>
      <c r="C1202" t="s">
        <v>10367</v>
      </c>
      <c r="D1202" t="s">
        <v>11579</v>
      </c>
      <c r="E1202">
        <v>918943964258</v>
      </c>
      <c r="F1202" t="s">
        <v>10388</v>
      </c>
      <c r="G1202" t="s">
        <v>10377</v>
      </c>
      <c r="H1202" s="2">
        <v>20718</v>
      </c>
    </row>
    <row r="1203" spans="1:8">
      <c r="A1203" t="s">
        <v>6318</v>
      </c>
      <c r="B1203" t="s">
        <v>151</v>
      </c>
      <c r="C1203" t="s">
        <v>10367</v>
      </c>
      <c r="D1203" t="s">
        <v>11580</v>
      </c>
      <c r="E1203">
        <v>916711863420</v>
      </c>
      <c r="F1203" t="s">
        <v>10374</v>
      </c>
      <c r="G1203" t="s">
        <v>10370</v>
      </c>
      <c r="H1203" s="2">
        <v>29233</v>
      </c>
    </row>
    <row r="1204" spans="1:8">
      <c r="A1204" t="s">
        <v>6323</v>
      </c>
      <c r="B1204" t="s">
        <v>52</v>
      </c>
      <c r="C1204" t="s">
        <v>10363</v>
      </c>
      <c r="D1204" t="s">
        <v>11581</v>
      </c>
      <c r="E1204">
        <v>917248087759</v>
      </c>
      <c r="F1204" t="s">
        <v>10384</v>
      </c>
      <c r="G1204" t="s">
        <v>10379</v>
      </c>
      <c r="H1204" s="2">
        <v>30965</v>
      </c>
    </row>
    <row r="1205" spans="1:8">
      <c r="A1205" t="s">
        <v>6328</v>
      </c>
      <c r="B1205" t="s">
        <v>835</v>
      </c>
      <c r="C1205" t="s">
        <v>10363</v>
      </c>
      <c r="D1205" t="s">
        <v>11582</v>
      </c>
      <c r="E1205">
        <v>917166615664</v>
      </c>
      <c r="F1205" t="s">
        <v>10384</v>
      </c>
      <c r="G1205" t="s">
        <v>10366</v>
      </c>
      <c r="H1205" s="2">
        <v>32188</v>
      </c>
    </row>
    <row r="1206" spans="1:8">
      <c r="A1206" t="s">
        <v>6333</v>
      </c>
      <c r="B1206" t="s">
        <v>1693</v>
      </c>
      <c r="C1206" t="s">
        <v>10367</v>
      </c>
      <c r="D1206" t="s">
        <v>11583</v>
      </c>
      <c r="E1206">
        <v>916230026565</v>
      </c>
      <c r="F1206" t="s">
        <v>10365</v>
      </c>
      <c r="G1206" t="s">
        <v>10379</v>
      </c>
      <c r="H1206" s="2">
        <v>20135</v>
      </c>
    </row>
    <row r="1207" spans="1:8">
      <c r="A1207" t="s">
        <v>6338</v>
      </c>
      <c r="B1207" t="s">
        <v>2451</v>
      </c>
      <c r="C1207" t="s">
        <v>10367</v>
      </c>
      <c r="D1207" t="s">
        <v>11584</v>
      </c>
      <c r="E1207">
        <v>919897481550</v>
      </c>
      <c r="F1207" t="s">
        <v>10372</v>
      </c>
      <c r="G1207" t="s">
        <v>10370</v>
      </c>
      <c r="H1207" s="2">
        <v>24487</v>
      </c>
    </row>
    <row r="1208" spans="1:8">
      <c r="A1208" t="s">
        <v>6343</v>
      </c>
      <c r="B1208" t="s">
        <v>2815</v>
      </c>
      <c r="C1208" t="s">
        <v>10363</v>
      </c>
      <c r="D1208" t="s">
        <v>11585</v>
      </c>
      <c r="E1208">
        <v>918464170537</v>
      </c>
      <c r="F1208" t="s">
        <v>10386</v>
      </c>
      <c r="G1208" t="s">
        <v>10377</v>
      </c>
      <c r="H1208" s="2">
        <v>20960</v>
      </c>
    </row>
    <row r="1209" spans="1:8">
      <c r="A1209" t="s">
        <v>6348</v>
      </c>
      <c r="B1209" t="s">
        <v>2663</v>
      </c>
      <c r="C1209" t="s">
        <v>10367</v>
      </c>
      <c r="D1209" t="s">
        <v>11586</v>
      </c>
      <c r="E1209">
        <v>916369929828</v>
      </c>
      <c r="F1209" t="s">
        <v>10374</v>
      </c>
      <c r="G1209" t="s">
        <v>10366</v>
      </c>
      <c r="H1209" s="2">
        <v>33800</v>
      </c>
    </row>
    <row r="1210" spans="1:8">
      <c r="A1210" t="s">
        <v>6353</v>
      </c>
      <c r="B1210" t="s">
        <v>1186</v>
      </c>
      <c r="C1210" t="s">
        <v>10367</v>
      </c>
      <c r="D1210" t="s">
        <v>11587</v>
      </c>
      <c r="E1210">
        <v>917301538613</v>
      </c>
      <c r="F1210" t="s">
        <v>10369</v>
      </c>
      <c r="G1210" t="s">
        <v>10379</v>
      </c>
      <c r="H1210" s="2">
        <v>36323</v>
      </c>
    </row>
    <row r="1211" spans="1:8">
      <c r="A1211" t="s">
        <v>6359</v>
      </c>
      <c r="B1211" t="s">
        <v>265</v>
      </c>
      <c r="C1211" t="s">
        <v>10363</v>
      </c>
      <c r="D1211" t="s">
        <v>11588</v>
      </c>
      <c r="E1211">
        <v>919333560031</v>
      </c>
      <c r="F1211" t="s">
        <v>10388</v>
      </c>
      <c r="G1211" t="s">
        <v>10370</v>
      </c>
      <c r="H1211" s="2">
        <v>36993</v>
      </c>
    </row>
    <row r="1212" spans="1:8">
      <c r="A1212" t="s">
        <v>6364</v>
      </c>
      <c r="B1212" t="s">
        <v>443</v>
      </c>
      <c r="C1212" t="s">
        <v>10367</v>
      </c>
      <c r="D1212" t="s">
        <v>11589</v>
      </c>
      <c r="E1212">
        <v>918983850285</v>
      </c>
      <c r="F1212" t="s">
        <v>10369</v>
      </c>
      <c r="G1212" t="s">
        <v>10370</v>
      </c>
      <c r="H1212" s="2">
        <v>29172</v>
      </c>
    </row>
    <row r="1213" spans="1:8">
      <c r="A1213" t="s">
        <v>6369</v>
      </c>
      <c r="B1213" t="s">
        <v>311</v>
      </c>
      <c r="C1213" t="s">
        <v>10363</v>
      </c>
      <c r="D1213" t="s">
        <v>11590</v>
      </c>
      <c r="E1213">
        <v>919176983824</v>
      </c>
      <c r="F1213" t="s">
        <v>10369</v>
      </c>
      <c r="G1213" t="s">
        <v>10379</v>
      </c>
      <c r="H1213" s="2">
        <v>35285</v>
      </c>
    </row>
    <row r="1214" spans="1:8">
      <c r="A1214" t="s">
        <v>6374</v>
      </c>
      <c r="B1214" t="s">
        <v>2804</v>
      </c>
      <c r="C1214" t="s">
        <v>10367</v>
      </c>
      <c r="D1214" t="s">
        <v>11591</v>
      </c>
      <c r="E1214">
        <v>919278558005</v>
      </c>
      <c r="F1214" t="s">
        <v>10386</v>
      </c>
      <c r="G1214" t="s">
        <v>10370</v>
      </c>
      <c r="H1214" s="2">
        <v>26558</v>
      </c>
    </row>
    <row r="1215" spans="1:8">
      <c r="A1215" t="s">
        <v>6379</v>
      </c>
      <c r="B1215" t="s">
        <v>1074</v>
      </c>
      <c r="C1215" t="s">
        <v>10363</v>
      </c>
      <c r="D1215" t="s">
        <v>11592</v>
      </c>
      <c r="E1215">
        <v>919533397541</v>
      </c>
      <c r="F1215" t="s">
        <v>10374</v>
      </c>
      <c r="G1215" t="s">
        <v>10379</v>
      </c>
      <c r="H1215" s="2">
        <v>28072</v>
      </c>
    </row>
    <row r="1216" spans="1:8">
      <c r="A1216" t="s">
        <v>6384</v>
      </c>
      <c r="B1216" t="s">
        <v>1250</v>
      </c>
      <c r="C1216" t="s">
        <v>10363</v>
      </c>
      <c r="D1216" t="s">
        <v>11593</v>
      </c>
      <c r="E1216">
        <v>918376869764</v>
      </c>
      <c r="F1216" t="s">
        <v>10365</v>
      </c>
      <c r="G1216" t="s">
        <v>10377</v>
      </c>
      <c r="H1216" s="2">
        <v>26270</v>
      </c>
    </row>
    <row r="1217" spans="1:8">
      <c r="A1217" t="s">
        <v>6389</v>
      </c>
      <c r="B1217" t="s">
        <v>1030</v>
      </c>
      <c r="C1217" t="s">
        <v>10363</v>
      </c>
      <c r="D1217" t="s">
        <v>11594</v>
      </c>
      <c r="E1217">
        <v>919397451816</v>
      </c>
      <c r="F1217" t="s">
        <v>10402</v>
      </c>
      <c r="G1217" t="s">
        <v>10379</v>
      </c>
      <c r="H1217" s="2">
        <v>34165</v>
      </c>
    </row>
    <row r="1218" spans="1:8">
      <c r="A1218" t="s">
        <v>6394</v>
      </c>
      <c r="B1218" t="s">
        <v>241</v>
      </c>
      <c r="C1218" t="s">
        <v>10363</v>
      </c>
      <c r="D1218" t="s">
        <v>11595</v>
      </c>
      <c r="E1218">
        <v>918401810344</v>
      </c>
      <c r="F1218" t="s">
        <v>10402</v>
      </c>
      <c r="G1218" t="s">
        <v>10379</v>
      </c>
      <c r="H1218" s="2">
        <v>25369</v>
      </c>
    </row>
    <row r="1219" spans="1:8">
      <c r="A1219" t="s">
        <v>6399</v>
      </c>
      <c r="B1219" t="s">
        <v>2815</v>
      </c>
      <c r="C1219" t="s">
        <v>10363</v>
      </c>
      <c r="D1219" t="s">
        <v>11596</v>
      </c>
      <c r="E1219">
        <v>917455998988</v>
      </c>
      <c r="F1219" t="s">
        <v>10388</v>
      </c>
      <c r="G1219" t="s">
        <v>10379</v>
      </c>
      <c r="H1219" s="2">
        <v>36451</v>
      </c>
    </row>
    <row r="1220" spans="1:8">
      <c r="A1220" t="s">
        <v>6404</v>
      </c>
      <c r="B1220" t="s">
        <v>472</v>
      </c>
      <c r="C1220" t="s">
        <v>10363</v>
      </c>
      <c r="D1220" t="s">
        <v>11597</v>
      </c>
      <c r="E1220">
        <v>917720753389</v>
      </c>
      <c r="F1220" t="s">
        <v>10376</v>
      </c>
      <c r="G1220" t="s">
        <v>10379</v>
      </c>
      <c r="H1220" s="2">
        <v>20130</v>
      </c>
    </row>
    <row r="1221" spans="1:8">
      <c r="A1221" t="s">
        <v>6409</v>
      </c>
      <c r="B1221" t="s">
        <v>484</v>
      </c>
      <c r="C1221" t="s">
        <v>10363</v>
      </c>
      <c r="D1221" t="s">
        <v>11598</v>
      </c>
      <c r="E1221">
        <v>919637644208</v>
      </c>
      <c r="F1221" t="s">
        <v>10376</v>
      </c>
      <c r="G1221" t="s">
        <v>10370</v>
      </c>
      <c r="H1221" s="2">
        <v>26242</v>
      </c>
    </row>
    <row r="1222" spans="1:8">
      <c r="A1222" t="s">
        <v>6414</v>
      </c>
      <c r="B1222" t="s">
        <v>939</v>
      </c>
      <c r="C1222" t="s">
        <v>10367</v>
      </c>
      <c r="D1222" t="s">
        <v>11599</v>
      </c>
      <c r="E1222">
        <v>919209900286</v>
      </c>
      <c r="F1222" t="s">
        <v>10369</v>
      </c>
      <c r="G1222" t="s">
        <v>10370</v>
      </c>
      <c r="H1222" s="2">
        <v>28646</v>
      </c>
    </row>
    <row r="1223" spans="1:8">
      <c r="A1223" t="s">
        <v>6419</v>
      </c>
      <c r="B1223" t="s">
        <v>130</v>
      </c>
      <c r="C1223" t="s">
        <v>10363</v>
      </c>
      <c r="D1223" t="s">
        <v>11600</v>
      </c>
      <c r="E1223">
        <v>919968191361</v>
      </c>
      <c r="F1223" t="s">
        <v>10381</v>
      </c>
      <c r="G1223" t="s">
        <v>10379</v>
      </c>
      <c r="H1223" s="2">
        <v>21187</v>
      </c>
    </row>
    <row r="1224" spans="1:8">
      <c r="A1224" t="s">
        <v>6424</v>
      </c>
      <c r="B1224" t="s">
        <v>1545</v>
      </c>
      <c r="C1224" t="s">
        <v>10363</v>
      </c>
      <c r="D1224" t="s">
        <v>11601</v>
      </c>
      <c r="E1224">
        <v>917821634753</v>
      </c>
      <c r="F1224" t="s">
        <v>10402</v>
      </c>
      <c r="G1224" t="s">
        <v>10379</v>
      </c>
      <c r="H1224" s="2">
        <v>21838</v>
      </c>
    </row>
    <row r="1225" spans="1:8">
      <c r="A1225" t="s">
        <v>6429</v>
      </c>
      <c r="B1225" t="s">
        <v>685</v>
      </c>
      <c r="C1225" t="s">
        <v>10367</v>
      </c>
      <c r="D1225" t="s">
        <v>11602</v>
      </c>
      <c r="E1225">
        <v>918692083094</v>
      </c>
      <c r="F1225" t="s">
        <v>10384</v>
      </c>
      <c r="G1225" t="s">
        <v>10377</v>
      </c>
      <c r="H1225" s="2">
        <v>23070</v>
      </c>
    </row>
    <row r="1226" spans="1:8">
      <c r="A1226" t="s">
        <v>6434</v>
      </c>
      <c r="B1226" t="s">
        <v>1557</v>
      </c>
      <c r="C1226" t="s">
        <v>10367</v>
      </c>
      <c r="D1226" t="s">
        <v>11603</v>
      </c>
      <c r="E1226">
        <v>918813841661</v>
      </c>
      <c r="F1226" t="s">
        <v>10376</v>
      </c>
      <c r="G1226" t="s">
        <v>10366</v>
      </c>
      <c r="H1226" s="2">
        <v>35638</v>
      </c>
    </row>
    <row r="1227" spans="1:8">
      <c r="A1227" t="s">
        <v>6439</v>
      </c>
      <c r="B1227" t="s">
        <v>865</v>
      </c>
      <c r="C1227" t="s">
        <v>10363</v>
      </c>
      <c r="D1227" t="s">
        <v>11604</v>
      </c>
      <c r="E1227">
        <v>916549140397</v>
      </c>
      <c r="F1227" t="s">
        <v>10376</v>
      </c>
      <c r="G1227" t="s">
        <v>10370</v>
      </c>
      <c r="H1227" s="2">
        <v>21559</v>
      </c>
    </row>
    <row r="1228" spans="1:8">
      <c r="A1228" t="s">
        <v>6444</v>
      </c>
      <c r="B1228" t="s">
        <v>2831</v>
      </c>
      <c r="C1228" t="s">
        <v>10363</v>
      </c>
      <c r="D1228" t="s">
        <v>11605</v>
      </c>
      <c r="E1228">
        <v>918697656248</v>
      </c>
      <c r="F1228" t="s">
        <v>10376</v>
      </c>
      <c r="G1228" t="s">
        <v>10379</v>
      </c>
      <c r="H1228" s="2">
        <v>28665</v>
      </c>
    </row>
    <row r="1229" spans="1:8">
      <c r="A1229" t="s">
        <v>6449</v>
      </c>
      <c r="B1229" t="s">
        <v>357</v>
      </c>
      <c r="C1229" t="s">
        <v>10367</v>
      </c>
      <c r="D1229" t="s">
        <v>11606</v>
      </c>
      <c r="E1229">
        <v>919316144591</v>
      </c>
      <c r="F1229" t="s">
        <v>10384</v>
      </c>
      <c r="G1229" t="s">
        <v>10370</v>
      </c>
      <c r="H1229" s="2">
        <v>23025</v>
      </c>
    </row>
    <row r="1230" spans="1:8">
      <c r="A1230" t="s">
        <v>6454</v>
      </c>
      <c r="B1230" t="s">
        <v>288</v>
      </c>
      <c r="C1230" t="s">
        <v>10367</v>
      </c>
      <c r="D1230" t="s">
        <v>11607</v>
      </c>
      <c r="E1230">
        <v>919530237161</v>
      </c>
      <c r="F1230" t="s">
        <v>10372</v>
      </c>
      <c r="G1230" t="s">
        <v>10377</v>
      </c>
      <c r="H1230" s="2">
        <v>31231</v>
      </c>
    </row>
    <row r="1231" spans="1:8">
      <c r="A1231" t="s">
        <v>6459</v>
      </c>
      <c r="B1231" t="s">
        <v>421</v>
      </c>
      <c r="C1231" t="s">
        <v>10363</v>
      </c>
      <c r="D1231" t="s">
        <v>11608</v>
      </c>
      <c r="E1231">
        <v>917775797163</v>
      </c>
      <c r="F1231" t="s">
        <v>10372</v>
      </c>
      <c r="G1231" t="s">
        <v>10377</v>
      </c>
      <c r="H1231" s="2">
        <v>36478</v>
      </c>
    </row>
    <row r="1232" spans="1:8">
      <c r="A1232" t="s">
        <v>6464</v>
      </c>
      <c r="B1232" t="s">
        <v>1498</v>
      </c>
      <c r="C1232" t="s">
        <v>10363</v>
      </c>
      <c r="D1232" t="s">
        <v>11609</v>
      </c>
      <c r="E1232">
        <v>919921566520</v>
      </c>
      <c r="F1232" t="s">
        <v>10369</v>
      </c>
      <c r="G1232" t="s">
        <v>10377</v>
      </c>
      <c r="H1232" s="2">
        <v>29812</v>
      </c>
    </row>
    <row r="1233" spans="1:8">
      <c r="A1233" t="s">
        <v>6470</v>
      </c>
      <c r="B1233" t="s">
        <v>3525</v>
      </c>
      <c r="C1233" t="s">
        <v>10367</v>
      </c>
      <c r="D1233" t="s">
        <v>11610</v>
      </c>
      <c r="E1233">
        <v>918862274245</v>
      </c>
      <c r="F1233" t="s">
        <v>10402</v>
      </c>
      <c r="G1233" t="s">
        <v>10370</v>
      </c>
      <c r="H1233" s="2">
        <v>35500</v>
      </c>
    </row>
    <row r="1234" spans="1:8">
      <c r="A1234" t="s">
        <v>6475</v>
      </c>
      <c r="B1234" t="s">
        <v>1447</v>
      </c>
      <c r="C1234" t="s">
        <v>10367</v>
      </c>
      <c r="D1234" t="s">
        <v>11611</v>
      </c>
      <c r="E1234">
        <v>919457634510</v>
      </c>
      <c r="F1234" t="s">
        <v>10365</v>
      </c>
      <c r="G1234" t="s">
        <v>10377</v>
      </c>
      <c r="H1234" s="2">
        <v>24308</v>
      </c>
    </row>
    <row r="1235" spans="1:8">
      <c r="A1235" t="s">
        <v>6480</v>
      </c>
      <c r="B1235" t="s">
        <v>740</v>
      </c>
      <c r="C1235" t="s">
        <v>10367</v>
      </c>
      <c r="D1235" t="s">
        <v>11612</v>
      </c>
      <c r="E1235">
        <v>918438126096</v>
      </c>
      <c r="F1235" t="s">
        <v>10374</v>
      </c>
      <c r="G1235" t="s">
        <v>10370</v>
      </c>
      <c r="H1235" s="2">
        <v>24264</v>
      </c>
    </row>
    <row r="1236" spans="1:8">
      <c r="A1236" t="s">
        <v>6485</v>
      </c>
      <c r="B1236" t="s">
        <v>639</v>
      </c>
      <c r="C1236" t="s">
        <v>10363</v>
      </c>
      <c r="D1236" t="s">
        <v>11613</v>
      </c>
      <c r="E1236">
        <v>918936873460</v>
      </c>
      <c r="F1236" t="s">
        <v>10384</v>
      </c>
      <c r="G1236" t="s">
        <v>10366</v>
      </c>
      <c r="H1236" s="2">
        <v>25923</v>
      </c>
    </row>
    <row r="1237" spans="1:8">
      <c r="A1237" t="s">
        <v>6490</v>
      </c>
      <c r="B1237" t="s">
        <v>1794</v>
      </c>
      <c r="C1237" t="s">
        <v>10367</v>
      </c>
      <c r="D1237" t="s">
        <v>11614</v>
      </c>
      <c r="E1237">
        <v>919745676114</v>
      </c>
      <c r="F1237" t="s">
        <v>10402</v>
      </c>
      <c r="G1237" t="s">
        <v>10377</v>
      </c>
      <c r="H1237" s="2">
        <v>27127</v>
      </c>
    </row>
    <row r="1238" spans="1:8">
      <c r="A1238" t="s">
        <v>6495</v>
      </c>
      <c r="B1238" t="s">
        <v>1288</v>
      </c>
      <c r="C1238" t="s">
        <v>10367</v>
      </c>
      <c r="D1238" t="s">
        <v>11615</v>
      </c>
      <c r="E1238">
        <v>916105320367</v>
      </c>
      <c r="F1238" t="s">
        <v>10374</v>
      </c>
      <c r="G1238" t="s">
        <v>10379</v>
      </c>
      <c r="H1238" s="2">
        <v>31105</v>
      </c>
    </row>
    <row r="1239" spans="1:8">
      <c r="A1239" t="s">
        <v>6500</v>
      </c>
      <c r="B1239" t="s">
        <v>691</v>
      </c>
      <c r="C1239" t="s">
        <v>10367</v>
      </c>
      <c r="D1239" t="s">
        <v>11616</v>
      </c>
      <c r="E1239">
        <v>919311090880</v>
      </c>
      <c r="F1239" t="s">
        <v>10386</v>
      </c>
      <c r="G1239" t="s">
        <v>10370</v>
      </c>
      <c r="H1239" s="2">
        <v>31306</v>
      </c>
    </row>
    <row r="1240" spans="1:8">
      <c r="A1240" t="s">
        <v>6505</v>
      </c>
      <c r="B1240" t="s">
        <v>375</v>
      </c>
      <c r="C1240" t="s">
        <v>10363</v>
      </c>
      <c r="D1240" t="s">
        <v>11617</v>
      </c>
      <c r="E1240">
        <v>916420773434</v>
      </c>
      <c r="F1240" t="s">
        <v>10381</v>
      </c>
      <c r="G1240" t="s">
        <v>10377</v>
      </c>
      <c r="H1240" s="2">
        <v>36869</v>
      </c>
    </row>
    <row r="1241" spans="1:8">
      <c r="A1241" t="s">
        <v>6510</v>
      </c>
      <c r="B1241" t="s">
        <v>1699</v>
      </c>
      <c r="C1241" t="s">
        <v>10363</v>
      </c>
      <c r="D1241" t="s">
        <v>11618</v>
      </c>
      <c r="E1241">
        <v>917771486356</v>
      </c>
      <c r="F1241" t="s">
        <v>10381</v>
      </c>
      <c r="G1241" t="s">
        <v>10379</v>
      </c>
      <c r="H1241" s="2">
        <v>29556</v>
      </c>
    </row>
    <row r="1242" spans="1:8">
      <c r="A1242" t="s">
        <v>6515</v>
      </c>
      <c r="B1242" t="s">
        <v>1610</v>
      </c>
      <c r="C1242" t="s">
        <v>10367</v>
      </c>
      <c r="D1242" t="s">
        <v>11619</v>
      </c>
      <c r="E1242">
        <v>916311214458</v>
      </c>
      <c r="F1242" t="s">
        <v>10384</v>
      </c>
      <c r="G1242" t="s">
        <v>10377</v>
      </c>
      <c r="H1242" s="2">
        <v>24391</v>
      </c>
    </row>
    <row r="1243" spans="1:8">
      <c r="A1243" t="s">
        <v>6520</v>
      </c>
      <c r="B1243" t="s">
        <v>927</v>
      </c>
      <c r="C1243" t="s">
        <v>10367</v>
      </c>
      <c r="D1243" t="s">
        <v>11620</v>
      </c>
      <c r="E1243">
        <v>918011793211</v>
      </c>
      <c r="F1243" t="s">
        <v>10376</v>
      </c>
      <c r="G1243" t="s">
        <v>10379</v>
      </c>
      <c r="H1243" s="2">
        <v>33348</v>
      </c>
    </row>
    <row r="1244" spans="1:8">
      <c r="A1244" t="s">
        <v>6525</v>
      </c>
      <c r="B1244" t="s">
        <v>1539</v>
      </c>
      <c r="C1244" t="s">
        <v>10363</v>
      </c>
      <c r="D1244" t="s">
        <v>11621</v>
      </c>
      <c r="E1244">
        <v>916289687080</v>
      </c>
      <c r="F1244" t="s">
        <v>10369</v>
      </c>
      <c r="G1244" t="s">
        <v>10370</v>
      </c>
      <c r="H1244" s="2">
        <v>26282</v>
      </c>
    </row>
    <row r="1245" spans="1:8">
      <c r="A1245" t="s">
        <v>6530</v>
      </c>
      <c r="B1245" t="s">
        <v>3929</v>
      </c>
      <c r="C1245" t="s">
        <v>10367</v>
      </c>
      <c r="D1245" t="s">
        <v>11622</v>
      </c>
      <c r="E1245">
        <v>918900874598</v>
      </c>
      <c r="F1245" t="s">
        <v>10376</v>
      </c>
      <c r="G1245" t="s">
        <v>10379</v>
      </c>
      <c r="H1245" s="2">
        <v>30688</v>
      </c>
    </row>
    <row r="1246" spans="1:8">
      <c r="A1246" t="s">
        <v>6535</v>
      </c>
      <c r="B1246" t="s">
        <v>100</v>
      </c>
      <c r="C1246" t="s">
        <v>10363</v>
      </c>
      <c r="D1246" t="s">
        <v>11623</v>
      </c>
      <c r="E1246">
        <v>918804338825</v>
      </c>
      <c r="F1246" t="s">
        <v>10365</v>
      </c>
      <c r="G1246" t="s">
        <v>10379</v>
      </c>
      <c r="H1246" s="2">
        <v>22318</v>
      </c>
    </row>
    <row r="1247" spans="1:8">
      <c r="A1247" t="s">
        <v>6540</v>
      </c>
      <c r="B1247" t="s">
        <v>478</v>
      </c>
      <c r="C1247" t="s">
        <v>10367</v>
      </c>
      <c r="D1247" t="s">
        <v>11624</v>
      </c>
      <c r="E1247">
        <v>916881697920</v>
      </c>
      <c r="F1247" t="s">
        <v>10376</v>
      </c>
      <c r="G1247" t="s">
        <v>10377</v>
      </c>
      <c r="H1247" s="2">
        <v>20334</v>
      </c>
    </row>
    <row r="1248" spans="1:8">
      <c r="A1248" t="s">
        <v>6546</v>
      </c>
      <c r="B1248" t="s">
        <v>2233</v>
      </c>
      <c r="C1248" t="s">
        <v>10367</v>
      </c>
      <c r="D1248" t="s">
        <v>11625</v>
      </c>
      <c r="E1248">
        <v>919004008963</v>
      </c>
      <c r="F1248" t="s">
        <v>10381</v>
      </c>
      <c r="G1248" t="s">
        <v>10370</v>
      </c>
      <c r="H1248" s="2">
        <v>34840</v>
      </c>
    </row>
    <row r="1249" spans="1:8">
      <c r="A1249" t="s">
        <v>6551</v>
      </c>
      <c r="B1249" t="s">
        <v>404</v>
      </c>
      <c r="C1249" t="s">
        <v>10363</v>
      </c>
      <c r="D1249" t="s">
        <v>11626</v>
      </c>
      <c r="E1249">
        <v>919433272385</v>
      </c>
      <c r="F1249" t="s">
        <v>10402</v>
      </c>
      <c r="G1249" t="s">
        <v>10377</v>
      </c>
      <c r="H1249" s="2">
        <v>31374</v>
      </c>
    </row>
    <row r="1250" spans="1:8">
      <c r="A1250" t="s">
        <v>6556</v>
      </c>
      <c r="B1250" t="s">
        <v>6202</v>
      </c>
      <c r="C1250" t="s">
        <v>10363</v>
      </c>
      <c r="D1250" t="s">
        <v>11627</v>
      </c>
      <c r="E1250">
        <v>916985814116</v>
      </c>
      <c r="F1250" t="s">
        <v>10386</v>
      </c>
      <c r="G1250" t="s">
        <v>10366</v>
      </c>
      <c r="H1250" s="2">
        <v>26919</v>
      </c>
    </row>
    <row r="1251" spans="1:8">
      <c r="A1251" t="s">
        <v>6561</v>
      </c>
      <c r="B1251" t="s">
        <v>679</v>
      </c>
      <c r="C1251" t="s">
        <v>10367</v>
      </c>
      <c r="D1251" t="s">
        <v>11628</v>
      </c>
      <c r="E1251">
        <v>916275107318</v>
      </c>
      <c r="F1251" t="s">
        <v>10369</v>
      </c>
      <c r="G1251" t="s">
        <v>10379</v>
      </c>
      <c r="H1251" s="2">
        <v>20708</v>
      </c>
    </row>
    <row r="1252" spans="1:8">
      <c r="A1252" t="s">
        <v>6566</v>
      </c>
      <c r="B1252" t="s">
        <v>1682</v>
      </c>
      <c r="C1252" t="s">
        <v>10367</v>
      </c>
      <c r="D1252" t="s">
        <v>11629</v>
      </c>
      <c r="E1252">
        <v>917876271620</v>
      </c>
      <c r="F1252" t="s">
        <v>10381</v>
      </c>
      <c r="G1252" t="s">
        <v>10379</v>
      </c>
      <c r="H1252" s="2">
        <v>34682</v>
      </c>
    </row>
    <row r="1253" spans="1:8">
      <c r="A1253" t="s">
        <v>6572</v>
      </c>
      <c r="B1253" t="s">
        <v>311</v>
      </c>
      <c r="C1253" t="s">
        <v>10363</v>
      </c>
      <c r="D1253" t="s">
        <v>11630</v>
      </c>
      <c r="E1253">
        <v>916674353494</v>
      </c>
      <c r="F1253" t="s">
        <v>10369</v>
      </c>
      <c r="G1253" t="s">
        <v>10366</v>
      </c>
      <c r="H1253" s="2">
        <v>28279</v>
      </c>
    </row>
    <row r="1254" spans="1:8">
      <c r="A1254" t="s">
        <v>6577</v>
      </c>
      <c r="B1254" t="s">
        <v>52</v>
      </c>
      <c r="C1254" t="s">
        <v>10363</v>
      </c>
      <c r="D1254" t="s">
        <v>11631</v>
      </c>
      <c r="E1254">
        <v>916138989800</v>
      </c>
      <c r="F1254" t="s">
        <v>10384</v>
      </c>
      <c r="G1254" t="s">
        <v>10377</v>
      </c>
      <c r="H1254" s="2">
        <v>34477</v>
      </c>
    </row>
    <row r="1255" spans="1:8">
      <c r="A1255" t="s">
        <v>6582</v>
      </c>
      <c r="B1255" t="s">
        <v>547</v>
      </c>
      <c r="C1255" t="s">
        <v>10363</v>
      </c>
      <c r="D1255" t="s">
        <v>11632</v>
      </c>
      <c r="E1255">
        <v>919767173637</v>
      </c>
      <c r="F1255" t="s">
        <v>10381</v>
      </c>
      <c r="G1255" t="s">
        <v>10370</v>
      </c>
      <c r="H1255" s="2">
        <v>36161</v>
      </c>
    </row>
    <row r="1256" spans="1:8">
      <c r="A1256" t="s">
        <v>6587</v>
      </c>
      <c r="B1256" t="s">
        <v>679</v>
      </c>
      <c r="C1256" t="s">
        <v>10367</v>
      </c>
      <c r="D1256" t="s">
        <v>11633</v>
      </c>
      <c r="E1256">
        <v>917033485589</v>
      </c>
      <c r="F1256" t="s">
        <v>10374</v>
      </c>
      <c r="G1256" t="s">
        <v>10377</v>
      </c>
      <c r="H1256" s="2">
        <v>23732</v>
      </c>
    </row>
    <row r="1257" spans="1:8">
      <c r="A1257" t="s">
        <v>6592</v>
      </c>
      <c r="B1257" t="s">
        <v>500</v>
      </c>
      <c r="C1257" t="s">
        <v>10363</v>
      </c>
      <c r="D1257" t="s">
        <v>11634</v>
      </c>
      <c r="E1257">
        <v>918932615905</v>
      </c>
      <c r="F1257" t="s">
        <v>10381</v>
      </c>
      <c r="G1257" t="s">
        <v>10366</v>
      </c>
      <c r="H1257" s="2">
        <v>24695</v>
      </c>
    </row>
    <row r="1258" spans="1:8">
      <c r="A1258" t="s">
        <v>6597</v>
      </c>
      <c r="B1258" t="s">
        <v>2112</v>
      </c>
      <c r="C1258" t="s">
        <v>10363</v>
      </c>
      <c r="D1258" t="s">
        <v>11635</v>
      </c>
      <c r="E1258">
        <v>916607934626</v>
      </c>
      <c r="F1258" t="s">
        <v>10384</v>
      </c>
      <c r="G1258" t="s">
        <v>10377</v>
      </c>
      <c r="H1258" s="2">
        <v>34028</v>
      </c>
    </row>
    <row r="1259" spans="1:8">
      <c r="A1259" t="s">
        <v>6602</v>
      </c>
      <c r="B1259" t="s">
        <v>4370</v>
      </c>
      <c r="C1259" t="s">
        <v>10367</v>
      </c>
      <c r="D1259" t="s">
        <v>11636</v>
      </c>
      <c r="E1259">
        <v>919608776740</v>
      </c>
      <c r="F1259" t="s">
        <v>10386</v>
      </c>
      <c r="G1259" t="s">
        <v>10379</v>
      </c>
      <c r="H1259" s="2">
        <v>33109</v>
      </c>
    </row>
    <row r="1260" spans="1:8">
      <c r="A1260" t="s">
        <v>6607</v>
      </c>
      <c r="B1260" t="s">
        <v>500</v>
      </c>
      <c r="C1260" t="s">
        <v>10363</v>
      </c>
      <c r="D1260" t="s">
        <v>11637</v>
      </c>
      <c r="E1260">
        <v>917091948846</v>
      </c>
      <c r="F1260" t="s">
        <v>10374</v>
      </c>
      <c r="G1260" t="s">
        <v>10366</v>
      </c>
      <c r="H1260" s="2">
        <v>25965</v>
      </c>
    </row>
    <row r="1261" spans="1:8">
      <c r="A1261" t="s">
        <v>6612</v>
      </c>
      <c r="B1261" t="s">
        <v>4892</v>
      </c>
      <c r="C1261" t="s">
        <v>10367</v>
      </c>
      <c r="D1261" t="s">
        <v>11638</v>
      </c>
      <c r="E1261">
        <v>917994186700</v>
      </c>
      <c r="F1261" t="s">
        <v>10388</v>
      </c>
      <c r="G1261" t="s">
        <v>10377</v>
      </c>
      <c r="H1261" s="2">
        <v>36048</v>
      </c>
    </row>
    <row r="1262" spans="1:8">
      <c r="A1262" t="s">
        <v>6618</v>
      </c>
      <c r="B1262" t="s">
        <v>5907</v>
      </c>
      <c r="C1262" t="s">
        <v>10367</v>
      </c>
      <c r="D1262" t="s">
        <v>11639</v>
      </c>
      <c r="E1262">
        <v>917413893919</v>
      </c>
      <c r="F1262" t="s">
        <v>10402</v>
      </c>
      <c r="G1262" t="s">
        <v>10379</v>
      </c>
      <c r="H1262" s="2">
        <v>29711</v>
      </c>
    </row>
    <row r="1263" spans="1:8">
      <c r="A1263" t="s">
        <v>6623</v>
      </c>
      <c r="B1263" t="s">
        <v>100</v>
      </c>
      <c r="C1263" t="s">
        <v>10363</v>
      </c>
      <c r="D1263" t="s">
        <v>11640</v>
      </c>
      <c r="E1263">
        <v>918518347799</v>
      </c>
      <c r="F1263" t="s">
        <v>10381</v>
      </c>
      <c r="G1263" t="s">
        <v>10366</v>
      </c>
      <c r="H1263" s="2">
        <v>22324</v>
      </c>
    </row>
    <row r="1264" spans="1:8">
      <c r="A1264" t="s">
        <v>6628</v>
      </c>
      <c r="B1264" t="s">
        <v>667</v>
      </c>
      <c r="C1264" t="s">
        <v>10367</v>
      </c>
      <c r="D1264" t="s">
        <v>11641</v>
      </c>
      <c r="E1264">
        <v>918461642107</v>
      </c>
      <c r="F1264" t="s">
        <v>10386</v>
      </c>
      <c r="G1264" t="s">
        <v>10377</v>
      </c>
      <c r="H1264" s="2">
        <v>37250</v>
      </c>
    </row>
    <row r="1265" spans="1:8">
      <c r="A1265" t="s">
        <v>6633</v>
      </c>
      <c r="B1265" t="s">
        <v>1146</v>
      </c>
      <c r="C1265" t="s">
        <v>10367</v>
      </c>
      <c r="D1265" t="s">
        <v>11642</v>
      </c>
      <c r="E1265">
        <v>917599780249</v>
      </c>
      <c r="F1265" t="s">
        <v>10381</v>
      </c>
      <c r="G1265" t="s">
        <v>10370</v>
      </c>
      <c r="H1265" s="2">
        <v>36224</v>
      </c>
    </row>
    <row r="1266" spans="1:8">
      <c r="A1266" t="s">
        <v>6638</v>
      </c>
      <c r="B1266" t="s">
        <v>466</v>
      </c>
      <c r="C1266" t="s">
        <v>10363</v>
      </c>
      <c r="D1266" t="s">
        <v>11643</v>
      </c>
      <c r="E1266">
        <v>919596834465</v>
      </c>
      <c r="F1266" t="s">
        <v>10384</v>
      </c>
      <c r="G1266" t="s">
        <v>10370</v>
      </c>
      <c r="H1266" s="2">
        <v>31001</v>
      </c>
    </row>
    <row r="1267" spans="1:8">
      <c r="A1267" t="s">
        <v>6643</v>
      </c>
      <c r="B1267" t="s">
        <v>449</v>
      </c>
      <c r="C1267" t="s">
        <v>10363</v>
      </c>
      <c r="D1267" t="s">
        <v>11644</v>
      </c>
      <c r="E1267">
        <v>919004057634</v>
      </c>
      <c r="F1267" t="s">
        <v>10372</v>
      </c>
      <c r="G1267" t="s">
        <v>10379</v>
      </c>
      <c r="H1267" s="2">
        <v>29291</v>
      </c>
    </row>
    <row r="1268" spans="1:8">
      <c r="A1268" t="s">
        <v>6648</v>
      </c>
      <c r="B1268" t="s">
        <v>265</v>
      </c>
      <c r="C1268" t="s">
        <v>10363</v>
      </c>
      <c r="D1268" t="s">
        <v>11645</v>
      </c>
      <c r="E1268">
        <v>919313946500</v>
      </c>
      <c r="F1268" t="s">
        <v>10402</v>
      </c>
      <c r="G1268" t="s">
        <v>10377</v>
      </c>
      <c r="H1268" s="2">
        <v>22822</v>
      </c>
    </row>
    <row r="1269" spans="1:8">
      <c r="A1269" t="s">
        <v>6653</v>
      </c>
      <c r="B1269" t="s">
        <v>4648</v>
      </c>
      <c r="C1269" t="s">
        <v>10367</v>
      </c>
      <c r="D1269" t="s">
        <v>11646</v>
      </c>
      <c r="E1269">
        <v>919585541728</v>
      </c>
      <c r="F1269" t="s">
        <v>10381</v>
      </c>
      <c r="G1269" t="s">
        <v>10379</v>
      </c>
      <c r="H1269" s="2">
        <v>30668</v>
      </c>
    </row>
    <row r="1270" spans="1:8">
      <c r="A1270" t="s">
        <v>6658</v>
      </c>
      <c r="B1270" t="s">
        <v>432</v>
      </c>
      <c r="C1270" t="s">
        <v>10363</v>
      </c>
      <c r="D1270" t="s">
        <v>11647</v>
      </c>
      <c r="E1270">
        <v>916354145936</v>
      </c>
      <c r="F1270" t="s">
        <v>10365</v>
      </c>
      <c r="G1270" t="s">
        <v>10366</v>
      </c>
      <c r="H1270" s="2">
        <v>32782</v>
      </c>
    </row>
    <row r="1271" spans="1:8">
      <c r="A1271" t="s">
        <v>6663</v>
      </c>
      <c r="B1271" t="s">
        <v>882</v>
      </c>
      <c r="C1271" t="s">
        <v>10363</v>
      </c>
      <c r="D1271" t="s">
        <v>11648</v>
      </c>
      <c r="E1271">
        <v>919826360742</v>
      </c>
      <c r="F1271" t="s">
        <v>10384</v>
      </c>
      <c r="G1271" t="s">
        <v>10377</v>
      </c>
      <c r="H1271" s="2">
        <v>36815</v>
      </c>
    </row>
    <row r="1272" spans="1:8">
      <c r="A1272" t="s">
        <v>6668</v>
      </c>
      <c r="B1272" t="s">
        <v>1794</v>
      </c>
      <c r="C1272" t="s">
        <v>10367</v>
      </c>
      <c r="D1272" t="s">
        <v>11649</v>
      </c>
      <c r="E1272">
        <v>919551153274</v>
      </c>
      <c r="F1272" t="s">
        <v>10381</v>
      </c>
      <c r="G1272" t="s">
        <v>10370</v>
      </c>
      <c r="H1272" s="2">
        <v>34071</v>
      </c>
    </row>
    <row r="1273" spans="1:8">
      <c r="A1273" t="s">
        <v>6673</v>
      </c>
      <c r="B1273" t="s">
        <v>472</v>
      </c>
      <c r="C1273" t="s">
        <v>10363</v>
      </c>
      <c r="D1273" t="s">
        <v>11650</v>
      </c>
      <c r="E1273">
        <v>918560905457</v>
      </c>
      <c r="F1273" t="s">
        <v>10381</v>
      </c>
      <c r="G1273" t="s">
        <v>10377</v>
      </c>
      <c r="H1273" s="2">
        <v>27754</v>
      </c>
    </row>
    <row r="1274" spans="1:8">
      <c r="A1274" t="s">
        <v>6678</v>
      </c>
      <c r="B1274" t="s">
        <v>235</v>
      </c>
      <c r="C1274" t="s">
        <v>10367</v>
      </c>
      <c r="D1274" t="s">
        <v>11651</v>
      </c>
      <c r="E1274">
        <v>918129983320</v>
      </c>
      <c r="F1274" t="s">
        <v>10369</v>
      </c>
      <c r="G1274" t="s">
        <v>10377</v>
      </c>
      <c r="H1274" s="2">
        <v>22592</v>
      </c>
    </row>
    <row r="1275" spans="1:8">
      <c r="A1275" t="s">
        <v>6683</v>
      </c>
      <c r="B1275" t="s">
        <v>1643</v>
      </c>
      <c r="C1275" t="s">
        <v>10363</v>
      </c>
      <c r="D1275" t="s">
        <v>11652</v>
      </c>
      <c r="E1275">
        <v>919043590752</v>
      </c>
      <c r="F1275" t="s">
        <v>10372</v>
      </c>
      <c r="G1275" t="s">
        <v>10366</v>
      </c>
      <c r="H1275" s="2">
        <v>30868</v>
      </c>
    </row>
    <row r="1276" spans="1:8">
      <c r="A1276" t="s">
        <v>6688</v>
      </c>
      <c r="B1276" t="s">
        <v>633</v>
      </c>
      <c r="C1276" t="s">
        <v>10367</v>
      </c>
      <c r="D1276" t="s">
        <v>11653</v>
      </c>
      <c r="E1276">
        <v>916376939826</v>
      </c>
      <c r="F1276" t="s">
        <v>10386</v>
      </c>
      <c r="G1276" t="s">
        <v>10377</v>
      </c>
      <c r="H1276" s="2">
        <v>33174</v>
      </c>
    </row>
    <row r="1277" spans="1:8">
      <c r="A1277" t="s">
        <v>6693</v>
      </c>
      <c r="B1277" t="s">
        <v>512</v>
      </c>
      <c r="C1277" t="s">
        <v>10367</v>
      </c>
      <c r="D1277" t="s">
        <v>11654</v>
      </c>
      <c r="E1277">
        <v>919427350167</v>
      </c>
      <c r="F1277" t="s">
        <v>10402</v>
      </c>
      <c r="G1277" t="s">
        <v>10366</v>
      </c>
      <c r="H1277" s="2">
        <v>35495</v>
      </c>
    </row>
    <row r="1278" spans="1:8">
      <c r="A1278" t="s">
        <v>6698</v>
      </c>
      <c r="B1278" t="s">
        <v>67</v>
      </c>
      <c r="C1278" t="s">
        <v>10367</v>
      </c>
      <c r="D1278" t="s">
        <v>11655</v>
      </c>
      <c r="E1278">
        <v>918555989544</v>
      </c>
      <c r="F1278" t="s">
        <v>10386</v>
      </c>
      <c r="G1278" t="s">
        <v>10377</v>
      </c>
      <c r="H1278" s="2">
        <v>20339</v>
      </c>
    </row>
    <row r="1279" spans="1:8">
      <c r="A1279" t="s">
        <v>6703</v>
      </c>
      <c r="B1279" t="s">
        <v>6541</v>
      </c>
      <c r="C1279" t="s">
        <v>10367</v>
      </c>
      <c r="D1279" t="s">
        <v>11656</v>
      </c>
      <c r="E1279">
        <v>918729966358</v>
      </c>
      <c r="F1279" t="s">
        <v>10369</v>
      </c>
      <c r="G1279" t="s">
        <v>10370</v>
      </c>
      <c r="H1279" s="2">
        <v>20409</v>
      </c>
    </row>
    <row r="1280" spans="1:8">
      <c r="A1280" t="s">
        <v>6708</v>
      </c>
      <c r="B1280" t="s">
        <v>2175</v>
      </c>
      <c r="C1280" t="s">
        <v>10367</v>
      </c>
      <c r="D1280" t="s">
        <v>11657</v>
      </c>
      <c r="E1280">
        <v>919137570765</v>
      </c>
      <c r="F1280" t="s">
        <v>10369</v>
      </c>
      <c r="G1280" t="s">
        <v>10379</v>
      </c>
      <c r="H1280" s="2">
        <v>33516</v>
      </c>
    </row>
    <row r="1281" spans="1:8">
      <c r="A1281" t="s">
        <v>6713</v>
      </c>
      <c r="B1281" t="s">
        <v>1476</v>
      </c>
      <c r="C1281" t="s">
        <v>10367</v>
      </c>
      <c r="D1281" t="s">
        <v>11658</v>
      </c>
      <c r="E1281">
        <v>916907284648</v>
      </c>
      <c r="F1281" t="s">
        <v>10384</v>
      </c>
      <c r="G1281" t="s">
        <v>10379</v>
      </c>
      <c r="H1281" s="2">
        <v>37516</v>
      </c>
    </row>
    <row r="1282" spans="1:8">
      <c r="A1282" t="s">
        <v>6718</v>
      </c>
      <c r="B1282" t="s">
        <v>339</v>
      </c>
      <c r="C1282" t="s">
        <v>10363</v>
      </c>
      <c r="D1282" t="s">
        <v>11659</v>
      </c>
      <c r="E1282">
        <v>919697023140</v>
      </c>
      <c r="F1282" t="s">
        <v>10369</v>
      </c>
      <c r="G1282" t="s">
        <v>10379</v>
      </c>
      <c r="H1282" s="2">
        <v>32085</v>
      </c>
    </row>
    <row r="1283" spans="1:8">
      <c r="A1283" t="s">
        <v>6723</v>
      </c>
      <c r="B1283" t="s">
        <v>199</v>
      </c>
      <c r="C1283" t="s">
        <v>10363</v>
      </c>
      <c r="D1283" t="s">
        <v>11660</v>
      </c>
      <c r="E1283">
        <v>917700488028</v>
      </c>
      <c r="F1283" t="s">
        <v>10376</v>
      </c>
      <c r="G1283" t="s">
        <v>10377</v>
      </c>
      <c r="H1283" s="2">
        <v>36800</v>
      </c>
    </row>
    <row r="1284" spans="1:8">
      <c r="A1284" t="s">
        <v>6728</v>
      </c>
      <c r="B1284" t="s">
        <v>2041</v>
      </c>
      <c r="C1284" t="s">
        <v>10363</v>
      </c>
      <c r="D1284" t="s">
        <v>11661</v>
      </c>
      <c r="E1284">
        <v>917222206612</v>
      </c>
      <c r="F1284" t="s">
        <v>10369</v>
      </c>
      <c r="G1284" t="s">
        <v>10366</v>
      </c>
      <c r="H1284" s="2">
        <v>26465</v>
      </c>
    </row>
    <row r="1285" spans="1:8">
      <c r="A1285" t="s">
        <v>6733</v>
      </c>
      <c r="B1285" t="s">
        <v>2101</v>
      </c>
      <c r="C1285" t="s">
        <v>10363</v>
      </c>
      <c r="D1285" t="s">
        <v>11662</v>
      </c>
      <c r="E1285">
        <v>919650717969</v>
      </c>
      <c r="F1285" t="s">
        <v>10388</v>
      </c>
      <c r="G1285" t="s">
        <v>10379</v>
      </c>
      <c r="H1285" s="2">
        <v>29521</v>
      </c>
    </row>
    <row r="1286" spans="1:8">
      <c r="A1286" t="s">
        <v>6738</v>
      </c>
      <c r="B1286" t="s">
        <v>2073</v>
      </c>
      <c r="C1286" t="s">
        <v>10367</v>
      </c>
      <c r="D1286" t="s">
        <v>11663</v>
      </c>
      <c r="E1286">
        <v>917223246392</v>
      </c>
      <c r="F1286" t="s">
        <v>10376</v>
      </c>
      <c r="G1286" t="s">
        <v>10366</v>
      </c>
      <c r="H1286" s="2">
        <v>30486</v>
      </c>
    </row>
    <row r="1287" spans="1:8">
      <c r="A1287" t="s">
        <v>6743</v>
      </c>
      <c r="B1287" t="s">
        <v>174</v>
      </c>
      <c r="C1287" t="s">
        <v>10367</v>
      </c>
      <c r="D1287" t="s">
        <v>11664</v>
      </c>
      <c r="E1287">
        <v>917071532707</v>
      </c>
      <c r="F1287" t="s">
        <v>10374</v>
      </c>
      <c r="G1287" t="s">
        <v>10370</v>
      </c>
      <c r="H1287" s="2">
        <v>34588</v>
      </c>
    </row>
    <row r="1288" spans="1:8">
      <c r="A1288" t="s">
        <v>6748</v>
      </c>
      <c r="B1288" t="s">
        <v>186</v>
      </c>
      <c r="C1288" t="s">
        <v>10363</v>
      </c>
      <c r="D1288" t="s">
        <v>11665</v>
      </c>
      <c r="E1288">
        <v>919023840668</v>
      </c>
      <c r="F1288" t="s">
        <v>10369</v>
      </c>
      <c r="G1288" t="s">
        <v>10379</v>
      </c>
      <c r="H1288" s="2">
        <v>28761</v>
      </c>
    </row>
    <row r="1289" spans="1:8">
      <c r="A1289" t="s">
        <v>6753</v>
      </c>
      <c r="B1289" t="s">
        <v>4328</v>
      </c>
      <c r="C1289" t="s">
        <v>10367</v>
      </c>
      <c r="D1289" t="s">
        <v>11666</v>
      </c>
      <c r="E1289">
        <v>917416762242</v>
      </c>
      <c r="F1289" t="s">
        <v>10386</v>
      </c>
      <c r="G1289" t="s">
        <v>10377</v>
      </c>
      <c r="H1289" s="2">
        <v>29084</v>
      </c>
    </row>
    <row r="1290" spans="1:8">
      <c r="A1290" t="s">
        <v>6758</v>
      </c>
      <c r="B1290" t="s">
        <v>2945</v>
      </c>
      <c r="C1290" t="s">
        <v>10367</v>
      </c>
      <c r="D1290" t="s">
        <v>11667</v>
      </c>
      <c r="E1290">
        <v>918099404523</v>
      </c>
      <c r="F1290" t="s">
        <v>10376</v>
      </c>
      <c r="G1290" t="s">
        <v>10377</v>
      </c>
      <c r="H1290" s="2">
        <v>30642</v>
      </c>
    </row>
    <row r="1291" spans="1:8">
      <c r="A1291" t="s">
        <v>6763</v>
      </c>
      <c r="B1291" t="s">
        <v>2720</v>
      </c>
      <c r="C1291" t="s">
        <v>10367</v>
      </c>
      <c r="D1291" t="s">
        <v>11668</v>
      </c>
      <c r="E1291">
        <v>919780264523</v>
      </c>
      <c r="F1291" t="s">
        <v>10376</v>
      </c>
      <c r="G1291" t="s">
        <v>10366</v>
      </c>
      <c r="H1291" s="2">
        <v>35451</v>
      </c>
    </row>
    <row r="1292" spans="1:8">
      <c r="A1292" t="s">
        <v>6768</v>
      </c>
      <c r="B1292" t="s">
        <v>1453</v>
      </c>
      <c r="C1292" t="s">
        <v>10363</v>
      </c>
      <c r="D1292" t="s">
        <v>11669</v>
      </c>
      <c r="E1292">
        <v>917666035844</v>
      </c>
      <c r="F1292" t="s">
        <v>10369</v>
      </c>
      <c r="G1292" t="s">
        <v>10370</v>
      </c>
      <c r="H1292" s="2">
        <v>23474</v>
      </c>
    </row>
    <row r="1293" spans="1:8">
      <c r="A1293" t="s">
        <v>6773</v>
      </c>
      <c r="B1293" t="s">
        <v>587</v>
      </c>
      <c r="C1293" t="s">
        <v>10363</v>
      </c>
      <c r="D1293" t="s">
        <v>11670</v>
      </c>
      <c r="E1293">
        <v>917014884959</v>
      </c>
      <c r="F1293" t="s">
        <v>10376</v>
      </c>
      <c r="G1293" t="s">
        <v>10379</v>
      </c>
      <c r="H1293" s="2">
        <v>33897</v>
      </c>
    </row>
    <row r="1294" spans="1:8">
      <c r="A1294" t="s">
        <v>6779</v>
      </c>
      <c r="B1294" t="s">
        <v>780</v>
      </c>
      <c r="C1294" t="s">
        <v>10367</v>
      </c>
      <c r="D1294" t="s">
        <v>11671</v>
      </c>
      <c r="E1294">
        <v>919126931245</v>
      </c>
      <c r="F1294" t="s">
        <v>10381</v>
      </c>
      <c r="G1294" t="s">
        <v>10370</v>
      </c>
      <c r="H1294" s="2">
        <v>22002</v>
      </c>
    </row>
    <row r="1295" spans="1:8">
      <c r="A1295" t="s">
        <v>6784</v>
      </c>
      <c r="B1295" t="s">
        <v>163</v>
      </c>
      <c r="C1295" t="s">
        <v>10363</v>
      </c>
      <c r="D1295" t="s">
        <v>11672</v>
      </c>
      <c r="E1295">
        <v>917969675262</v>
      </c>
      <c r="F1295" t="s">
        <v>10376</v>
      </c>
      <c r="G1295" t="s">
        <v>10366</v>
      </c>
      <c r="H1295" s="2">
        <v>36487</v>
      </c>
    </row>
    <row r="1296" spans="1:8">
      <c r="A1296" t="s">
        <v>6789</v>
      </c>
      <c r="B1296" t="s">
        <v>518</v>
      </c>
      <c r="C1296" t="s">
        <v>10367</v>
      </c>
      <c r="D1296" t="s">
        <v>11673</v>
      </c>
      <c r="E1296">
        <v>916669478756</v>
      </c>
      <c r="F1296" t="s">
        <v>10372</v>
      </c>
      <c r="G1296" t="s">
        <v>10377</v>
      </c>
      <c r="H1296" s="2">
        <v>24536</v>
      </c>
    </row>
    <row r="1297" spans="1:8">
      <c r="A1297" t="s">
        <v>6794</v>
      </c>
      <c r="B1297" t="s">
        <v>1482</v>
      </c>
      <c r="C1297" t="s">
        <v>10367</v>
      </c>
      <c r="D1297" t="s">
        <v>11674</v>
      </c>
      <c r="E1297">
        <v>917820554677</v>
      </c>
      <c r="F1297" t="s">
        <v>10369</v>
      </c>
      <c r="G1297" t="s">
        <v>10366</v>
      </c>
      <c r="H1297" s="2">
        <v>21101</v>
      </c>
    </row>
    <row r="1298" spans="1:8">
      <c r="A1298" t="s">
        <v>6799</v>
      </c>
      <c r="B1298" t="s">
        <v>484</v>
      </c>
      <c r="C1298" t="s">
        <v>10363</v>
      </c>
      <c r="D1298" t="s">
        <v>11675</v>
      </c>
      <c r="E1298">
        <v>916179966207</v>
      </c>
      <c r="F1298" t="s">
        <v>10381</v>
      </c>
      <c r="G1298" t="s">
        <v>10377</v>
      </c>
      <c r="H1298" s="2">
        <v>21005</v>
      </c>
    </row>
    <row r="1299" spans="1:8">
      <c r="A1299" t="s">
        <v>6804</v>
      </c>
      <c r="B1299" t="s">
        <v>2019</v>
      </c>
      <c r="C1299" t="s">
        <v>10367</v>
      </c>
      <c r="D1299" t="s">
        <v>11676</v>
      </c>
      <c r="E1299">
        <v>917140180467</v>
      </c>
      <c r="F1299" t="s">
        <v>10374</v>
      </c>
      <c r="G1299" t="s">
        <v>10366</v>
      </c>
      <c r="H1299" s="2">
        <v>31232</v>
      </c>
    </row>
    <row r="1300" spans="1:8">
      <c r="A1300" t="s">
        <v>6809</v>
      </c>
      <c r="B1300" t="s">
        <v>223</v>
      </c>
      <c r="C1300" t="s">
        <v>10363</v>
      </c>
      <c r="D1300" t="s">
        <v>11677</v>
      </c>
      <c r="E1300">
        <v>919982171474</v>
      </c>
      <c r="F1300" t="s">
        <v>10369</v>
      </c>
      <c r="G1300" t="s">
        <v>10377</v>
      </c>
      <c r="H1300" s="2">
        <v>34774</v>
      </c>
    </row>
    <row r="1301" spans="1:8">
      <c r="A1301" t="s">
        <v>6814</v>
      </c>
      <c r="B1301" t="s">
        <v>610</v>
      </c>
      <c r="C1301" t="s">
        <v>10363</v>
      </c>
      <c r="D1301" t="s">
        <v>11678</v>
      </c>
      <c r="E1301">
        <v>917879475367</v>
      </c>
      <c r="F1301" t="s">
        <v>10386</v>
      </c>
      <c r="G1301" t="s">
        <v>10377</v>
      </c>
      <c r="H1301" s="2">
        <v>23464</v>
      </c>
    </row>
    <row r="1302" spans="1:8">
      <c r="A1302" t="s">
        <v>6819</v>
      </c>
      <c r="B1302" t="s">
        <v>564</v>
      </c>
      <c r="C1302" t="s">
        <v>10367</v>
      </c>
      <c r="D1302" t="s">
        <v>11679</v>
      </c>
      <c r="E1302">
        <v>917566278979</v>
      </c>
      <c r="F1302" t="s">
        <v>10386</v>
      </c>
      <c r="G1302" t="s">
        <v>10366</v>
      </c>
      <c r="H1302" s="2">
        <v>26863</v>
      </c>
    </row>
    <row r="1303" spans="1:8">
      <c r="A1303" t="s">
        <v>6824</v>
      </c>
      <c r="B1303" t="s">
        <v>421</v>
      </c>
      <c r="C1303" t="s">
        <v>10363</v>
      </c>
      <c r="D1303" t="s">
        <v>11680</v>
      </c>
      <c r="E1303">
        <v>917587921683</v>
      </c>
      <c r="F1303" t="s">
        <v>10374</v>
      </c>
      <c r="G1303" t="s">
        <v>10366</v>
      </c>
      <c r="H1303" s="2">
        <v>33757</v>
      </c>
    </row>
    <row r="1304" spans="1:8">
      <c r="A1304" t="s">
        <v>6829</v>
      </c>
      <c r="B1304" t="s">
        <v>229</v>
      </c>
      <c r="C1304" t="s">
        <v>10367</v>
      </c>
      <c r="D1304" t="s">
        <v>11681</v>
      </c>
      <c r="E1304">
        <v>917841269249</v>
      </c>
      <c r="F1304" t="s">
        <v>10388</v>
      </c>
      <c r="G1304" t="s">
        <v>10379</v>
      </c>
      <c r="H1304" s="2">
        <v>31649</v>
      </c>
    </row>
    <row r="1305" spans="1:8">
      <c r="A1305" t="s">
        <v>6834</v>
      </c>
      <c r="B1305" t="s">
        <v>199</v>
      </c>
      <c r="C1305" t="s">
        <v>10363</v>
      </c>
      <c r="D1305" t="s">
        <v>11682</v>
      </c>
      <c r="E1305">
        <v>918096625343</v>
      </c>
      <c r="F1305" t="s">
        <v>10386</v>
      </c>
      <c r="G1305" t="s">
        <v>10370</v>
      </c>
      <c r="H1305" s="2">
        <v>33592</v>
      </c>
    </row>
    <row r="1306" spans="1:8">
      <c r="A1306" t="s">
        <v>6839</v>
      </c>
      <c r="B1306" t="s">
        <v>893</v>
      </c>
      <c r="C1306" t="s">
        <v>10367</v>
      </c>
      <c r="D1306" t="s">
        <v>11683</v>
      </c>
      <c r="E1306">
        <v>916764260288</v>
      </c>
      <c r="F1306" t="s">
        <v>10376</v>
      </c>
      <c r="G1306" t="s">
        <v>10379</v>
      </c>
      <c r="H1306" s="2">
        <v>33443</v>
      </c>
    </row>
    <row r="1307" spans="1:8">
      <c r="A1307" t="s">
        <v>6844</v>
      </c>
      <c r="B1307" t="s">
        <v>432</v>
      </c>
      <c r="C1307" t="s">
        <v>10363</v>
      </c>
      <c r="D1307" t="s">
        <v>11684</v>
      </c>
      <c r="E1307">
        <v>916789164588</v>
      </c>
      <c r="F1307" t="s">
        <v>10381</v>
      </c>
      <c r="G1307" t="s">
        <v>10370</v>
      </c>
      <c r="H1307" s="2">
        <v>21473</v>
      </c>
    </row>
    <row r="1308" spans="1:8">
      <c r="A1308" t="s">
        <v>6849</v>
      </c>
      <c r="B1308" t="s">
        <v>2837</v>
      </c>
      <c r="C1308" t="s">
        <v>10367</v>
      </c>
      <c r="D1308" t="s">
        <v>11685</v>
      </c>
      <c r="E1308">
        <v>917966715149</v>
      </c>
      <c r="F1308" t="s">
        <v>10369</v>
      </c>
      <c r="G1308" t="s">
        <v>10377</v>
      </c>
      <c r="H1308" s="2">
        <v>30270</v>
      </c>
    </row>
    <row r="1309" spans="1:8">
      <c r="A1309" t="s">
        <v>6854</v>
      </c>
      <c r="B1309" t="s">
        <v>899</v>
      </c>
      <c r="C1309" t="s">
        <v>10367</v>
      </c>
      <c r="D1309" t="s">
        <v>11686</v>
      </c>
      <c r="E1309">
        <v>916741498005</v>
      </c>
      <c r="F1309" t="s">
        <v>10388</v>
      </c>
      <c r="G1309" t="s">
        <v>10377</v>
      </c>
      <c r="H1309" s="2">
        <v>25139</v>
      </c>
    </row>
    <row r="1310" spans="1:8">
      <c r="A1310" t="s">
        <v>6859</v>
      </c>
      <c r="B1310" t="s">
        <v>1431</v>
      </c>
      <c r="C1310" t="s">
        <v>10367</v>
      </c>
      <c r="D1310" t="s">
        <v>11687</v>
      </c>
      <c r="E1310">
        <v>917874425293</v>
      </c>
      <c r="F1310" t="s">
        <v>10369</v>
      </c>
      <c r="G1310" t="s">
        <v>10379</v>
      </c>
      <c r="H1310" s="2">
        <v>23786</v>
      </c>
    </row>
    <row r="1311" spans="1:8">
      <c r="A1311" t="s">
        <v>6864</v>
      </c>
      <c r="B1311" t="s">
        <v>288</v>
      </c>
      <c r="C1311" t="s">
        <v>10367</v>
      </c>
      <c r="D1311" t="s">
        <v>11688</v>
      </c>
      <c r="E1311">
        <v>918945776692</v>
      </c>
      <c r="F1311" t="s">
        <v>10376</v>
      </c>
      <c r="G1311" t="s">
        <v>10370</v>
      </c>
      <c r="H1311" s="2">
        <v>33959</v>
      </c>
    </row>
    <row r="1312" spans="1:8">
      <c r="A1312" t="s">
        <v>6870</v>
      </c>
      <c r="B1312" t="s">
        <v>558</v>
      </c>
      <c r="C1312" t="s">
        <v>10363</v>
      </c>
      <c r="D1312" t="s">
        <v>11689</v>
      </c>
      <c r="E1312">
        <v>919950789218</v>
      </c>
      <c r="F1312" t="s">
        <v>10386</v>
      </c>
      <c r="G1312" t="s">
        <v>10370</v>
      </c>
      <c r="H1312" s="2">
        <v>22674</v>
      </c>
    </row>
    <row r="1313" spans="1:8">
      <c r="A1313" t="s">
        <v>6875</v>
      </c>
      <c r="B1313" t="s">
        <v>679</v>
      </c>
      <c r="C1313" t="s">
        <v>10367</v>
      </c>
      <c r="D1313" t="s">
        <v>10555</v>
      </c>
      <c r="E1313">
        <v>916744473825</v>
      </c>
      <c r="F1313" t="s">
        <v>10386</v>
      </c>
      <c r="G1313" t="s">
        <v>10377</v>
      </c>
      <c r="H1313" s="2">
        <v>21433</v>
      </c>
    </row>
    <row r="1314" spans="1:8">
      <c r="A1314" t="s">
        <v>6880</v>
      </c>
      <c r="B1314" t="s">
        <v>2313</v>
      </c>
      <c r="C1314" t="s">
        <v>10363</v>
      </c>
      <c r="D1314" t="s">
        <v>11690</v>
      </c>
      <c r="E1314">
        <v>917908990299</v>
      </c>
      <c r="F1314" t="s">
        <v>10372</v>
      </c>
      <c r="G1314" t="s">
        <v>10370</v>
      </c>
      <c r="H1314" s="2">
        <v>30692</v>
      </c>
    </row>
    <row r="1315" spans="1:8">
      <c r="A1315" t="s">
        <v>6885</v>
      </c>
      <c r="B1315" t="s">
        <v>780</v>
      </c>
      <c r="C1315" t="s">
        <v>10367</v>
      </c>
      <c r="D1315" t="s">
        <v>11691</v>
      </c>
      <c r="E1315">
        <v>918299730967</v>
      </c>
      <c r="F1315" t="s">
        <v>10365</v>
      </c>
      <c r="G1315" t="s">
        <v>10370</v>
      </c>
      <c r="H1315" s="2">
        <v>32934</v>
      </c>
    </row>
    <row r="1316" spans="1:8">
      <c r="A1316" t="s">
        <v>6890</v>
      </c>
      <c r="B1316" t="s">
        <v>118</v>
      </c>
      <c r="C1316" t="s">
        <v>10367</v>
      </c>
      <c r="D1316" t="s">
        <v>11692</v>
      </c>
      <c r="E1316">
        <v>919567377458</v>
      </c>
      <c r="F1316" t="s">
        <v>10388</v>
      </c>
      <c r="G1316" t="s">
        <v>10377</v>
      </c>
      <c r="H1316" s="2">
        <v>23942</v>
      </c>
    </row>
    <row r="1317" spans="1:8">
      <c r="A1317" t="s">
        <v>6895</v>
      </c>
      <c r="B1317" t="s">
        <v>2101</v>
      </c>
      <c r="C1317" t="s">
        <v>10363</v>
      </c>
      <c r="D1317" t="s">
        <v>11693</v>
      </c>
      <c r="E1317">
        <v>917570561466</v>
      </c>
      <c r="F1317" t="s">
        <v>10384</v>
      </c>
      <c r="G1317" t="s">
        <v>10366</v>
      </c>
      <c r="H1317" s="2">
        <v>23354</v>
      </c>
    </row>
    <row r="1318" spans="1:8">
      <c r="A1318" t="s">
        <v>6900</v>
      </c>
      <c r="B1318" t="s">
        <v>667</v>
      </c>
      <c r="C1318" t="s">
        <v>10367</v>
      </c>
      <c r="D1318" t="s">
        <v>11694</v>
      </c>
      <c r="E1318">
        <v>918777694407</v>
      </c>
      <c r="F1318" t="s">
        <v>10386</v>
      </c>
      <c r="G1318" t="s">
        <v>10366</v>
      </c>
      <c r="H1318" s="2">
        <v>30398</v>
      </c>
    </row>
    <row r="1319" spans="1:8">
      <c r="A1319" t="s">
        <v>6905</v>
      </c>
      <c r="B1319" t="s">
        <v>74</v>
      </c>
      <c r="C1319" t="s">
        <v>10363</v>
      </c>
      <c r="D1319" t="s">
        <v>11695</v>
      </c>
      <c r="E1319">
        <v>916934236632</v>
      </c>
      <c r="F1319" t="s">
        <v>10365</v>
      </c>
      <c r="G1319" t="s">
        <v>10379</v>
      </c>
      <c r="H1319" s="2">
        <v>36296</v>
      </c>
    </row>
    <row r="1320" spans="1:8">
      <c r="A1320" t="s">
        <v>6910</v>
      </c>
      <c r="B1320" t="s">
        <v>478</v>
      </c>
      <c r="C1320" t="s">
        <v>10367</v>
      </c>
      <c r="D1320" t="s">
        <v>11696</v>
      </c>
      <c r="E1320">
        <v>916015477003</v>
      </c>
      <c r="F1320" t="s">
        <v>10369</v>
      </c>
      <c r="G1320" t="s">
        <v>10366</v>
      </c>
      <c r="H1320" s="2">
        <v>29753</v>
      </c>
    </row>
    <row r="1321" spans="1:8">
      <c r="A1321" t="s">
        <v>6915</v>
      </c>
      <c r="B1321" t="s">
        <v>2863</v>
      </c>
      <c r="C1321" t="s">
        <v>10367</v>
      </c>
      <c r="D1321" t="s">
        <v>11697</v>
      </c>
      <c r="E1321">
        <v>919886438067</v>
      </c>
      <c r="F1321" t="s">
        <v>10369</v>
      </c>
      <c r="G1321" t="s">
        <v>10379</v>
      </c>
      <c r="H1321" s="2">
        <v>23630</v>
      </c>
    </row>
    <row r="1322" spans="1:8">
      <c r="A1322" t="s">
        <v>6920</v>
      </c>
      <c r="B1322" t="s">
        <v>2079</v>
      </c>
      <c r="C1322" t="s">
        <v>10367</v>
      </c>
      <c r="D1322" t="s">
        <v>11698</v>
      </c>
      <c r="E1322">
        <v>918201812907</v>
      </c>
      <c r="F1322" t="s">
        <v>10381</v>
      </c>
      <c r="G1322" t="s">
        <v>10379</v>
      </c>
      <c r="H1322" s="2">
        <v>36132</v>
      </c>
    </row>
    <row r="1323" spans="1:8">
      <c r="A1323" t="s">
        <v>6925</v>
      </c>
      <c r="B1323" t="s">
        <v>639</v>
      </c>
      <c r="C1323" t="s">
        <v>10363</v>
      </c>
      <c r="D1323" t="s">
        <v>11699</v>
      </c>
      <c r="E1323">
        <v>916115301818</v>
      </c>
      <c r="F1323" t="s">
        <v>10388</v>
      </c>
      <c r="G1323" t="s">
        <v>10366</v>
      </c>
      <c r="H1323" s="2">
        <v>24687</v>
      </c>
    </row>
    <row r="1324" spans="1:8">
      <c r="A1324" t="s">
        <v>6930</v>
      </c>
      <c r="B1324" t="s">
        <v>241</v>
      </c>
      <c r="C1324" t="s">
        <v>10363</v>
      </c>
      <c r="D1324" t="s">
        <v>11700</v>
      </c>
      <c r="E1324">
        <v>919129466881</v>
      </c>
      <c r="F1324" t="s">
        <v>10386</v>
      </c>
      <c r="G1324" t="s">
        <v>10377</v>
      </c>
      <c r="H1324" s="2">
        <v>24526</v>
      </c>
    </row>
    <row r="1325" spans="1:8">
      <c r="A1325" t="s">
        <v>6935</v>
      </c>
      <c r="B1325" t="s">
        <v>217</v>
      </c>
      <c r="C1325" t="s">
        <v>10363</v>
      </c>
      <c r="D1325" t="s">
        <v>11701</v>
      </c>
      <c r="E1325">
        <v>919736385966</v>
      </c>
      <c r="F1325" t="s">
        <v>10369</v>
      </c>
      <c r="G1325" t="s">
        <v>10366</v>
      </c>
      <c r="H1325" s="2">
        <v>34735</v>
      </c>
    </row>
    <row r="1326" spans="1:8">
      <c r="A1326" t="s">
        <v>6940</v>
      </c>
      <c r="B1326" t="s">
        <v>4328</v>
      </c>
      <c r="C1326" t="s">
        <v>10367</v>
      </c>
      <c r="D1326" t="s">
        <v>11702</v>
      </c>
      <c r="E1326">
        <v>919268339020</v>
      </c>
      <c r="F1326" t="s">
        <v>10372</v>
      </c>
      <c r="G1326" t="s">
        <v>10370</v>
      </c>
      <c r="H1326" s="2">
        <v>33189</v>
      </c>
    </row>
    <row r="1327" spans="1:8">
      <c r="A1327" t="s">
        <v>6945</v>
      </c>
      <c r="B1327" t="s">
        <v>661</v>
      </c>
      <c r="C1327" t="s">
        <v>10367</v>
      </c>
      <c r="D1327" t="s">
        <v>11703</v>
      </c>
      <c r="E1327">
        <v>919400769113</v>
      </c>
      <c r="F1327" t="s">
        <v>10388</v>
      </c>
      <c r="G1327" t="s">
        <v>10377</v>
      </c>
      <c r="H1327" s="2">
        <v>33514</v>
      </c>
    </row>
    <row r="1328" spans="1:8">
      <c r="A1328" t="s">
        <v>6950</v>
      </c>
      <c r="B1328" t="s">
        <v>333</v>
      </c>
      <c r="C1328" t="s">
        <v>10363</v>
      </c>
      <c r="D1328" t="s">
        <v>11704</v>
      </c>
      <c r="E1328">
        <v>918243259189</v>
      </c>
      <c r="F1328" t="s">
        <v>10365</v>
      </c>
      <c r="G1328" t="s">
        <v>10377</v>
      </c>
      <c r="H1328" s="2">
        <v>36207</v>
      </c>
    </row>
    <row r="1329" spans="1:8">
      <c r="A1329" t="s">
        <v>6955</v>
      </c>
      <c r="B1329" t="s">
        <v>536</v>
      </c>
      <c r="C1329" t="s">
        <v>10367</v>
      </c>
      <c r="D1329" t="s">
        <v>11705</v>
      </c>
      <c r="E1329">
        <v>917576334902</v>
      </c>
      <c r="F1329" t="s">
        <v>10381</v>
      </c>
      <c r="G1329" t="s">
        <v>10377</v>
      </c>
      <c r="H1329" s="2">
        <v>31280</v>
      </c>
    </row>
    <row r="1330" spans="1:8">
      <c r="A1330" t="s">
        <v>6960</v>
      </c>
      <c r="B1330" t="s">
        <v>1751</v>
      </c>
      <c r="C1330" t="s">
        <v>10367</v>
      </c>
      <c r="D1330" t="s">
        <v>11706</v>
      </c>
      <c r="E1330">
        <v>917223985186</v>
      </c>
      <c r="F1330" t="s">
        <v>10376</v>
      </c>
      <c r="G1330" t="s">
        <v>10370</v>
      </c>
      <c r="H1330" s="2">
        <v>30213</v>
      </c>
    </row>
    <row r="1331" spans="1:8">
      <c r="A1331" t="s">
        <v>6965</v>
      </c>
      <c r="B1331" t="s">
        <v>1008</v>
      </c>
      <c r="C1331" t="s">
        <v>10367</v>
      </c>
      <c r="D1331" t="s">
        <v>11707</v>
      </c>
      <c r="E1331">
        <v>919003848265</v>
      </c>
      <c r="F1331" t="s">
        <v>10381</v>
      </c>
      <c r="G1331" t="s">
        <v>10366</v>
      </c>
      <c r="H1331" s="2">
        <v>29639</v>
      </c>
    </row>
    <row r="1332" spans="1:8">
      <c r="A1332" t="s">
        <v>6970</v>
      </c>
      <c r="B1332" t="s">
        <v>3929</v>
      </c>
      <c r="C1332" t="s">
        <v>10367</v>
      </c>
      <c r="D1332" t="s">
        <v>11708</v>
      </c>
      <c r="E1332">
        <v>919973505712</v>
      </c>
      <c r="F1332" t="s">
        <v>10388</v>
      </c>
      <c r="G1332" t="s">
        <v>10377</v>
      </c>
      <c r="H1332" s="2">
        <v>36009</v>
      </c>
    </row>
    <row r="1333" spans="1:8">
      <c r="A1333" t="s">
        <v>6975</v>
      </c>
      <c r="B1333" t="s">
        <v>1453</v>
      </c>
      <c r="C1333" t="s">
        <v>10363</v>
      </c>
      <c r="D1333" t="s">
        <v>11709</v>
      </c>
      <c r="E1333">
        <v>916120590005</v>
      </c>
      <c r="F1333" t="s">
        <v>10381</v>
      </c>
      <c r="G1333" t="s">
        <v>10377</v>
      </c>
      <c r="H1333" s="2">
        <v>28495</v>
      </c>
    </row>
    <row r="1334" spans="1:8">
      <c r="A1334" t="s">
        <v>6980</v>
      </c>
      <c r="B1334" t="s">
        <v>1431</v>
      </c>
      <c r="C1334" t="s">
        <v>10367</v>
      </c>
      <c r="D1334" t="s">
        <v>11710</v>
      </c>
      <c r="E1334">
        <v>918946680682</v>
      </c>
      <c r="F1334" t="s">
        <v>10376</v>
      </c>
      <c r="G1334" t="s">
        <v>10370</v>
      </c>
      <c r="H1334" s="2">
        <v>20852</v>
      </c>
    </row>
    <row r="1335" spans="1:8">
      <c r="A1335" t="s">
        <v>6985</v>
      </c>
      <c r="B1335" t="s">
        <v>1324</v>
      </c>
      <c r="C1335" t="s">
        <v>10363</v>
      </c>
      <c r="D1335" t="s">
        <v>11711</v>
      </c>
      <c r="E1335">
        <v>919884656808</v>
      </c>
      <c r="F1335" t="s">
        <v>10369</v>
      </c>
      <c r="G1335" t="s">
        <v>10379</v>
      </c>
      <c r="H1335" s="2">
        <v>26618</v>
      </c>
    </row>
    <row r="1336" spans="1:8">
      <c r="A1336" t="s">
        <v>6990</v>
      </c>
      <c r="B1336" t="s">
        <v>460</v>
      </c>
      <c r="C1336" t="s">
        <v>10363</v>
      </c>
      <c r="D1336" t="s">
        <v>11712</v>
      </c>
      <c r="E1336">
        <v>917379934787</v>
      </c>
      <c r="F1336" t="s">
        <v>10369</v>
      </c>
      <c r="G1336" t="s">
        <v>10379</v>
      </c>
      <c r="H1336" s="2">
        <v>37385</v>
      </c>
    </row>
    <row r="1337" spans="1:8">
      <c r="A1337" t="s">
        <v>6995</v>
      </c>
      <c r="B1337" t="s">
        <v>351</v>
      </c>
      <c r="C1337" t="s">
        <v>10363</v>
      </c>
      <c r="D1337" t="s">
        <v>11713</v>
      </c>
      <c r="E1337">
        <v>918848021212</v>
      </c>
      <c r="F1337" t="s">
        <v>10369</v>
      </c>
      <c r="G1337" t="s">
        <v>10366</v>
      </c>
      <c r="H1337" s="2">
        <v>35740</v>
      </c>
    </row>
    <row r="1338" spans="1:8">
      <c r="A1338" t="s">
        <v>7000</v>
      </c>
      <c r="B1338" t="s">
        <v>3494</v>
      </c>
      <c r="C1338" t="s">
        <v>10367</v>
      </c>
      <c r="D1338" t="s">
        <v>11714</v>
      </c>
      <c r="E1338">
        <v>917499896735</v>
      </c>
      <c r="F1338" t="s">
        <v>10376</v>
      </c>
      <c r="G1338" t="s">
        <v>10379</v>
      </c>
      <c r="H1338" s="2">
        <v>26690</v>
      </c>
    </row>
    <row r="1339" spans="1:8">
      <c r="A1339" t="s">
        <v>7005</v>
      </c>
      <c r="B1339" t="s">
        <v>2510</v>
      </c>
      <c r="C1339" t="s">
        <v>10363</v>
      </c>
      <c r="D1339" t="s">
        <v>11715</v>
      </c>
      <c r="E1339">
        <v>917969611663</v>
      </c>
      <c r="F1339" t="s">
        <v>10369</v>
      </c>
      <c r="G1339" t="s">
        <v>10370</v>
      </c>
      <c r="H1339" s="2">
        <v>30523</v>
      </c>
    </row>
    <row r="1340" spans="1:8">
      <c r="A1340" t="s">
        <v>7010</v>
      </c>
      <c r="B1340" t="s">
        <v>2778</v>
      </c>
      <c r="C1340" t="s">
        <v>10363</v>
      </c>
      <c r="D1340" t="s">
        <v>11716</v>
      </c>
      <c r="E1340">
        <v>918291679464</v>
      </c>
      <c r="F1340" t="s">
        <v>10402</v>
      </c>
      <c r="G1340" t="s">
        <v>10379</v>
      </c>
      <c r="H1340" s="2">
        <v>20343</v>
      </c>
    </row>
    <row r="1341" spans="1:8">
      <c r="A1341" t="s">
        <v>7015</v>
      </c>
      <c r="B1341" t="s">
        <v>1367</v>
      </c>
      <c r="C1341" t="s">
        <v>10367</v>
      </c>
      <c r="D1341" t="s">
        <v>11717</v>
      </c>
      <c r="E1341">
        <v>918823078593</v>
      </c>
      <c r="F1341" t="s">
        <v>10388</v>
      </c>
      <c r="G1341" t="s">
        <v>10366</v>
      </c>
      <c r="H1341" s="2">
        <v>32283</v>
      </c>
    </row>
    <row r="1342" spans="1:8">
      <c r="A1342" t="s">
        <v>7020</v>
      </c>
      <c r="B1342" t="s">
        <v>3061</v>
      </c>
      <c r="C1342" t="s">
        <v>10363</v>
      </c>
      <c r="D1342" t="s">
        <v>11718</v>
      </c>
      <c r="E1342">
        <v>917171968399</v>
      </c>
      <c r="F1342" t="s">
        <v>10369</v>
      </c>
      <c r="G1342" t="s">
        <v>10377</v>
      </c>
      <c r="H1342" s="2">
        <v>31784</v>
      </c>
    </row>
    <row r="1343" spans="1:8">
      <c r="A1343" t="s">
        <v>7025</v>
      </c>
      <c r="B1343" t="s">
        <v>2474</v>
      </c>
      <c r="C1343" t="s">
        <v>10363</v>
      </c>
      <c r="D1343" t="s">
        <v>11719</v>
      </c>
      <c r="E1343">
        <v>917216512817</v>
      </c>
      <c r="F1343" t="s">
        <v>10388</v>
      </c>
      <c r="G1343" t="s">
        <v>10366</v>
      </c>
      <c r="H1343" s="2">
        <v>30445</v>
      </c>
    </row>
    <row r="1344" spans="1:8">
      <c r="A1344" t="s">
        <v>7030</v>
      </c>
      <c r="B1344" t="s">
        <v>8210</v>
      </c>
      <c r="C1344" t="s">
        <v>10367</v>
      </c>
      <c r="D1344" t="s">
        <v>11720</v>
      </c>
      <c r="E1344">
        <v>917875739772</v>
      </c>
      <c r="F1344" t="s">
        <v>10376</v>
      </c>
      <c r="G1344" t="s">
        <v>10370</v>
      </c>
      <c r="H1344" s="2">
        <v>26109</v>
      </c>
    </row>
    <row r="1345" spans="1:8">
      <c r="A1345" t="s">
        <v>7035</v>
      </c>
      <c r="B1345" t="s">
        <v>282</v>
      </c>
      <c r="C1345" t="s">
        <v>10367</v>
      </c>
      <c r="D1345" t="s">
        <v>11721</v>
      </c>
      <c r="E1345">
        <v>916469355414</v>
      </c>
      <c r="F1345" t="s">
        <v>10402</v>
      </c>
      <c r="G1345" t="s">
        <v>10377</v>
      </c>
      <c r="H1345" s="2">
        <v>22252</v>
      </c>
    </row>
    <row r="1346" spans="1:8">
      <c r="A1346" t="s">
        <v>7040</v>
      </c>
      <c r="B1346" t="s">
        <v>587</v>
      </c>
      <c r="C1346" t="s">
        <v>10363</v>
      </c>
      <c r="D1346" t="s">
        <v>11722</v>
      </c>
      <c r="E1346">
        <v>918294509527</v>
      </c>
      <c r="F1346" t="s">
        <v>10372</v>
      </c>
      <c r="G1346" t="s">
        <v>10379</v>
      </c>
      <c r="H1346" s="2">
        <v>35993</v>
      </c>
    </row>
    <row r="1347" spans="1:8">
      <c r="A1347" t="s">
        <v>7045</v>
      </c>
      <c r="B1347" t="s">
        <v>2636</v>
      </c>
      <c r="C1347" t="s">
        <v>10363</v>
      </c>
      <c r="D1347" t="s">
        <v>11723</v>
      </c>
      <c r="E1347">
        <v>916328024536</v>
      </c>
      <c r="F1347" t="s">
        <v>10376</v>
      </c>
      <c r="G1347" t="s">
        <v>10366</v>
      </c>
      <c r="H1347" s="2">
        <v>33423</v>
      </c>
    </row>
    <row r="1348" spans="1:8">
      <c r="A1348" t="s">
        <v>7050</v>
      </c>
      <c r="B1348" t="s">
        <v>1152</v>
      </c>
      <c r="C1348" t="s">
        <v>10367</v>
      </c>
      <c r="D1348" t="s">
        <v>11724</v>
      </c>
      <c r="E1348">
        <v>919106176271</v>
      </c>
      <c r="F1348" t="s">
        <v>10376</v>
      </c>
      <c r="G1348" t="s">
        <v>10366</v>
      </c>
      <c r="H1348" s="2">
        <v>36404</v>
      </c>
    </row>
    <row r="1349" spans="1:8">
      <c r="A1349" t="s">
        <v>7055</v>
      </c>
      <c r="B1349" t="s">
        <v>375</v>
      </c>
      <c r="C1349" t="s">
        <v>10363</v>
      </c>
      <c r="D1349" t="s">
        <v>11725</v>
      </c>
      <c r="E1349">
        <v>917136865947</v>
      </c>
      <c r="F1349" t="s">
        <v>10381</v>
      </c>
      <c r="G1349" t="s">
        <v>10366</v>
      </c>
      <c r="H1349" s="2">
        <v>34568</v>
      </c>
    </row>
    <row r="1350" spans="1:8">
      <c r="A1350" t="s">
        <v>7060</v>
      </c>
      <c r="B1350" t="s">
        <v>130</v>
      </c>
      <c r="C1350" t="s">
        <v>10363</v>
      </c>
      <c r="D1350" t="s">
        <v>11726</v>
      </c>
      <c r="E1350">
        <v>918347839267</v>
      </c>
      <c r="F1350" t="s">
        <v>10381</v>
      </c>
      <c r="G1350" t="s">
        <v>10379</v>
      </c>
      <c r="H1350" s="2">
        <v>32927</v>
      </c>
    </row>
    <row r="1351" spans="1:8">
      <c r="A1351" t="s">
        <v>7065</v>
      </c>
      <c r="B1351" t="s">
        <v>7311</v>
      </c>
      <c r="C1351" t="s">
        <v>10363</v>
      </c>
      <c r="D1351" t="s">
        <v>11727</v>
      </c>
      <c r="E1351">
        <v>918614991815</v>
      </c>
      <c r="F1351" t="s">
        <v>10384</v>
      </c>
      <c r="G1351" t="s">
        <v>10366</v>
      </c>
      <c r="H1351" s="2">
        <v>30449</v>
      </c>
    </row>
    <row r="1352" spans="1:8">
      <c r="A1352" t="s">
        <v>7070</v>
      </c>
      <c r="B1352" t="s">
        <v>841</v>
      </c>
      <c r="C1352" t="s">
        <v>10367</v>
      </c>
      <c r="D1352" t="s">
        <v>11728</v>
      </c>
      <c r="E1352">
        <v>916445360833</v>
      </c>
      <c r="F1352" t="s">
        <v>10365</v>
      </c>
      <c r="G1352" t="s">
        <v>10366</v>
      </c>
      <c r="H1352" s="2">
        <v>36033</v>
      </c>
    </row>
    <row r="1353" spans="1:8">
      <c r="A1353" t="s">
        <v>7075</v>
      </c>
      <c r="B1353" t="s">
        <v>7311</v>
      </c>
      <c r="C1353" t="s">
        <v>10363</v>
      </c>
      <c r="D1353" t="s">
        <v>11729</v>
      </c>
      <c r="E1353">
        <v>917967143136</v>
      </c>
      <c r="F1353" t="s">
        <v>10381</v>
      </c>
      <c r="G1353" t="s">
        <v>10379</v>
      </c>
      <c r="H1353" s="2">
        <v>28005</v>
      </c>
    </row>
    <row r="1354" spans="1:8">
      <c r="A1354" t="s">
        <v>7080</v>
      </c>
      <c r="B1354" t="s">
        <v>74</v>
      </c>
      <c r="C1354" t="s">
        <v>10363</v>
      </c>
      <c r="D1354" t="s">
        <v>11730</v>
      </c>
      <c r="E1354">
        <v>917820307125</v>
      </c>
      <c r="F1354" t="s">
        <v>10365</v>
      </c>
      <c r="G1354" t="s">
        <v>10379</v>
      </c>
      <c r="H1354" s="2">
        <v>34594</v>
      </c>
    </row>
    <row r="1355" spans="1:8">
      <c r="A1355" t="s">
        <v>7085</v>
      </c>
      <c r="B1355" t="s">
        <v>1539</v>
      </c>
      <c r="C1355" t="s">
        <v>10363</v>
      </c>
      <c r="D1355" t="s">
        <v>11731</v>
      </c>
      <c r="E1355">
        <v>917980083753</v>
      </c>
      <c r="F1355" t="s">
        <v>10365</v>
      </c>
      <c r="G1355" t="s">
        <v>10366</v>
      </c>
      <c r="H1355" s="2">
        <v>26795</v>
      </c>
    </row>
    <row r="1356" spans="1:8">
      <c r="A1356" t="s">
        <v>7090</v>
      </c>
      <c r="B1356" t="s">
        <v>9647</v>
      </c>
      <c r="C1356" t="s">
        <v>10367</v>
      </c>
      <c r="D1356" t="s">
        <v>11732</v>
      </c>
      <c r="E1356">
        <v>917192432916</v>
      </c>
      <c r="F1356" t="s">
        <v>10388</v>
      </c>
      <c r="G1356" t="s">
        <v>10377</v>
      </c>
      <c r="H1356" s="2">
        <v>34417</v>
      </c>
    </row>
    <row r="1357" spans="1:8">
      <c r="A1357" t="s">
        <v>7095</v>
      </c>
      <c r="B1357" t="s">
        <v>311</v>
      </c>
      <c r="C1357" t="s">
        <v>10363</v>
      </c>
      <c r="D1357" t="s">
        <v>11733</v>
      </c>
      <c r="E1357">
        <v>918585857736</v>
      </c>
      <c r="F1357" t="s">
        <v>10386</v>
      </c>
      <c r="G1357" t="s">
        <v>10370</v>
      </c>
      <c r="H1357" s="2">
        <v>36383</v>
      </c>
    </row>
    <row r="1358" spans="1:8">
      <c r="A1358" t="s">
        <v>7100</v>
      </c>
      <c r="B1358" t="s">
        <v>558</v>
      </c>
      <c r="C1358" t="s">
        <v>10363</v>
      </c>
      <c r="D1358" t="s">
        <v>11734</v>
      </c>
      <c r="E1358">
        <v>917618673936</v>
      </c>
      <c r="F1358" t="s">
        <v>10376</v>
      </c>
      <c r="G1358" t="s">
        <v>10377</v>
      </c>
      <c r="H1358" s="2">
        <v>22732</v>
      </c>
    </row>
    <row r="1359" spans="1:8">
      <c r="A1359" t="s">
        <v>7105</v>
      </c>
      <c r="B1359" t="s">
        <v>2202</v>
      </c>
      <c r="C1359" t="s">
        <v>10367</v>
      </c>
      <c r="D1359" t="s">
        <v>11735</v>
      </c>
      <c r="E1359">
        <v>918594344161</v>
      </c>
      <c r="F1359" t="s">
        <v>10376</v>
      </c>
      <c r="G1359" t="s">
        <v>10379</v>
      </c>
      <c r="H1359" s="2">
        <v>37207</v>
      </c>
    </row>
    <row r="1360" spans="1:8">
      <c r="A1360" t="s">
        <v>7110</v>
      </c>
      <c r="B1360" t="s">
        <v>899</v>
      </c>
      <c r="C1360" t="s">
        <v>10367</v>
      </c>
      <c r="D1360" t="s">
        <v>11736</v>
      </c>
      <c r="E1360">
        <v>919450222100</v>
      </c>
      <c r="F1360" t="s">
        <v>10386</v>
      </c>
      <c r="G1360" t="s">
        <v>10370</v>
      </c>
      <c r="H1360" s="2">
        <v>36608</v>
      </c>
    </row>
    <row r="1361" spans="1:8">
      <c r="A1361" t="s">
        <v>7115</v>
      </c>
      <c r="B1361" t="s">
        <v>2297</v>
      </c>
      <c r="C1361" t="s">
        <v>10363</v>
      </c>
      <c r="D1361" t="s">
        <v>11737</v>
      </c>
      <c r="E1361">
        <v>917440050441</v>
      </c>
      <c r="F1361" t="s">
        <v>10369</v>
      </c>
      <c r="G1361" t="s">
        <v>10366</v>
      </c>
      <c r="H1361" s="2">
        <v>32170</v>
      </c>
    </row>
    <row r="1362" spans="1:8">
      <c r="A1362" t="s">
        <v>7120</v>
      </c>
      <c r="B1362" t="s">
        <v>1164</v>
      </c>
      <c r="C1362" t="s">
        <v>10367</v>
      </c>
      <c r="D1362" t="s">
        <v>11738</v>
      </c>
      <c r="E1362">
        <v>916564013678</v>
      </c>
      <c r="F1362" t="s">
        <v>10381</v>
      </c>
      <c r="G1362" t="s">
        <v>10379</v>
      </c>
      <c r="H1362" s="2">
        <v>34827</v>
      </c>
    </row>
    <row r="1363" spans="1:8">
      <c r="A1363" t="s">
        <v>7125</v>
      </c>
      <c r="B1363" t="s">
        <v>1330</v>
      </c>
      <c r="C1363" t="s">
        <v>10367</v>
      </c>
      <c r="D1363" t="s">
        <v>11739</v>
      </c>
      <c r="E1363">
        <v>919472164393</v>
      </c>
      <c r="F1363" t="s">
        <v>10365</v>
      </c>
      <c r="G1363" t="s">
        <v>10377</v>
      </c>
      <c r="H1363" s="2">
        <v>32710</v>
      </c>
    </row>
    <row r="1364" spans="1:8">
      <c r="A1364" t="s">
        <v>7130</v>
      </c>
      <c r="B1364" t="s">
        <v>2101</v>
      </c>
      <c r="C1364" t="s">
        <v>10363</v>
      </c>
      <c r="D1364" t="s">
        <v>11740</v>
      </c>
      <c r="E1364">
        <v>917796884664</v>
      </c>
      <c r="F1364" t="s">
        <v>10376</v>
      </c>
      <c r="G1364" t="s">
        <v>10377</v>
      </c>
      <c r="H1364" s="2">
        <v>22361</v>
      </c>
    </row>
    <row r="1365" spans="1:8">
      <c r="A1365" t="s">
        <v>7135</v>
      </c>
      <c r="B1365" t="s">
        <v>1626</v>
      </c>
      <c r="C1365" t="s">
        <v>10367</v>
      </c>
      <c r="D1365" t="s">
        <v>11741</v>
      </c>
      <c r="E1365">
        <v>919639709642</v>
      </c>
      <c r="F1365" t="s">
        <v>10381</v>
      </c>
      <c r="G1365" t="s">
        <v>10379</v>
      </c>
      <c r="H1365" s="2">
        <v>32521</v>
      </c>
    </row>
    <row r="1366" spans="1:8">
      <c r="A1366" t="s">
        <v>7140</v>
      </c>
      <c r="B1366" t="s">
        <v>151</v>
      </c>
      <c r="C1366" t="s">
        <v>10367</v>
      </c>
      <c r="D1366" t="s">
        <v>11742</v>
      </c>
      <c r="E1366">
        <v>919701257195</v>
      </c>
      <c r="F1366" t="s">
        <v>10384</v>
      </c>
      <c r="G1366" t="s">
        <v>10366</v>
      </c>
      <c r="H1366" s="2">
        <v>31971</v>
      </c>
    </row>
    <row r="1367" spans="1:8">
      <c r="A1367" t="s">
        <v>7145</v>
      </c>
      <c r="B1367" t="s">
        <v>300</v>
      </c>
      <c r="C1367" t="s">
        <v>10367</v>
      </c>
      <c r="D1367" t="s">
        <v>11743</v>
      </c>
      <c r="E1367">
        <v>916343188817</v>
      </c>
      <c r="F1367" t="s">
        <v>10384</v>
      </c>
      <c r="G1367" t="s">
        <v>10377</v>
      </c>
      <c r="H1367" s="2">
        <v>24074</v>
      </c>
    </row>
    <row r="1368" spans="1:8">
      <c r="A1368" t="s">
        <v>7150</v>
      </c>
      <c r="B1368" t="s">
        <v>1757</v>
      </c>
      <c r="C1368" t="s">
        <v>10363</v>
      </c>
      <c r="D1368" t="s">
        <v>11744</v>
      </c>
      <c r="E1368">
        <v>916326531295</v>
      </c>
      <c r="F1368" t="s">
        <v>10381</v>
      </c>
      <c r="G1368" t="s">
        <v>10379</v>
      </c>
      <c r="H1368" s="2">
        <v>30226</v>
      </c>
    </row>
    <row r="1369" spans="1:8">
      <c r="A1369" t="s">
        <v>7155</v>
      </c>
      <c r="B1369" t="s">
        <v>2636</v>
      </c>
      <c r="C1369" t="s">
        <v>10363</v>
      </c>
      <c r="D1369" t="s">
        <v>11745</v>
      </c>
      <c r="E1369">
        <v>918531161453</v>
      </c>
      <c r="F1369" t="s">
        <v>10369</v>
      </c>
      <c r="G1369" t="s">
        <v>10366</v>
      </c>
      <c r="H1369" s="2">
        <v>24367</v>
      </c>
    </row>
    <row r="1370" spans="1:8">
      <c r="A1370" t="s">
        <v>7160</v>
      </c>
      <c r="B1370" t="s">
        <v>333</v>
      </c>
      <c r="C1370" t="s">
        <v>10363</v>
      </c>
      <c r="D1370" t="s">
        <v>11746</v>
      </c>
      <c r="E1370">
        <v>917410203410</v>
      </c>
      <c r="F1370" t="s">
        <v>10381</v>
      </c>
      <c r="G1370" t="s">
        <v>10377</v>
      </c>
      <c r="H1370" s="2">
        <v>25621</v>
      </c>
    </row>
    <row r="1371" spans="1:8">
      <c r="A1371" t="s">
        <v>7165</v>
      </c>
      <c r="B1371" t="s">
        <v>841</v>
      </c>
      <c r="C1371" t="s">
        <v>10367</v>
      </c>
      <c r="D1371" t="s">
        <v>11747</v>
      </c>
      <c r="E1371">
        <v>919723941590</v>
      </c>
      <c r="F1371" t="s">
        <v>10365</v>
      </c>
      <c r="G1371" t="s">
        <v>10377</v>
      </c>
      <c r="H1371" s="2">
        <v>36957</v>
      </c>
    </row>
    <row r="1372" spans="1:8">
      <c r="A1372" t="s">
        <v>7170</v>
      </c>
      <c r="B1372" t="s">
        <v>500</v>
      </c>
      <c r="C1372" t="s">
        <v>10363</v>
      </c>
      <c r="D1372" t="s">
        <v>11748</v>
      </c>
      <c r="E1372">
        <v>918246071561</v>
      </c>
      <c r="F1372" t="s">
        <v>10386</v>
      </c>
      <c r="G1372" t="s">
        <v>10366</v>
      </c>
      <c r="H1372" s="2">
        <v>23251</v>
      </c>
    </row>
    <row r="1373" spans="1:8">
      <c r="A1373" t="s">
        <v>7175</v>
      </c>
      <c r="B1373" t="s">
        <v>253</v>
      </c>
      <c r="C1373" t="s">
        <v>10363</v>
      </c>
      <c r="D1373" t="s">
        <v>11749</v>
      </c>
      <c r="E1373">
        <v>918326062115</v>
      </c>
      <c r="F1373" t="s">
        <v>10374</v>
      </c>
      <c r="G1373" t="s">
        <v>10370</v>
      </c>
      <c r="H1373" s="2">
        <v>31123</v>
      </c>
    </row>
    <row r="1374" spans="1:8">
      <c r="A1374" t="s">
        <v>7180</v>
      </c>
      <c r="B1374" t="s">
        <v>174</v>
      </c>
      <c r="C1374" t="s">
        <v>10367</v>
      </c>
      <c r="D1374" t="s">
        <v>11750</v>
      </c>
      <c r="E1374">
        <v>916642283279</v>
      </c>
      <c r="F1374" t="s">
        <v>10388</v>
      </c>
      <c r="G1374" t="s">
        <v>10379</v>
      </c>
      <c r="H1374" s="2">
        <v>30567</v>
      </c>
    </row>
    <row r="1375" spans="1:8">
      <c r="A1375" t="s">
        <v>7185</v>
      </c>
      <c r="B1375" t="s">
        <v>137</v>
      </c>
      <c r="C1375" t="s">
        <v>10363</v>
      </c>
      <c r="D1375" t="s">
        <v>11751</v>
      </c>
      <c r="E1375">
        <v>917746762765</v>
      </c>
      <c r="F1375" t="s">
        <v>10381</v>
      </c>
      <c r="G1375" t="s">
        <v>10370</v>
      </c>
      <c r="H1375" s="2">
        <v>25344</v>
      </c>
    </row>
    <row r="1376" spans="1:8">
      <c r="A1376" t="s">
        <v>7190</v>
      </c>
      <c r="B1376" t="s">
        <v>697</v>
      </c>
      <c r="C1376" t="s">
        <v>10363</v>
      </c>
      <c r="D1376" t="s">
        <v>11752</v>
      </c>
      <c r="E1376">
        <v>919825559395</v>
      </c>
      <c r="F1376" t="s">
        <v>10386</v>
      </c>
      <c r="G1376" t="s">
        <v>10370</v>
      </c>
      <c r="H1376" s="2">
        <v>24781</v>
      </c>
    </row>
    <row r="1377" spans="1:8">
      <c r="A1377" t="s">
        <v>7195</v>
      </c>
      <c r="B1377" t="s">
        <v>157</v>
      </c>
      <c r="C1377" t="s">
        <v>10363</v>
      </c>
      <c r="D1377" t="s">
        <v>11753</v>
      </c>
      <c r="E1377">
        <v>916240237587</v>
      </c>
      <c r="F1377" t="s">
        <v>10372</v>
      </c>
      <c r="G1377" t="s">
        <v>10366</v>
      </c>
      <c r="H1377" s="2">
        <v>25006</v>
      </c>
    </row>
    <row r="1378" spans="1:8">
      <c r="A1378" t="s">
        <v>7200</v>
      </c>
      <c r="B1378" t="s">
        <v>3112</v>
      </c>
      <c r="C1378" t="s">
        <v>10367</v>
      </c>
      <c r="D1378" t="s">
        <v>11754</v>
      </c>
      <c r="E1378">
        <v>916540423359</v>
      </c>
      <c r="F1378" t="s">
        <v>10365</v>
      </c>
      <c r="G1378" t="s">
        <v>10370</v>
      </c>
      <c r="H1378" s="2">
        <v>37582</v>
      </c>
    </row>
    <row r="1379" spans="1:8">
      <c r="A1379" t="s">
        <v>7205</v>
      </c>
      <c r="B1379" t="s">
        <v>339</v>
      </c>
      <c r="C1379" t="s">
        <v>10363</v>
      </c>
      <c r="D1379" t="s">
        <v>11755</v>
      </c>
      <c r="E1379">
        <v>919963313721</v>
      </c>
      <c r="F1379" t="s">
        <v>10388</v>
      </c>
      <c r="G1379" t="s">
        <v>10366</v>
      </c>
      <c r="H1379" s="2">
        <v>36611</v>
      </c>
    </row>
    <row r="1380" spans="1:8">
      <c r="A1380" t="s">
        <v>7210</v>
      </c>
      <c r="B1380" t="s">
        <v>327</v>
      </c>
      <c r="C1380" t="s">
        <v>10367</v>
      </c>
      <c r="D1380" t="s">
        <v>11756</v>
      </c>
      <c r="E1380">
        <v>917247059920</v>
      </c>
      <c r="F1380" t="s">
        <v>10386</v>
      </c>
      <c r="G1380" t="s">
        <v>10370</v>
      </c>
      <c r="H1380" s="2">
        <v>33831</v>
      </c>
    </row>
    <row r="1381" spans="1:8">
      <c r="A1381" t="s">
        <v>7215</v>
      </c>
      <c r="B1381" t="s">
        <v>2154</v>
      </c>
      <c r="C1381" t="s">
        <v>10363</v>
      </c>
      <c r="D1381" t="s">
        <v>11757</v>
      </c>
      <c r="E1381">
        <v>918047308338</v>
      </c>
      <c r="F1381" t="s">
        <v>10384</v>
      </c>
      <c r="G1381" t="s">
        <v>10377</v>
      </c>
      <c r="H1381" s="2">
        <v>28777</v>
      </c>
    </row>
    <row r="1382" spans="1:8">
      <c r="A1382" t="s">
        <v>7220</v>
      </c>
      <c r="B1382" t="s">
        <v>4359</v>
      </c>
      <c r="C1382" t="s">
        <v>10363</v>
      </c>
      <c r="D1382" t="s">
        <v>11758</v>
      </c>
      <c r="E1382">
        <v>917000068847</v>
      </c>
      <c r="F1382" t="s">
        <v>10384</v>
      </c>
      <c r="G1382" t="s">
        <v>10379</v>
      </c>
      <c r="H1382" s="2">
        <v>27961</v>
      </c>
    </row>
    <row r="1383" spans="1:8">
      <c r="A1383" t="s">
        <v>7225</v>
      </c>
      <c r="B1383" t="s">
        <v>1568</v>
      </c>
      <c r="C1383" t="s">
        <v>10367</v>
      </c>
      <c r="D1383" t="s">
        <v>11759</v>
      </c>
      <c r="E1383">
        <v>919204594912</v>
      </c>
      <c r="F1383" t="s">
        <v>10386</v>
      </c>
      <c r="G1383" t="s">
        <v>10379</v>
      </c>
      <c r="H1383" s="2">
        <v>37353</v>
      </c>
    </row>
    <row r="1384" spans="1:8">
      <c r="A1384" t="s">
        <v>7230</v>
      </c>
      <c r="B1384" t="s">
        <v>841</v>
      </c>
      <c r="C1384" t="s">
        <v>10367</v>
      </c>
      <c r="D1384" t="s">
        <v>11760</v>
      </c>
      <c r="E1384">
        <v>917217294560</v>
      </c>
      <c r="F1384" t="s">
        <v>10384</v>
      </c>
      <c r="G1384" t="s">
        <v>10366</v>
      </c>
      <c r="H1384" s="2">
        <v>28383</v>
      </c>
    </row>
    <row r="1385" spans="1:8">
      <c r="A1385" t="s">
        <v>7235</v>
      </c>
      <c r="B1385" t="s">
        <v>604</v>
      </c>
      <c r="C1385" t="s">
        <v>10363</v>
      </c>
      <c r="D1385" t="s">
        <v>11761</v>
      </c>
      <c r="E1385">
        <v>919827535907</v>
      </c>
      <c r="F1385" t="s">
        <v>10381</v>
      </c>
      <c r="G1385" t="s">
        <v>10370</v>
      </c>
      <c r="H1385" s="2">
        <v>36077</v>
      </c>
    </row>
    <row r="1386" spans="1:8">
      <c r="A1386" t="s">
        <v>7240</v>
      </c>
      <c r="B1386" t="s">
        <v>2778</v>
      </c>
      <c r="C1386" t="s">
        <v>10363</v>
      </c>
      <c r="D1386" t="s">
        <v>11762</v>
      </c>
      <c r="E1386">
        <v>916685733918</v>
      </c>
      <c r="F1386" t="s">
        <v>10386</v>
      </c>
      <c r="G1386" t="s">
        <v>10366</v>
      </c>
      <c r="H1386" s="2">
        <v>21046</v>
      </c>
    </row>
    <row r="1387" spans="1:8">
      <c r="A1387" t="s">
        <v>7245</v>
      </c>
      <c r="B1387" t="s">
        <v>45</v>
      </c>
      <c r="C1387" t="s">
        <v>10367</v>
      </c>
      <c r="D1387" t="s">
        <v>11763</v>
      </c>
      <c r="E1387">
        <v>916254076931</v>
      </c>
      <c r="F1387" t="s">
        <v>10402</v>
      </c>
      <c r="G1387" t="s">
        <v>10370</v>
      </c>
      <c r="H1387" s="2">
        <v>36533</v>
      </c>
    </row>
    <row r="1388" spans="1:8">
      <c r="A1388" t="s">
        <v>7250</v>
      </c>
      <c r="B1388" t="s">
        <v>265</v>
      </c>
      <c r="C1388" t="s">
        <v>10363</v>
      </c>
      <c r="D1388" t="s">
        <v>11764</v>
      </c>
      <c r="E1388">
        <v>918979887331</v>
      </c>
      <c r="F1388" t="s">
        <v>10402</v>
      </c>
      <c r="G1388" t="s">
        <v>10370</v>
      </c>
      <c r="H1388" s="2">
        <v>37150</v>
      </c>
    </row>
    <row r="1389" spans="1:8">
      <c r="A1389" t="s">
        <v>7255</v>
      </c>
      <c r="B1389" t="s">
        <v>4740</v>
      </c>
      <c r="C1389" t="s">
        <v>10367</v>
      </c>
      <c r="D1389" t="s">
        <v>11765</v>
      </c>
      <c r="E1389">
        <v>917064082933</v>
      </c>
      <c r="F1389" t="s">
        <v>10374</v>
      </c>
      <c r="G1389" t="s">
        <v>10379</v>
      </c>
      <c r="H1389" s="2">
        <v>33148</v>
      </c>
    </row>
    <row r="1390" spans="1:8">
      <c r="A1390" t="s">
        <v>7260</v>
      </c>
      <c r="B1390" t="s">
        <v>1361</v>
      </c>
      <c r="C1390" t="s">
        <v>10367</v>
      </c>
      <c r="D1390" t="s">
        <v>11766</v>
      </c>
      <c r="E1390">
        <v>918893341441</v>
      </c>
      <c r="F1390" t="s">
        <v>10388</v>
      </c>
      <c r="G1390" t="s">
        <v>10377</v>
      </c>
      <c r="H1390" s="2">
        <v>28587</v>
      </c>
    </row>
    <row r="1391" spans="1:8">
      <c r="A1391" t="s">
        <v>7265</v>
      </c>
      <c r="B1391" t="s">
        <v>1610</v>
      </c>
      <c r="C1391" t="s">
        <v>10367</v>
      </c>
      <c r="D1391" t="s">
        <v>11767</v>
      </c>
      <c r="E1391">
        <v>916090949567</v>
      </c>
      <c r="F1391" t="s">
        <v>10381</v>
      </c>
      <c r="G1391" t="s">
        <v>10379</v>
      </c>
      <c r="H1391" s="2">
        <v>31488</v>
      </c>
    </row>
    <row r="1392" spans="1:8">
      <c r="A1392" t="s">
        <v>7270</v>
      </c>
      <c r="B1392" t="s">
        <v>673</v>
      </c>
      <c r="C1392" t="s">
        <v>10363</v>
      </c>
      <c r="D1392" t="s">
        <v>11768</v>
      </c>
      <c r="E1392">
        <v>918611996964</v>
      </c>
      <c r="F1392" t="s">
        <v>10386</v>
      </c>
      <c r="G1392" t="s">
        <v>10366</v>
      </c>
      <c r="H1392" s="2">
        <v>31035</v>
      </c>
    </row>
    <row r="1393" spans="1:8">
      <c r="A1393" t="s">
        <v>7275</v>
      </c>
      <c r="B1393" t="s">
        <v>124</v>
      </c>
      <c r="C1393" t="s">
        <v>10363</v>
      </c>
      <c r="D1393" t="s">
        <v>11769</v>
      </c>
      <c r="E1393">
        <v>918441027356</v>
      </c>
      <c r="F1393" t="s">
        <v>10374</v>
      </c>
      <c r="G1393" t="s">
        <v>10366</v>
      </c>
      <c r="H1393" s="2">
        <v>28501</v>
      </c>
    </row>
    <row r="1394" spans="1:8">
      <c r="A1394" t="s">
        <v>7280</v>
      </c>
      <c r="B1394" t="s">
        <v>1693</v>
      </c>
      <c r="C1394" t="s">
        <v>10367</v>
      </c>
      <c r="D1394" t="s">
        <v>11770</v>
      </c>
      <c r="E1394">
        <v>919049742852</v>
      </c>
      <c r="F1394" t="s">
        <v>10402</v>
      </c>
      <c r="G1394" t="s">
        <v>10379</v>
      </c>
      <c r="H1394" s="2">
        <v>22783</v>
      </c>
    </row>
    <row r="1395" spans="1:8">
      <c r="A1395" t="s">
        <v>7285</v>
      </c>
      <c r="B1395" t="s">
        <v>9225</v>
      </c>
      <c r="C1395" t="s">
        <v>10367</v>
      </c>
      <c r="D1395" t="s">
        <v>11771</v>
      </c>
      <c r="E1395">
        <v>918681200468</v>
      </c>
      <c r="F1395" t="s">
        <v>10374</v>
      </c>
      <c r="G1395" t="s">
        <v>10370</v>
      </c>
      <c r="H1395" s="2">
        <v>36316</v>
      </c>
    </row>
    <row r="1396" spans="1:8">
      <c r="A1396" t="s">
        <v>7290</v>
      </c>
      <c r="B1396" t="s">
        <v>74</v>
      </c>
      <c r="C1396" t="s">
        <v>10363</v>
      </c>
      <c r="D1396" t="s">
        <v>11772</v>
      </c>
      <c r="E1396">
        <v>919840645957</v>
      </c>
      <c r="F1396" t="s">
        <v>10384</v>
      </c>
      <c r="G1396" t="s">
        <v>10370</v>
      </c>
      <c r="H1396" s="2">
        <v>21752</v>
      </c>
    </row>
    <row r="1397" spans="1:8">
      <c r="A1397" t="s">
        <v>7295</v>
      </c>
      <c r="B1397" t="s">
        <v>2244</v>
      </c>
      <c r="C1397" t="s">
        <v>10367</v>
      </c>
      <c r="D1397" t="s">
        <v>11773</v>
      </c>
      <c r="E1397">
        <v>916397419207</v>
      </c>
      <c r="F1397" t="s">
        <v>10372</v>
      </c>
      <c r="G1397" t="s">
        <v>10366</v>
      </c>
      <c r="H1397" s="2">
        <v>31555</v>
      </c>
    </row>
    <row r="1398" spans="1:8">
      <c r="A1398" t="s">
        <v>7300</v>
      </c>
      <c r="B1398" t="s">
        <v>8914</v>
      </c>
      <c r="C1398" t="s">
        <v>10367</v>
      </c>
      <c r="D1398" t="s">
        <v>11774</v>
      </c>
      <c r="E1398">
        <v>919390842259</v>
      </c>
      <c r="F1398" t="s">
        <v>10381</v>
      </c>
      <c r="G1398" t="s">
        <v>10379</v>
      </c>
      <c r="H1398" s="2">
        <v>34905</v>
      </c>
    </row>
    <row r="1399" spans="1:8">
      <c r="A1399" t="s">
        <v>7305</v>
      </c>
      <c r="B1399" t="s">
        <v>1594</v>
      </c>
      <c r="C1399" t="s">
        <v>10363</v>
      </c>
      <c r="D1399" t="s">
        <v>11775</v>
      </c>
      <c r="E1399">
        <v>918202849515</v>
      </c>
      <c r="F1399" t="s">
        <v>10384</v>
      </c>
      <c r="G1399" t="s">
        <v>10370</v>
      </c>
      <c r="H1399" s="2">
        <v>27036</v>
      </c>
    </row>
    <row r="1400" spans="1:8">
      <c r="A1400" t="s">
        <v>7310</v>
      </c>
      <c r="B1400" t="s">
        <v>460</v>
      </c>
      <c r="C1400" t="s">
        <v>10363</v>
      </c>
      <c r="D1400" t="s">
        <v>11776</v>
      </c>
      <c r="E1400">
        <v>919374873230</v>
      </c>
      <c r="F1400" t="s">
        <v>10381</v>
      </c>
      <c r="G1400" t="s">
        <v>10366</v>
      </c>
      <c r="H1400" s="2">
        <v>26688</v>
      </c>
    </row>
    <row r="1401" spans="1:8">
      <c r="A1401" t="s">
        <v>7316</v>
      </c>
      <c r="B1401" t="s">
        <v>386</v>
      </c>
      <c r="C1401" t="s">
        <v>10363</v>
      </c>
      <c r="D1401" t="s">
        <v>11777</v>
      </c>
      <c r="E1401">
        <v>917003096425</v>
      </c>
      <c r="F1401" t="s">
        <v>10372</v>
      </c>
      <c r="G1401" t="s">
        <v>10377</v>
      </c>
      <c r="H1401" s="2">
        <v>33361</v>
      </c>
    </row>
    <row r="1402" spans="1:8">
      <c r="A1402" t="s">
        <v>7321</v>
      </c>
      <c r="B1402" t="s">
        <v>288</v>
      </c>
      <c r="C1402" t="s">
        <v>10367</v>
      </c>
      <c r="D1402" t="s">
        <v>11778</v>
      </c>
      <c r="E1402">
        <v>919085633827</v>
      </c>
      <c r="F1402" t="s">
        <v>10381</v>
      </c>
      <c r="G1402" t="s">
        <v>10366</v>
      </c>
      <c r="H1402" s="2">
        <v>31331</v>
      </c>
    </row>
    <row r="1403" spans="1:8">
      <c r="A1403" t="s">
        <v>7326</v>
      </c>
      <c r="B1403" t="s">
        <v>52</v>
      </c>
      <c r="C1403" t="s">
        <v>10363</v>
      </c>
      <c r="D1403" t="s">
        <v>11779</v>
      </c>
      <c r="E1403">
        <v>918610404391</v>
      </c>
      <c r="F1403" t="s">
        <v>10372</v>
      </c>
      <c r="G1403" t="s">
        <v>10377</v>
      </c>
      <c r="H1403" s="2">
        <v>23323</v>
      </c>
    </row>
    <row r="1404" spans="1:8">
      <c r="A1404" t="s">
        <v>7331</v>
      </c>
      <c r="B1404" t="s">
        <v>472</v>
      </c>
      <c r="C1404" t="s">
        <v>10363</v>
      </c>
      <c r="D1404" t="s">
        <v>11780</v>
      </c>
      <c r="E1404">
        <v>916370844163</v>
      </c>
      <c r="F1404" t="s">
        <v>10384</v>
      </c>
      <c r="G1404" t="s">
        <v>10377</v>
      </c>
      <c r="H1404" s="2">
        <v>22762</v>
      </c>
    </row>
    <row r="1405" spans="1:8">
      <c r="A1405" t="s">
        <v>7336</v>
      </c>
      <c r="B1405" t="s">
        <v>5267</v>
      </c>
      <c r="C1405" t="s">
        <v>10367</v>
      </c>
      <c r="D1405" t="s">
        <v>11781</v>
      </c>
      <c r="E1405">
        <v>918031483143</v>
      </c>
      <c r="F1405" t="s">
        <v>10402</v>
      </c>
      <c r="G1405" t="s">
        <v>10370</v>
      </c>
      <c r="H1405" s="2">
        <v>25136</v>
      </c>
    </row>
    <row r="1406" spans="1:8">
      <c r="A1406" t="s">
        <v>7341</v>
      </c>
      <c r="B1406" t="s">
        <v>100</v>
      </c>
      <c r="C1406" t="s">
        <v>10363</v>
      </c>
      <c r="D1406" t="s">
        <v>11782</v>
      </c>
      <c r="E1406">
        <v>918348766088</v>
      </c>
      <c r="F1406" t="s">
        <v>10386</v>
      </c>
      <c r="G1406" t="s">
        <v>10377</v>
      </c>
      <c r="H1406" s="2">
        <v>24327</v>
      </c>
    </row>
    <row r="1407" spans="1:8">
      <c r="A1407" t="s">
        <v>7346</v>
      </c>
      <c r="B1407" t="s">
        <v>1014</v>
      </c>
      <c r="C1407" t="s">
        <v>10367</v>
      </c>
      <c r="D1407" t="s">
        <v>11783</v>
      </c>
      <c r="E1407">
        <v>916647411821</v>
      </c>
      <c r="F1407" t="s">
        <v>10388</v>
      </c>
      <c r="G1407" t="s">
        <v>10370</v>
      </c>
      <c r="H1407" s="2">
        <v>34388</v>
      </c>
    </row>
    <row r="1408" spans="1:8">
      <c r="A1408" t="s">
        <v>7351</v>
      </c>
      <c r="B1408" t="s">
        <v>2831</v>
      </c>
      <c r="C1408" t="s">
        <v>10363</v>
      </c>
      <c r="D1408" t="s">
        <v>11784</v>
      </c>
      <c r="E1408">
        <v>916396283481</v>
      </c>
      <c r="F1408" t="s">
        <v>10372</v>
      </c>
      <c r="G1408" t="s">
        <v>10366</v>
      </c>
      <c r="H1408" s="2">
        <v>32879</v>
      </c>
    </row>
    <row r="1409" spans="1:8">
      <c r="A1409" t="s">
        <v>7356</v>
      </c>
      <c r="B1409" t="s">
        <v>186</v>
      </c>
      <c r="C1409" t="s">
        <v>10363</v>
      </c>
      <c r="D1409" t="s">
        <v>11785</v>
      </c>
      <c r="E1409">
        <v>918769072219</v>
      </c>
      <c r="F1409" t="s">
        <v>10384</v>
      </c>
      <c r="G1409" t="s">
        <v>10377</v>
      </c>
      <c r="H1409" s="2">
        <v>33807</v>
      </c>
    </row>
    <row r="1410" spans="1:8">
      <c r="A1410" t="s">
        <v>7361</v>
      </c>
      <c r="B1410" t="s">
        <v>802</v>
      </c>
      <c r="C1410" t="s">
        <v>10367</v>
      </c>
      <c r="D1410" t="s">
        <v>11786</v>
      </c>
      <c r="E1410">
        <v>919541207367</v>
      </c>
      <c r="F1410" t="s">
        <v>10369</v>
      </c>
      <c r="G1410" t="s">
        <v>10377</v>
      </c>
      <c r="H1410" s="2">
        <v>36096</v>
      </c>
    </row>
    <row r="1411" spans="1:8">
      <c r="A1411" t="s">
        <v>7366</v>
      </c>
      <c r="B1411" t="s">
        <v>1757</v>
      </c>
      <c r="C1411" t="s">
        <v>10363</v>
      </c>
      <c r="D1411" t="s">
        <v>11787</v>
      </c>
      <c r="E1411">
        <v>916825463834</v>
      </c>
      <c r="F1411" t="s">
        <v>10374</v>
      </c>
      <c r="G1411" t="s">
        <v>10379</v>
      </c>
      <c r="H1411" s="2">
        <v>33234</v>
      </c>
    </row>
    <row r="1412" spans="1:8">
      <c r="A1412" t="s">
        <v>7371</v>
      </c>
      <c r="B1412" t="s">
        <v>871</v>
      </c>
      <c r="C1412" t="s">
        <v>10363</v>
      </c>
      <c r="D1412" t="s">
        <v>11788</v>
      </c>
      <c r="E1412">
        <v>919265787207</v>
      </c>
      <c r="F1412" t="s">
        <v>10386</v>
      </c>
      <c r="G1412" t="s">
        <v>10379</v>
      </c>
      <c r="H1412" s="2">
        <v>31422</v>
      </c>
    </row>
    <row r="1413" spans="1:8">
      <c r="A1413" t="s">
        <v>7376</v>
      </c>
      <c r="B1413" t="s">
        <v>871</v>
      </c>
      <c r="C1413" t="s">
        <v>10363</v>
      </c>
      <c r="D1413" t="s">
        <v>11789</v>
      </c>
      <c r="E1413">
        <v>919686188195</v>
      </c>
      <c r="F1413" t="s">
        <v>10376</v>
      </c>
      <c r="G1413" t="s">
        <v>10377</v>
      </c>
      <c r="H1413" s="2">
        <v>34382</v>
      </c>
    </row>
    <row r="1414" spans="1:8">
      <c r="A1414" t="s">
        <v>7381</v>
      </c>
      <c r="B1414" t="s">
        <v>3762</v>
      </c>
      <c r="C1414" t="s">
        <v>10363</v>
      </c>
      <c r="D1414" t="s">
        <v>11790</v>
      </c>
      <c r="E1414">
        <v>919492411619</v>
      </c>
      <c r="F1414" t="s">
        <v>10388</v>
      </c>
      <c r="G1414" t="s">
        <v>10377</v>
      </c>
      <c r="H1414" s="2">
        <v>25909</v>
      </c>
    </row>
    <row r="1415" spans="1:8">
      <c r="A1415" t="s">
        <v>7386</v>
      </c>
      <c r="B1415" t="s">
        <v>500</v>
      </c>
      <c r="C1415" t="s">
        <v>10363</v>
      </c>
      <c r="D1415" t="s">
        <v>11791</v>
      </c>
      <c r="E1415">
        <v>918544483442</v>
      </c>
      <c r="F1415" t="s">
        <v>10374</v>
      </c>
      <c r="G1415" t="s">
        <v>10379</v>
      </c>
      <c r="H1415" s="2">
        <v>20670</v>
      </c>
    </row>
    <row r="1416" spans="1:8">
      <c r="A1416" t="s">
        <v>7391</v>
      </c>
      <c r="B1416" t="s">
        <v>916</v>
      </c>
      <c r="C1416" t="s">
        <v>10367</v>
      </c>
      <c r="D1416" t="s">
        <v>11792</v>
      </c>
      <c r="E1416">
        <v>917481516227</v>
      </c>
      <c r="F1416" t="s">
        <v>10388</v>
      </c>
      <c r="G1416" t="s">
        <v>10379</v>
      </c>
      <c r="H1416" s="2">
        <v>30858</v>
      </c>
    </row>
    <row r="1417" spans="1:8">
      <c r="A1417" t="s">
        <v>7396</v>
      </c>
      <c r="B1417" t="s">
        <v>697</v>
      </c>
      <c r="C1417" t="s">
        <v>10363</v>
      </c>
      <c r="D1417" t="s">
        <v>11793</v>
      </c>
      <c r="E1417">
        <v>916323160183</v>
      </c>
      <c r="F1417" t="s">
        <v>10386</v>
      </c>
      <c r="G1417" t="s">
        <v>10370</v>
      </c>
      <c r="H1417" s="2">
        <v>22828</v>
      </c>
    </row>
    <row r="1418" spans="1:8">
      <c r="A1418" t="s">
        <v>7401</v>
      </c>
      <c r="B1418" t="s">
        <v>1453</v>
      </c>
      <c r="C1418" t="s">
        <v>10363</v>
      </c>
      <c r="D1418" t="s">
        <v>11794</v>
      </c>
      <c r="E1418">
        <v>916398667462</v>
      </c>
      <c r="F1418" t="s">
        <v>10388</v>
      </c>
      <c r="G1418" t="s">
        <v>10366</v>
      </c>
      <c r="H1418" s="2">
        <v>36400</v>
      </c>
    </row>
    <row r="1419" spans="1:8">
      <c r="A1419" t="s">
        <v>7406</v>
      </c>
      <c r="B1419" t="s">
        <v>265</v>
      </c>
      <c r="C1419" t="s">
        <v>10363</v>
      </c>
      <c r="D1419" t="s">
        <v>11795</v>
      </c>
      <c r="E1419">
        <v>919692442043</v>
      </c>
      <c r="F1419" t="s">
        <v>10376</v>
      </c>
      <c r="G1419" t="s">
        <v>10377</v>
      </c>
      <c r="H1419" s="2">
        <v>30160</v>
      </c>
    </row>
    <row r="1420" spans="1:8">
      <c r="A1420" t="s">
        <v>7411</v>
      </c>
      <c r="B1420" t="s">
        <v>829</v>
      </c>
      <c r="C1420" t="s">
        <v>10367</v>
      </c>
      <c r="D1420" t="s">
        <v>11796</v>
      </c>
      <c r="E1420">
        <v>917206608387</v>
      </c>
      <c r="F1420" t="s">
        <v>10386</v>
      </c>
      <c r="G1420" t="s">
        <v>10379</v>
      </c>
      <c r="H1420" s="2">
        <v>29545</v>
      </c>
    </row>
    <row r="1421" spans="1:8">
      <c r="A1421" t="s">
        <v>7416</v>
      </c>
      <c r="B1421" t="s">
        <v>1052</v>
      </c>
      <c r="C1421" t="s">
        <v>10367</v>
      </c>
      <c r="D1421" t="s">
        <v>11797</v>
      </c>
      <c r="E1421">
        <v>916254542151</v>
      </c>
      <c r="F1421" t="s">
        <v>10388</v>
      </c>
      <c r="G1421" t="s">
        <v>10379</v>
      </c>
      <c r="H1421" s="2">
        <v>22637</v>
      </c>
    </row>
    <row r="1422" spans="1:8">
      <c r="A1422" t="s">
        <v>7421</v>
      </c>
      <c r="B1422" t="s">
        <v>443</v>
      </c>
      <c r="C1422" t="s">
        <v>10367</v>
      </c>
      <c r="D1422" t="s">
        <v>11798</v>
      </c>
      <c r="E1422">
        <v>919722223967</v>
      </c>
      <c r="F1422" t="s">
        <v>10402</v>
      </c>
      <c r="G1422" t="s">
        <v>10366</v>
      </c>
      <c r="H1422" s="2">
        <v>35082</v>
      </c>
    </row>
    <row r="1423" spans="1:8">
      <c r="A1423" t="s">
        <v>7426</v>
      </c>
      <c r="B1423" t="s">
        <v>3525</v>
      </c>
      <c r="C1423" t="s">
        <v>10367</v>
      </c>
      <c r="D1423" t="s">
        <v>11799</v>
      </c>
      <c r="E1423">
        <v>916925533565</v>
      </c>
      <c r="F1423" t="s">
        <v>10388</v>
      </c>
      <c r="G1423" t="s">
        <v>10379</v>
      </c>
      <c r="H1423" s="2">
        <v>28028</v>
      </c>
    </row>
    <row r="1424" spans="1:8">
      <c r="A1424" t="s">
        <v>7431</v>
      </c>
      <c r="B1424" t="s">
        <v>5074</v>
      </c>
      <c r="C1424" t="s">
        <v>10367</v>
      </c>
      <c r="D1424" t="s">
        <v>11800</v>
      </c>
      <c r="E1424">
        <v>918371077130</v>
      </c>
      <c r="F1424" t="s">
        <v>10376</v>
      </c>
      <c r="G1424" t="s">
        <v>10370</v>
      </c>
      <c r="H1424" s="2">
        <v>25791</v>
      </c>
    </row>
    <row r="1425" spans="1:8">
      <c r="A1425" t="s">
        <v>7436</v>
      </c>
      <c r="B1425" t="s">
        <v>575</v>
      </c>
      <c r="C1425" t="s">
        <v>10363</v>
      </c>
      <c r="D1425" t="s">
        <v>11801</v>
      </c>
      <c r="E1425">
        <v>916610489396</v>
      </c>
      <c r="F1425" t="s">
        <v>10384</v>
      </c>
      <c r="G1425" t="s">
        <v>10366</v>
      </c>
      <c r="H1425" s="2">
        <v>32847</v>
      </c>
    </row>
    <row r="1426" spans="1:8">
      <c r="A1426" t="s">
        <v>7441</v>
      </c>
      <c r="B1426" t="s">
        <v>587</v>
      </c>
      <c r="C1426" t="s">
        <v>10363</v>
      </c>
      <c r="D1426" t="s">
        <v>11802</v>
      </c>
      <c r="E1426">
        <v>917529312127</v>
      </c>
      <c r="F1426" t="s">
        <v>10374</v>
      </c>
      <c r="G1426" t="s">
        <v>10377</v>
      </c>
      <c r="H1426" s="2">
        <v>25136</v>
      </c>
    </row>
    <row r="1427" spans="1:8">
      <c r="A1427" t="s">
        <v>7446</v>
      </c>
      <c r="B1427" t="s">
        <v>506</v>
      </c>
      <c r="C1427" t="s">
        <v>10367</v>
      </c>
      <c r="D1427" t="s">
        <v>11803</v>
      </c>
      <c r="E1427">
        <v>919948526247</v>
      </c>
      <c r="F1427" t="s">
        <v>10372</v>
      </c>
      <c r="G1427" t="s">
        <v>10370</v>
      </c>
      <c r="H1427" s="2">
        <v>25765</v>
      </c>
    </row>
    <row r="1428" spans="1:8">
      <c r="A1428" t="s">
        <v>7451</v>
      </c>
      <c r="B1428" t="s">
        <v>6465</v>
      </c>
      <c r="C1428" t="s">
        <v>10363</v>
      </c>
      <c r="D1428" t="s">
        <v>11804</v>
      </c>
      <c r="E1428">
        <v>916839460203</v>
      </c>
      <c r="F1428" t="s">
        <v>10386</v>
      </c>
      <c r="G1428" t="s">
        <v>10370</v>
      </c>
      <c r="H1428" s="2">
        <v>23485</v>
      </c>
    </row>
    <row r="1429" spans="1:8">
      <c r="A1429" t="s">
        <v>7456</v>
      </c>
      <c r="B1429" t="s">
        <v>3118</v>
      </c>
      <c r="C1429" t="s">
        <v>10367</v>
      </c>
      <c r="D1429" t="s">
        <v>11805</v>
      </c>
      <c r="E1429">
        <v>917885386393</v>
      </c>
      <c r="F1429" t="s">
        <v>10374</v>
      </c>
      <c r="G1429" t="s">
        <v>10366</v>
      </c>
      <c r="H1429" s="2">
        <v>29793</v>
      </c>
    </row>
    <row r="1430" spans="1:8">
      <c r="A1430" t="s">
        <v>7461</v>
      </c>
      <c r="B1430" t="s">
        <v>235</v>
      </c>
      <c r="C1430" t="s">
        <v>10367</v>
      </c>
      <c r="D1430" t="s">
        <v>11806</v>
      </c>
      <c r="E1430">
        <v>916422044628</v>
      </c>
      <c r="F1430" t="s">
        <v>10386</v>
      </c>
      <c r="G1430" t="s">
        <v>10370</v>
      </c>
      <c r="H1430" s="2">
        <v>31448</v>
      </c>
    </row>
    <row r="1431" spans="1:8">
      <c r="A1431" t="s">
        <v>7466</v>
      </c>
      <c r="B1431" t="s">
        <v>1164</v>
      </c>
      <c r="C1431" t="s">
        <v>10367</v>
      </c>
      <c r="D1431" t="s">
        <v>11807</v>
      </c>
      <c r="E1431">
        <v>917482653585</v>
      </c>
      <c r="F1431" t="s">
        <v>10381</v>
      </c>
      <c r="G1431" t="s">
        <v>10379</v>
      </c>
      <c r="H1431" s="2">
        <v>31230</v>
      </c>
    </row>
    <row r="1432" spans="1:8">
      <c r="A1432" t="s">
        <v>7471</v>
      </c>
      <c r="B1432" t="s">
        <v>2457</v>
      </c>
      <c r="C1432" t="s">
        <v>10367</v>
      </c>
      <c r="D1432" t="s">
        <v>11808</v>
      </c>
      <c r="E1432">
        <v>918202764162</v>
      </c>
      <c r="F1432" t="s">
        <v>10402</v>
      </c>
      <c r="G1432" t="s">
        <v>10377</v>
      </c>
      <c r="H1432" s="2">
        <v>37385</v>
      </c>
    </row>
    <row r="1433" spans="1:8">
      <c r="A1433" t="s">
        <v>7476</v>
      </c>
      <c r="B1433" t="s">
        <v>697</v>
      </c>
      <c r="C1433" t="s">
        <v>10363</v>
      </c>
      <c r="D1433" t="s">
        <v>11809</v>
      </c>
      <c r="E1433">
        <v>916484213914</v>
      </c>
      <c r="F1433" t="s">
        <v>10372</v>
      </c>
      <c r="G1433" t="s">
        <v>10370</v>
      </c>
      <c r="H1433" s="2">
        <v>36344</v>
      </c>
    </row>
    <row r="1434" spans="1:8">
      <c r="A1434" t="s">
        <v>7481</v>
      </c>
      <c r="B1434" t="s">
        <v>1794</v>
      </c>
      <c r="C1434" t="s">
        <v>10367</v>
      </c>
      <c r="D1434" t="s">
        <v>11810</v>
      </c>
      <c r="E1434">
        <v>917318193035</v>
      </c>
      <c r="F1434" t="s">
        <v>10386</v>
      </c>
      <c r="G1434" t="s">
        <v>10377</v>
      </c>
      <c r="H1434" s="2">
        <v>24656</v>
      </c>
    </row>
    <row r="1435" spans="1:8">
      <c r="A1435" t="s">
        <v>7486</v>
      </c>
      <c r="B1435" t="s">
        <v>357</v>
      </c>
      <c r="C1435" t="s">
        <v>10367</v>
      </c>
      <c r="D1435" t="s">
        <v>11811</v>
      </c>
      <c r="E1435">
        <v>919361645582</v>
      </c>
      <c r="F1435" t="s">
        <v>10374</v>
      </c>
      <c r="G1435" t="s">
        <v>10366</v>
      </c>
      <c r="H1435" s="2">
        <v>28115</v>
      </c>
    </row>
    <row r="1436" spans="1:8">
      <c r="A1436" t="s">
        <v>7491</v>
      </c>
      <c r="B1436" t="s">
        <v>661</v>
      </c>
      <c r="C1436" t="s">
        <v>10367</v>
      </c>
      <c r="D1436" t="s">
        <v>11812</v>
      </c>
      <c r="E1436">
        <v>918150817506</v>
      </c>
      <c r="F1436" t="s">
        <v>10376</v>
      </c>
      <c r="G1436" t="s">
        <v>10379</v>
      </c>
      <c r="H1436" s="2">
        <v>31925</v>
      </c>
    </row>
    <row r="1437" spans="1:8">
      <c r="A1437" t="s">
        <v>7496</v>
      </c>
      <c r="B1437" t="s">
        <v>1699</v>
      </c>
      <c r="C1437" t="s">
        <v>10363</v>
      </c>
      <c r="D1437" t="s">
        <v>11813</v>
      </c>
      <c r="E1437">
        <v>917146401760</v>
      </c>
      <c r="F1437" t="s">
        <v>10388</v>
      </c>
      <c r="G1437" t="s">
        <v>10370</v>
      </c>
      <c r="H1437" s="2">
        <v>26977</v>
      </c>
    </row>
    <row r="1438" spans="1:8">
      <c r="A1438" t="s">
        <v>7501</v>
      </c>
      <c r="B1438" t="s">
        <v>472</v>
      </c>
      <c r="C1438" t="s">
        <v>10363</v>
      </c>
      <c r="D1438" t="s">
        <v>11814</v>
      </c>
      <c r="E1438">
        <v>917521158525</v>
      </c>
      <c r="F1438" t="s">
        <v>10386</v>
      </c>
      <c r="G1438" t="s">
        <v>10379</v>
      </c>
      <c r="H1438" s="2">
        <v>20462</v>
      </c>
    </row>
    <row r="1439" spans="1:8">
      <c r="A1439" t="s">
        <v>7506</v>
      </c>
      <c r="B1439" t="s">
        <v>2815</v>
      </c>
      <c r="C1439" t="s">
        <v>10363</v>
      </c>
      <c r="D1439" t="s">
        <v>11815</v>
      </c>
      <c r="E1439">
        <v>918763935307</v>
      </c>
      <c r="F1439" t="s">
        <v>10381</v>
      </c>
      <c r="G1439" t="s">
        <v>10370</v>
      </c>
      <c r="H1439" s="2">
        <v>31479</v>
      </c>
    </row>
    <row r="1440" spans="1:8">
      <c r="A1440" t="s">
        <v>7511</v>
      </c>
      <c r="B1440" t="s">
        <v>835</v>
      </c>
      <c r="C1440" t="s">
        <v>10363</v>
      </c>
      <c r="D1440" t="s">
        <v>11816</v>
      </c>
      <c r="E1440">
        <v>918950595360</v>
      </c>
      <c r="F1440" t="s">
        <v>10381</v>
      </c>
      <c r="G1440" t="s">
        <v>10377</v>
      </c>
      <c r="H1440" s="2">
        <v>35424</v>
      </c>
    </row>
    <row r="1441" spans="1:8">
      <c r="A1441" t="s">
        <v>7516</v>
      </c>
      <c r="B1441" t="s">
        <v>415</v>
      </c>
      <c r="C1441" t="s">
        <v>10367</v>
      </c>
      <c r="D1441" t="s">
        <v>11817</v>
      </c>
      <c r="E1441">
        <v>918298148101</v>
      </c>
      <c r="F1441" t="s">
        <v>10374</v>
      </c>
      <c r="G1441" t="s">
        <v>10377</v>
      </c>
      <c r="H1441" s="2">
        <v>33782</v>
      </c>
    </row>
    <row r="1442" spans="1:8">
      <c r="A1442" t="s">
        <v>7521</v>
      </c>
      <c r="B1442" t="s">
        <v>604</v>
      </c>
      <c r="C1442" t="s">
        <v>10363</v>
      </c>
      <c r="D1442" t="s">
        <v>11818</v>
      </c>
      <c r="E1442">
        <v>917110840715</v>
      </c>
      <c r="F1442" t="s">
        <v>10388</v>
      </c>
      <c r="G1442" t="s">
        <v>10377</v>
      </c>
      <c r="H1442" s="2">
        <v>29902</v>
      </c>
    </row>
    <row r="1443" spans="1:8">
      <c r="A1443" t="s">
        <v>7526</v>
      </c>
      <c r="B1443" t="s">
        <v>2175</v>
      </c>
      <c r="C1443" t="s">
        <v>10367</v>
      </c>
      <c r="D1443" t="s">
        <v>11819</v>
      </c>
      <c r="E1443">
        <v>919451127274</v>
      </c>
      <c r="F1443" t="s">
        <v>10372</v>
      </c>
      <c r="G1443" t="s">
        <v>10377</v>
      </c>
      <c r="H1443" s="2">
        <v>25715</v>
      </c>
    </row>
    <row r="1444" spans="1:8">
      <c r="A1444" t="s">
        <v>7531</v>
      </c>
      <c r="B1444" t="s">
        <v>1666</v>
      </c>
      <c r="C1444" t="s">
        <v>10363</v>
      </c>
      <c r="D1444" t="s">
        <v>11820</v>
      </c>
      <c r="E1444">
        <v>919743515362</v>
      </c>
      <c r="F1444" t="s">
        <v>10365</v>
      </c>
      <c r="G1444" t="s">
        <v>10379</v>
      </c>
      <c r="H1444" s="2">
        <v>20843</v>
      </c>
    </row>
    <row r="1445" spans="1:8">
      <c r="A1445" t="s">
        <v>7536</v>
      </c>
      <c r="B1445" t="s">
        <v>1637</v>
      </c>
      <c r="C1445" t="s">
        <v>10367</v>
      </c>
      <c r="D1445" t="s">
        <v>11821</v>
      </c>
      <c r="E1445">
        <v>917440463335</v>
      </c>
      <c r="F1445" t="s">
        <v>10402</v>
      </c>
      <c r="G1445" t="s">
        <v>10366</v>
      </c>
      <c r="H1445" s="2">
        <v>24392</v>
      </c>
    </row>
    <row r="1446" spans="1:8">
      <c r="A1446" t="s">
        <v>7541</v>
      </c>
      <c r="B1446" t="s">
        <v>1470</v>
      </c>
      <c r="C1446" t="s">
        <v>10367</v>
      </c>
      <c r="D1446" t="s">
        <v>11822</v>
      </c>
      <c r="E1446">
        <v>917414345984</v>
      </c>
      <c r="F1446" t="s">
        <v>10372</v>
      </c>
      <c r="G1446" t="s">
        <v>10370</v>
      </c>
      <c r="H1446" s="2">
        <v>22275</v>
      </c>
    </row>
    <row r="1447" spans="1:8">
      <c r="A1447" t="s">
        <v>7546</v>
      </c>
      <c r="B1447" t="s">
        <v>1282</v>
      </c>
      <c r="C1447" t="s">
        <v>10363</v>
      </c>
      <c r="D1447" t="s">
        <v>11823</v>
      </c>
      <c r="E1447">
        <v>917472293115</v>
      </c>
      <c r="F1447" t="s">
        <v>10381</v>
      </c>
      <c r="G1447" t="s">
        <v>10377</v>
      </c>
      <c r="H1447" s="2">
        <v>20134</v>
      </c>
    </row>
    <row r="1448" spans="1:8">
      <c r="A1448" t="s">
        <v>7551</v>
      </c>
      <c r="B1448" t="s">
        <v>871</v>
      </c>
      <c r="C1448" t="s">
        <v>10363</v>
      </c>
      <c r="D1448" t="s">
        <v>11824</v>
      </c>
      <c r="E1448">
        <v>917314401624</v>
      </c>
      <c r="F1448" t="s">
        <v>10365</v>
      </c>
      <c r="G1448" t="s">
        <v>10366</v>
      </c>
      <c r="H1448" s="2">
        <v>36330</v>
      </c>
    </row>
    <row r="1449" spans="1:8">
      <c r="A1449" t="s">
        <v>7556</v>
      </c>
      <c r="B1449" t="s">
        <v>5746</v>
      </c>
      <c r="C1449" t="s">
        <v>10367</v>
      </c>
      <c r="D1449" t="s">
        <v>11825</v>
      </c>
      <c r="E1449">
        <v>918365680051</v>
      </c>
      <c r="F1449" t="s">
        <v>10376</v>
      </c>
      <c r="G1449" t="s">
        <v>10370</v>
      </c>
      <c r="H1449" s="2">
        <v>30095</v>
      </c>
    </row>
    <row r="1450" spans="1:8">
      <c r="A1450" t="s">
        <v>7561</v>
      </c>
      <c r="B1450" t="s">
        <v>1551</v>
      </c>
      <c r="C1450" t="s">
        <v>10367</v>
      </c>
      <c r="D1450" t="s">
        <v>11826</v>
      </c>
      <c r="E1450">
        <v>916227722687</v>
      </c>
      <c r="F1450" t="s">
        <v>10402</v>
      </c>
      <c r="G1450" t="s">
        <v>10379</v>
      </c>
      <c r="H1450" s="2">
        <v>20319</v>
      </c>
    </row>
    <row r="1451" spans="1:8">
      <c r="A1451" t="s">
        <v>7566</v>
      </c>
      <c r="B1451" t="s">
        <v>21</v>
      </c>
      <c r="C1451" t="s">
        <v>10363</v>
      </c>
      <c r="D1451" t="s">
        <v>11827</v>
      </c>
      <c r="E1451">
        <v>917219211707</v>
      </c>
      <c r="F1451" t="s">
        <v>10374</v>
      </c>
      <c r="G1451" t="s">
        <v>10379</v>
      </c>
      <c r="H1451" s="2">
        <v>29275</v>
      </c>
    </row>
    <row r="1452" spans="1:8">
      <c r="A1452" t="s">
        <v>7571</v>
      </c>
      <c r="B1452" t="s">
        <v>882</v>
      </c>
      <c r="C1452" t="s">
        <v>10363</v>
      </c>
      <c r="D1452" t="s">
        <v>11828</v>
      </c>
      <c r="E1452">
        <v>918402764665</v>
      </c>
      <c r="F1452" t="s">
        <v>10372</v>
      </c>
      <c r="G1452" t="s">
        <v>10377</v>
      </c>
      <c r="H1452" s="2">
        <v>36286</v>
      </c>
    </row>
    <row r="1453" spans="1:8">
      <c r="A1453" t="s">
        <v>7576</v>
      </c>
      <c r="B1453" t="s">
        <v>449</v>
      </c>
      <c r="C1453" t="s">
        <v>10363</v>
      </c>
      <c r="D1453" t="s">
        <v>11829</v>
      </c>
      <c r="E1453">
        <v>919323739480</v>
      </c>
      <c r="F1453" t="s">
        <v>10381</v>
      </c>
      <c r="G1453" t="s">
        <v>10370</v>
      </c>
      <c r="H1453" s="2">
        <v>34805</v>
      </c>
    </row>
    <row r="1454" spans="1:8">
      <c r="A1454" t="s">
        <v>7582</v>
      </c>
      <c r="B1454" t="s">
        <v>61</v>
      </c>
      <c r="C1454" t="s">
        <v>10367</v>
      </c>
      <c r="D1454" t="s">
        <v>11830</v>
      </c>
      <c r="E1454">
        <v>919691289324</v>
      </c>
      <c r="F1454" t="s">
        <v>10386</v>
      </c>
      <c r="G1454" t="s">
        <v>10379</v>
      </c>
      <c r="H1454" s="2">
        <v>33485</v>
      </c>
    </row>
    <row r="1455" spans="1:8">
      <c r="A1455" t="s">
        <v>7587</v>
      </c>
      <c r="B1455" t="s">
        <v>375</v>
      </c>
      <c r="C1455" t="s">
        <v>10363</v>
      </c>
      <c r="D1455" t="s">
        <v>11831</v>
      </c>
      <c r="E1455">
        <v>917625031447</v>
      </c>
      <c r="F1455" t="s">
        <v>10372</v>
      </c>
      <c r="G1455" t="s">
        <v>10379</v>
      </c>
      <c r="H1455" s="2">
        <v>36742</v>
      </c>
    </row>
    <row r="1456" spans="1:8">
      <c r="A1456" t="s">
        <v>7592</v>
      </c>
      <c r="B1456" t="s">
        <v>2474</v>
      </c>
      <c r="C1456" t="s">
        <v>10363</v>
      </c>
      <c r="D1456" t="s">
        <v>11832</v>
      </c>
      <c r="E1456">
        <v>919794738730</v>
      </c>
      <c r="F1456" t="s">
        <v>10402</v>
      </c>
      <c r="G1456" t="s">
        <v>10379</v>
      </c>
      <c r="H1456" s="2">
        <v>21141</v>
      </c>
    </row>
    <row r="1457" spans="1:8">
      <c r="A1457" t="s">
        <v>7598</v>
      </c>
      <c r="B1457" t="s">
        <v>2154</v>
      </c>
      <c r="C1457" t="s">
        <v>10363</v>
      </c>
      <c r="D1457" t="s">
        <v>11833</v>
      </c>
      <c r="E1457">
        <v>918094403230</v>
      </c>
      <c r="F1457" t="s">
        <v>10369</v>
      </c>
      <c r="G1457" t="s">
        <v>10377</v>
      </c>
      <c r="H1457" s="2">
        <v>22831</v>
      </c>
    </row>
    <row r="1458" spans="1:8">
      <c r="A1458" t="s">
        <v>7603</v>
      </c>
      <c r="B1458" t="s">
        <v>2924</v>
      </c>
      <c r="C1458" t="s">
        <v>10367</v>
      </c>
      <c r="D1458" t="s">
        <v>11834</v>
      </c>
      <c r="E1458">
        <v>919060439019</v>
      </c>
      <c r="F1458" t="s">
        <v>10402</v>
      </c>
      <c r="G1458" t="s">
        <v>10377</v>
      </c>
      <c r="H1458" s="2">
        <v>33855</v>
      </c>
    </row>
    <row r="1459" spans="1:8">
      <c r="A1459" t="s">
        <v>7608</v>
      </c>
      <c r="B1459" t="s">
        <v>3112</v>
      </c>
      <c r="C1459" t="s">
        <v>10367</v>
      </c>
      <c r="D1459" t="s">
        <v>11835</v>
      </c>
      <c r="E1459">
        <v>916740718151</v>
      </c>
      <c r="F1459" t="s">
        <v>10372</v>
      </c>
      <c r="G1459" t="s">
        <v>10379</v>
      </c>
      <c r="H1459" s="2">
        <v>25199</v>
      </c>
    </row>
    <row r="1460" spans="1:8">
      <c r="A1460" t="s">
        <v>7613</v>
      </c>
      <c r="B1460" t="s">
        <v>3061</v>
      </c>
      <c r="C1460" t="s">
        <v>10363</v>
      </c>
      <c r="D1460" t="s">
        <v>11836</v>
      </c>
      <c r="E1460">
        <v>919051352176</v>
      </c>
      <c r="F1460" t="s">
        <v>10381</v>
      </c>
      <c r="G1460" t="s">
        <v>10370</v>
      </c>
      <c r="H1460" s="2">
        <v>31768</v>
      </c>
    </row>
    <row r="1461" spans="1:8">
      <c r="A1461" t="s">
        <v>7618</v>
      </c>
      <c r="B1461" t="s">
        <v>5074</v>
      </c>
      <c r="C1461" t="s">
        <v>10367</v>
      </c>
      <c r="D1461" t="s">
        <v>11837</v>
      </c>
      <c r="E1461">
        <v>917969204700</v>
      </c>
      <c r="F1461" t="s">
        <v>10388</v>
      </c>
      <c r="G1461" t="s">
        <v>10377</v>
      </c>
      <c r="H1461" s="2">
        <v>31308</v>
      </c>
    </row>
    <row r="1462" spans="1:8">
      <c r="A1462" t="s">
        <v>7623</v>
      </c>
      <c r="B1462" t="s">
        <v>351</v>
      </c>
      <c r="C1462" t="s">
        <v>10363</v>
      </c>
      <c r="D1462" t="s">
        <v>11838</v>
      </c>
      <c r="E1462">
        <v>917435954937</v>
      </c>
      <c r="F1462" t="s">
        <v>10402</v>
      </c>
      <c r="G1462" t="s">
        <v>10370</v>
      </c>
      <c r="H1462" s="2">
        <v>22244</v>
      </c>
    </row>
    <row r="1463" spans="1:8">
      <c r="A1463" t="s">
        <v>7628</v>
      </c>
      <c r="B1463" t="s">
        <v>865</v>
      </c>
      <c r="C1463" t="s">
        <v>10363</v>
      </c>
      <c r="D1463" t="s">
        <v>11839</v>
      </c>
      <c r="E1463">
        <v>917744525222</v>
      </c>
      <c r="F1463" t="s">
        <v>10365</v>
      </c>
      <c r="G1463" t="s">
        <v>10377</v>
      </c>
      <c r="H1463" s="2">
        <v>34537</v>
      </c>
    </row>
    <row r="1464" spans="1:8">
      <c r="A1464" t="s">
        <v>7633</v>
      </c>
      <c r="B1464" t="s">
        <v>3216</v>
      </c>
      <c r="C1464" t="s">
        <v>10367</v>
      </c>
      <c r="D1464" t="s">
        <v>10618</v>
      </c>
      <c r="E1464">
        <v>917548704101</v>
      </c>
      <c r="F1464" t="s">
        <v>10376</v>
      </c>
      <c r="G1464" t="s">
        <v>10370</v>
      </c>
      <c r="H1464" s="2">
        <v>33554</v>
      </c>
    </row>
    <row r="1465" spans="1:8">
      <c r="A1465" t="s">
        <v>7638</v>
      </c>
      <c r="B1465" t="s">
        <v>294</v>
      </c>
      <c r="C1465" t="s">
        <v>10367</v>
      </c>
      <c r="D1465" t="s">
        <v>11840</v>
      </c>
      <c r="E1465">
        <v>916573795604</v>
      </c>
      <c r="F1465" t="s">
        <v>10402</v>
      </c>
      <c r="G1465" t="s">
        <v>10377</v>
      </c>
      <c r="H1465" s="2">
        <v>20201</v>
      </c>
    </row>
    <row r="1466" spans="1:8">
      <c r="A1466" t="s">
        <v>7643</v>
      </c>
      <c r="B1466" t="s">
        <v>604</v>
      </c>
      <c r="C1466" t="s">
        <v>10363</v>
      </c>
      <c r="D1466" t="s">
        <v>11841</v>
      </c>
      <c r="E1466">
        <v>919619715768</v>
      </c>
      <c r="F1466" t="s">
        <v>10388</v>
      </c>
      <c r="G1466" t="s">
        <v>10379</v>
      </c>
      <c r="H1466" s="2">
        <v>20926</v>
      </c>
    </row>
    <row r="1467" spans="1:8">
      <c r="A1467" t="s">
        <v>7648</v>
      </c>
      <c r="B1467" t="s">
        <v>865</v>
      </c>
      <c r="C1467" t="s">
        <v>10363</v>
      </c>
      <c r="D1467" t="s">
        <v>11842</v>
      </c>
      <c r="E1467">
        <v>919229017606</v>
      </c>
      <c r="F1467" t="s">
        <v>10386</v>
      </c>
      <c r="G1467" t="s">
        <v>10379</v>
      </c>
      <c r="H1467" s="2">
        <v>33700</v>
      </c>
    </row>
    <row r="1468" spans="1:8">
      <c r="A1468" t="s">
        <v>7653</v>
      </c>
      <c r="B1468" t="s">
        <v>847</v>
      </c>
      <c r="C1468" t="s">
        <v>10367</v>
      </c>
      <c r="D1468" t="s">
        <v>11843</v>
      </c>
      <c r="E1468">
        <v>917172364686</v>
      </c>
      <c r="F1468" t="s">
        <v>10384</v>
      </c>
      <c r="G1468" t="s">
        <v>10366</v>
      </c>
      <c r="H1468" s="2">
        <v>34050</v>
      </c>
    </row>
    <row r="1469" spans="1:8">
      <c r="A1469" t="s">
        <v>7658</v>
      </c>
      <c r="B1469" t="s">
        <v>38</v>
      </c>
      <c r="C1469" t="s">
        <v>10363</v>
      </c>
      <c r="D1469" t="s">
        <v>10697</v>
      </c>
      <c r="E1469">
        <v>918322825469</v>
      </c>
      <c r="F1469" t="s">
        <v>10365</v>
      </c>
      <c r="G1469" t="s">
        <v>10379</v>
      </c>
      <c r="H1469" s="2">
        <v>35874</v>
      </c>
    </row>
    <row r="1470" spans="1:8">
      <c r="A1470" t="s">
        <v>7663</v>
      </c>
      <c r="B1470" t="s">
        <v>1751</v>
      </c>
      <c r="C1470" t="s">
        <v>10367</v>
      </c>
      <c r="D1470" t="s">
        <v>11844</v>
      </c>
      <c r="E1470">
        <v>919487831705</v>
      </c>
      <c r="F1470" t="s">
        <v>10374</v>
      </c>
      <c r="G1470" t="s">
        <v>10379</v>
      </c>
      <c r="H1470" s="2">
        <v>27611</v>
      </c>
    </row>
    <row r="1471" spans="1:8">
      <c r="A1471" t="s">
        <v>7668</v>
      </c>
      <c r="B1471" t="s">
        <v>1810</v>
      </c>
      <c r="C1471" t="s">
        <v>10367</v>
      </c>
      <c r="D1471" t="s">
        <v>11845</v>
      </c>
      <c r="E1471">
        <v>916385740702</v>
      </c>
      <c r="F1471" t="s">
        <v>10369</v>
      </c>
      <c r="G1471" t="s">
        <v>10370</v>
      </c>
      <c r="H1471" s="2">
        <v>31823</v>
      </c>
    </row>
    <row r="1472" spans="1:8">
      <c r="A1472" t="s">
        <v>7673</v>
      </c>
      <c r="B1472" t="s">
        <v>1594</v>
      </c>
      <c r="C1472" t="s">
        <v>10363</v>
      </c>
      <c r="D1472" t="s">
        <v>11846</v>
      </c>
      <c r="E1472">
        <v>917503345838</v>
      </c>
      <c r="F1472" t="s">
        <v>10388</v>
      </c>
      <c r="G1472" t="s">
        <v>10377</v>
      </c>
      <c r="H1472" s="2">
        <v>24603</v>
      </c>
    </row>
    <row r="1473" spans="1:8">
      <c r="A1473" t="s">
        <v>7678</v>
      </c>
      <c r="B1473" t="s">
        <v>853</v>
      </c>
      <c r="C1473" t="s">
        <v>10363</v>
      </c>
      <c r="D1473" t="s">
        <v>11847</v>
      </c>
      <c r="E1473">
        <v>916771166670</v>
      </c>
      <c r="F1473" t="s">
        <v>10386</v>
      </c>
      <c r="G1473" t="s">
        <v>10370</v>
      </c>
      <c r="H1473" s="2">
        <v>21280</v>
      </c>
    </row>
    <row r="1474" spans="1:8">
      <c r="A1474" t="s">
        <v>7683</v>
      </c>
      <c r="B1474" t="s">
        <v>639</v>
      </c>
      <c r="C1474" t="s">
        <v>10363</v>
      </c>
      <c r="D1474" t="s">
        <v>11848</v>
      </c>
      <c r="E1474">
        <v>919978879757</v>
      </c>
      <c r="F1474" t="s">
        <v>10374</v>
      </c>
      <c r="G1474" t="s">
        <v>10379</v>
      </c>
      <c r="H1474" s="2">
        <v>25294</v>
      </c>
    </row>
    <row r="1475" spans="1:8">
      <c r="A1475" t="s">
        <v>7688</v>
      </c>
      <c r="B1475" t="s">
        <v>2297</v>
      </c>
      <c r="C1475" t="s">
        <v>10363</v>
      </c>
      <c r="D1475" t="s">
        <v>11849</v>
      </c>
      <c r="E1475">
        <v>919331002683</v>
      </c>
      <c r="F1475" t="s">
        <v>10388</v>
      </c>
      <c r="G1475" t="s">
        <v>10379</v>
      </c>
      <c r="H1475" s="2">
        <v>25357</v>
      </c>
    </row>
    <row r="1476" spans="1:8">
      <c r="A1476" t="s">
        <v>7693</v>
      </c>
      <c r="B1476" t="s">
        <v>1146</v>
      </c>
      <c r="C1476" t="s">
        <v>10367</v>
      </c>
      <c r="D1476" t="s">
        <v>11850</v>
      </c>
      <c r="E1476">
        <v>917167212972</v>
      </c>
      <c r="F1476" t="s">
        <v>10365</v>
      </c>
      <c r="G1476" t="s">
        <v>10379</v>
      </c>
      <c r="H1476" s="2">
        <v>37480</v>
      </c>
    </row>
    <row r="1477" spans="1:8">
      <c r="A1477" t="s">
        <v>7698</v>
      </c>
      <c r="B1477" t="s">
        <v>5907</v>
      </c>
      <c r="C1477" t="s">
        <v>10367</v>
      </c>
      <c r="D1477" t="s">
        <v>11851</v>
      </c>
      <c r="E1477">
        <v>919264417062</v>
      </c>
      <c r="F1477" t="s">
        <v>10369</v>
      </c>
      <c r="G1477" t="s">
        <v>10377</v>
      </c>
      <c r="H1477" s="2">
        <v>21545</v>
      </c>
    </row>
    <row r="1478" spans="1:8">
      <c r="A1478" t="s">
        <v>7703</v>
      </c>
      <c r="B1478" t="s">
        <v>415</v>
      </c>
      <c r="C1478" t="s">
        <v>10367</v>
      </c>
      <c r="D1478" t="s">
        <v>11852</v>
      </c>
      <c r="E1478">
        <v>918579038243</v>
      </c>
      <c r="F1478" t="s">
        <v>10376</v>
      </c>
      <c r="G1478" t="s">
        <v>10370</v>
      </c>
      <c r="H1478" s="2">
        <v>23237</v>
      </c>
    </row>
    <row r="1479" spans="1:8">
      <c r="A1479" t="s">
        <v>7708</v>
      </c>
      <c r="B1479" t="s">
        <v>4252</v>
      </c>
      <c r="C1479" t="s">
        <v>10367</v>
      </c>
      <c r="D1479" t="s">
        <v>11853</v>
      </c>
      <c r="E1479">
        <v>917524508942</v>
      </c>
      <c r="F1479" t="s">
        <v>10386</v>
      </c>
      <c r="G1479" t="s">
        <v>10370</v>
      </c>
      <c r="H1479" s="2">
        <v>32248</v>
      </c>
    </row>
    <row r="1480" spans="1:8">
      <c r="A1480" t="s">
        <v>7713</v>
      </c>
      <c r="B1480" t="s">
        <v>2451</v>
      </c>
      <c r="C1480" t="s">
        <v>10367</v>
      </c>
      <c r="D1480" t="s">
        <v>11854</v>
      </c>
      <c r="E1480">
        <v>916799888438</v>
      </c>
      <c r="F1480" t="s">
        <v>10374</v>
      </c>
      <c r="G1480" t="s">
        <v>10370</v>
      </c>
      <c r="H1480" s="2">
        <v>22289</v>
      </c>
    </row>
    <row r="1481" spans="1:8">
      <c r="A1481" t="s">
        <v>7718</v>
      </c>
      <c r="B1481" t="s">
        <v>604</v>
      </c>
      <c r="C1481" t="s">
        <v>10363</v>
      </c>
      <c r="D1481" t="s">
        <v>11855</v>
      </c>
      <c r="E1481">
        <v>918976096020</v>
      </c>
      <c r="F1481" t="s">
        <v>10369</v>
      </c>
      <c r="G1481" t="s">
        <v>10366</v>
      </c>
      <c r="H1481" s="2">
        <v>23688</v>
      </c>
    </row>
    <row r="1482" spans="1:8">
      <c r="A1482" t="s">
        <v>7723</v>
      </c>
      <c r="B1482" t="s">
        <v>910</v>
      </c>
      <c r="C1482" t="s">
        <v>10367</v>
      </c>
      <c r="D1482" t="s">
        <v>11856</v>
      </c>
      <c r="E1482">
        <v>916047848292</v>
      </c>
      <c r="F1482" t="s">
        <v>10372</v>
      </c>
      <c r="G1482" t="s">
        <v>10370</v>
      </c>
      <c r="H1482" s="2">
        <v>24587</v>
      </c>
    </row>
    <row r="1483" spans="1:8">
      <c r="A1483" t="s">
        <v>7728</v>
      </c>
      <c r="B1483" t="s">
        <v>939</v>
      </c>
      <c r="C1483" t="s">
        <v>10367</v>
      </c>
      <c r="D1483" t="s">
        <v>11857</v>
      </c>
      <c r="E1483">
        <v>918290828875</v>
      </c>
      <c r="F1483" t="s">
        <v>10372</v>
      </c>
      <c r="G1483" t="s">
        <v>10366</v>
      </c>
      <c r="H1483" s="2">
        <v>29550</v>
      </c>
    </row>
    <row r="1484" spans="1:8">
      <c r="A1484" t="s">
        <v>7733</v>
      </c>
      <c r="B1484" t="s">
        <v>351</v>
      </c>
      <c r="C1484" t="s">
        <v>10363</v>
      </c>
      <c r="D1484" t="s">
        <v>11858</v>
      </c>
      <c r="E1484">
        <v>919826180117</v>
      </c>
      <c r="F1484" t="s">
        <v>10384</v>
      </c>
      <c r="G1484" t="s">
        <v>10377</v>
      </c>
      <c r="H1484" s="2">
        <v>26519</v>
      </c>
    </row>
    <row r="1485" spans="1:8">
      <c r="A1485" t="s">
        <v>7738</v>
      </c>
      <c r="B1485" t="s">
        <v>3448</v>
      </c>
      <c r="C1485" t="s">
        <v>10367</v>
      </c>
      <c r="D1485" t="s">
        <v>11859</v>
      </c>
      <c r="E1485">
        <v>919232998260</v>
      </c>
      <c r="F1485" t="s">
        <v>10402</v>
      </c>
      <c r="G1485" t="s">
        <v>10379</v>
      </c>
      <c r="H1485" s="2">
        <v>29881</v>
      </c>
    </row>
    <row r="1486" spans="1:8">
      <c r="A1486" t="s">
        <v>7743</v>
      </c>
      <c r="B1486" t="s">
        <v>247</v>
      </c>
      <c r="C1486" t="s">
        <v>10367</v>
      </c>
      <c r="D1486" t="s">
        <v>11860</v>
      </c>
      <c r="E1486">
        <v>919625599161</v>
      </c>
      <c r="F1486" t="s">
        <v>10374</v>
      </c>
      <c r="G1486" t="s">
        <v>10366</v>
      </c>
      <c r="H1486" s="2">
        <v>27390</v>
      </c>
    </row>
    <row r="1487" spans="1:8">
      <c r="A1487" t="s">
        <v>7748</v>
      </c>
      <c r="B1487" t="s">
        <v>673</v>
      </c>
      <c r="C1487" t="s">
        <v>10363</v>
      </c>
      <c r="D1487" t="s">
        <v>11861</v>
      </c>
      <c r="E1487">
        <v>919399682817</v>
      </c>
      <c r="F1487" t="s">
        <v>10376</v>
      </c>
      <c r="G1487" t="s">
        <v>10379</v>
      </c>
      <c r="H1487" s="2">
        <v>34644</v>
      </c>
    </row>
    <row r="1488" spans="1:8">
      <c r="A1488" t="s">
        <v>7753</v>
      </c>
      <c r="B1488" t="s">
        <v>829</v>
      </c>
      <c r="C1488" t="s">
        <v>10367</v>
      </c>
      <c r="D1488" t="s">
        <v>11862</v>
      </c>
      <c r="E1488">
        <v>918702560857</v>
      </c>
      <c r="F1488" t="s">
        <v>10365</v>
      </c>
      <c r="G1488" t="s">
        <v>10370</v>
      </c>
      <c r="H1488" s="2">
        <v>35352</v>
      </c>
    </row>
    <row r="1489" spans="1:8">
      <c r="A1489" t="s">
        <v>7758</v>
      </c>
      <c r="B1489" t="s">
        <v>2636</v>
      </c>
      <c r="C1489" t="s">
        <v>10363</v>
      </c>
      <c r="D1489" t="s">
        <v>11863</v>
      </c>
      <c r="E1489">
        <v>919117406271</v>
      </c>
      <c r="F1489" t="s">
        <v>10381</v>
      </c>
      <c r="G1489" t="s">
        <v>10370</v>
      </c>
      <c r="H1489" s="2">
        <v>34974</v>
      </c>
    </row>
    <row r="1490" spans="1:8">
      <c r="A1490" t="s">
        <v>7763</v>
      </c>
      <c r="B1490" t="s">
        <v>1008</v>
      </c>
      <c r="C1490" t="s">
        <v>10367</v>
      </c>
      <c r="D1490" t="s">
        <v>11864</v>
      </c>
      <c r="E1490">
        <v>919924334376</v>
      </c>
      <c r="F1490" t="s">
        <v>10384</v>
      </c>
      <c r="G1490" t="s">
        <v>10370</v>
      </c>
      <c r="H1490" s="2">
        <v>35888</v>
      </c>
    </row>
    <row r="1491" spans="1:8">
      <c r="A1491" t="s">
        <v>7768</v>
      </c>
      <c r="B1491" t="s">
        <v>500</v>
      </c>
      <c r="C1491" t="s">
        <v>10363</v>
      </c>
      <c r="D1491" t="s">
        <v>11865</v>
      </c>
      <c r="E1491">
        <v>918550621754</v>
      </c>
      <c r="F1491" t="s">
        <v>10384</v>
      </c>
      <c r="G1491" t="s">
        <v>10366</v>
      </c>
      <c r="H1491" s="2">
        <v>33922</v>
      </c>
    </row>
    <row r="1492" spans="1:8">
      <c r="A1492" t="s">
        <v>7773</v>
      </c>
      <c r="B1492" t="s">
        <v>2510</v>
      </c>
      <c r="C1492" t="s">
        <v>10363</v>
      </c>
      <c r="D1492" t="s">
        <v>11866</v>
      </c>
      <c r="E1492">
        <v>916548754133</v>
      </c>
      <c r="F1492" t="s">
        <v>10374</v>
      </c>
      <c r="G1492" t="s">
        <v>10377</v>
      </c>
      <c r="H1492" s="2">
        <v>29416</v>
      </c>
    </row>
    <row r="1493" spans="1:8">
      <c r="A1493" t="s">
        <v>7778</v>
      </c>
      <c r="B1493" t="s">
        <v>253</v>
      </c>
      <c r="C1493" t="s">
        <v>10363</v>
      </c>
      <c r="D1493" t="s">
        <v>11867</v>
      </c>
      <c r="E1493">
        <v>917732041883</v>
      </c>
      <c r="F1493" t="s">
        <v>10365</v>
      </c>
      <c r="G1493" t="s">
        <v>10370</v>
      </c>
      <c r="H1493" s="2">
        <v>27255</v>
      </c>
    </row>
    <row r="1494" spans="1:8">
      <c r="A1494" t="s">
        <v>7783</v>
      </c>
      <c r="B1494" t="s">
        <v>1431</v>
      </c>
      <c r="C1494" t="s">
        <v>10367</v>
      </c>
      <c r="D1494" t="s">
        <v>11868</v>
      </c>
      <c r="E1494">
        <v>917840660406</v>
      </c>
      <c r="F1494" t="s">
        <v>10376</v>
      </c>
      <c r="G1494" t="s">
        <v>10370</v>
      </c>
      <c r="H1494" s="2">
        <v>33158</v>
      </c>
    </row>
    <row r="1495" spans="1:8">
      <c r="A1495" t="s">
        <v>7788</v>
      </c>
      <c r="B1495" t="s">
        <v>1545</v>
      </c>
      <c r="C1495" t="s">
        <v>10363</v>
      </c>
      <c r="D1495" t="s">
        <v>11869</v>
      </c>
      <c r="E1495">
        <v>917438595363</v>
      </c>
      <c r="F1495" t="s">
        <v>10381</v>
      </c>
      <c r="G1495" t="s">
        <v>10366</v>
      </c>
      <c r="H1495" s="2">
        <v>23602</v>
      </c>
    </row>
    <row r="1496" spans="1:8">
      <c r="A1496" t="s">
        <v>7793</v>
      </c>
      <c r="B1496" t="s">
        <v>823</v>
      </c>
      <c r="C1496" t="s">
        <v>10367</v>
      </c>
      <c r="D1496" t="s">
        <v>11870</v>
      </c>
      <c r="E1496">
        <v>919261479999</v>
      </c>
      <c r="F1496" t="s">
        <v>10386</v>
      </c>
      <c r="G1496" t="s">
        <v>10370</v>
      </c>
      <c r="H1496" s="2">
        <v>36017</v>
      </c>
    </row>
    <row r="1497" spans="1:8">
      <c r="A1497" t="s">
        <v>7798</v>
      </c>
      <c r="B1497" t="s">
        <v>229</v>
      </c>
      <c r="C1497" t="s">
        <v>10367</v>
      </c>
      <c r="D1497" t="s">
        <v>11871</v>
      </c>
      <c r="E1497">
        <v>917104541222</v>
      </c>
      <c r="F1497" t="s">
        <v>10369</v>
      </c>
      <c r="G1497" t="s">
        <v>10366</v>
      </c>
      <c r="H1497" s="2">
        <v>34090</v>
      </c>
    </row>
    <row r="1498" spans="1:8">
      <c r="A1498" t="s">
        <v>7803</v>
      </c>
      <c r="B1498" t="s">
        <v>6354</v>
      </c>
      <c r="C1498" t="s">
        <v>10367</v>
      </c>
      <c r="D1498" t="s">
        <v>11872</v>
      </c>
      <c r="E1498">
        <v>917781372641</v>
      </c>
      <c r="F1498" t="s">
        <v>10374</v>
      </c>
      <c r="G1498" t="s">
        <v>10379</v>
      </c>
      <c r="H1498" s="2">
        <v>35746</v>
      </c>
    </row>
    <row r="1499" spans="1:8">
      <c r="A1499" t="s">
        <v>7808</v>
      </c>
      <c r="B1499" t="s">
        <v>398</v>
      </c>
      <c r="C1499" t="s">
        <v>10367</v>
      </c>
      <c r="D1499" t="s">
        <v>11873</v>
      </c>
      <c r="E1499">
        <v>916932868736</v>
      </c>
      <c r="F1499" t="s">
        <v>10388</v>
      </c>
      <c r="G1499" t="s">
        <v>10377</v>
      </c>
      <c r="H1499" s="2">
        <v>23739</v>
      </c>
    </row>
    <row r="1500" spans="1:8">
      <c r="A1500" t="s">
        <v>7813</v>
      </c>
      <c r="B1500" t="s">
        <v>282</v>
      </c>
      <c r="C1500" t="s">
        <v>10367</v>
      </c>
      <c r="D1500" t="s">
        <v>11874</v>
      </c>
      <c r="E1500">
        <v>918883988802</v>
      </c>
      <c r="F1500" t="s">
        <v>10386</v>
      </c>
      <c r="G1500" t="s">
        <v>10370</v>
      </c>
      <c r="H1500" s="2">
        <v>36135</v>
      </c>
    </row>
    <row r="1501" spans="1:8">
      <c r="A1501" t="s">
        <v>7818</v>
      </c>
      <c r="B1501" t="s">
        <v>205</v>
      </c>
      <c r="C1501" t="s">
        <v>10367</v>
      </c>
      <c r="D1501" t="s">
        <v>11875</v>
      </c>
      <c r="E1501">
        <v>916730195333</v>
      </c>
      <c r="F1501" t="s">
        <v>10376</v>
      </c>
      <c r="G1501" t="s">
        <v>10366</v>
      </c>
      <c r="H1501" s="2">
        <v>31998</v>
      </c>
    </row>
    <row r="1502" spans="1:8">
      <c r="A1502" t="s">
        <v>7823</v>
      </c>
      <c r="B1502" t="s">
        <v>2112</v>
      </c>
      <c r="C1502" t="s">
        <v>10363</v>
      </c>
      <c r="D1502" t="s">
        <v>11876</v>
      </c>
      <c r="E1502">
        <v>916021854520</v>
      </c>
      <c r="F1502" t="s">
        <v>10402</v>
      </c>
      <c r="G1502" t="s">
        <v>10377</v>
      </c>
      <c r="H1502" s="2">
        <v>21094</v>
      </c>
    </row>
    <row r="1503" spans="1:8">
      <c r="A1503" t="s">
        <v>7828</v>
      </c>
      <c r="B1503" t="s">
        <v>536</v>
      </c>
      <c r="C1503" t="s">
        <v>10367</v>
      </c>
      <c r="D1503" t="s">
        <v>11877</v>
      </c>
      <c r="E1503">
        <v>919211733108</v>
      </c>
      <c r="F1503" t="s">
        <v>10365</v>
      </c>
      <c r="G1503" t="s">
        <v>10370</v>
      </c>
      <c r="H1503" s="2">
        <v>37329</v>
      </c>
    </row>
    <row r="1504" spans="1:8">
      <c r="A1504" t="s">
        <v>7833</v>
      </c>
      <c r="B1504" t="s">
        <v>2062</v>
      </c>
      <c r="C1504" t="s">
        <v>10367</v>
      </c>
      <c r="D1504" t="s">
        <v>11878</v>
      </c>
      <c r="E1504">
        <v>918853892208</v>
      </c>
      <c r="F1504" t="s">
        <v>10365</v>
      </c>
      <c r="G1504" t="s">
        <v>10366</v>
      </c>
      <c r="H1504" s="2">
        <v>34506</v>
      </c>
    </row>
    <row r="1505" spans="1:8">
      <c r="A1505" t="s">
        <v>7838</v>
      </c>
      <c r="B1505" t="s">
        <v>871</v>
      </c>
      <c r="C1505" t="s">
        <v>10363</v>
      </c>
      <c r="D1505" t="s">
        <v>11879</v>
      </c>
      <c r="E1505">
        <v>919379675459</v>
      </c>
      <c r="F1505" t="s">
        <v>10369</v>
      </c>
      <c r="G1505" t="s">
        <v>10377</v>
      </c>
      <c r="H1505" s="2">
        <v>34075</v>
      </c>
    </row>
    <row r="1506" spans="1:8">
      <c r="A1506" t="s">
        <v>7844</v>
      </c>
      <c r="B1506" t="s">
        <v>294</v>
      </c>
      <c r="C1506" t="s">
        <v>10367</v>
      </c>
      <c r="D1506" t="s">
        <v>11880</v>
      </c>
      <c r="E1506">
        <v>918742339236</v>
      </c>
      <c r="F1506" t="s">
        <v>10384</v>
      </c>
      <c r="G1506" t="s">
        <v>10377</v>
      </c>
      <c r="H1506" s="2">
        <v>20221</v>
      </c>
    </row>
    <row r="1507" spans="1:8">
      <c r="A1507" t="s">
        <v>7849</v>
      </c>
      <c r="B1507" t="s">
        <v>1030</v>
      </c>
      <c r="C1507" t="s">
        <v>10363</v>
      </c>
      <c r="D1507" t="s">
        <v>11881</v>
      </c>
      <c r="E1507">
        <v>918468096024</v>
      </c>
      <c r="F1507" t="s">
        <v>10372</v>
      </c>
      <c r="G1507" t="s">
        <v>10366</v>
      </c>
      <c r="H1507" s="2">
        <v>31525</v>
      </c>
    </row>
    <row r="1508" spans="1:8">
      <c r="A1508" t="s">
        <v>7854</v>
      </c>
      <c r="B1508" t="s">
        <v>6465</v>
      </c>
      <c r="C1508" t="s">
        <v>10363</v>
      </c>
      <c r="D1508" t="s">
        <v>11882</v>
      </c>
      <c r="E1508">
        <v>919788947574</v>
      </c>
      <c r="F1508" t="s">
        <v>10388</v>
      </c>
      <c r="G1508" t="s">
        <v>10366</v>
      </c>
      <c r="H1508" s="2">
        <v>23273</v>
      </c>
    </row>
    <row r="1509" spans="1:8">
      <c r="A1509" t="s">
        <v>7859</v>
      </c>
      <c r="B1509" t="s">
        <v>1476</v>
      </c>
      <c r="C1509" t="s">
        <v>10367</v>
      </c>
      <c r="D1509" t="s">
        <v>11883</v>
      </c>
      <c r="E1509">
        <v>919944458633</v>
      </c>
      <c r="F1509" t="s">
        <v>10402</v>
      </c>
      <c r="G1509" t="s">
        <v>10370</v>
      </c>
      <c r="H1509" s="2">
        <v>30585</v>
      </c>
    </row>
    <row r="1510" spans="1:8">
      <c r="A1510" t="s">
        <v>7864</v>
      </c>
      <c r="B1510" t="s">
        <v>157</v>
      </c>
      <c r="C1510" t="s">
        <v>10363</v>
      </c>
      <c r="D1510" t="s">
        <v>11884</v>
      </c>
      <c r="E1510">
        <v>918270599523</v>
      </c>
      <c r="F1510" t="s">
        <v>10384</v>
      </c>
      <c r="G1510" t="s">
        <v>10370</v>
      </c>
      <c r="H1510" s="2">
        <v>30444</v>
      </c>
    </row>
    <row r="1511" spans="1:8">
      <c r="A1511" t="s">
        <v>7869</v>
      </c>
      <c r="B1511" t="s">
        <v>2035</v>
      </c>
      <c r="C1511" t="s">
        <v>10363</v>
      </c>
      <c r="D1511" t="s">
        <v>11885</v>
      </c>
      <c r="E1511">
        <v>918182321137</v>
      </c>
      <c r="F1511" t="s">
        <v>10374</v>
      </c>
      <c r="G1511" t="s">
        <v>10370</v>
      </c>
      <c r="H1511" s="2">
        <v>31790</v>
      </c>
    </row>
    <row r="1512" spans="1:8">
      <c r="A1512" t="s">
        <v>7874</v>
      </c>
      <c r="B1512" t="s">
        <v>2837</v>
      </c>
      <c r="C1512" t="s">
        <v>10367</v>
      </c>
      <c r="D1512" t="s">
        <v>11886</v>
      </c>
      <c r="E1512">
        <v>916193612027</v>
      </c>
      <c r="F1512" t="s">
        <v>10384</v>
      </c>
      <c r="G1512" t="s">
        <v>10379</v>
      </c>
      <c r="H1512" s="2">
        <v>26506</v>
      </c>
    </row>
    <row r="1513" spans="1:8">
      <c r="A1513" t="s">
        <v>7879</v>
      </c>
      <c r="B1513" t="s">
        <v>363</v>
      </c>
      <c r="C1513" t="s">
        <v>10363</v>
      </c>
      <c r="D1513" t="s">
        <v>11887</v>
      </c>
      <c r="E1513">
        <v>919326574452</v>
      </c>
      <c r="F1513" t="s">
        <v>10376</v>
      </c>
      <c r="G1513" t="s">
        <v>10366</v>
      </c>
      <c r="H1513" s="2">
        <v>26189</v>
      </c>
    </row>
    <row r="1514" spans="1:8">
      <c r="A1514" t="s">
        <v>7884</v>
      </c>
      <c r="B1514" t="s">
        <v>80</v>
      </c>
      <c r="C1514" t="s">
        <v>10363</v>
      </c>
      <c r="D1514" t="s">
        <v>11888</v>
      </c>
      <c r="E1514">
        <v>918946473184</v>
      </c>
      <c r="F1514" t="s">
        <v>10374</v>
      </c>
      <c r="G1514" t="s">
        <v>10379</v>
      </c>
      <c r="H1514" s="2">
        <v>20927</v>
      </c>
    </row>
    <row r="1515" spans="1:8">
      <c r="A1515" t="s">
        <v>7889</v>
      </c>
      <c r="B1515" t="s">
        <v>1763</v>
      </c>
      <c r="C1515" t="s">
        <v>10367</v>
      </c>
      <c r="D1515" t="s">
        <v>11889</v>
      </c>
      <c r="E1515">
        <v>916900126156</v>
      </c>
      <c r="F1515" t="s">
        <v>10374</v>
      </c>
      <c r="G1515" t="s">
        <v>10366</v>
      </c>
      <c r="H1515" s="2">
        <v>29869</v>
      </c>
    </row>
    <row r="1516" spans="1:8">
      <c r="A1516" t="s">
        <v>7894</v>
      </c>
      <c r="B1516" t="s">
        <v>1383</v>
      </c>
      <c r="C1516" t="s">
        <v>10367</v>
      </c>
      <c r="D1516" t="s">
        <v>11890</v>
      </c>
      <c r="E1516">
        <v>916910264878</v>
      </c>
      <c r="F1516" t="s">
        <v>10365</v>
      </c>
      <c r="G1516" t="s">
        <v>10379</v>
      </c>
      <c r="H1516" s="2">
        <v>26154</v>
      </c>
    </row>
    <row r="1517" spans="1:8">
      <c r="A1517" t="s">
        <v>7899</v>
      </c>
      <c r="B1517" t="s">
        <v>7577</v>
      </c>
      <c r="C1517" t="s">
        <v>10367</v>
      </c>
      <c r="D1517" t="s">
        <v>11891</v>
      </c>
      <c r="E1517">
        <v>917829781664</v>
      </c>
      <c r="F1517" t="s">
        <v>10402</v>
      </c>
      <c r="G1517" t="s">
        <v>10370</v>
      </c>
      <c r="H1517" s="2">
        <v>24164</v>
      </c>
    </row>
    <row r="1518" spans="1:8">
      <c r="A1518" t="s">
        <v>7904</v>
      </c>
      <c r="B1518" t="s">
        <v>7839</v>
      </c>
      <c r="C1518" t="s">
        <v>10367</v>
      </c>
      <c r="D1518" t="s">
        <v>11892</v>
      </c>
      <c r="E1518">
        <v>919001119253</v>
      </c>
      <c r="F1518" t="s">
        <v>10374</v>
      </c>
      <c r="G1518" t="s">
        <v>10366</v>
      </c>
      <c r="H1518" s="2">
        <v>33077</v>
      </c>
    </row>
    <row r="1519" spans="1:8">
      <c r="A1519" t="s">
        <v>7909</v>
      </c>
      <c r="B1519" t="s">
        <v>2244</v>
      </c>
      <c r="C1519" t="s">
        <v>10367</v>
      </c>
      <c r="D1519" t="s">
        <v>11893</v>
      </c>
      <c r="E1519">
        <v>916182128755</v>
      </c>
      <c r="F1519" t="s">
        <v>10372</v>
      </c>
      <c r="G1519" t="s">
        <v>10377</v>
      </c>
      <c r="H1519" s="2">
        <v>27657</v>
      </c>
    </row>
    <row r="1520" spans="1:8">
      <c r="A1520" t="s">
        <v>7914</v>
      </c>
      <c r="B1520" t="s">
        <v>1610</v>
      </c>
      <c r="C1520" t="s">
        <v>10367</v>
      </c>
      <c r="D1520" t="s">
        <v>11894</v>
      </c>
      <c r="E1520">
        <v>917786637097</v>
      </c>
      <c r="F1520" t="s">
        <v>10386</v>
      </c>
      <c r="G1520" t="s">
        <v>10377</v>
      </c>
      <c r="H1520" s="2">
        <v>22388</v>
      </c>
    </row>
    <row r="1521" spans="1:8">
      <c r="A1521" t="s">
        <v>7919</v>
      </c>
      <c r="B1521" t="s">
        <v>443</v>
      </c>
      <c r="C1521" t="s">
        <v>10367</v>
      </c>
      <c r="D1521" t="s">
        <v>11895</v>
      </c>
      <c r="E1521">
        <v>917454859941</v>
      </c>
      <c r="F1521" t="s">
        <v>10365</v>
      </c>
      <c r="G1521" t="s">
        <v>10370</v>
      </c>
      <c r="H1521" s="2">
        <v>32146</v>
      </c>
    </row>
    <row r="1522" spans="1:8">
      <c r="A1522" t="s">
        <v>7924</v>
      </c>
      <c r="B1522" t="s">
        <v>106</v>
      </c>
      <c r="C1522" t="s">
        <v>10363</v>
      </c>
      <c r="D1522" t="s">
        <v>11896</v>
      </c>
      <c r="E1522">
        <v>919481701399</v>
      </c>
      <c r="F1522" t="s">
        <v>10374</v>
      </c>
      <c r="G1522" t="s">
        <v>10379</v>
      </c>
      <c r="H1522" s="2">
        <v>22527</v>
      </c>
    </row>
    <row r="1523" spans="1:8">
      <c r="A1523" t="s">
        <v>7929</v>
      </c>
      <c r="B1523" t="s">
        <v>466</v>
      </c>
      <c r="C1523" t="s">
        <v>10363</v>
      </c>
      <c r="D1523" t="s">
        <v>11897</v>
      </c>
      <c r="E1523">
        <v>918567262658</v>
      </c>
      <c r="F1523" t="s">
        <v>10372</v>
      </c>
      <c r="G1523" t="s">
        <v>10377</v>
      </c>
      <c r="H1523" s="2">
        <v>24674</v>
      </c>
    </row>
    <row r="1524" spans="1:8">
      <c r="A1524" t="s">
        <v>7934</v>
      </c>
      <c r="B1524" t="s">
        <v>2035</v>
      </c>
      <c r="C1524" t="s">
        <v>10363</v>
      </c>
      <c r="D1524" t="s">
        <v>11898</v>
      </c>
      <c r="E1524">
        <v>916518892784</v>
      </c>
      <c r="F1524" t="s">
        <v>10369</v>
      </c>
      <c r="G1524" t="s">
        <v>10377</v>
      </c>
      <c r="H1524" s="2">
        <v>35790</v>
      </c>
    </row>
    <row r="1525" spans="1:8">
      <c r="A1525" t="s">
        <v>7939</v>
      </c>
      <c r="B1525" t="s">
        <v>3586</v>
      </c>
      <c r="C1525" t="s">
        <v>10363</v>
      </c>
      <c r="D1525" t="s">
        <v>11899</v>
      </c>
      <c r="E1525">
        <v>916349970755</v>
      </c>
      <c r="F1525" t="s">
        <v>10384</v>
      </c>
      <c r="G1525" t="s">
        <v>10379</v>
      </c>
      <c r="H1525" s="2">
        <v>35645</v>
      </c>
    </row>
    <row r="1526" spans="1:8">
      <c r="A1526" t="s">
        <v>7944</v>
      </c>
      <c r="B1526" t="s">
        <v>1626</v>
      </c>
      <c r="C1526" t="s">
        <v>10367</v>
      </c>
      <c r="D1526" t="s">
        <v>11900</v>
      </c>
      <c r="E1526">
        <v>918621303138</v>
      </c>
      <c r="F1526" t="s">
        <v>10381</v>
      </c>
      <c r="G1526" t="s">
        <v>10370</v>
      </c>
      <c r="H1526" s="2">
        <v>36610</v>
      </c>
    </row>
    <row r="1527" spans="1:8">
      <c r="A1527" t="s">
        <v>7949</v>
      </c>
      <c r="B1527" t="s">
        <v>587</v>
      </c>
      <c r="C1527" t="s">
        <v>10363</v>
      </c>
      <c r="D1527" t="s">
        <v>11901</v>
      </c>
      <c r="E1527">
        <v>919944536887</v>
      </c>
      <c r="F1527" t="s">
        <v>10402</v>
      </c>
      <c r="G1527" t="s">
        <v>10379</v>
      </c>
      <c r="H1527" s="2">
        <v>21994</v>
      </c>
    </row>
    <row r="1528" spans="1:8">
      <c r="A1528" t="s">
        <v>7954</v>
      </c>
      <c r="B1528" t="s">
        <v>1014</v>
      </c>
      <c r="C1528" t="s">
        <v>10367</v>
      </c>
      <c r="D1528" t="s">
        <v>11902</v>
      </c>
      <c r="E1528">
        <v>917200222327</v>
      </c>
      <c r="F1528" t="s">
        <v>10369</v>
      </c>
      <c r="G1528" t="s">
        <v>10366</v>
      </c>
      <c r="H1528" s="2">
        <v>23803</v>
      </c>
    </row>
    <row r="1529" spans="1:8">
      <c r="A1529" t="s">
        <v>7959</v>
      </c>
      <c r="B1529" t="s">
        <v>1710</v>
      </c>
      <c r="C1529" t="s">
        <v>10363</v>
      </c>
      <c r="D1529" t="s">
        <v>11903</v>
      </c>
      <c r="E1529">
        <v>919551266859</v>
      </c>
      <c r="F1529" t="s">
        <v>10376</v>
      </c>
      <c r="G1529" t="s">
        <v>10379</v>
      </c>
      <c r="H1529" s="2">
        <v>35842</v>
      </c>
    </row>
    <row r="1530" spans="1:8">
      <c r="A1530" t="s">
        <v>7964</v>
      </c>
      <c r="B1530" t="s">
        <v>8657</v>
      </c>
      <c r="C1530" t="s">
        <v>10367</v>
      </c>
      <c r="D1530" t="s">
        <v>11904</v>
      </c>
      <c r="E1530">
        <v>916663570386</v>
      </c>
      <c r="F1530" t="s">
        <v>10365</v>
      </c>
      <c r="G1530" t="s">
        <v>10366</v>
      </c>
      <c r="H1530" s="2">
        <v>32521</v>
      </c>
    </row>
    <row r="1531" spans="1:8">
      <c r="A1531" t="s">
        <v>7969</v>
      </c>
      <c r="B1531" t="s">
        <v>2270</v>
      </c>
      <c r="C1531" t="s">
        <v>10367</v>
      </c>
      <c r="D1531" t="s">
        <v>11905</v>
      </c>
      <c r="E1531">
        <v>919095876030</v>
      </c>
      <c r="F1531" t="s">
        <v>10388</v>
      </c>
      <c r="G1531" t="s">
        <v>10370</v>
      </c>
      <c r="H1531" s="2">
        <v>21385</v>
      </c>
    </row>
    <row r="1532" spans="1:8">
      <c r="A1532" t="s">
        <v>7974</v>
      </c>
      <c r="B1532" t="s">
        <v>2510</v>
      </c>
      <c r="C1532" t="s">
        <v>10363</v>
      </c>
      <c r="D1532" t="s">
        <v>11906</v>
      </c>
      <c r="E1532">
        <v>918106194537</v>
      </c>
      <c r="F1532" t="s">
        <v>10402</v>
      </c>
      <c r="G1532" t="s">
        <v>10370</v>
      </c>
      <c r="H1532" s="2">
        <v>22695</v>
      </c>
    </row>
    <row r="1533" spans="1:8">
      <c r="A1533" t="s">
        <v>7979</v>
      </c>
      <c r="B1533" t="s">
        <v>288</v>
      </c>
      <c r="C1533" t="s">
        <v>10367</v>
      </c>
      <c r="D1533" t="s">
        <v>11907</v>
      </c>
      <c r="E1533">
        <v>918865711373</v>
      </c>
      <c r="F1533" t="s">
        <v>10381</v>
      </c>
      <c r="G1533" t="s">
        <v>10370</v>
      </c>
      <c r="H1533" s="2">
        <v>36096</v>
      </c>
    </row>
    <row r="1534" spans="1:8">
      <c r="A1534" t="s">
        <v>7984</v>
      </c>
      <c r="B1534" t="s">
        <v>933</v>
      </c>
      <c r="C1534" t="s">
        <v>10363</v>
      </c>
      <c r="D1534" t="s">
        <v>11908</v>
      </c>
      <c r="E1534">
        <v>917393914991</v>
      </c>
      <c r="F1534" t="s">
        <v>10374</v>
      </c>
      <c r="G1534" t="s">
        <v>10379</v>
      </c>
      <c r="H1534" s="2">
        <v>33943</v>
      </c>
    </row>
    <row r="1535" spans="1:8">
      <c r="A1535" t="s">
        <v>7989</v>
      </c>
      <c r="B1535" t="s">
        <v>1052</v>
      </c>
      <c r="C1535" t="s">
        <v>10367</v>
      </c>
      <c r="D1535" t="s">
        <v>11909</v>
      </c>
      <c r="E1535">
        <v>919504668042</v>
      </c>
      <c r="F1535" t="s">
        <v>10374</v>
      </c>
      <c r="G1535" t="s">
        <v>10379</v>
      </c>
      <c r="H1535" s="2">
        <v>33200</v>
      </c>
    </row>
    <row r="1536" spans="1:8">
      <c r="A1536" t="s">
        <v>7994</v>
      </c>
      <c r="B1536" t="s">
        <v>192</v>
      </c>
      <c r="C1536" t="s">
        <v>10367</v>
      </c>
      <c r="D1536" t="s">
        <v>11910</v>
      </c>
      <c r="E1536">
        <v>919023196212</v>
      </c>
      <c r="F1536" t="s">
        <v>10386</v>
      </c>
      <c r="G1536" t="s">
        <v>10377</v>
      </c>
      <c r="H1536" s="2">
        <v>33447</v>
      </c>
    </row>
    <row r="1537" spans="1:8">
      <c r="A1537" t="s">
        <v>7999</v>
      </c>
      <c r="B1537" t="s">
        <v>124</v>
      </c>
      <c r="C1537" t="s">
        <v>10363</v>
      </c>
      <c r="D1537" t="s">
        <v>11911</v>
      </c>
      <c r="E1537">
        <v>916701270704</v>
      </c>
      <c r="F1537" t="s">
        <v>10402</v>
      </c>
      <c r="G1537" t="s">
        <v>10377</v>
      </c>
      <c r="H1537" s="2">
        <v>23403</v>
      </c>
    </row>
    <row r="1538" spans="1:8">
      <c r="A1538" t="s">
        <v>8004</v>
      </c>
      <c r="B1538" t="s">
        <v>893</v>
      </c>
      <c r="C1538" t="s">
        <v>10367</v>
      </c>
      <c r="D1538" t="s">
        <v>11912</v>
      </c>
      <c r="E1538">
        <v>917739239316</v>
      </c>
      <c r="F1538" t="s">
        <v>10372</v>
      </c>
      <c r="G1538" t="s">
        <v>10377</v>
      </c>
      <c r="H1538" s="2">
        <v>36428</v>
      </c>
    </row>
    <row r="1539" spans="1:8">
      <c r="A1539" t="s">
        <v>8009</v>
      </c>
      <c r="B1539" t="s">
        <v>729</v>
      </c>
      <c r="C1539" t="s">
        <v>10367</v>
      </c>
      <c r="D1539" t="s">
        <v>11913</v>
      </c>
      <c r="E1539">
        <v>919012787458</v>
      </c>
      <c r="F1539" t="s">
        <v>10402</v>
      </c>
      <c r="G1539" t="s">
        <v>10379</v>
      </c>
      <c r="H1539" s="2">
        <v>22403</v>
      </c>
    </row>
    <row r="1540" spans="1:8">
      <c r="A1540" t="s">
        <v>8014</v>
      </c>
      <c r="B1540" t="s">
        <v>2313</v>
      </c>
      <c r="C1540" t="s">
        <v>10363</v>
      </c>
      <c r="D1540" t="s">
        <v>11914</v>
      </c>
      <c r="E1540">
        <v>918422030808</v>
      </c>
      <c r="F1540" t="s">
        <v>10374</v>
      </c>
      <c r="G1540" t="s">
        <v>10366</v>
      </c>
      <c r="H1540" s="2">
        <v>26584</v>
      </c>
    </row>
    <row r="1541" spans="1:8">
      <c r="A1541" t="s">
        <v>8019</v>
      </c>
      <c r="B1541" t="s">
        <v>174</v>
      </c>
      <c r="C1541" t="s">
        <v>10367</v>
      </c>
      <c r="D1541" t="s">
        <v>11915</v>
      </c>
      <c r="E1541">
        <v>919558957530</v>
      </c>
      <c r="F1541" t="s">
        <v>10384</v>
      </c>
      <c r="G1541" t="s">
        <v>10377</v>
      </c>
      <c r="H1541" s="2">
        <v>29668</v>
      </c>
    </row>
    <row r="1542" spans="1:8">
      <c r="A1542" t="s">
        <v>8024</v>
      </c>
      <c r="B1542" t="s">
        <v>124</v>
      </c>
      <c r="C1542" t="s">
        <v>10363</v>
      </c>
      <c r="D1542" t="s">
        <v>11916</v>
      </c>
      <c r="E1542">
        <v>918551730327</v>
      </c>
      <c r="F1542" t="s">
        <v>10384</v>
      </c>
      <c r="G1542" t="s">
        <v>10370</v>
      </c>
      <c r="H1542" s="2">
        <v>36089</v>
      </c>
    </row>
    <row r="1543" spans="1:8">
      <c r="A1543" t="s">
        <v>8029</v>
      </c>
      <c r="B1543" t="s">
        <v>2636</v>
      </c>
      <c r="C1543" t="s">
        <v>10363</v>
      </c>
      <c r="D1543" t="s">
        <v>11917</v>
      </c>
      <c r="E1543">
        <v>918092128265</v>
      </c>
      <c r="F1543" t="s">
        <v>10372</v>
      </c>
      <c r="G1543" t="s">
        <v>10370</v>
      </c>
      <c r="H1543" s="2">
        <v>34092</v>
      </c>
    </row>
    <row r="1544" spans="1:8">
      <c r="A1544" t="s">
        <v>8034</v>
      </c>
      <c r="B1544" t="s">
        <v>621</v>
      </c>
      <c r="C1544" t="s">
        <v>10367</v>
      </c>
      <c r="D1544" t="s">
        <v>11918</v>
      </c>
      <c r="E1544">
        <v>917542265672</v>
      </c>
      <c r="F1544" t="s">
        <v>10365</v>
      </c>
      <c r="G1544" t="s">
        <v>10379</v>
      </c>
      <c r="H1544" s="2">
        <v>30021</v>
      </c>
    </row>
    <row r="1545" spans="1:8">
      <c r="A1545" t="s">
        <v>8039</v>
      </c>
      <c r="B1545" t="s">
        <v>333</v>
      </c>
      <c r="C1545" t="s">
        <v>10363</v>
      </c>
      <c r="D1545" t="s">
        <v>11919</v>
      </c>
      <c r="E1545">
        <v>919233033587</v>
      </c>
      <c r="F1545" t="s">
        <v>10386</v>
      </c>
      <c r="G1545" t="s">
        <v>10377</v>
      </c>
      <c r="H1545" s="2">
        <v>34127</v>
      </c>
    </row>
    <row r="1546" spans="1:8">
      <c r="A1546" t="s">
        <v>8044</v>
      </c>
      <c r="B1546" t="s">
        <v>2924</v>
      </c>
      <c r="C1546" t="s">
        <v>10367</v>
      </c>
      <c r="D1546" t="s">
        <v>11920</v>
      </c>
      <c r="E1546">
        <v>918252437135</v>
      </c>
      <c r="F1546" t="s">
        <v>10386</v>
      </c>
      <c r="G1546" t="s">
        <v>10377</v>
      </c>
      <c r="H1546" s="2">
        <v>31189</v>
      </c>
    </row>
    <row r="1547" spans="1:8">
      <c r="A1547" t="s">
        <v>8049</v>
      </c>
      <c r="B1547" t="s">
        <v>587</v>
      </c>
      <c r="C1547" t="s">
        <v>10363</v>
      </c>
      <c r="D1547" t="s">
        <v>11921</v>
      </c>
      <c r="E1547">
        <v>916578749782</v>
      </c>
      <c r="F1547" t="s">
        <v>10386</v>
      </c>
      <c r="G1547" t="s">
        <v>10370</v>
      </c>
      <c r="H1547" s="2">
        <v>34194</v>
      </c>
    </row>
    <row r="1548" spans="1:8">
      <c r="A1548" t="s">
        <v>8054</v>
      </c>
      <c r="B1548" t="s">
        <v>6181</v>
      </c>
      <c r="C1548" t="s">
        <v>10367</v>
      </c>
      <c r="D1548" t="s">
        <v>11922</v>
      </c>
      <c r="E1548">
        <v>917713767074</v>
      </c>
      <c r="F1548" t="s">
        <v>10386</v>
      </c>
      <c r="G1548" t="s">
        <v>10377</v>
      </c>
      <c r="H1548" s="2">
        <v>24612</v>
      </c>
    </row>
    <row r="1549" spans="1:8">
      <c r="A1549" t="s">
        <v>8059</v>
      </c>
      <c r="B1549" t="s">
        <v>4359</v>
      </c>
      <c r="C1549" t="s">
        <v>10363</v>
      </c>
      <c r="D1549" t="s">
        <v>11923</v>
      </c>
      <c r="E1549">
        <v>919940587463</v>
      </c>
      <c r="F1549" t="s">
        <v>10386</v>
      </c>
      <c r="G1549" t="s">
        <v>10379</v>
      </c>
      <c r="H1549" s="2">
        <v>35068</v>
      </c>
    </row>
    <row r="1550" spans="1:8">
      <c r="A1550" t="s">
        <v>8064</v>
      </c>
      <c r="B1550" t="s">
        <v>4740</v>
      </c>
      <c r="C1550" t="s">
        <v>10367</v>
      </c>
      <c r="D1550" t="s">
        <v>11247</v>
      </c>
      <c r="E1550">
        <v>919528401751</v>
      </c>
      <c r="F1550" t="s">
        <v>10372</v>
      </c>
      <c r="G1550" t="s">
        <v>10377</v>
      </c>
      <c r="H1550" s="2">
        <v>23785</v>
      </c>
    </row>
    <row r="1551" spans="1:8">
      <c r="A1551" t="s">
        <v>8069</v>
      </c>
      <c r="B1551" t="s">
        <v>1826</v>
      </c>
      <c r="C1551" t="s">
        <v>10363</v>
      </c>
      <c r="D1551" t="s">
        <v>11924</v>
      </c>
      <c r="E1551">
        <v>919078626054</v>
      </c>
      <c r="F1551" t="s">
        <v>10381</v>
      </c>
      <c r="G1551" t="s">
        <v>10366</v>
      </c>
      <c r="H1551" s="2">
        <v>23503</v>
      </c>
    </row>
    <row r="1552" spans="1:8">
      <c r="A1552" t="s">
        <v>8074</v>
      </c>
      <c r="B1552" t="s">
        <v>74</v>
      </c>
      <c r="C1552" t="s">
        <v>10363</v>
      </c>
      <c r="D1552" t="s">
        <v>11925</v>
      </c>
      <c r="E1552">
        <v>919569729103</v>
      </c>
      <c r="F1552" t="s">
        <v>10388</v>
      </c>
      <c r="G1552" t="s">
        <v>10377</v>
      </c>
      <c r="H1552" s="2">
        <v>32318</v>
      </c>
    </row>
    <row r="1553" spans="1:8">
      <c r="A1553" t="s">
        <v>8079</v>
      </c>
      <c r="B1553" t="s">
        <v>1036</v>
      </c>
      <c r="C1553" t="s">
        <v>10363</v>
      </c>
      <c r="D1553" t="s">
        <v>11926</v>
      </c>
      <c r="E1553">
        <v>919773429808</v>
      </c>
      <c r="F1553" t="s">
        <v>10402</v>
      </c>
      <c r="G1553" t="s">
        <v>10379</v>
      </c>
      <c r="H1553" s="2">
        <v>24150</v>
      </c>
    </row>
    <row r="1554" spans="1:8">
      <c r="A1554" t="s">
        <v>8084</v>
      </c>
      <c r="B1554" t="s">
        <v>130</v>
      </c>
      <c r="C1554" t="s">
        <v>10363</v>
      </c>
      <c r="D1554" t="s">
        <v>11927</v>
      </c>
      <c r="E1554">
        <v>916035453643</v>
      </c>
      <c r="F1554" t="s">
        <v>10374</v>
      </c>
      <c r="G1554" t="s">
        <v>10370</v>
      </c>
      <c r="H1554" s="2">
        <v>27875</v>
      </c>
    </row>
    <row r="1555" spans="1:8">
      <c r="A1555" t="s">
        <v>8089</v>
      </c>
      <c r="B1555" t="s">
        <v>939</v>
      </c>
      <c r="C1555" t="s">
        <v>10367</v>
      </c>
      <c r="D1555" t="s">
        <v>11928</v>
      </c>
      <c r="E1555">
        <v>919945108153</v>
      </c>
      <c r="F1555" t="s">
        <v>10386</v>
      </c>
      <c r="G1555" t="s">
        <v>10377</v>
      </c>
      <c r="H1555" s="2">
        <v>28060</v>
      </c>
    </row>
    <row r="1556" spans="1:8">
      <c r="A1556" t="s">
        <v>8094</v>
      </c>
      <c r="B1556" t="s">
        <v>547</v>
      </c>
      <c r="C1556" t="s">
        <v>10363</v>
      </c>
      <c r="D1556" t="s">
        <v>11929</v>
      </c>
      <c r="E1556">
        <v>916544925572</v>
      </c>
      <c r="F1556" t="s">
        <v>10402</v>
      </c>
      <c r="G1556" t="s">
        <v>10377</v>
      </c>
      <c r="H1556" s="2">
        <v>34005</v>
      </c>
    </row>
    <row r="1557" spans="1:8">
      <c r="A1557" t="s">
        <v>8099</v>
      </c>
      <c r="B1557" t="s">
        <v>1036</v>
      </c>
      <c r="C1557" t="s">
        <v>10363</v>
      </c>
      <c r="D1557" t="s">
        <v>11930</v>
      </c>
      <c r="E1557">
        <v>919116159748</v>
      </c>
      <c r="F1557" t="s">
        <v>10402</v>
      </c>
      <c r="G1557" t="s">
        <v>10366</v>
      </c>
      <c r="H1557" s="2">
        <v>36490</v>
      </c>
    </row>
    <row r="1558" spans="1:8">
      <c r="A1558" t="s">
        <v>8104</v>
      </c>
      <c r="B1558" t="s">
        <v>1763</v>
      </c>
      <c r="C1558" t="s">
        <v>10367</v>
      </c>
      <c r="D1558" t="s">
        <v>11931</v>
      </c>
      <c r="E1558">
        <v>916955396273</v>
      </c>
      <c r="F1558" t="s">
        <v>10372</v>
      </c>
      <c r="G1558" t="s">
        <v>10370</v>
      </c>
      <c r="H1558" s="2">
        <v>36114</v>
      </c>
    </row>
    <row r="1559" spans="1:8">
      <c r="A1559" t="s">
        <v>8109</v>
      </c>
      <c r="B1559" t="s">
        <v>1539</v>
      </c>
      <c r="C1559" t="s">
        <v>10363</v>
      </c>
      <c r="D1559" t="s">
        <v>11932</v>
      </c>
      <c r="E1559">
        <v>916649100225</v>
      </c>
      <c r="F1559" t="s">
        <v>10372</v>
      </c>
      <c r="G1559" t="s">
        <v>10377</v>
      </c>
      <c r="H1559" s="2">
        <v>23411</v>
      </c>
    </row>
    <row r="1560" spans="1:8">
      <c r="A1560" t="s">
        <v>8114</v>
      </c>
      <c r="B1560" t="s">
        <v>627</v>
      </c>
      <c r="C1560" t="s">
        <v>10367</v>
      </c>
      <c r="D1560" t="s">
        <v>11933</v>
      </c>
      <c r="E1560">
        <v>916932054106</v>
      </c>
      <c r="F1560" t="s">
        <v>10365</v>
      </c>
      <c r="G1560" t="s">
        <v>10377</v>
      </c>
      <c r="H1560" s="2">
        <v>31829</v>
      </c>
    </row>
    <row r="1561" spans="1:8">
      <c r="A1561" t="s">
        <v>8119</v>
      </c>
      <c r="B1561" t="s">
        <v>847</v>
      </c>
      <c r="C1561" t="s">
        <v>10367</v>
      </c>
      <c r="D1561" t="s">
        <v>11934</v>
      </c>
      <c r="E1561">
        <v>919700180331</v>
      </c>
      <c r="F1561" t="s">
        <v>10372</v>
      </c>
      <c r="G1561" t="s">
        <v>10370</v>
      </c>
      <c r="H1561" s="2">
        <v>29752</v>
      </c>
    </row>
    <row r="1562" spans="1:8">
      <c r="A1562" t="s">
        <v>8124</v>
      </c>
      <c r="B1562" t="s">
        <v>1470</v>
      </c>
      <c r="C1562" t="s">
        <v>10367</v>
      </c>
      <c r="D1562" t="s">
        <v>11935</v>
      </c>
      <c r="E1562">
        <v>917553154186</v>
      </c>
      <c r="F1562" t="s">
        <v>10384</v>
      </c>
      <c r="G1562" t="s">
        <v>10379</v>
      </c>
      <c r="H1562" s="2">
        <v>30461</v>
      </c>
    </row>
    <row r="1563" spans="1:8">
      <c r="A1563" t="s">
        <v>8129</v>
      </c>
      <c r="B1563" t="s">
        <v>74</v>
      </c>
      <c r="C1563" t="s">
        <v>10363</v>
      </c>
      <c r="D1563" t="s">
        <v>11936</v>
      </c>
      <c r="E1563">
        <v>919295290436</v>
      </c>
      <c r="F1563" t="s">
        <v>10372</v>
      </c>
      <c r="G1563" t="s">
        <v>10370</v>
      </c>
      <c r="H1563" s="2">
        <v>24831</v>
      </c>
    </row>
    <row r="1564" spans="1:8">
      <c r="A1564" t="s">
        <v>8134</v>
      </c>
      <c r="B1564" t="s">
        <v>351</v>
      </c>
      <c r="C1564" t="s">
        <v>10363</v>
      </c>
      <c r="D1564" t="s">
        <v>11937</v>
      </c>
      <c r="E1564">
        <v>919211999973</v>
      </c>
      <c r="F1564" t="s">
        <v>10381</v>
      </c>
      <c r="G1564" t="s">
        <v>10370</v>
      </c>
      <c r="H1564" s="2">
        <v>34857</v>
      </c>
    </row>
    <row r="1565" spans="1:8">
      <c r="A1565" t="s">
        <v>8139</v>
      </c>
      <c r="B1565" t="s">
        <v>1367</v>
      </c>
      <c r="C1565" t="s">
        <v>10367</v>
      </c>
      <c r="D1565" t="s">
        <v>11938</v>
      </c>
      <c r="E1565">
        <v>919252265459</v>
      </c>
      <c r="F1565" t="s">
        <v>10381</v>
      </c>
      <c r="G1565" t="s">
        <v>10377</v>
      </c>
      <c r="H1565" s="2">
        <v>27767</v>
      </c>
    </row>
    <row r="1566" spans="1:8">
      <c r="A1566" t="s">
        <v>8144</v>
      </c>
      <c r="B1566" t="s">
        <v>2642</v>
      </c>
      <c r="C1566" t="s">
        <v>10367</v>
      </c>
      <c r="D1566" t="s">
        <v>11939</v>
      </c>
      <c r="E1566">
        <v>916801818447</v>
      </c>
      <c r="F1566" t="s">
        <v>10384</v>
      </c>
      <c r="G1566" t="s">
        <v>10379</v>
      </c>
      <c r="H1566" s="2">
        <v>23751</v>
      </c>
    </row>
    <row r="1567" spans="1:8">
      <c r="A1567" t="s">
        <v>8149</v>
      </c>
      <c r="B1567" t="s">
        <v>751</v>
      </c>
      <c r="C1567" t="s">
        <v>10367</v>
      </c>
      <c r="D1567" t="s">
        <v>11940</v>
      </c>
      <c r="E1567">
        <v>919043376482</v>
      </c>
      <c r="F1567" t="s">
        <v>10388</v>
      </c>
      <c r="G1567" t="s">
        <v>10370</v>
      </c>
      <c r="H1567" s="2">
        <v>32767</v>
      </c>
    </row>
    <row r="1568" spans="1:8">
      <c r="A1568" t="s">
        <v>8154</v>
      </c>
      <c r="B1568" t="s">
        <v>916</v>
      </c>
      <c r="C1568" t="s">
        <v>10367</v>
      </c>
      <c r="D1568" t="s">
        <v>11941</v>
      </c>
      <c r="E1568">
        <v>916238867007</v>
      </c>
      <c r="F1568" t="s">
        <v>10365</v>
      </c>
      <c r="G1568" t="s">
        <v>10366</v>
      </c>
      <c r="H1568" s="2">
        <v>24890</v>
      </c>
    </row>
    <row r="1569" spans="1:8">
      <c r="A1569" t="s">
        <v>8159</v>
      </c>
      <c r="B1569" t="s">
        <v>311</v>
      </c>
      <c r="C1569" t="s">
        <v>10363</v>
      </c>
      <c r="D1569" t="s">
        <v>11942</v>
      </c>
      <c r="E1569">
        <v>918594921532</v>
      </c>
      <c r="F1569" t="s">
        <v>10376</v>
      </c>
      <c r="G1569" t="s">
        <v>10377</v>
      </c>
      <c r="H1569" s="2">
        <v>28829</v>
      </c>
    </row>
    <row r="1570" spans="1:8">
      <c r="A1570" t="s">
        <v>8164</v>
      </c>
      <c r="B1570" t="s">
        <v>4983</v>
      </c>
      <c r="C1570" t="s">
        <v>10367</v>
      </c>
      <c r="D1570" t="s">
        <v>11943</v>
      </c>
      <c r="E1570">
        <v>919057468435</v>
      </c>
      <c r="F1570" t="s">
        <v>10402</v>
      </c>
      <c r="G1570" t="s">
        <v>10366</v>
      </c>
      <c r="H1570" s="2">
        <v>26024</v>
      </c>
    </row>
    <row r="1571" spans="1:8">
      <c r="A1571" t="s">
        <v>8169</v>
      </c>
      <c r="B1571" t="s">
        <v>1545</v>
      </c>
      <c r="C1571" t="s">
        <v>10363</v>
      </c>
      <c r="D1571" t="s">
        <v>11944</v>
      </c>
      <c r="E1571">
        <v>917191264786</v>
      </c>
      <c r="F1571" t="s">
        <v>10372</v>
      </c>
      <c r="G1571" t="s">
        <v>10366</v>
      </c>
      <c r="H1571" s="2">
        <v>23676</v>
      </c>
    </row>
    <row r="1572" spans="1:8">
      <c r="A1572" t="s">
        <v>8174</v>
      </c>
      <c r="B1572" t="s">
        <v>639</v>
      </c>
      <c r="C1572" t="s">
        <v>10363</v>
      </c>
      <c r="D1572" t="s">
        <v>11945</v>
      </c>
      <c r="E1572">
        <v>917339550930</v>
      </c>
      <c r="F1572" t="s">
        <v>10372</v>
      </c>
      <c r="G1572" t="s">
        <v>10370</v>
      </c>
      <c r="H1572" s="2">
        <v>24888</v>
      </c>
    </row>
    <row r="1573" spans="1:8">
      <c r="A1573" t="s">
        <v>8179</v>
      </c>
      <c r="B1573" t="s">
        <v>137</v>
      </c>
      <c r="C1573" t="s">
        <v>10363</v>
      </c>
      <c r="D1573" t="s">
        <v>11946</v>
      </c>
      <c r="E1573">
        <v>916974019768</v>
      </c>
      <c r="F1573" t="s">
        <v>10376</v>
      </c>
      <c r="G1573" t="s">
        <v>10370</v>
      </c>
      <c r="H1573" s="2">
        <v>26587</v>
      </c>
    </row>
    <row r="1574" spans="1:8">
      <c r="A1574" t="s">
        <v>8184</v>
      </c>
      <c r="B1574" t="s">
        <v>1175</v>
      </c>
      <c r="C1574" t="s">
        <v>10367</v>
      </c>
      <c r="D1574" t="s">
        <v>11947</v>
      </c>
      <c r="E1574">
        <v>916396145849</v>
      </c>
      <c r="F1574" t="s">
        <v>10388</v>
      </c>
      <c r="G1574" t="s">
        <v>10377</v>
      </c>
      <c r="H1574" s="2">
        <v>37372</v>
      </c>
    </row>
    <row r="1575" spans="1:8">
      <c r="A1575" t="s">
        <v>8189</v>
      </c>
      <c r="B1575" t="s">
        <v>1030</v>
      </c>
      <c r="C1575" t="s">
        <v>10363</v>
      </c>
      <c r="D1575" t="s">
        <v>11948</v>
      </c>
      <c r="E1575">
        <v>918575478587</v>
      </c>
      <c r="F1575" t="s">
        <v>10365</v>
      </c>
      <c r="G1575" t="s">
        <v>10366</v>
      </c>
      <c r="H1575" s="2">
        <v>37608</v>
      </c>
    </row>
    <row r="1576" spans="1:8">
      <c r="A1576" t="s">
        <v>8194</v>
      </c>
      <c r="B1576" t="s">
        <v>253</v>
      </c>
      <c r="C1576" t="s">
        <v>10363</v>
      </c>
      <c r="D1576" t="s">
        <v>11949</v>
      </c>
      <c r="E1576">
        <v>919151053131</v>
      </c>
      <c r="F1576" t="s">
        <v>10384</v>
      </c>
      <c r="G1576" t="s">
        <v>10377</v>
      </c>
      <c r="H1576" s="2">
        <v>31303</v>
      </c>
    </row>
    <row r="1577" spans="1:8">
      <c r="A1577" t="s">
        <v>8199</v>
      </c>
      <c r="B1577" t="s">
        <v>1014</v>
      </c>
      <c r="C1577" t="s">
        <v>10367</v>
      </c>
      <c r="D1577" t="s">
        <v>11950</v>
      </c>
      <c r="E1577">
        <v>918537309627</v>
      </c>
      <c r="F1577" t="s">
        <v>10381</v>
      </c>
      <c r="G1577" t="s">
        <v>10379</v>
      </c>
      <c r="H1577" s="2">
        <v>34096</v>
      </c>
    </row>
    <row r="1578" spans="1:8">
      <c r="A1578" t="s">
        <v>8204</v>
      </c>
      <c r="B1578" t="s">
        <v>3124</v>
      </c>
      <c r="C1578" t="s">
        <v>10367</v>
      </c>
      <c r="D1578" t="s">
        <v>11951</v>
      </c>
      <c r="E1578">
        <v>919878451344</v>
      </c>
      <c r="F1578" t="s">
        <v>10372</v>
      </c>
      <c r="G1578" t="s">
        <v>10377</v>
      </c>
      <c r="H1578" s="2">
        <v>24932</v>
      </c>
    </row>
    <row r="1579" spans="1:8">
      <c r="A1579" t="s">
        <v>8209</v>
      </c>
      <c r="B1579" t="s">
        <v>94</v>
      </c>
      <c r="C1579" t="s">
        <v>10367</v>
      </c>
      <c r="D1579" t="s">
        <v>11952</v>
      </c>
      <c r="E1579">
        <v>917134037409</v>
      </c>
      <c r="F1579" t="s">
        <v>10384</v>
      </c>
      <c r="G1579" t="s">
        <v>10377</v>
      </c>
      <c r="H1579" s="2">
        <v>30326</v>
      </c>
    </row>
    <row r="1580" spans="1:8">
      <c r="A1580" t="s">
        <v>8215</v>
      </c>
      <c r="B1580" t="s">
        <v>518</v>
      </c>
      <c r="C1580" t="s">
        <v>10367</v>
      </c>
      <c r="D1580" t="s">
        <v>11953</v>
      </c>
      <c r="E1580">
        <v>916937777312</v>
      </c>
      <c r="F1580" t="s">
        <v>10386</v>
      </c>
      <c r="G1580" t="s">
        <v>10379</v>
      </c>
      <c r="H1580" s="2">
        <v>27257</v>
      </c>
    </row>
    <row r="1581" spans="1:8">
      <c r="A1581" t="s">
        <v>8220</v>
      </c>
      <c r="B1581" t="s">
        <v>3762</v>
      </c>
      <c r="C1581" t="s">
        <v>10363</v>
      </c>
      <c r="D1581" t="s">
        <v>11954</v>
      </c>
      <c r="E1581">
        <v>916077304240</v>
      </c>
      <c r="F1581" t="s">
        <v>10376</v>
      </c>
      <c r="G1581" t="s">
        <v>10379</v>
      </c>
      <c r="H1581" s="2">
        <v>29064</v>
      </c>
    </row>
    <row r="1582" spans="1:8">
      <c r="A1582" t="s">
        <v>8225</v>
      </c>
      <c r="B1582" t="s">
        <v>1282</v>
      </c>
      <c r="C1582" t="s">
        <v>10363</v>
      </c>
      <c r="D1582" t="s">
        <v>11955</v>
      </c>
      <c r="E1582">
        <v>918887120867</v>
      </c>
      <c r="F1582" t="s">
        <v>10365</v>
      </c>
      <c r="G1582" t="s">
        <v>10379</v>
      </c>
      <c r="H1582" s="2">
        <v>36591</v>
      </c>
    </row>
    <row r="1583" spans="1:8">
      <c r="A1583" t="s">
        <v>8230</v>
      </c>
      <c r="B1583" t="s">
        <v>1757</v>
      </c>
      <c r="C1583" t="s">
        <v>10363</v>
      </c>
      <c r="D1583" t="s">
        <v>11956</v>
      </c>
      <c r="E1583">
        <v>919382044818</v>
      </c>
      <c r="F1583" t="s">
        <v>10384</v>
      </c>
      <c r="G1583" t="s">
        <v>10370</v>
      </c>
      <c r="H1583" s="2">
        <v>22946</v>
      </c>
    </row>
    <row r="1584" spans="1:8">
      <c r="A1584" t="s">
        <v>8235</v>
      </c>
      <c r="B1584" t="s">
        <v>253</v>
      </c>
      <c r="C1584" t="s">
        <v>10363</v>
      </c>
      <c r="D1584" t="s">
        <v>11957</v>
      </c>
      <c r="E1584">
        <v>918064854329</v>
      </c>
      <c r="F1584" t="s">
        <v>10384</v>
      </c>
      <c r="G1584" t="s">
        <v>10366</v>
      </c>
      <c r="H1584" s="2">
        <v>30389</v>
      </c>
    </row>
    <row r="1585" spans="1:8">
      <c r="A1585" t="s">
        <v>8240</v>
      </c>
      <c r="B1585" t="s">
        <v>9536</v>
      </c>
      <c r="C1585" t="s">
        <v>10367</v>
      </c>
      <c r="D1585" t="s">
        <v>11958</v>
      </c>
      <c r="E1585">
        <v>919652816122</v>
      </c>
      <c r="F1585" t="s">
        <v>10388</v>
      </c>
      <c r="G1585" t="s">
        <v>10366</v>
      </c>
      <c r="H1585" s="2">
        <v>37063</v>
      </c>
    </row>
    <row r="1586" spans="1:8">
      <c r="A1586" t="s">
        <v>8245</v>
      </c>
      <c r="B1586" t="s">
        <v>835</v>
      </c>
      <c r="C1586" t="s">
        <v>10363</v>
      </c>
      <c r="D1586" t="s">
        <v>11959</v>
      </c>
      <c r="E1586">
        <v>919866045884</v>
      </c>
      <c r="F1586" t="s">
        <v>10386</v>
      </c>
      <c r="G1586" t="s">
        <v>10379</v>
      </c>
      <c r="H1586" s="2">
        <v>35613</v>
      </c>
    </row>
    <row r="1587" spans="1:8">
      <c r="A1587" t="s">
        <v>8250</v>
      </c>
      <c r="B1587" t="s">
        <v>587</v>
      </c>
      <c r="C1587" t="s">
        <v>10363</v>
      </c>
      <c r="D1587" t="s">
        <v>11960</v>
      </c>
      <c r="E1587">
        <v>916780411779</v>
      </c>
      <c r="F1587" t="s">
        <v>10376</v>
      </c>
      <c r="G1587" t="s">
        <v>10366</v>
      </c>
      <c r="H1587" s="2">
        <v>35192</v>
      </c>
    </row>
    <row r="1588" spans="1:8">
      <c r="A1588" t="s">
        <v>8255</v>
      </c>
      <c r="B1588" t="s">
        <v>333</v>
      </c>
      <c r="C1588" t="s">
        <v>10363</v>
      </c>
      <c r="D1588" t="s">
        <v>11961</v>
      </c>
      <c r="E1588">
        <v>916393300234</v>
      </c>
      <c r="F1588" t="s">
        <v>10402</v>
      </c>
      <c r="G1588" t="s">
        <v>10366</v>
      </c>
      <c r="H1588" s="2">
        <v>30106</v>
      </c>
    </row>
    <row r="1589" spans="1:8">
      <c r="A1589" t="s">
        <v>8260</v>
      </c>
      <c r="B1589" t="s">
        <v>4252</v>
      </c>
      <c r="C1589" t="s">
        <v>10367</v>
      </c>
      <c r="D1589" t="s">
        <v>11962</v>
      </c>
      <c r="E1589">
        <v>919749155011</v>
      </c>
      <c r="F1589" t="s">
        <v>10386</v>
      </c>
      <c r="G1589" t="s">
        <v>10370</v>
      </c>
      <c r="H1589" s="2">
        <v>30947</v>
      </c>
    </row>
    <row r="1590" spans="1:8">
      <c r="A1590" t="s">
        <v>8265</v>
      </c>
      <c r="B1590" t="s">
        <v>1383</v>
      </c>
      <c r="C1590" t="s">
        <v>10367</v>
      </c>
      <c r="D1590" t="s">
        <v>11963</v>
      </c>
      <c r="E1590">
        <v>919389951522</v>
      </c>
      <c r="F1590" t="s">
        <v>10386</v>
      </c>
      <c r="G1590" t="s">
        <v>10366</v>
      </c>
      <c r="H1590" s="2">
        <v>34946</v>
      </c>
    </row>
    <row r="1591" spans="1:8">
      <c r="A1591" t="s">
        <v>8271</v>
      </c>
      <c r="B1591" t="s">
        <v>300</v>
      </c>
      <c r="C1591" t="s">
        <v>10367</v>
      </c>
      <c r="D1591" t="s">
        <v>11964</v>
      </c>
      <c r="E1591">
        <v>919975921369</v>
      </c>
      <c r="F1591" t="s">
        <v>10374</v>
      </c>
      <c r="G1591" t="s">
        <v>10366</v>
      </c>
      <c r="H1591" s="2">
        <v>33364</v>
      </c>
    </row>
    <row r="1592" spans="1:8">
      <c r="A1592" t="s">
        <v>8276</v>
      </c>
      <c r="B1592" t="s">
        <v>2451</v>
      </c>
      <c r="C1592" t="s">
        <v>10367</v>
      </c>
      <c r="D1592" t="s">
        <v>11965</v>
      </c>
      <c r="E1592">
        <v>919957366035</v>
      </c>
      <c r="F1592" t="s">
        <v>10402</v>
      </c>
      <c r="G1592" t="s">
        <v>10370</v>
      </c>
      <c r="H1592" s="2">
        <v>29699</v>
      </c>
    </row>
    <row r="1593" spans="1:8">
      <c r="A1593" t="s">
        <v>8281</v>
      </c>
      <c r="B1593" t="s">
        <v>3112</v>
      </c>
      <c r="C1593" t="s">
        <v>10367</v>
      </c>
      <c r="D1593" t="s">
        <v>11966</v>
      </c>
      <c r="E1593">
        <v>917716909304</v>
      </c>
      <c r="F1593" t="s">
        <v>10365</v>
      </c>
      <c r="G1593" t="s">
        <v>10379</v>
      </c>
      <c r="H1593" s="2">
        <v>32371</v>
      </c>
    </row>
    <row r="1594" spans="1:8">
      <c r="A1594" t="s">
        <v>8286</v>
      </c>
      <c r="B1594" t="s">
        <v>345</v>
      </c>
      <c r="C1594" t="s">
        <v>10367</v>
      </c>
      <c r="D1594" t="s">
        <v>11967</v>
      </c>
      <c r="E1594">
        <v>917825985297</v>
      </c>
      <c r="F1594" t="s">
        <v>10402</v>
      </c>
      <c r="G1594" t="s">
        <v>10370</v>
      </c>
      <c r="H1594" s="2">
        <v>27076</v>
      </c>
    </row>
    <row r="1595" spans="1:8">
      <c r="A1595" t="s">
        <v>8291</v>
      </c>
      <c r="B1595" t="s">
        <v>192</v>
      </c>
      <c r="C1595" t="s">
        <v>10367</v>
      </c>
      <c r="D1595" t="s">
        <v>11968</v>
      </c>
      <c r="E1595">
        <v>916945145422</v>
      </c>
      <c r="F1595" t="s">
        <v>10384</v>
      </c>
      <c r="G1595" t="s">
        <v>10377</v>
      </c>
      <c r="H1595" s="2">
        <v>33195</v>
      </c>
    </row>
    <row r="1596" spans="1:8">
      <c r="A1596" t="s">
        <v>8296</v>
      </c>
      <c r="B1596" t="s">
        <v>432</v>
      </c>
      <c r="C1596" t="s">
        <v>10363</v>
      </c>
      <c r="D1596" t="s">
        <v>11969</v>
      </c>
      <c r="E1596">
        <v>916824584800</v>
      </c>
      <c r="F1596" t="s">
        <v>10376</v>
      </c>
      <c r="G1596" t="s">
        <v>10377</v>
      </c>
      <c r="H1596" s="2">
        <v>36035</v>
      </c>
    </row>
    <row r="1597" spans="1:8">
      <c r="A1597" t="s">
        <v>8301</v>
      </c>
      <c r="B1597" t="s">
        <v>3257</v>
      </c>
      <c r="C1597" t="s">
        <v>10367</v>
      </c>
      <c r="D1597" t="s">
        <v>11970</v>
      </c>
      <c r="E1597">
        <v>916322104832</v>
      </c>
      <c r="F1597" t="s">
        <v>10402</v>
      </c>
      <c r="G1597" t="s">
        <v>10370</v>
      </c>
      <c r="H1597" s="2">
        <v>34376</v>
      </c>
    </row>
    <row r="1598" spans="1:8">
      <c r="A1598" t="s">
        <v>8306</v>
      </c>
      <c r="B1598" t="s">
        <v>1383</v>
      </c>
      <c r="C1598" t="s">
        <v>10367</v>
      </c>
      <c r="D1598" t="s">
        <v>11971</v>
      </c>
      <c r="E1598">
        <v>919218578783</v>
      </c>
      <c r="F1598" t="s">
        <v>10376</v>
      </c>
      <c r="G1598" t="s">
        <v>10379</v>
      </c>
      <c r="H1598" s="2">
        <v>26165</v>
      </c>
    </row>
    <row r="1599" spans="1:8">
      <c r="A1599" t="s">
        <v>8311</v>
      </c>
      <c r="B1599" t="s">
        <v>2663</v>
      </c>
      <c r="C1599" t="s">
        <v>10367</v>
      </c>
      <c r="D1599" t="s">
        <v>11972</v>
      </c>
      <c r="E1599">
        <v>916054830723</v>
      </c>
      <c r="F1599" t="s">
        <v>10402</v>
      </c>
      <c r="G1599" t="s">
        <v>10377</v>
      </c>
      <c r="H1599" s="2">
        <v>37147</v>
      </c>
    </row>
    <row r="1600" spans="1:8">
      <c r="A1600" t="s">
        <v>8316</v>
      </c>
      <c r="B1600" t="s">
        <v>2924</v>
      </c>
      <c r="C1600" t="s">
        <v>10367</v>
      </c>
      <c r="D1600" t="s">
        <v>11973</v>
      </c>
      <c r="E1600">
        <v>916079663778</v>
      </c>
      <c r="F1600" t="s">
        <v>10372</v>
      </c>
      <c r="G1600" t="s">
        <v>10377</v>
      </c>
      <c r="H1600" s="2">
        <v>27980</v>
      </c>
    </row>
    <row r="1601" spans="1:8">
      <c r="A1601" t="s">
        <v>8321</v>
      </c>
      <c r="B1601" t="s">
        <v>610</v>
      </c>
      <c r="C1601" t="s">
        <v>10363</v>
      </c>
      <c r="D1601" t="s">
        <v>11974</v>
      </c>
      <c r="E1601">
        <v>918457991949</v>
      </c>
      <c r="F1601" t="s">
        <v>10386</v>
      </c>
      <c r="G1601" t="s">
        <v>10379</v>
      </c>
      <c r="H1601" s="2">
        <v>35533</v>
      </c>
    </row>
    <row r="1602" spans="1:8">
      <c r="A1602" t="s">
        <v>8326</v>
      </c>
      <c r="B1602" t="s">
        <v>847</v>
      </c>
      <c r="C1602" t="s">
        <v>10367</v>
      </c>
      <c r="D1602" t="s">
        <v>11975</v>
      </c>
      <c r="E1602">
        <v>916507542563</v>
      </c>
      <c r="F1602" t="s">
        <v>10388</v>
      </c>
      <c r="G1602" t="s">
        <v>10370</v>
      </c>
      <c r="H1602" s="2">
        <v>24690</v>
      </c>
    </row>
    <row r="1603" spans="1:8">
      <c r="A1603" t="s">
        <v>8331</v>
      </c>
      <c r="B1603" t="s">
        <v>3525</v>
      </c>
      <c r="C1603" t="s">
        <v>10367</v>
      </c>
      <c r="D1603" t="s">
        <v>11976</v>
      </c>
      <c r="E1603">
        <v>918185782758</v>
      </c>
      <c r="F1603" t="s">
        <v>10386</v>
      </c>
      <c r="G1603" t="s">
        <v>10379</v>
      </c>
      <c r="H1603" s="2">
        <v>23874</v>
      </c>
    </row>
    <row r="1604" spans="1:8">
      <c r="A1604" t="s">
        <v>8336</v>
      </c>
      <c r="B1604" t="s">
        <v>137</v>
      </c>
      <c r="C1604" t="s">
        <v>10363</v>
      </c>
      <c r="D1604" t="s">
        <v>11977</v>
      </c>
      <c r="E1604">
        <v>917554399724</v>
      </c>
      <c r="F1604" t="s">
        <v>10365</v>
      </c>
      <c r="G1604" t="s">
        <v>10370</v>
      </c>
      <c r="H1604" s="2">
        <v>23969</v>
      </c>
    </row>
    <row r="1605" spans="1:8">
      <c r="A1605" t="s">
        <v>8341</v>
      </c>
      <c r="B1605" t="s">
        <v>823</v>
      </c>
      <c r="C1605" t="s">
        <v>10367</v>
      </c>
      <c r="D1605" t="s">
        <v>11978</v>
      </c>
      <c r="E1605">
        <v>916411779675</v>
      </c>
      <c r="F1605" t="s">
        <v>10365</v>
      </c>
      <c r="G1605" t="s">
        <v>10379</v>
      </c>
      <c r="H1605" s="2">
        <v>25168</v>
      </c>
    </row>
    <row r="1606" spans="1:8">
      <c r="A1606" t="s">
        <v>8346</v>
      </c>
      <c r="B1606" t="s">
        <v>893</v>
      </c>
      <c r="C1606" t="s">
        <v>10367</v>
      </c>
      <c r="D1606" t="s">
        <v>11979</v>
      </c>
      <c r="E1606">
        <v>918181742197</v>
      </c>
      <c r="F1606" t="s">
        <v>10374</v>
      </c>
      <c r="G1606" t="s">
        <v>10379</v>
      </c>
      <c r="H1606" s="2">
        <v>32043</v>
      </c>
    </row>
    <row r="1607" spans="1:8">
      <c r="A1607" t="s">
        <v>8351</v>
      </c>
      <c r="B1607" t="s">
        <v>253</v>
      </c>
      <c r="C1607" t="s">
        <v>10363</v>
      </c>
      <c r="D1607" t="s">
        <v>11980</v>
      </c>
      <c r="E1607">
        <v>916150037780</v>
      </c>
      <c r="F1607" t="s">
        <v>10384</v>
      </c>
      <c r="G1607" t="s">
        <v>10366</v>
      </c>
      <c r="H1607" s="2">
        <v>36084</v>
      </c>
    </row>
    <row r="1608" spans="1:8">
      <c r="A1608" t="s">
        <v>8356</v>
      </c>
      <c r="B1608" t="s">
        <v>2457</v>
      </c>
      <c r="C1608" t="s">
        <v>10367</v>
      </c>
      <c r="D1608" t="s">
        <v>11981</v>
      </c>
      <c r="E1608">
        <v>919702229308</v>
      </c>
      <c r="F1608" t="s">
        <v>10369</v>
      </c>
      <c r="G1608" t="s">
        <v>10366</v>
      </c>
      <c r="H1608" s="2">
        <v>25179</v>
      </c>
    </row>
    <row r="1609" spans="1:8">
      <c r="A1609" t="s">
        <v>8361</v>
      </c>
      <c r="B1609" t="s">
        <v>639</v>
      </c>
      <c r="C1609" t="s">
        <v>10363</v>
      </c>
      <c r="D1609" t="s">
        <v>11982</v>
      </c>
      <c r="E1609">
        <v>916219302538</v>
      </c>
      <c r="F1609" t="s">
        <v>10381</v>
      </c>
      <c r="G1609" t="s">
        <v>10379</v>
      </c>
      <c r="H1609" s="2">
        <v>24547</v>
      </c>
    </row>
    <row r="1610" spans="1:8">
      <c r="A1610" t="s">
        <v>8366</v>
      </c>
      <c r="B1610" t="s">
        <v>751</v>
      </c>
      <c r="C1610" t="s">
        <v>10367</v>
      </c>
      <c r="D1610" t="s">
        <v>11983</v>
      </c>
      <c r="E1610">
        <v>918553478364</v>
      </c>
      <c r="F1610" t="s">
        <v>10386</v>
      </c>
      <c r="G1610" t="s">
        <v>10366</v>
      </c>
      <c r="H1610" s="2">
        <v>37424</v>
      </c>
    </row>
    <row r="1611" spans="1:8">
      <c r="A1611" t="s">
        <v>8371</v>
      </c>
      <c r="B1611" t="s">
        <v>6181</v>
      </c>
      <c r="C1611" t="s">
        <v>10367</v>
      </c>
      <c r="D1611" t="s">
        <v>11984</v>
      </c>
      <c r="E1611">
        <v>919518715426</v>
      </c>
      <c r="F1611" t="s">
        <v>10369</v>
      </c>
      <c r="G1611" t="s">
        <v>10366</v>
      </c>
      <c r="H1611" s="2">
        <v>30653</v>
      </c>
    </row>
    <row r="1612" spans="1:8">
      <c r="A1612" t="s">
        <v>8376</v>
      </c>
      <c r="B1612" t="s">
        <v>5267</v>
      </c>
      <c r="C1612" t="s">
        <v>10367</v>
      </c>
      <c r="D1612" t="s">
        <v>11985</v>
      </c>
      <c r="E1612">
        <v>919708851891</v>
      </c>
      <c r="F1612" t="s">
        <v>10374</v>
      </c>
      <c r="G1612" t="s">
        <v>10377</v>
      </c>
      <c r="H1612" s="2">
        <v>36835</v>
      </c>
    </row>
    <row r="1613" spans="1:8">
      <c r="A1613" t="s">
        <v>8381</v>
      </c>
      <c r="B1613" t="s">
        <v>2642</v>
      </c>
      <c r="C1613" t="s">
        <v>10367</v>
      </c>
      <c r="D1613" t="s">
        <v>11986</v>
      </c>
      <c r="E1613">
        <v>916728654352</v>
      </c>
      <c r="F1613" t="s">
        <v>10369</v>
      </c>
      <c r="G1613" t="s">
        <v>10377</v>
      </c>
      <c r="H1613" s="2">
        <v>33216</v>
      </c>
    </row>
    <row r="1614" spans="1:8">
      <c r="A1614" t="s">
        <v>8386</v>
      </c>
      <c r="B1614" t="s">
        <v>1068</v>
      </c>
      <c r="C1614" t="s">
        <v>10363</v>
      </c>
      <c r="D1614" t="s">
        <v>11987</v>
      </c>
      <c r="E1614">
        <v>919773107140</v>
      </c>
      <c r="F1614" t="s">
        <v>10376</v>
      </c>
      <c r="G1614" t="s">
        <v>10366</v>
      </c>
      <c r="H1614" s="2">
        <v>27767</v>
      </c>
    </row>
    <row r="1615" spans="1:8">
      <c r="A1615" t="s">
        <v>8391</v>
      </c>
      <c r="B1615" t="s">
        <v>661</v>
      </c>
      <c r="C1615" t="s">
        <v>10367</v>
      </c>
      <c r="D1615" t="s">
        <v>11988</v>
      </c>
      <c r="E1615">
        <v>919319375125</v>
      </c>
      <c r="F1615" t="s">
        <v>10365</v>
      </c>
      <c r="G1615" t="s">
        <v>10377</v>
      </c>
      <c r="H1615" s="2">
        <v>28598</v>
      </c>
    </row>
    <row r="1616" spans="1:8">
      <c r="A1616" t="s">
        <v>8396</v>
      </c>
      <c r="B1616" t="s">
        <v>780</v>
      </c>
      <c r="C1616" t="s">
        <v>10367</v>
      </c>
      <c r="D1616" t="s">
        <v>11989</v>
      </c>
      <c r="E1616">
        <v>916809553783</v>
      </c>
      <c r="F1616" t="s">
        <v>10381</v>
      </c>
      <c r="G1616" t="s">
        <v>10377</v>
      </c>
      <c r="H1616" s="2">
        <v>25769</v>
      </c>
    </row>
    <row r="1617" spans="1:8">
      <c r="A1617" t="s">
        <v>8401</v>
      </c>
      <c r="B1617" t="s">
        <v>2079</v>
      </c>
      <c r="C1617" t="s">
        <v>10367</v>
      </c>
      <c r="D1617" t="s">
        <v>11990</v>
      </c>
      <c r="E1617">
        <v>919485032800</v>
      </c>
      <c r="F1617" t="s">
        <v>10388</v>
      </c>
      <c r="G1617" t="s">
        <v>10379</v>
      </c>
      <c r="H1617" s="2">
        <v>25422</v>
      </c>
    </row>
    <row r="1618" spans="1:8">
      <c r="A1618" t="s">
        <v>8406</v>
      </c>
      <c r="B1618" t="s">
        <v>392</v>
      </c>
      <c r="C1618" t="s">
        <v>10367</v>
      </c>
      <c r="D1618" t="s">
        <v>11991</v>
      </c>
      <c r="E1618">
        <v>919099723913</v>
      </c>
      <c r="F1618" t="s">
        <v>10386</v>
      </c>
      <c r="G1618" t="s">
        <v>10370</v>
      </c>
      <c r="H1618" s="2">
        <v>24450</v>
      </c>
    </row>
    <row r="1619" spans="1:8">
      <c r="A1619" t="s">
        <v>8411</v>
      </c>
      <c r="B1619" t="s">
        <v>2510</v>
      </c>
      <c r="C1619" t="s">
        <v>10363</v>
      </c>
      <c r="D1619" t="s">
        <v>11992</v>
      </c>
      <c r="E1619">
        <v>917750677231</v>
      </c>
      <c r="F1619" t="s">
        <v>10374</v>
      </c>
      <c r="G1619" t="s">
        <v>10370</v>
      </c>
      <c r="H1619" s="2">
        <v>32741</v>
      </c>
    </row>
    <row r="1620" spans="1:8">
      <c r="A1620" t="s">
        <v>8416</v>
      </c>
      <c r="B1620" t="s">
        <v>933</v>
      </c>
      <c r="C1620" t="s">
        <v>10363</v>
      </c>
      <c r="D1620" t="s">
        <v>11993</v>
      </c>
      <c r="E1620">
        <v>918006948475</v>
      </c>
      <c r="F1620" t="s">
        <v>10372</v>
      </c>
      <c r="G1620" t="s">
        <v>10379</v>
      </c>
      <c r="H1620" s="2">
        <v>26659</v>
      </c>
    </row>
    <row r="1621" spans="1:8">
      <c r="A1621" t="s">
        <v>8421</v>
      </c>
      <c r="B1621" t="s">
        <v>217</v>
      </c>
      <c r="C1621" t="s">
        <v>10363</v>
      </c>
      <c r="D1621" t="s">
        <v>11994</v>
      </c>
      <c r="E1621">
        <v>917063605846</v>
      </c>
      <c r="F1621" t="s">
        <v>10376</v>
      </c>
      <c r="G1621" t="s">
        <v>10370</v>
      </c>
      <c r="H1621" s="2">
        <v>31529</v>
      </c>
    </row>
    <row r="1622" spans="1:8">
      <c r="A1622" t="s">
        <v>8426</v>
      </c>
      <c r="B1622" t="s">
        <v>1229</v>
      </c>
      <c r="C1622" t="s">
        <v>10363</v>
      </c>
      <c r="D1622" t="s">
        <v>11995</v>
      </c>
      <c r="E1622">
        <v>917441710279</v>
      </c>
      <c r="F1622" t="s">
        <v>10369</v>
      </c>
      <c r="G1622" t="s">
        <v>10370</v>
      </c>
      <c r="H1622" s="2">
        <v>21544</v>
      </c>
    </row>
    <row r="1623" spans="1:8">
      <c r="A1623" t="s">
        <v>8431</v>
      </c>
      <c r="B1623" t="s">
        <v>1545</v>
      </c>
      <c r="C1623" t="s">
        <v>10363</v>
      </c>
      <c r="D1623" t="s">
        <v>11996</v>
      </c>
      <c r="E1623">
        <v>916768967794</v>
      </c>
      <c r="F1623" t="s">
        <v>10365</v>
      </c>
      <c r="G1623" t="s">
        <v>10379</v>
      </c>
      <c r="H1623" s="2">
        <v>21058</v>
      </c>
    </row>
    <row r="1624" spans="1:8">
      <c r="A1624" t="s">
        <v>8436</v>
      </c>
      <c r="B1624" t="s">
        <v>1660</v>
      </c>
      <c r="C1624" t="s">
        <v>10363</v>
      </c>
      <c r="D1624" t="s">
        <v>11997</v>
      </c>
      <c r="E1624">
        <v>917284322766</v>
      </c>
      <c r="F1624" t="s">
        <v>10384</v>
      </c>
      <c r="G1624" t="s">
        <v>10366</v>
      </c>
      <c r="H1624" s="2">
        <v>33832</v>
      </c>
    </row>
    <row r="1625" spans="1:8">
      <c r="A1625" t="s">
        <v>8441</v>
      </c>
      <c r="B1625" t="s">
        <v>2041</v>
      </c>
      <c r="C1625" t="s">
        <v>10363</v>
      </c>
      <c r="D1625" t="s">
        <v>11998</v>
      </c>
      <c r="E1625">
        <v>917013865709</v>
      </c>
      <c r="F1625" t="s">
        <v>10388</v>
      </c>
      <c r="G1625" t="s">
        <v>10379</v>
      </c>
      <c r="H1625" s="2">
        <v>22045</v>
      </c>
    </row>
    <row r="1626" spans="1:8">
      <c r="A1626" t="s">
        <v>8446</v>
      </c>
      <c r="B1626" t="s">
        <v>786</v>
      </c>
      <c r="C1626" t="s">
        <v>10367</v>
      </c>
      <c r="D1626" t="s">
        <v>11999</v>
      </c>
      <c r="E1626">
        <v>917157887255</v>
      </c>
      <c r="F1626" t="s">
        <v>10365</v>
      </c>
      <c r="G1626" t="s">
        <v>10370</v>
      </c>
      <c r="H1626" s="2">
        <v>27785</v>
      </c>
    </row>
    <row r="1627" spans="1:8">
      <c r="A1627" t="s">
        <v>8451</v>
      </c>
      <c r="B1627" t="s">
        <v>432</v>
      </c>
      <c r="C1627" t="s">
        <v>10363</v>
      </c>
      <c r="D1627" t="s">
        <v>12000</v>
      </c>
      <c r="E1627">
        <v>919266435774</v>
      </c>
      <c r="F1627" t="s">
        <v>10365</v>
      </c>
      <c r="G1627" t="s">
        <v>10377</v>
      </c>
      <c r="H1627" s="2">
        <v>37100</v>
      </c>
    </row>
    <row r="1628" spans="1:8">
      <c r="A1628" t="s">
        <v>8456</v>
      </c>
      <c r="B1628" t="s">
        <v>1282</v>
      </c>
      <c r="C1628" t="s">
        <v>10363</v>
      </c>
      <c r="D1628" t="s">
        <v>12001</v>
      </c>
      <c r="E1628">
        <v>916259684754</v>
      </c>
      <c r="F1628" t="s">
        <v>10365</v>
      </c>
      <c r="G1628" t="s">
        <v>10377</v>
      </c>
      <c r="H1628" s="2">
        <v>35051</v>
      </c>
    </row>
    <row r="1629" spans="1:8">
      <c r="A1629" t="s">
        <v>8461</v>
      </c>
      <c r="B1629" t="s">
        <v>21</v>
      </c>
      <c r="C1629" t="s">
        <v>10363</v>
      </c>
      <c r="D1629" t="s">
        <v>12002</v>
      </c>
      <c r="E1629">
        <v>917027164619</v>
      </c>
      <c r="F1629" t="s">
        <v>10386</v>
      </c>
      <c r="G1629" t="s">
        <v>10377</v>
      </c>
      <c r="H1629" s="2">
        <v>25115</v>
      </c>
    </row>
    <row r="1630" spans="1:8">
      <c r="A1630" t="s">
        <v>8466</v>
      </c>
      <c r="B1630" t="s">
        <v>1482</v>
      </c>
      <c r="C1630" t="s">
        <v>10367</v>
      </c>
      <c r="D1630" t="s">
        <v>12003</v>
      </c>
      <c r="E1630">
        <v>918569342484</v>
      </c>
      <c r="F1630" t="s">
        <v>10369</v>
      </c>
      <c r="G1630" t="s">
        <v>10366</v>
      </c>
      <c r="H1630" s="2">
        <v>35849</v>
      </c>
    </row>
    <row r="1631" spans="1:8">
      <c r="A1631" t="s">
        <v>8471</v>
      </c>
      <c r="B1631" t="s">
        <v>933</v>
      </c>
      <c r="C1631" t="s">
        <v>10363</v>
      </c>
      <c r="D1631" t="s">
        <v>12004</v>
      </c>
      <c r="E1631">
        <v>918149840185</v>
      </c>
      <c r="F1631" t="s">
        <v>10365</v>
      </c>
      <c r="G1631" t="s">
        <v>10377</v>
      </c>
      <c r="H1631" s="2">
        <v>28111</v>
      </c>
    </row>
    <row r="1632" spans="1:8">
      <c r="A1632" t="s">
        <v>8476</v>
      </c>
      <c r="B1632" t="s">
        <v>2297</v>
      </c>
      <c r="C1632" t="s">
        <v>10363</v>
      </c>
      <c r="D1632" t="s">
        <v>12005</v>
      </c>
      <c r="E1632">
        <v>919257709672</v>
      </c>
      <c r="F1632" t="s">
        <v>10388</v>
      </c>
      <c r="G1632" t="s">
        <v>10379</v>
      </c>
      <c r="H1632" s="2">
        <v>35220</v>
      </c>
    </row>
    <row r="1633" spans="1:8">
      <c r="A1633" t="s">
        <v>8481</v>
      </c>
      <c r="B1633" t="s">
        <v>639</v>
      </c>
      <c r="C1633" t="s">
        <v>10363</v>
      </c>
      <c r="D1633" t="s">
        <v>12006</v>
      </c>
      <c r="E1633">
        <v>916153814045</v>
      </c>
      <c r="F1633" t="s">
        <v>10365</v>
      </c>
      <c r="G1633" t="s">
        <v>10370</v>
      </c>
      <c r="H1633" s="2">
        <v>32833</v>
      </c>
    </row>
    <row r="1634" spans="1:8">
      <c r="A1634" t="s">
        <v>8486</v>
      </c>
      <c r="B1634" t="s">
        <v>2202</v>
      </c>
      <c r="C1634" t="s">
        <v>10367</v>
      </c>
      <c r="D1634" t="s">
        <v>12007</v>
      </c>
      <c r="E1634">
        <v>919459727657</v>
      </c>
      <c r="F1634" t="s">
        <v>10388</v>
      </c>
      <c r="G1634" t="s">
        <v>10370</v>
      </c>
      <c r="H1634" s="2">
        <v>26203</v>
      </c>
    </row>
    <row r="1635" spans="1:8">
      <c r="A1635" t="s">
        <v>8491</v>
      </c>
      <c r="B1635" t="s">
        <v>2041</v>
      </c>
      <c r="C1635" t="s">
        <v>10363</v>
      </c>
      <c r="D1635" t="s">
        <v>12008</v>
      </c>
      <c r="E1635">
        <v>918834395605</v>
      </c>
      <c r="F1635" t="s">
        <v>10372</v>
      </c>
      <c r="G1635" t="s">
        <v>10377</v>
      </c>
      <c r="H1635" s="2">
        <v>26804</v>
      </c>
    </row>
    <row r="1636" spans="1:8">
      <c r="A1636" t="s">
        <v>8496</v>
      </c>
      <c r="B1636" t="s">
        <v>6268</v>
      </c>
      <c r="C1636" t="s">
        <v>10367</v>
      </c>
      <c r="D1636" t="s">
        <v>12009</v>
      </c>
      <c r="E1636">
        <v>916042481110</v>
      </c>
      <c r="F1636" t="s">
        <v>10376</v>
      </c>
      <c r="G1636" t="s">
        <v>10377</v>
      </c>
      <c r="H1636" s="2">
        <v>30587</v>
      </c>
    </row>
    <row r="1637" spans="1:8">
      <c r="A1637" t="s">
        <v>8501</v>
      </c>
      <c r="B1637" t="s">
        <v>311</v>
      </c>
      <c r="C1637" t="s">
        <v>10363</v>
      </c>
      <c r="D1637" t="s">
        <v>12010</v>
      </c>
      <c r="E1637">
        <v>919175514716</v>
      </c>
      <c r="F1637" t="s">
        <v>10402</v>
      </c>
      <c r="G1637" t="s">
        <v>10379</v>
      </c>
      <c r="H1637" s="2">
        <v>31763</v>
      </c>
    </row>
    <row r="1638" spans="1:8">
      <c r="A1638" t="s">
        <v>8506</v>
      </c>
      <c r="B1638" t="s">
        <v>4436</v>
      </c>
      <c r="C1638" t="s">
        <v>10367</v>
      </c>
      <c r="D1638" t="s">
        <v>12011</v>
      </c>
      <c r="E1638">
        <v>917147405766</v>
      </c>
      <c r="F1638" t="s">
        <v>10388</v>
      </c>
      <c r="G1638" t="s">
        <v>10366</v>
      </c>
      <c r="H1638" s="2">
        <v>37536</v>
      </c>
    </row>
    <row r="1639" spans="1:8">
      <c r="A1639" t="s">
        <v>8511</v>
      </c>
      <c r="B1639" t="s">
        <v>1271</v>
      </c>
      <c r="C1639" t="s">
        <v>10367</v>
      </c>
      <c r="D1639" t="s">
        <v>12012</v>
      </c>
      <c r="E1639">
        <v>917871376495</v>
      </c>
      <c r="F1639" t="s">
        <v>10388</v>
      </c>
      <c r="G1639" t="s">
        <v>10366</v>
      </c>
      <c r="H1639" s="2">
        <v>23578</v>
      </c>
    </row>
    <row r="1640" spans="1:8">
      <c r="A1640" t="s">
        <v>8516</v>
      </c>
      <c r="B1640" t="s">
        <v>106</v>
      </c>
      <c r="C1640" t="s">
        <v>10363</v>
      </c>
      <c r="D1640" t="s">
        <v>12013</v>
      </c>
      <c r="E1640">
        <v>916682700754</v>
      </c>
      <c r="F1640" t="s">
        <v>10376</v>
      </c>
      <c r="G1640" t="s">
        <v>10377</v>
      </c>
      <c r="H1640" s="2">
        <v>23304</v>
      </c>
    </row>
    <row r="1641" spans="1:8">
      <c r="A1641" t="s">
        <v>8521</v>
      </c>
      <c r="B1641" t="s">
        <v>217</v>
      </c>
      <c r="C1641" t="s">
        <v>10363</v>
      </c>
      <c r="D1641" t="s">
        <v>12014</v>
      </c>
      <c r="E1641">
        <v>916091615034</v>
      </c>
      <c r="F1641" t="s">
        <v>10369</v>
      </c>
      <c r="G1641" t="s">
        <v>10370</v>
      </c>
      <c r="H1641" s="2">
        <v>25747</v>
      </c>
    </row>
    <row r="1642" spans="1:8">
      <c r="A1642" t="s">
        <v>8526</v>
      </c>
      <c r="B1642" t="s">
        <v>472</v>
      </c>
      <c r="C1642" t="s">
        <v>10363</v>
      </c>
      <c r="D1642" t="s">
        <v>12015</v>
      </c>
      <c r="E1642">
        <v>916126064213</v>
      </c>
      <c r="F1642" t="s">
        <v>10365</v>
      </c>
      <c r="G1642" t="s">
        <v>10377</v>
      </c>
      <c r="H1642" s="2">
        <v>28271</v>
      </c>
    </row>
    <row r="1643" spans="1:8">
      <c r="A1643" t="s">
        <v>8531</v>
      </c>
      <c r="B1643" t="s">
        <v>375</v>
      </c>
      <c r="C1643" t="s">
        <v>10363</v>
      </c>
      <c r="D1643" t="s">
        <v>12016</v>
      </c>
      <c r="E1643">
        <v>916895416367</v>
      </c>
      <c r="F1643" t="s">
        <v>10381</v>
      </c>
      <c r="G1643" t="s">
        <v>10377</v>
      </c>
      <c r="H1643" s="2">
        <v>22733</v>
      </c>
    </row>
    <row r="1644" spans="1:8">
      <c r="A1644" t="s">
        <v>8536</v>
      </c>
      <c r="B1644" t="s">
        <v>1660</v>
      </c>
      <c r="C1644" t="s">
        <v>10363</v>
      </c>
      <c r="D1644" t="s">
        <v>12017</v>
      </c>
      <c r="E1644">
        <v>918398422216</v>
      </c>
      <c r="F1644" t="s">
        <v>10374</v>
      </c>
      <c r="G1644" t="s">
        <v>10377</v>
      </c>
      <c r="H1644" s="2">
        <v>20580</v>
      </c>
    </row>
    <row r="1645" spans="1:8">
      <c r="A1645" t="s">
        <v>8541</v>
      </c>
      <c r="B1645" t="s">
        <v>1447</v>
      </c>
      <c r="C1645" t="s">
        <v>10367</v>
      </c>
      <c r="D1645" t="s">
        <v>12018</v>
      </c>
      <c r="E1645">
        <v>919255858013</v>
      </c>
      <c r="F1645" t="s">
        <v>10386</v>
      </c>
      <c r="G1645" t="s">
        <v>10370</v>
      </c>
      <c r="H1645" s="2">
        <v>21322</v>
      </c>
    </row>
    <row r="1646" spans="1:8">
      <c r="A1646" t="s">
        <v>8546</v>
      </c>
      <c r="B1646" t="s">
        <v>575</v>
      </c>
      <c r="C1646" t="s">
        <v>10363</v>
      </c>
      <c r="D1646" t="s">
        <v>12019</v>
      </c>
      <c r="E1646">
        <v>919906459273</v>
      </c>
      <c r="F1646" t="s">
        <v>10374</v>
      </c>
      <c r="G1646" t="s">
        <v>10366</v>
      </c>
      <c r="H1646" s="2">
        <v>32286</v>
      </c>
    </row>
    <row r="1647" spans="1:8">
      <c r="A1647" t="s">
        <v>8551</v>
      </c>
      <c r="B1647" t="s">
        <v>1090</v>
      </c>
      <c r="C1647" t="s">
        <v>10367</v>
      </c>
      <c r="D1647" t="s">
        <v>12020</v>
      </c>
      <c r="E1647">
        <v>918576993472</v>
      </c>
      <c r="F1647" t="s">
        <v>10365</v>
      </c>
      <c r="G1647" t="s">
        <v>10370</v>
      </c>
      <c r="H1647" s="2">
        <v>33871</v>
      </c>
    </row>
    <row r="1648" spans="1:8">
      <c r="A1648" t="s">
        <v>8556</v>
      </c>
      <c r="B1648" t="s">
        <v>4648</v>
      </c>
      <c r="C1648" t="s">
        <v>10367</v>
      </c>
      <c r="D1648" t="s">
        <v>12021</v>
      </c>
      <c r="E1648">
        <v>919564252545</v>
      </c>
      <c r="F1648" t="s">
        <v>10402</v>
      </c>
      <c r="G1648" t="s">
        <v>10366</v>
      </c>
      <c r="H1648" s="2">
        <v>22165</v>
      </c>
    </row>
    <row r="1649" spans="1:8">
      <c r="A1649" t="s">
        <v>8561</v>
      </c>
      <c r="B1649" t="s">
        <v>859</v>
      </c>
      <c r="C1649" t="s">
        <v>10367</v>
      </c>
      <c r="D1649" t="s">
        <v>12022</v>
      </c>
      <c r="E1649">
        <v>917178916165</v>
      </c>
      <c r="F1649" t="s">
        <v>10381</v>
      </c>
      <c r="G1649" t="s">
        <v>10366</v>
      </c>
      <c r="H1649" s="2">
        <v>22535</v>
      </c>
    </row>
    <row r="1650" spans="1:8">
      <c r="A1650" t="s">
        <v>8566</v>
      </c>
      <c r="B1650" t="s">
        <v>8808</v>
      </c>
      <c r="C1650" t="s">
        <v>10367</v>
      </c>
      <c r="D1650" t="s">
        <v>12023</v>
      </c>
      <c r="E1650">
        <v>918944462635</v>
      </c>
      <c r="F1650" t="s">
        <v>10386</v>
      </c>
      <c r="G1650" t="s">
        <v>10377</v>
      </c>
      <c r="H1650" s="2">
        <v>27930</v>
      </c>
    </row>
    <row r="1651" spans="1:8">
      <c r="A1651" t="s">
        <v>8571</v>
      </c>
      <c r="B1651" t="s">
        <v>1557</v>
      </c>
      <c r="C1651" t="s">
        <v>10367</v>
      </c>
      <c r="D1651" t="s">
        <v>12024</v>
      </c>
      <c r="E1651">
        <v>917817724270</v>
      </c>
      <c r="F1651" t="s">
        <v>10369</v>
      </c>
      <c r="G1651" t="s">
        <v>10366</v>
      </c>
      <c r="H1651" s="2">
        <v>27173</v>
      </c>
    </row>
    <row r="1652" spans="1:8">
      <c r="A1652" t="s">
        <v>8576</v>
      </c>
      <c r="B1652" t="s">
        <v>524</v>
      </c>
      <c r="C1652" t="s">
        <v>10367</v>
      </c>
      <c r="D1652" t="s">
        <v>12025</v>
      </c>
      <c r="E1652">
        <v>916063964782</v>
      </c>
      <c r="F1652" t="s">
        <v>10372</v>
      </c>
      <c r="G1652" t="s">
        <v>10366</v>
      </c>
      <c r="H1652" s="2">
        <v>33942</v>
      </c>
    </row>
    <row r="1653" spans="1:8">
      <c r="A1653" t="s">
        <v>8581</v>
      </c>
      <c r="B1653" t="s">
        <v>2035</v>
      </c>
      <c r="C1653" t="s">
        <v>10363</v>
      </c>
      <c r="D1653" t="s">
        <v>12026</v>
      </c>
      <c r="E1653">
        <v>916585104650</v>
      </c>
      <c r="F1653" t="s">
        <v>10372</v>
      </c>
      <c r="G1653" t="s">
        <v>10366</v>
      </c>
      <c r="H1653" s="2">
        <v>29930</v>
      </c>
    </row>
    <row r="1654" spans="1:8">
      <c r="A1654" t="s">
        <v>8586</v>
      </c>
      <c r="B1654" t="s">
        <v>2837</v>
      </c>
      <c r="C1654" t="s">
        <v>10367</v>
      </c>
      <c r="D1654" t="s">
        <v>12027</v>
      </c>
      <c r="E1654">
        <v>918558338966</v>
      </c>
      <c r="F1654" t="s">
        <v>10374</v>
      </c>
      <c r="G1654" t="s">
        <v>10366</v>
      </c>
      <c r="H1654" s="2">
        <v>28421</v>
      </c>
    </row>
    <row r="1655" spans="1:8">
      <c r="A1655" t="s">
        <v>8591</v>
      </c>
      <c r="B1655" t="s">
        <v>449</v>
      </c>
      <c r="C1655" t="s">
        <v>10363</v>
      </c>
      <c r="D1655" t="s">
        <v>12028</v>
      </c>
      <c r="E1655">
        <v>918193781858</v>
      </c>
      <c r="F1655" t="s">
        <v>10402</v>
      </c>
      <c r="G1655" t="s">
        <v>10377</v>
      </c>
      <c r="H1655" s="2">
        <v>32116</v>
      </c>
    </row>
    <row r="1656" spans="1:8">
      <c r="A1656" t="s">
        <v>8596</v>
      </c>
      <c r="B1656" t="s">
        <v>157</v>
      </c>
      <c r="C1656" t="s">
        <v>10363</v>
      </c>
      <c r="D1656" t="s">
        <v>12029</v>
      </c>
      <c r="E1656">
        <v>917919971194</v>
      </c>
      <c r="F1656" t="s">
        <v>10365</v>
      </c>
      <c r="G1656" t="s">
        <v>10379</v>
      </c>
      <c r="H1656" s="2">
        <v>31544</v>
      </c>
    </row>
    <row r="1657" spans="1:8">
      <c r="A1657" t="s">
        <v>8601</v>
      </c>
      <c r="B1657" t="s">
        <v>351</v>
      </c>
      <c r="C1657" t="s">
        <v>10363</v>
      </c>
      <c r="D1657" t="s">
        <v>12030</v>
      </c>
      <c r="E1657">
        <v>916541986351</v>
      </c>
      <c r="F1657" t="s">
        <v>10376</v>
      </c>
      <c r="G1657" t="s">
        <v>10379</v>
      </c>
      <c r="H1657" s="2">
        <v>23521</v>
      </c>
    </row>
    <row r="1658" spans="1:8">
      <c r="A1658" t="s">
        <v>8606</v>
      </c>
      <c r="B1658" t="s">
        <v>1699</v>
      </c>
      <c r="C1658" t="s">
        <v>10363</v>
      </c>
      <c r="D1658" t="s">
        <v>12031</v>
      </c>
      <c r="E1658">
        <v>918644389706</v>
      </c>
      <c r="F1658" t="s">
        <v>10388</v>
      </c>
      <c r="G1658" t="s">
        <v>10377</v>
      </c>
      <c r="H1658" s="2">
        <v>31435</v>
      </c>
    </row>
    <row r="1659" spans="1:8">
      <c r="A1659" t="s">
        <v>8611</v>
      </c>
      <c r="B1659" t="s">
        <v>4648</v>
      </c>
      <c r="C1659" t="s">
        <v>10367</v>
      </c>
      <c r="D1659" t="s">
        <v>12032</v>
      </c>
      <c r="E1659">
        <v>918351147445</v>
      </c>
      <c r="F1659" t="s">
        <v>10372</v>
      </c>
      <c r="G1659" t="s">
        <v>10379</v>
      </c>
      <c r="H1659" s="2">
        <v>30826</v>
      </c>
    </row>
    <row r="1660" spans="1:8">
      <c r="A1660" t="s">
        <v>8616</v>
      </c>
      <c r="B1660" t="s">
        <v>1983</v>
      </c>
      <c r="C1660" t="s">
        <v>10363</v>
      </c>
      <c r="D1660" t="s">
        <v>12033</v>
      </c>
      <c r="E1660">
        <v>916848161465</v>
      </c>
      <c r="F1660" t="s">
        <v>10369</v>
      </c>
      <c r="G1660" t="s">
        <v>10366</v>
      </c>
      <c r="H1660" s="2">
        <v>29918</v>
      </c>
    </row>
    <row r="1661" spans="1:8">
      <c r="A1661" t="s">
        <v>8621</v>
      </c>
      <c r="B1661" t="s">
        <v>327</v>
      </c>
      <c r="C1661" t="s">
        <v>10367</v>
      </c>
      <c r="D1661" t="s">
        <v>12034</v>
      </c>
      <c r="E1661">
        <v>916949174327</v>
      </c>
      <c r="F1661" t="s">
        <v>10374</v>
      </c>
      <c r="G1661" t="s">
        <v>10377</v>
      </c>
      <c r="H1661" s="2">
        <v>23968</v>
      </c>
    </row>
    <row r="1662" spans="1:8">
      <c r="A1662" t="s">
        <v>8626</v>
      </c>
      <c r="B1662" t="s">
        <v>621</v>
      </c>
      <c r="C1662" t="s">
        <v>10367</v>
      </c>
      <c r="D1662" t="s">
        <v>12035</v>
      </c>
      <c r="E1662">
        <v>916532253438</v>
      </c>
      <c r="F1662" t="s">
        <v>10381</v>
      </c>
      <c r="G1662" t="s">
        <v>10370</v>
      </c>
      <c r="H1662" s="2">
        <v>31493</v>
      </c>
    </row>
    <row r="1663" spans="1:8">
      <c r="A1663" t="s">
        <v>8631</v>
      </c>
      <c r="B1663" t="s">
        <v>2642</v>
      </c>
      <c r="C1663" t="s">
        <v>10367</v>
      </c>
      <c r="D1663" t="s">
        <v>12036</v>
      </c>
      <c r="E1663">
        <v>919509142265</v>
      </c>
      <c r="F1663" t="s">
        <v>10374</v>
      </c>
      <c r="G1663" t="s">
        <v>10377</v>
      </c>
      <c r="H1663" s="2">
        <v>36471</v>
      </c>
    </row>
    <row r="1664" spans="1:8">
      <c r="A1664" t="s">
        <v>8636</v>
      </c>
      <c r="B1664" t="s">
        <v>398</v>
      </c>
      <c r="C1664" t="s">
        <v>10367</v>
      </c>
      <c r="D1664" t="s">
        <v>12037</v>
      </c>
      <c r="E1664">
        <v>917215122157</v>
      </c>
      <c r="F1664" t="s">
        <v>10374</v>
      </c>
      <c r="G1664" t="s">
        <v>10366</v>
      </c>
      <c r="H1664" s="2">
        <v>32989</v>
      </c>
    </row>
    <row r="1665" spans="1:8">
      <c r="A1665" t="s">
        <v>8641</v>
      </c>
      <c r="B1665" t="s">
        <v>691</v>
      </c>
      <c r="C1665" t="s">
        <v>10367</v>
      </c>
      <c r="D1665" t="s">
        <v>12038</v>
      </c>
      <c r="E1665">
        <v>919966969611</v>
      </c>
      <c r="F1665" t="s">
        <v>10386</v>
      </c>
      <c r="G1665" t="s">
        <v>10370</v>
      </c>
      <c r="H1665" s="2">
        <v>22845</v>
      </c>
    </row>
    <row r="1666" spans="1:8">
      <c r="A1666" t="s">
        <v>8646</v>
      </c>
      <c r="B1666" t="s">
        <v>933</v>
      </c>
      <c r="C1666" t="s">
        <v>10363</v>
      </c>
      <c r="D1666" t="s">
        <v>12039</v>
      </c>
      <c r="E1666">
        <v>919003708874</v>
      </c>
      <c r="F1666" t="s">
        <v>10386</v>
      </c>
      <c r="G1666" t="s">
        <v>10379</v>
      </c>
      <c r="H1666" s="2">
        <v>31795</v>
      </c>
    </row>
    <row r="1667" spans="1:8">
      <c r="A1667" t="s">
        <v>8651</v>
      </c>
      <c r="B1667" t="s">
        <v>1660</v>
      </c>
      <c r="C1667" t="s">
        <v>10363</v>
      </c>
      <c r="D1667" t="s">
        <v>12040</v>
      </c>
      <c r="E1667">
        <v>917295028017</v>
      </c>
      <c r="F1667" t="s">
        <v>10369</v>
      </c>
      <c r="G1667" t="s">
        <v>10377</v>
      </c>
      <c r="H1667" s="2">
        <v>20712</v>
      </c>
    </row>
    <row r="1668" spans="1:8">
      <c r="A1668" t="s">
        <v>8656</v>
      </c>
      <c r="B1668" t="s">
        <v>882</v>
      </c>
      <c r="C1668" t="s">
        <v>10363</v>
      </c>
      <c r="D1668" t="s">
        <v>12041</v>
      </c>
      <c r="E1668">
        <v>918034308511</v>
      </c>
      <c r="F1668" t="s">
        <v>10402</v>
      </c>
      <c r="G1668" t="s">
        <v>10366</v>
      </c>
      <c r="H1668" s="2">
        <v>28080</v>
      </c>
    </row>
    <row r="1669" spans="1:8">
      <c r="A1669" t="s">
        <v>8662</v>
      </c>
      <c r="B1669" t="s">
        <v>80</v>
      </c>
      <c r="C1669" t="s">
        <v>10363</v>
      </c>
      <c r="D1669" t="s">
        <v>12042</v>
      </c>
      <c r="E1669">
        <v>917961905088</v>
      </c>
      <c r="F1669" t="s">
        <v>10369</v>
      </c>
      <c r="G1669" t="s">
        <v>10370</v>
      </c>
      <c r="H1669" s="2">
        <v>25402</v>
      </c>
    </row>
    <row r="1670" spans="1:8">
      <c r="A1670" t="s">
        <v>8667</v>
      </c>
      <c r="B1670" t="s">
        <v>847</v>
      </c>
      <c r="C1670" t="s">
        <v>10367</v>
      </c>
      <c r="D1670" t="s">
        <v>12043</v>
      </c>
      <c r="E1670">
        <v>919738083832</v>
      </c>
      <c r="F1670" t="s">
        <v>10402</v>
      </c>
      <c r="G1670" t="s">
        <v>10379</v>
      </c>
      <c r="H1670" s="2">
        <v>21082</v>
      </c>
    </row>
    <row r="1671" spans="1:8">
      <c r="A1671" t="s">
        <v>8672</v>
      </c>
      <c r="B1671" t="s">
        <v>3061</v>
      </c>
      <c r="C1671" t="s">
        <v>10363</v>
      </c>
      <c r="D1671" t="s">
        <v>12044</v>
      </c>
      <c r="E1671">
        <v>918775535796</v>
      </c>
      <c r="F1671" t="s">
        <v>10388</v>
      </c>
      <c r="G1671" t="s">
        <v>10377</v>
      </c>
      <c r="H1671" s="2">
        <v>20983</v>
      </c>
    </row>
    <row r="1672" spans="1:8">
      <c r="A1672" t="s">
        <v>8677</v>
      </c>
      <c r="B1672" t="s">
        <v>2313</v>
      </c>
      <c r="C1672" t="s">
        <v>10363</v>
      </c>
      <c r="D1672" t="s">
        <v>12045</v>
      </c>
      <c r="E1672">
        <v>916398721713</v>
      </c>
      <c r="F1672" t="s">
        <v>10402</v>
      </c>
      <c r="G1672" t="s">
        <v>10366</v>
      </c>
      <c r="H1672" s="2">
        <v>24899</v>
      </c>
    </row>
    <row r="1673" spans="1:8">
      <c r="A1673" t="s">
        <v>8682</v>
      </c>
      <c r="B1673" t="s">
        <v>8266</v>
      </c>
      <c r="C1673" t="s">
        <v>10367</v>
      </c>
      <c r="D1673" t="s">
        <v>12046</v>
      </c>
      <c r="E1673">
        <v>919041534656</v>
      </c>
      <c r="F1673" t="s">
        <v>10376</v>
      </c>
      <c r="G1673" t="s">
        <v>10370</v>
      </c>
      <c r="H1673" s="2">
        <v>36635</v>
      </c>
    </row>
    <row r="1674" spans="1:8">
      <c r="A1674" t="s">
        <v>8687</v>
      </c>
      <c r="B1674" t="s">
        <v>1637</v>
      </c>
      <c r="C1674" t="s">
        <v>10367</v>
      </c>
      <c r="D1674" t="s">
        <v>12047</v>
      </c>
      <c r="E1674">
        <v>919906904381</v>
      </c>
      <c r="F1674" t="s">
        <v>10388</v>
      </c>
      <c r="G1674" t="s">
        <v>10370</v>
      </c>
      <c r="H1674" s="2">
        <v>32772</v>
      </c>
    </row>
    <row r="1675" spans="1:8">
      <c r="A1675" t="s">
        <v>8692</v>
      </c>
      <c r="B1675" t="s">
        <v>10551</v>
      </c>
      <c r="C1675" t="s">
        <v>10367</v>
      </c>
      <c r="D1675" t="s">
        <v>12048</v>
      </c>
      <c r="E1675">
        <v>918641139705</v>
      </c>
      <c r="F1675" t="s">
        <v>10376</v>
      </c>
      <c r="G1675" t="s">
        <v>10366</v>
      </c>
      <c r="H1675" s="2">
        <v>26893</v>
      </c>
    </row>
    <row r="1676" spans="1:8">
      <c r="A1676" t="s">
        <v>8697</v>
      </c>
      <c r="B1676" t="s">
        <v>235</v>
      </c>
      <c r="C1676" t="s">
        <v>10367</v>
      </c>
      <c r="D1676" t="s">
        <v>12049</v>
      </c>
      <c r="E1676">
        <v>917067152716</v>
      </c>
      <c r="F1676" t="s">
        <v>10372</v>
      </c>
      <c r="G1676" t="s">
        <v>10370</v>
      </c>
      <c r="H1676" s="2">
        <v>37274</v>
      </c>
    </row>
    <row r="1677" spans="1:8">
      <c r="A1677" t="s">
        <v>8702</v>
      </c>
      <c r="B1677" t="s">
        <v>581</v>
      </c>
      <c r="C1677" t="s">
        <v>10367</v>
      </c>
      <c r="D1677" t="s">
        <v>12050</v>
      </c>
      <c r="E1677">
        <v>916800358185</v>
      </c>
      <c r="F1677" t="s">
        <v>10386</v>
      </c>
      <c r="G1677" t="s">
        <v>10379</v>
      </c>
      <c r="H1677" s="2">
        <v>26885</v>
      </c>
    </row>
    <row r="1678" spans="1:8">
      <c r="A1678" t="s">
        <v>8707</v>
      </c>
      <c r="B1678" t="s">
        <v>294</v>
      </c>
      <c r="C1678" t="s">
        <v>10367</v>
      </c>
      <c r="D1678" t="s">
        <v>12051</v>
      </c>
      <c r="E1678">
        <v>917106629171</v>
      </c>
      <c r="F1678" t="s">
        <v>10365</v>
      </c>
      <c r="G1678" t="s">
        <v>10370</v>
      </c>
      <c r="H1678" s="2">
        <v>35879</v>
      </c>
    </row>
    <row r="1679" spans="1:8">
      <c r="A1679" t="s">
        <v>8712</v>
      </c>
      <c r="B1679" t="s">
        <v>4892</v>
      </c>
      <c r="C1679" t="s">
        <v>10367</v>
      </c>
      <c r="D1679" t="s">
        <v>12052</v>
      </c>
      <c r="E1679">
        <v>918550709140</v>
      </c>
      <c r="F1679" t="s">
        <v>10374</v>
      </c>
      <c r="G1679" t="s">
        <v>10377</v>
      </c>
      <c r="H1679" s="2">
        <v>36147</v>
      </c>
    </row>
    <row r="1680" spans="1:8">
      <c r="A1680" t="s">
        <v>8717</v>
      </c>
      <c r="B1680" t="s">
        <v>1399</v>
      </c>
      <c r="C1680" t="s">
        <v>10367</v>
      </c>
      <c r="D1680" t="s">
        <v>12053</v>
      </c>
      <c r="E1680">
        <v>916724839029</v>
      </c>
      <c r="F1680" t="s">
        <v>10372</v>
      </c>
      <c r="G1680" t="s">
        <v>10379</v>
      </c>
      <c r="H1680" s="2">
        <v>32377</v>
      </c>
    </row>
    <row r="1681" spans="1:8">
      <c r="A1681" t="s">
        <v>8722</v>
      </c>
      <c r="B1681" t="s">
        <v>729</v>
      </c>
      <c r="C1681" t="s">
        <v>10367</v>
      </c>
      <c r="D1681" t="s">
        <v>12054</v>
      </c>
      <c r="E1681">
        <v>919406637218</v>
      </c>
      <c r="F1681" t="s">
        <v>10369</v>
      </c>
      <c r="G1681" t="s">
        <v>10366</v>
      </c>
      <c r="H1681" s="2">
        <v>25625</v>
      </c>
    </row>
    <row r="1682" spans="1:8">
      <c r="A1682" t="s">
        <v>8727</v>
      </c>
      <c r="B1682" t="s">
        <v>4892</v>
      </c>
      <c r="C1682" t="s">
        <v>10367</v>
      </c>
      <c r="D1682" t="s">
        <v>12055</v>
      </c>
      <c r="E1682">
        <v>916841745749</v>
      </c>
      <c r="F1682" t="s">
        <v>10369</v>
      </c>
      <c r="G1682" t="s">
        <v>10366</v>
      </c>
      <c r="H1682" s="2">
        <v>20169</v>
      </c>
    </row>
    <row r="1683" spans="1:8">
      <c r="A1683" t="s">
        <v>8732</v>
      </c>
      <c r="B1683" t="s">
        <v>1158</v>
      </c>
      <c r="C1683" t="s">
        <v>10367</v>
      </c>
      <c r="D1683" t="s">
        <v>12056</v>
      </c>
      <c r="E1683">
        <v>919458324243</v>
      </c>
      <c r="F1683" t="s">
        <v>10386</v>
      </c>
      <c r="G1683" t="s">
        <v>10366</v>
      </c>
      <c r="H1683" s="2">
        <v>33798</v>
      </c>
    </row>
    <row r="1684" spans="1:8">
      <c r="A1684" t="s">
        <v>8737</v>
      </c>
      <c r="B1684" t="s">
        <v>581</v>
      </c>
      <c r="C1684" t="s">
        <v>10367</v>
      </c>
      <c r="D1684" t="s">
        <v>12057</v>
      </c>
      <c r="E1684">
        <v>916781949079</v>
      </c>
      <c r="F1684" t="s">
        <v>10381</v>
      </c>
      <c r="G1684" t="s">
        <v>10370</v>
      </c>
      <c r="H1684" s="2">
        <v>25897</v>
      </c>
    </row>
    <row r="1685" spans="1:8">
      <c r="A1685" t="s">
        <v>8742</v>
      </c>
      <c r="B1685" t="s">
        <v>363</v>
      </c>
      <c r="C1685" t="s">
        <v>10363</v>
      </c>
      <c r="D1685" t="s">
        <v>12058</v>
      </c>
      <c r="E1685">
        <v>918107305717</v>
      </c>
      <c r="F1685" t="s">
        <v>10381</v>
      </c>
      <c r="G1685" t="s">
        <v>10370</v>
      </c>
      <c r="H1685" s="2">
        <v>21290</v>
      </c>
    </row>
    <row r="1686" spans="1:8">
      <c r="A1686" t="s">
        <v>8747</v>
      </c>
      <c r="B1686" t="s">
        <v>5155</v>
      </c>
      <c r="C1686" t="s">
        <v>10367</v>
      </c>
      <c r="D1686" t="s">
        <v>12059</v>
      </c>
      <c r="E1686">
        <v>917661319623</v>
      </c>
      <c r="F1686" t="s">
        <v>10402</v>
      </c>
      <c r="G1686" t="s">
        <v>10370</v>
      </c>
      <c r="H1686" s="2">
        <v>31974</v>
      </c>
    </row>
    <row r="1687" spans="1:8">
      <c r="A1687" t="s">
        <v>8752</v>
      </c>
      <c r="B1687" t="s">
        <v>587</v>
      </c>
      <c r="C1687" t="s">
        <v>10363</v>
      </c>
      <c r="D1687" t="s">
        <v>12060</v>
      </c>
      <c r="E1687">
        <v>917050581388</v>
      </c>
      <c r="F1687" t="s">
        <v>10388</v>
      </c>
      <c r="G1687" t="s">
        <v>10366</v>
      </c>
      <c r="H1687" s="2">
        <v>27930</v>
      </c>
    </row>
    <row r="1688" spans="1:8">
      <c r="A1688" t="s">
        <v>8757</v>
      </c>
      <c r="B1688" t="s">
        <v>786</v>
      </c>
      <c r="C1688" t="s">
        <v>10367</v>
      </c>
      <c r="D1688" t="s">
        <v>12061</v>
      </c>
      <c r="E1688">
        <v>918799142411</v>
      </c>
      <c r="F1688" t="s">
        <v>10374</v>
      </c>
      <c r="G1688" t="s">
        <v>10379</v>
      </c>
      <c r="H1688" s="2">
        <v>31976</v>
      </c>
    </row>
    <row r="1689" spans="1:8">
      <c r="A1689" t="s">
        <v>8762</v>
      </c>
      <c r="B1689" t="s">
        <v>130</v>
      </c>
      <c r="C1689" t="s">
        <v>10363</v>
      </c>
      <c r="D1689" t="s">
        <v>12062</v>
      </c>
      <c r="E1689">
        <v>919649560679</v>
      </c>
      <c r="F1689" t="s">
        <v>10381</v>
      </c>
      <c r="G1689" t="s">
        <v>10379</v>
      </c>
      <c r="H1689" s="2">
        <v>35049</v>
      </c>
    </row>
    <row r="1690" spans="1:8">
      <c r="A1690" t="s">
        <v>8767</v>
      </c>
      <c r="B1690" t="s">
        <v>2101</v>
      </c>
      <c r="C1690" t="s">
        <v>10363</v>
      </c>
      <c r="D1690" t="s">
        <v>12063</v>
      </c>
      <c r="E1690">
        <v>916922711575</v>
      </c>
      <c r="F1690" t="s">
        <v>10386</v>
      </c>
      <c r="G1690" t="s">
        <v>10370</v>
      </c>
      <c r="H1690" s="2">
        <v>23956</v>
      </c>
    </row>
    <row r="1691" spans="1:8">
      <c r="A1691" t="s">
        <v>8772</v>
      </c>
      <c r="B1691" t="s">
        <v>518</v>
      </c>
      <c r="C1691" t="s">
        <v>10367</v>
      </c>
      <c r="D1691" t="s">
        <v>12064</v>
      </c>
      <c r="E1691">
        <v>916828425746</v>
      </c>
      <c r="F1691" t="s">
        <v>10372</v>
      </c>
      <c r="G1691" t="s">
        <v>10366</v>
      </c>
      <c r="H1691" s="2">
        <v>24109</v>
      </c>
    </row>
    <row r="1692" spans="1:8">
      <c r="A1692" t="s">
        <v>8777</v>
      </c>
      <c r="B1692" t="s">
        <v>288</v>
      </c>
      <c r="C1692" t="s">
        <v>10367</v>
      </c>
      <c r="D1692" t="s">
        <v>12065</v>
      </c>
      <c r="E1692">
        <v>917073999532</v>
      </c>
      <c r="F1692" t="s">
        <v>10365</v>
      </c>
      <c r="G1692" t="s">
        <v>10377</v>
      </c>
      <c r="H1692" s="2">
        <v>28551</v>
      </c>
    </row>
    <row r="1693" spans="1:8">
      <c r="A1693" t="s">
        <v>8782</v>
      </c>
      <c r="B1693" t="s">
        <v>2244</v>
      </c>
      <c r="C1693" t="s">
        <v>10367</v>
      </c>
      <c r="D1693" t="s">
        <v>12066</v>
      </c>
      <c r="E1693">
        <v>918266373900</v>
      </c>
      <c r="F1693" t="s">
        <v>10374</v>
      </c>
      <c r="G1693" t="s">
        <v>10377</v>
      </c>
      <c r="H1693" s="2">
        <v>27953</v>
      </c>
    </row>
    <row r="1694" spans="1:8">
      <c r="A1694" t="s">
        <v>8787</v>
      </c>
      <c r="B1694" t="s">
        <v>933</v>
      </c>
      <c r="C1694" t="s">
        <v>10363</v>
      </c>
      <c r="D1694" t="s">
        <v>12067</v>
      </c>
      <c r="E1694">
        <v>917372261439</v>
      </c>
      <c r="F1694" t="s">
        <v>10388</v>
      </c>
      <c r="G1694" t="s">
        <v>10377</v>
      </c>
      <c r="H1694" s="2">
        <v>34826</v>
      </c>
    </row>
    <row r="1695" spans="1:8">
      <c r="A1695" t="s">
        <v>8792</v>
      </c>
      <c r="B1695" t="s">
        <v>1324</v>
      </c>
      <c r="C1695" t="s">
        <v>10363</v>
      </c>
      <c r="D1695" t="s">
        <v>12068</v>
      </c>
      <c r="E1695">
        <v>919861359351</v>
      </c>
      <c r="F1695" t="s">
        <v>10386</v>
      </c>
      <c r="G1695" t="s">
        <v>10379</v>
      </c>
      <c r="H1695" s="2">
        <v>36622</v>
      </c>
    </row>
    <row r="1696" spans="1:8">
      <c r="A1696" t="s">
        <v>8797</v>
      </c>
      <c r="B1696" t="s">
        <v>186</v>
      </c>
      <c r="C1696" t="s">
        <v>10363</v>
      </c>
      <c r="D1696" t="s">
        <v>12069</v>
      </c>
      <c r="E1696">
        <v>916889948390</v>
      </c>
      <c r="F1696" t="s">
        <v>10376</v>
      </c>
      <c r="G1696" t="s">
        <v>10377</v>
      </c>
      <c r="H1696" s="2">
        <v>20272</v>
      </c>
    </row>
    <row r="1697" spans="1:8">
      <c r="A1697" t="s">
        <v>8802</v>
      </c>
      <c r="B1697" t="s">
        <v>1068</v>
      </c>
      <c r="C1697" t="s">
        <v>10363</v>
      </c>
      <c r="D1697" t="s">
        <v>12070</v>
      </c>
      <c r="E1697">
        <v>916185618883</v>
      </c>
      <c r="F1697" t="s">
        <v>10388</v>
      </c>
      <c r="G1697" t="s">
        <v>10366</v>
      </c>
      <c r="H1697" s="2">
        <v>23456</v>
      </c>
    </row>
    <row r="1698" spans="1:8">
      <c r="A1698" t="s">
        <v>8807</v>
      </c>
      <c r="B1698" t="s">
        <v>633</v>
      </c>
      <c r="C1698" t="s">
        <v>10367</v>
      </c>
      <c r="D1698" t="s">
        <v>12071</v>
      </c>
      <c r="E1698">
        <v>918492707950</v>
      </c>
      <c r="F1698" t="s">
        <v>10386</v>
      </c>
      <c r="G1698" t="s">
        <v>10366</v>
      </c>
      <c r="H1698" s="2">
        <v>34608</v>
      </c>
    </row>
    <row r="1699" spans="1:8">
      <c r="A1699" t="s">
        <v>8813</v>
      </c>
      <c r="B1699" t="s">
        <v>282</v>
      </c>
      <c r="C1699" t="s">
        <v>10367</v>
      </c>
      <c r="D1699" t="s">
        <v>12072</v>
      </c>
      <c r="E1699">
        <v>917509024636</v>
      </c>
      <c r="F1699" t="s">
        <v>10369</v>
      </c>
      <c r="G1699" t="s">
        <v>10379</v>
      </c>
      <c r="H1699" s="2">
        <v>22338</v>
      </c>
    </row>
    <row r="1700" spans="1:8">
      <c r="A1700" t="s">
        <v>8818</v>
      </c>
      <c r="B1700" t="s">
        <v>5907</v>
      </c>
      <c r="C1700" t="s">
        <v>10367</v>
      </c>
      <c r="D1700" t="s">
        <v>12073</v>
      </c>
      <c r="E1700">
        <v>917340507593</v>
      </c>
      <c r="F1700" t="s">
        <v>10388</v>
      </c>
      <c r="G1700" t="s">
        <v>10379</v>
      </c>
      <c r="H1700" s="2">
        <v>31405</v>
      </c>
    </row>
    <row r="1701" spans="1:8">
      <c r="A1701" t="s">
        <v>8823</v>
      </c>
      <c r="B1701" t="s">
        <v>1108</v>
      </c>
      <c r="C1701" t="s">
        <v>10363</v>
      </c>
      <c r="D1701" t="s">
        <v>12074</v>
      </c>
      <c r="E1701">
        <v>916329899519</v>
      </c>
      <c r="F1701" t="s">
        <v>10388</v>
      </c>
      <c r="G1701" t="s">
        <v>10370</v>
      </c>
      <c r="H1701" s="2">
        <v>23055</v>
      </c>
    </row>
    <row r="1702" spans="1:8">
      <c r="A1702" t="s">
        <v>8828</v>
      </c>
      <c r="B1702" t="s">
        <v>3762</v>
      </c>
      <c r="C1702" t="s">
        <v>10363</v>
      </c>
      <c r="D1702" t="s">
        <v>12075</v>
      </c>
      <c r="E1702">
        <v>919535213714</v>
      </c>
      <c r="F1702" t="s">
        <v>10365</v>
      </c>
      <c r="G1702" t="s">
        <v>10377</v>
      </c>
      <c r="H1702" s="2">
        <v>26884</v>
      </c>
    </row>
    <row r="1703" spans="1:8">
      <c r="A1703" t="s">
        <v>8833</v>
      </c>
      <c r="B1703" t="s">
        <v>853</v>
      </c>
      <c r="C1703" t="s">
        <v>10363</v>
      </c>
      <c r="D1703" t="s">
        <v>12076</v>
      </c>
      <c r="E1703">
        <v>916355127672</v>
      </c>
      <c r="F1703" t="s">
        <v>10369</v>
      </c>
      <c r="G1703" t="s">
        <v>10370</v>
      </c>
      <c r="H1703" s="2">
        <v>30444</v>
      </c>
    </row>
    <row r="1704" spans="1:8">
      <c r="A1704" t="s">
        <v>8838</v>
      </c>
      <c r="B1704" t="s">
        <v>432</v>
      </c>
      <c r="C1704" t="s">
        <v>10363</v>
      </c>
      <c r="D1704" t="s">
        <v>12077</v>
      </c>
      <c r="E1704">
        <v>917509208644</v>
      </c>
      <c r="F1704" t="s">
        <v>10386</v>
      </c>
      <c r="G1704" t="s">
        <v>10377</v>
      </c>
      <c r="H1704" s="2">
        <v>24204</v>
      </c>
    </row>
    <row r="1705" spans="1:8">
      <c r="A1705" t="s">
        <v>8843</v>
      </c>
      <c r="B1705" t="s">
        <v>300</v>
      </c>
      <c r="C1705" t="s">
        <v>10367</v>
      </c>
      <c r="D1705" t="s">
        <v>12078</v>
      </c>
      <c r="E1705">
        <v>916095222256</v>
      </c>
      <c r="F1705" t="s">
        <v>10386</v>
      </c>
      <c r="G1705" t="s">
        <v>10370</v>
      </c>
      <c r="H1705" s="2">
        <v>26156</v>
      </c>
    </row>
    <row r="1706" spans="1:8">
      <c r="A1706" t="s">
        <v>8848</v>
      </c>
      <c r="B1706" t="s">
        <v>5231</v>
      </c>
      <c r="C1706" t="s">
        <v>10367</v>
      </c>
      <c r="D1706" t="s">
        <v>12079</v>
      </c>
      <c r="E1706">
        <v>919840763375</v>
      </c>
      <c r="F1706" t="s">
        <v>10388</v>
      </c>
      <c r="G1706" t="s">
        <v>10370</v>
      </c>
      <c r="H1706" s="2">
        <v>29541</v>
      </c>
    </row>
    <row r="1707" spans="1:8">
      <c r="A1707" t="s">
        <v>8853</v>
      </c>
      <c r="B1707" t="s">
        <v>1250</v>
      </c>
      <c r="C1707" t="s">
        <v>10363</v>
      </c>
      <c r="D1707" t="s">
        <v>12080</v>
      </c>
      <c r="E1707">
        <v>916484191496</v>
      </c>
      <c r="F1707" t="s">
        <v>10388</v>
      </c>
      <c r="G1707" t="s">
        <v>10377</v>
      </c>
      <c r="H1707" s="2">
        <v>28487</v>
      </c>
    </row>
    <row r="1708" spans="1:8">
      <c r="A1708" t="s">
        <v>8858</v>
      </c>
      <c r="B1708" t="s">
        <v>1498</v>
      </c>
      <c r="C1708" t="s">
        <v>10363</v>
      </c>
      <c r="D1708" t="s">
        <v>12081</v>
      </c>
      <c r="E1708">
        <v>917830798282</v>
      </c>
      <c r="F1708" t="s">
        <v>10369</v>
      </c>
      <c r="G1708" t="s">
        <v>10377</v>
      </c>
      <c r="H1708" s="2">
        <v>27609</v>
      </c>
    </row>
    <row r="1709" spans="1:8">
      <c r="A1709" t="s">
        <v>8863</v>
      </c>
      <c r="B1709" t="s">
        <v>80</v>
      </c>
      <c r="C1709" t="s">
        <v>10363</v>
      </c>
      <c r="D1709" t="s">
        <v>12082</v>
      </c>
      <c r="E1709">
        <v>916392171603</v>
      </c>
      <c r="F1709" t="s">
        <v>10386</v>
      </c>
      <c r="G1709" t="s">
        <v>10379</v>
      </c>
      <c r="H1709" s="2">
        <v>36440</v>
      </c>
    </row>
    <row r="1710" spans="1:8">
      <c r="A1710" t="s">
        <v>8868</v>
      </c>
      <c r="B1710" t="s">
        <v>449</v>
      </c>
      <c r="C1710" t="s">
        <v>10363</v>
      </c>
      <c r="D1710" t="s">
        <v>12083</v>
      </c>
      <c r="E1710">
        <v>919450846697</v>
      </c>
      <c r="F1710" t="s">
        <v>10376</v>
      </c>
      <c r="G1710" t="s">
        <v>10370</v>
      </c>
      <c r="H1710" s="2">
        <v>20787</v>
      </c>
    </row>
    <row r="1711" spans="1:8">
      <c r="A1711" t="s">
        <v>8873</v>
      </c>
      <c r="B1711" t="s">
        <v>2202</v>
      </c>
      <c r="C1711" t="s">
        <v>10367</v>
      </c>
      <c r="D1711" t="s">
        <v>12084</v>
      </c>
      <c r="E1711">
        <v>919010183231</v>
      </c>
      <c r="F1711" t="s">
        <v>10374</v>
      </c>
      <c r="G1711" t="s">
        <v>10377</v>
      </c>
      <c r="H1711" s="2">
        <v>29753</v>
      </c>
    </row>
    <row r="1712" spans="1:8">
      <c r="A1712" t="s">
        <v>8878</v>
      </c>
      <c r="B1712" t="s">
        <v>1539</v>
      </c>
      <c r="C1712" t="s">
        <v>10363</v>
      </c>
      <c r="D1712" t="s">
        <v>12085</v>
      </c>
      <c r="E1712">
        <v>916623973819</v>
      </c>
      <c r="F1712" t="s">
        <v>10402</v>
      </c>
      <c r="G1712" t="s">
        <v>10370</v>
      </c>
      <c r="H1712" s="2">
        <v>20888</v>
      </c>
    </row>
    <row r="1713" spans="1:8">
      <c r="A1713" t="s">
        <v>8883</v>
      </c>
      <c r="B1713" t="s">
        <v>729</v>
      </c>
      <c r="C1713" t="s">
        <v>10367</v>
      </c>
      <c r="D1713" t="s">
        <v>12086</v>
      </c>
      <c r="E1713">
        <v>919367775384</v>
      </c>
      <c r="F1713" t="s">
        <v>10374</v>
      </c>
      <c r="G1713" t="s">
        <v>10366</v>
      </c>
      <c r="H1713" s="2">
        <v>37306</v>
      </c>
    </row>
    <row r="1714" spans="1:8">
      <c r="A1714" t="s">
        <v>8888</v>
      </c>
      <c r="B1714" t="s">
        <v>1649</v>
      </c>
      <c r="C1714" t="s">
        <v>10367</v>
      </c>
      <c r="D1714" t="s">
        <v>12087</v>
      </c>
      <c r="E1714">
        <v>917387247860</v>
      </c>
      <c r="F1714" t="s">
        <v>10372</v>
      </c>
      <c r="G1714" t="s">
        <v>10377</v>
      </c>
      <c r="H1714" s="2">
        <v>27427</v>
      </c>
    </row>
    <row r="1715" spans="1:8">
      <c r="A1715" t="s">
        <v>8893</v>
      </c>
      <c r="B1715" t="s">
        <v>1030</v>
      </c>
      <c r="C1715" t="s">
        <v>10363</v>
      </c>
      <c r="D1715" t="s">
        <v>12088</v>
      </c>
      <c r="E1715">
        <v>919107000778</v>
      </c>
      <c r="F1715" t="s">
        <v>10376</v>
      </c>
      <c r="G1715" t="s">
        <v>10370</v>
      </c>
      <c r="H1715" s="2">
        <v>29701</v>
      </c>
    </row>
    <row r="1716" spans="1:8">
      <c r="A1716" t="s">
        <v>8898</v>
      </c>
      <c r="B1716" t="s">
        <v>786</v>
      </c>
      <c r="C1716" t="s">
        <v>10367</v>
      </c>
      <c r="D1716" t="s">
        <v>12089</v>
      </c>
      <c r="E1716">
        <v>919006059015</v>
      </c>
      <c r="F1716" t="s">
        <v>10372</v>
      </c>
      <c r="G1716" t="s">
        <v>10370</v>
      </c>
      <c r="H1716" s="2">
        <v>31044</v>
      </c>
    </row>
    <row r="1717" spans="1:8">
      <c r="A1717" t="s">
        <v>8903</v>
      </c>
      <c r="B1717" t="s">
        <v>3448</v>
      </c>
      <c r="C1717" t="s">
        <v>10367</v>
      </c>
      <c r="D1717" t="s">
        <v>12090</v>
      </c>
      <c r="E1717">
        <v>917742126477</v>
      </c>
      <c r="F1717" t="s">
        <v>10372</v>
      </c>
      <c r="G1717" t="s">
        <v>10370</v>
      </c>
      <c r="H1717" s="2">
        <v>30530</v>
      </c>
    </row>
    <row r="1718" spans="1:8">
      <c r="A1718" t="s">
        <v>8908</v>
      </c>
      <c r="B1718" t="s">
        <v>80</v>
      </c>
      <c r="C1718" t="s">
        <v>10363</v>
      </c>
      <c r="D1718" t="s">
        <v>12091</v>
      </c>
      <c r="E1718">
        <v>919558184328</v>
      </c>
      <c r="F1718" t="s">
        <v>10372</v>
      </c>
      <c r="G1718" t="s">
        <v>10379</v>
      </c>
      <c r="H1718" s="2">
        <v>21243</v>
      </c>
    </row>
    <row r="1719" spans="1:8">
      <c r="A1719" t="s">
        <v>8913</v>
      </c>
      <c r="B1719" t="s">
        <v>357</v>
      </c>
      <c r="C1719" t="s">
        <v>10367</v>
      </c>
      <c r="D1719" t="s">
        <v>12092</v>
      </c>
      <c r="E1719">
        <v>919704874863</v>
      </c>
      <c r="F1719" t="s">
        <v>10376</v>
      </c>
      <c r="G1719" t="s">
        <v>10379</v>
      </c>
      <c r="H1719" s="2">
        <v>22149</v>
      </c>
    </row>
    <row r="1720" spans="1:8">
      <c r="A1720" t="s">
        <v>8919</v>
      </c>
      <c r="B1720" t="s">
        <v>587</v>
      </c>
      <c r="C1720" t="s">
        <v>10363</v>
      </c>
      <c r="D1720" t="s">
        <v>12093</v>
      </c>
      <c r="E1720">
        <v>916465749370</v>
      </c>
      <c r="F1720" t="s">
        <v>10365</v>
      </c>
      <c r="G1720" t="s">
        <v>10379</v>
      </c>
      <c r="H1720" s="2">
        <v>34193</v>
      </c>
    </row>
    <row r="1721" spans="1:8">
      <c r="A1721" t="s">
        <v>8924</v>
      </c>
      <c r="B1721" t="s">
        <v>192</v>
      </c>
      <c r="C1721" t="s">
        <v>10367</v>
      </c>
      <c r="D1721" t="s">
        <v>12094</v>
      </c>
      <c r="E1721">
        <v>918961045778</v>
      </c>
      <c r="F1721" t="s">
        <v>10369</v>
      </c>
      <c r="G1721" t="s">
        <v>10370</v>
      </c>
      <c r="H1721" s="2">
        <v>20792</v>
      </c>
    </row>
    <row r="1722" spans="1:8">
      <c r="A1722" t="s">
        <v>8929</v>
      </c>
      <c r="B1722" t="s">
        <v>484</v>
      </c>
      <c r="C1722" t="s">
        <v>10363</v>
      </c>
      <c r="D1722" t="s">
        <v>12095</v>
      </c>
      <c r="E1722">
        <v>919326245761</v>
      </c>
      <c r="F1722" t="s">
        <v>10386</v>
      </c>
      <c r="G1722" t="s">
        <v>10370</v>
      </c>
      <c r="H1722" s="2">
        <v>25923</v>
      </c>
    </row>
    <row r="1723" spans="1:8">
      <c r="A1723" t="s">
        <v>8934</v>
      </c>
      <c r="B1723" t="s">
        <v>345</v>
      </c>
      <c r="C1723" t="s">
        <v>10367</v>
      </c>
      <c r="D1723" t="s">
        <v>12096</v>
      </c>
      <c r="E1723">
        <v>918764168598</v>
      </c>
      <c r="F1723" t="s">
        <v>10365</v>
      </c>
      <c r="G1723" t="s">
        <v>10377</v>
      </c>
      <c r="H1723" s="2">
        <v>32439</v>
      </c>
    </row>
    <row r="1724" spans="1:8">
      <c r="A1724" t="s">
        <v>8939</v>
      </c>
      <c r="B1724" t="s">
        <v>1710</v>
      </c>
      <c r="C1724" t="s">
        <v>10363</v>
      </c>
      <c r="D1724" t="s">
        <v>12097</v>
      </c>
      <c r="E1724">
        <v>919024547570</v>
      </c>
      <c r="F1724" t="s">
        <v>10372</v>
      </c>
      <c r="G1724" t="s">
        <v>10366</v>
      </c>
      <c r="H1724" s="2">
        <v>23722</v>
      </c>
    </row>
    <row r="1725" spans="1:8">
      <c r="A1725" t="s">
        <v>8944</v>
      </c>
      <c r="B1725" t="s">
        <v>697</v>
      </c>
      <c r="C1725" t="s">
        <v>10363</v>
      </c>
      <c r="D1725" t="s">
        <v>12098</v>
      </c>
      <c r="E1725">
        <v>919661424809</v>
      </c>
      <c r="F1725" t="s">
        <v>10386</v>
      </c>
      <c r="G1725" t="s">
        <v>10366</v>
      </c>
      <c r="H1725" s="2">
        <v>20371</v>
      </c>
    </row>
    <row r="1726" spans="1:8">
      <c r="A1726" t="s">
        <v>8949</v>
      </c>
      <c r="B1726" t="s">
        <v>679</v>
      </c>
      <c r="C1726" t="s">
        <v>10367</v>
      </c>
      <c r="D1726" t="s">
        <v>12099</v>
      </c>
      <c r="E1726">
        <v>917826987301</v>
      </c>
      <c r="F1726" t="s">
        <v>10381</v>
      </c>
      <c r="G1726" t="s">
        <v>10370</v>
      </c>
      <c r="H1726" s="2">
        <v>30366</v>
      </c>
    </row>
    <row r="1727" spans="1:8">
      <c r="A1727" t="s">
        <v>8954</v>
      </c>
      <c r="B1727" t="s">
        <v>432</v>
      </c>
      <c r="C1727" t="s">
        <v>10363</v>
      </c>
      <c r="D1727" t="s">
        <v>12100</v>
      </c>
      <c r="E1727">
        <v>919565659308</v>
      </c>
      <c r="F1727" t="s">
        <v>10386</v>
      </c>
      <c r="G1727" t="s">
        <v>10377</v>
      </c>
      <c r="H1727" s="2">
        <v>22903</v>
      </c>
    </row>
    <row r="1728" spans="1:8">
      <c r="A1728" t="s">
        <v>8959</v>
      </c>
      <c r="B1728" t="s">
        <v>4751</v>
      </c>
      <c r="C1728" t="s">
        <v>10367</v>
      </c>
      <c r="D1728" t="s">
        <v>12101</v>
      </c>
      <c r="E1728">
        <v>919805990219</v>
      </c>
      <c r="F1728" t="s">
        <v>10376</v>
      </c>
      <c r="G1728" t="s">
        <v>10379</v>
      </c>
      <c r="H1728" s="2">
        <v>20383</v>
      </c>
    </row>
    <row r="1729" spans="1:8">
      <c r="A1729" t="s">
        <v>8964</v>
      </c>
      <c r="B1729" t="s">
        <v>1102</v>
      </c>
      <c r="C1729" t="s">
        <v>10367</v>
      </c>
      <c r="D1729" t="s">
        <v>12102</v>
      </c>
      <c r="E1729">
        <v>916288807059</v>
      </c>
      <c r="F1729" t="s">
        <v>10365</v>
      </c>
      <c r="G1729" t="s">
        <v>10377</v>
      </c>
      <c r="H1729" s="2">
        <v>21280</v>
      </c>
    </row>
    <row r="1730" spans="1:8">
      <c r="A1730" t="s">
        <v>8969</v>
      </c>
      <c r="B1730" t="s">
        <v>4740</v>
      </c>
      <c r="C1730" t="s">
        <v>10367</v>
      </c>
      <c r="D1730" t="s">
        <v>12103</v>
      </c>
      <c r="E1730">
        <v>917480585878</v>
      </c>
      <c r="F1730" t="s">
        <v>10384</v>
      </c>
      <c r="G1730" t="s">
        <v>10379</v>
      </c>
      <c r="H1730" s="2">
        <v>30922</v>
      </c>
    </row>
    <row r="1731" spans="1:8">
      <c r="A1731" t="s">
        <v>8974</v>
      </c>
      <c r="B1731" t="s">
        <v>982</v>
      </c>
      <c r="C1731" t="s">
        <v>10367</v>
      </c>
      <c r="D1731" t="s">
        <v>12104</v>
      </c>
      <c r="E1731">
        <v>917993491419</v>
      </c>
      <c r="F1731" t="s">
        <v>10381</v>
      </c>
      <c r="G1731" t="s">
        <v>10379</v>
      </c>
      <c r="H1731" s="2">
        <v>31840</v>
      </c>
    </row>
    <row r="1732" spans="1:8">
      <c r="A1732" t="s">
        <v>8979</v>
      </c>
      <c r="B1732" t="s">
        <v>1476</v>
      </c>
      <c r="C1732" t="s">
        <v>10367</v>
      </c>
      <c r="D1732" t="s">
        <v>12105</v>
      </c>
      <c r="E1732">
        <v>919903096346</v>
      </c>
      <c r="F1732" t="s">
        <v>10386</v>
      </c>
      <c r="G1732" t="s">
        <v>10366</v>
      </c>
      <c r="H1732" s="2">
        <v>29967</v>
      </c>
    </row>
    <row r="1733" spans="1:8">
      <c r="A1733" t="s">
        <v>8984</v>
      </c>
      <c r="B1733" t="s">
        <v>1207</v>
      </c>
      <c r="C1733" t="s">
        <v>10367</v>
      </c>
      <c r="D1733" t="s">
        <v>12106</v>
      </c>
      <c r="E1733">
        <v>918986565818</v>
      </c>
      <c r="F1733" t="s">
        <v>10369</v>
      </c>
      <c r="G1733" t="s">
        <v>10377</v>
      </c>
      <c r="H1733" s="2">
        <v>33668</v>
      </c>
    </row>
    <row r="1734" spans="1:8">
      <c r="A1734" t="s">
        <v>8989</v>
      </c>
      <c r="B1734" t="s">
        <v>211</v>
      </c>
      <c r="C1734" t="s">
        <v>10367</v>
      </c>
      <c r="D1734" t="s">
        <v>12107</v>
      </c>
      <c r="E1734">
        <v>917031471305</v>
      </c>
      <c r="F1734" t="s">
        <v>10369</v>
      </c>
      <c r="G1734" t="s">
        <v>10379</v>
      </c>
      <c r="H1734" s="2">
        <v>27015</v>
      </c>
    </row>
    <row r="1735" spans="1:8">
      <c r="A1735" t="s">
        <v>8994</v>
      </c>
      <c r="B1735" t="s">
        <v>955</v>
      </c>
      <c r="C1735" t="s">
        <v>10363</v>
      </c>
      <c r="D1735" t="s">
        <v>12108</v>
      </c>
      <c r="E1735">
        <v>916209198812</v>
      </c>
      <c r="F1735" t="s">
        <v>10365</v>
      </c>
      <c r="G1735" t="s">
        <v>10366</v>
      </c>
      <c r="H1735" s="2">
        <v>22477</v>
      </c>
    </row>
    <row r="1736" spans="1:8">
      <c r="A1736" t="s">
        <v>8999</v>
      </c>
      <c r="B1736" t="s">
        <v>253</v>
      </c>
      <c r="C1736" t="s">
        <v>10363</v>
      </c>
      <c r="D1736" t="s">
        <v>12109</v>
      </c>
      <c r="E1736">
        <v>916812336040</v>
      </c>
      <c r="F1736" t="s">
        <v>10374</v>
      </c>
      <c r="G1736" t="s">
        <v>10377</v>
      </c>
      <c r="H1736" s="2">
        <v>32956</v>
      </c>
    </row>
    <row r="1737" spans="1:8">
      <c r="A1737" t="s">
        <v>9004</v>
      </c>
      <c r="B1737" t="s">
        <v>1682</v>
      </c>
      <c r="C1737" t="s">
        <v>10367</v>
      </c>
      <c r="D1737" t="s">
        <v>12110</v>
      </c>
      <c r="E1737">
        <v>917211837774</v>
      </c>
      <c r="F1737" t="s">
        <v>10365</v>
      </c>
      <c r="G1737" t="s">
        <v>10379</v>
      </c>
      <c r="H1737" s="2">
        <v>34071</v>
      </c>
    </row>
    <row r="1738" spans="1:8">
      <c r="A1738" t="s">
        <v>9009</v>
      </c>
      <c r="B1738" t="s">
        <v>2778</v>
      </c>
      <c r="C1738" t="s">
        <v>10363</v>
      </c>
      <c r="D1738" t="s">
        <v>12111</v>
      </c>
      <c r="E1738">
        <v>918811508595</v>
      </c>
      <c r="F1738" t="s">
        <v>10384</v>
      </c>
      <c r="G1738" t="s">
        <v>10366</v>
      </c>
      <c r="H1738" s="2">
        <v>25089</v>
      </c>
    </row>
    <row r="1739" spans="1:8">
      <c r="A1739" t="s">
        <v>9014</v>
      </c>
      <c r="B1739" t="s">
        <v>927</v>
      </c>
      <c r="C1739" t="s">
        <v>10367</v>
      </c>
      <c r="D1739" t="s">
        <v>12112</v>
      </c>
      <c r="E1739">
        <v>919228638176</v>
      </c>
      <c r="F1739" t="s">
        <v>10402</v>
      </c>
      <c r="G1739" t="s">
        <v>10370</v>
      </c>
      <c r="H1739" s="2">
        <v>28209</v>
      </c>
    </row>
    <row r="1740" spans="1:8">
      <c r="A1740" t="s">
        <v>9019</v>
      </c>
      <c r="B1740" t="s">
        <v>2244</v>
      </c>
      <c r="C1740" t="s">
        <v>10367</v>
      </c>
      <c r="D1740" t="s">
        <v>12113</v>
      </c>
      <c r="E1740">
        <v>918993713679</v>
      </c>
      <c r="F1740" t="s">
        <v>10386</v>
      </c>
      <c r="G1740" t="s">
        <v>10366</v>
      </c>
      <c r="H1740" s="2">
        <v>30274</v>
      </c>
    </row>
    <row r="1741" spans="1:8">
      <c r="A1741" t="s">
        <v>9024</v>
      </c>
      <c r="B1741" t="s">
        <v>205</v>
      </c>
      <c r="C1741" t="s">
        <v>10367</v>
      </c>
      <c r="D1741" t="s">
        <v>12114</v>
      </c>
      <c r="E1741">
        <v>916382452683</v>
      </c>
      <c r="F1741" t="s">
        <v>10369</v>
      </c>
      <c r="G1741" t="s">
        <v>10379</v>
      </c>
      <c r="H1741" s="2">
        <v>33884</v>
      </c>
    </row>
    <row r="1742" spans="1:8">
      <c r="A1742" t="s">
        <v>9029</v>
      </c>
      <c r="B1742" t="s">
        <v>2233</v>
      </c>
      <c r="C1742" t="s">
        <v>10367</v>
      </c>
      <c r="D1742" t="s">
        <v>12115</v>
      </c>
      <c r="E1742">
        <v>917053622819</v>
      </c>
      <c r="F1742" t="s">
        <v>10384</v>
      </c>
      <c r="G1742" t="s">
        <v>10379</v>
      </c>
      <c r="H1742" s="2">
        <v>32965</v>
      </c>
    </row>
    <row r="1743" spans="1:8">
      <c r="A1743" t="s">
        <v>9034</v>
      </c>
      <c r="B1743" t="s">
        <v>180</v>
      </c>
      <c r="C1743" t="s">
        <v>10367</v>
      </c>
      <c r="D1743" t="s">
        <v>12116</v>
      </c>
      <c r="E1743">
        <v>919426706893</v>
      </c>
      <c r="F1743" t="s">
        <v>10365</v>
      </c>
      <c r="G1743" t="s">
        <v>10366</v>
      </c>
      <c r="H1743" s="2">
        <v>25304</v>
      </c>
    </row>
    <row r="1744" spans="1:8">
      <c r="A1744" t="s">
        <v>9039</v>
      </c>
      <c r="B1744" t="s">
        <v>432</v>
      </c>
      <c r="C1744" t="s">
        <v>10363</v>
      </c>
      <c r="D1744" t="s">
        <v>12117</v>
      </c>
      <c r="E1744">
        <v>916228764090</v>
      </c>
      <c r="F1744" t="s">
        <v>10381</v>
      </c>
      <c r="G1744" t="s">
        <v>10366</v>
      </c>
      <c r="H1744" s="2">
        <v>33094</v>
      </c>
    </row>
    <row r="1745" spans="1:8">
      <c r="A1745" t="s">
        <v>9044</v>
      </c>
      <c r="B1745" t="s">
        <v>2175</v>
      </c>
      <c r="C1745" t="s">
        <v>10367</v>
      </c>
      <c r="D1745" t="s">
        <v>12118</v>
      </c>
      <c r="E1745">
        <v>916677074111</v>
      </c>
      <c r="F1745" t="s">
        <v>10386</v>
      </c>
      <c r="G1745" t="s">
        <v>10370</v>
      </c>
      <c r="H1745" s="2">
        <v>27010</v>
      </c>
    </row>
    <row r="1746" spans="1:8">
      <c r="A1746" t="s">
        <v>9049</v>
      </c>
      <c r="B1746" t="s">
        <v>7839</v>
      </c>
      <c r="C1746" t="s">
        <v>10367</v>
      </c>
      <c r="D1746" t="s">
        <v>12119</v>
      </c>
      <c r="E1746">
        <v>916590321327</v>
      </c>
      <c r="F1746" t="s">
        <v>10369</v>
      </c>
      <c r="G1746" t="s">
        <v>10370</v>
      </c>
      <c r="H1746" s="2">
        <v>22149</v>
      </c>
    </row>
    <row r="1747" spans="1:8">
      <c r="A1747" t="s">
        <v>9054</v>
      </c>
      <c r="B1747" t="s">
        <v>300</v>
      </c>
      <c r="C1747" t="s">
        <v>10367</v>
      </c>
      <c r="D1747" t="s">
        <v>12120</v>
      </c>
      <c r="E1747">
        <v>918438072651</v>
      </c>
      <c r="F1747" t="s">
        <v>10372</v>
      </c>
      <c r="G1747" t="s">
        <v>10379</v>
      </c>
      <c r="H1747" s="2">
        <v>28815</v>
      </c>
    </row>
    <row r="1748" spans="1:8">
      <c r="A1748" t="s">
        <v>9059</v>
      </c>
      <c r="B1748" t="s">
        <v>786</v>
      </c>
      <c r="C1748" t="s">
        <v>10367</v>
      </c>
      <c r="D1748" t="s">
        <v>12121</v>
      </c>
      <c r="E1748">
        <v>919112865781</v>
      </c>
      <c r="F1748" t="s">
        <v>10365</v>
      </c>
      <c r="G1748" t="s">
        <v>10377</v>
      </c>
      <c r="H1748" s="2">
        <v>30809</v>
      </c>
    </row>
    <row r="1749" spans="1:8">
      <c r="A1749" t="s">
        <v>9064</v>
      </c>
      <c r="B1749" t="s">
        <v>2196</v>
      </c>
      <c r="C1749" t="s">
        <v>10367</v>
      </c>
      <c r="D1749" t="s">
        <v>12122</v>
      </c>
      <c r="E1749">
        <v>918751953244</v>
      </c>
      <c r="F1749" t="s">
        <v>10374</v>
      </c>
      <c r="G1749" t="s">
        <v>10370</v>
      </c>
      <c r="H1749" s="2">
        <v>28232</v>
      </c>
    </row>
    <row r="1750" spans="1:8">
      <c r="A1750" t="s">
        <v>9069</v>
      </c>
      <c r="B1750" t="s">
        <v>2815</v>
      </c>
      <c r="C1750" t="s">
        <v>10363</v>
      </c>
      <c r="D1750" t="s">
        <v>12123</v>
      </c>
      <c r="E1750">
        <v>918125809982</v>
      </c>
      <c r="F1750" t="s">
        <v>10374</v>
      </c>
      <c r="G1750" t="s">
        <v>10377</v>
      </c>
      <c r="H1750" s="2">
        <v>33678</v>
      </c>
    </row>
    <row r="1751" spans="1:8">
      <c r="A1751" t="s">
        <v>9074</v>
      </c>
      <c r="B1751" t="s">
        <v>655</v>
      </c>
      <c r="C1751" t="s">
        <v>10367</v>
      </c>
      <c r="D1751" t="s">
        <v>12124</v>
      </c>
      <c r="E1751">
        <v>919148524032</v>
      </c>
      <c r="F1751" t="s">
        <v>10376</v>
      </c>
      <c r="G1751" t="s">
        <v>10379</v>
      </c>
      <c r="H1751" s="2">
        <v>33966</v>
      </c>
    </row>
    <row r="1752" spans="1:8">
      <c r="A1752" t="s">
        <v>9079</v>
      </c>
      <c r="B1752" t="s">
        <v>259</v>
      </c>
      <c r="C1752" t="s">
        <v>10367</v>
      </c>
      <c r="D1752" t="s">
        <v>12125</v>
      </c>
      <c r="E1752">
        <v>917102011583</v>
      </c>
      <c r="F1752" t="s">
        <v>10376</v>
      </c>
      <c r="G1752" t="s">
        <v>10370</v>
      </c>
      <c r="H1752" s="2">
        <v>33283</v>
      </c>
    </row>
    <row r="1753" spans="1:8">
      <c r="A1753" t="s">
        <v>9084</v>
      </c>
      <c r="B1753" t="s">
        <v>604</v>
      </c>
      <c r="C1753" t="s">
        <v>10363</v>
      </c>
      <c r="D1753" t="s">
        <v>12126</v>
      </c>
      <c r="E1753">
        <v>917354733005</v>
      </c>
      <c r="F1753" t="s">
        <v>10374</v>
      </c>
      <c r="G1753" t="s">
        <v>10377</v>
      </c>
      <c r="H1753" s="2">
        <v>29519</v>
      </c>
    </row>
    <row r="1754" spans="1:8">
      <c r="A1754" t="s">
        <v>9089</v>
      </c>
      <c r="B1754" t="s">
        <v>740</v>
      </c>
      <c r="C1754" t="s">
        <v>10367</v>
      </c>
      <c r="D1754" t="s">
        <v>12127</v>
      </c>
      <c r="E1754">
        <v>916259602071</v>
      </c>
      <c r="F1754" t="s">
        <v>10402</v>
      </c>
      <c r="G1754" t="s">
        <v>10377</v>
      </c>
      <c r="H1754" s="2">
        <v>27116</v>
      </c>
    </row>
    <row r="1755" spans="1:8">
      <c r="A1755" t="s">
        <v>9094</v>
      </c>
      <c r="B1755" t="s">
        <v>3112</v>
      </c>
      <c r="C1755" t="s">
        <v>10367</v>
      </c>
      <c r="D1755" t="s">
        <v>12128</v>
      </c>
      <c r="E1755">
        <v>916828719904</v>
      </c>
      <c r="F1755" t="s">
        <v>10374</v>
      </c>
      <c r="G1755" t="s">
        <v>10366</v>
      </c>
      <c r="H1755" s="2">
        <v>33667</v>
      </c>
    </row>
    <row r="1756" spans="1:8">
      <c r="A1756" t="s">
        <v>9099</v>
      </c>
      <c r="B1756" t="s">
        <v>106</v>
      </c>
      <c r="C1756" t="s">
        <v>10363</v>
      </c>
      <c r="D1756" t="s">
        <v>12129</v>
      </c>
      <c r="E1756">
        <v>918168657640</v>
      </c>
      <c r="F1756" t="s">
        <v>10384</v>
      </c>
      <c r="G1756" t="s">
        <v>10379</v>
      </c>
      <c r="H1756" s="2">
        <v>34628</v>
      </c>
    </row>
    <row r="1757" spans="1:8">
      <c r="A1757" t="s">
        <v>9104</v>
      </c>
      <c r="B1757" t="s">
        <v>1140</v>
      </c>
      <c r="C1757" t="s">
        <v>10367</v>
      </c>
      <c r="D1757" t="s">
        <v>12130</v>
      </c>
      <c r="E1757">
        <v>917925425981</v>
      </c>
      <c r="F1757" t="s">
        <v>10374</v>
      </c>
      <c r="G1757" t="s">
        <v>10370</v>
      </c>
      <c r="H1757" s="2">
        <v>32289</v>
      </c>
    </row>
    <row r="1758" spans="1:8">
      <c r="A1758" t="s">
        <v>9109</v>
      </c>
      <c r="B1758" t="s">
        <v>3929</v>
      </c>
      <c r="C1758" t="s">
        <v>10367</v>
      </c>
      <c r="D1758" t="s">
        <v>12131</v>
      </c>
      <c r="E1758">
        <v>919077943514</v>
      </c>
      <c r="F1758" t="s">
        <v>10365</v>
      </c>
      <c r="G1758" t="s">
        <v>10377</v>
      </c>
      <c r="H1758" s="2">
        <v>24607</v>
      </c>
    </row>
    <row r="1759" spans="1:8">
      <c r="A1759" t="s">
        <v>9114</v>
      </c>
      <c r="B1759" t="s">
        <v>982</v>
      </c>
      <c r="C1759" t="s">
        <v>10367</v>
      </c>
      <c r="D1759" t="s">
        <v>12132</v>
      </c>
      <c r="E1759">
        <v>919614484272</v>
      </c>
      <c r="F1759" t="s">
        <v>10381</v>
      </c>
      <c r="G1759" t="s">
        <v>10379</v>
      </c>
      <c r="H1759" s="2">
        <v>24254</v>
      </c>
    </row>
    <row r="1760" spans="1:8">
      <c r="A1760" t="s">
        <v>9119</v>
      </c>
      <c r="B1760" t="s">
        <v>472</v>
      </c>
      <c r="C1760" t="s">
        <v>10363</v>
      </c>
      <c r="D1760" t="s">
        <v>12133</v>
      </c>
      <c r="E1760">
        <v>916013943569</v>
      </c>
      <c r="F1760" t="s">
        <v>10381</v>
      </c>
      <c r="G1760" t="s">
        <v>10377</v>
      </c>
      <c r="H1760" s="2">
        <v>25377</v>
      </c>
    </row>
    <row r="1761" spans="1:8">
      <c r="A1761" t="s">
        <v>9124</v>
      </c>
      <c r="B1761" t="s">
        <v>3210</v>
      </c>
      <c r="C1761" t="s">
        <v>10367</v>
      </c>
      <c r="D1761" t="s">
        <v>12134</v>
      </c>
      <c r="E1761">
        <v>916618844739</v>
      </c>
      <c r="F1761" t="s">
        <v>10376</v>
      </c>
      <c r="G1761" t="s">
        <v>10366</v>
      </c>
      <c r="H1761" s="2">
        <v>20328</v>
      </c>
    </row>
    <row r="1762" spans="1:8">
      <c r="A1762" t="s">
        <v>9129</v>
      </c>
      <c r="B1762" t="s">
        <v>2041</v>
      </c>
      <c r="C1762" t="s">
        <v>10363</v>
      </c>
      <c r="D1762" t="s">
        <v>12135</v>
      </c>
      <c r="E1762">
        <v>916983864843</v>
      </c>
      <c r="F1762" t="s">
        <v>10372</v>
      </c>
      <c r="G1762" t="s">
        <v>10379</v>
      </c>
      <c r="H1762" s="2">
        <v>28881</v>
      </c>
    </row>
    <row r="1763" spans="1:8">
      <c r="A1763" t="s">
        <v>9134</v>
      </c>
      <c r="B1763" t="s">
        <v>472</v>
      </c>
      <c r="C1763" t="s">
        <v>10363</v>
      </c>
      <c r="D1763" t="s">
        <v>12136</v>
      </c>
      <c r="E1763">
        <v>919095564689</v>
      </c>
      <c r="F1763" t="s">
        <v>10388</v>
      </c>
      <c r="G1763" t="s">
        <v>10379</v>
      </c>
      <c r="H1763" s="2">
        <v>21294</v>
      </c>
    </row>
    <row r="1764" spans="1:8">
      <c r="A1764" t="s">
        <v>9139</v>
      </c>
      <c r="B1764" t="s">
        <v>1545</v>
      </c>
      <c r="C1764" t="s">
        <v>10363</v>
      </c>
      <c r="D1764" t="s">
        <v>12137</v>
      </c>
      <c r="E1764">
        <v>919323405269</v>
      </c>
      <c r="F1764" t="s">
        <v>10374</v>
      </c>
      <c r="G1764" t="s">
        <v>10377</v>
      </c>
      <c r="H1764" s="2">
        <v>29322</v>
      </c>
    </row>
    <row r="1765" spans="1:8">
      <c r="A1765" t="s">
        <v>9144</v>
      </c>
      <c r="B1765" t="s">
        <v>392</v>
      </c>
      <c r="C1765" t="s">
        <v>10367</v>
      </c>
      <c r="D1765" t="s">
        <v>12138</v>
      </c>
      <c r="E1765">
        <v>916001954466</v>
      </c>
      <c r="F1765" t="s">
        <v>10381</v>
      </c>
      <c r="G1765" t="s">
        <v>10370</v>
      </c>
      <c r="H1765" s="2">
        <v>26972</v>
      </c>
    </row>
    <row r="1766" spans="1:8">
      <c r="A1766" t="s">
        <v>9149</v>
      </c>
      <c r="B1766" t="s">
        <v>524</v>
      </c>
      <c r="C1766" t="s">
        <v>10367</v>
      </c>
      <c r="D1766" t="s">
        <v>12139</v>
      </c>
      <c r="E1766">
        <v>916178692760</v>
      </c>
      <c r="F1766" t="s">
        <v>10369</v>
      </c>
      <c r="G1766" t="s">
        <v>10366</v>
      </c>
      <c r="H1766" s="2">
        <v>30093</v>
      </c>
    </row>
    <row r="1767" spans="1:8">
      <c r="A1767" t="s">
        <v>9154</v>
      </c>
      <c r="B1767" t="s">
        <v>587</v>
      </c>
      <c r="C1767" t="s">
        <v>10363</v>
      </c>
      <c r="D1767" t="s">
        <v>12140</v>
      </c>
      <c r="E1767">
        <v>916823538433</v>
      </c>
      <c r="F1767" t="s">
        <v>10376</v>
      </c>
      <c r="G1767" t="s">
        <v>10370</v>
      </c>
      <c r="H1767" s="2">
        <v>30144</v>
      </c>
    </row>
    <row r="1768" spans="1:8">
      <c r="A1768" t="s">
        <v>9159</v>
      </c>
      <c r="B1768" t="s">
        <v>375</v>
      </c>
      <c r="C1768" t="s">
        <v>10363</v>
      </c>
      <c r="D1768" t="s">
        <v>12141</v>
      </c>
      <c r="E1768">
        <v>918565307811</v>
      </c>
      <c r="F1768" t="s">
        <v>10402</v>
      </c>
      <c r="G1768" t="s">
        <v>10366</v>
      </c>
      <c r="H1768" s="2">
        <v>30310</v>
      </c>
    </row>
    <row r="1769" spans="1:8">
      <c r="A1769" t="s">
        <v>9164</v>
      </c>
      <c r="B1769" t="s">
        <v>2831</v>
      </c>
      <c r="C1769" t="s">
        <v>10363</v>
      </c>
      <c r="D1769" t="s">
        <v>12142</v>
      </c>
      <c r="E1769">
        <v>916424789038</v>
      </c>
      <c r="F1769" t="s">
        <v>10374</v>
      </c>
      <c r="G1769" t="s">
        <v>10379</v>
      </c>
      <c r="H1769" s="2">
        <v>32951</v>
      </c>
    </row>
    <row r="1770" spans="1:8">
      <c r="A1770" t="s">
        <v>9169</v>
      </c>
      <c r="B1770" t="s">
        <v>1146</v>
      </c>
      <c r="C1770" t="s">
        <v>10367</v>
      </c>
      <c r="D1770" t="s">
        <v>12143</v>
      </c>
      <c r="E1770">
        <v>918545406888</v>
      </c>
      <c r="F1770" t="s">
        <v>10381</v>
      </c>
      <c r="G1770" t="s">
        <v>10370</v>
      </c>
      <c r="H1770" s="2">
        <v>22217</v>
      </c>
    </row>
    <row r="1771" spans="1:8">
      <c r="A1771" t="s">
        <v>9174</v>
      </c>
      <c r="B1771" t="s">
        <v>518</v>
      </c>
      <c r="C1771" t="s">
        <v>10367</v>
      </c>
      <c r="D1771" t="s">
        <v>12144</v>
      </c>
      <c r="E1771">
        <v>918503522792</v>
      </c>
      <c r="F1771" t="s">
        <v>10369</v>
      </c>
      <c r="G1771" t="s">
        <v>10366</v>
      </c>
      <c r="H1771" s="2">
        <v>31818</v>
      </c>
    </row>
    <row r="1772" spans="1:8">
      <c r="A1772" t="s">
        <v>9179</v>
      </c>
      <c r="B1772" t="s">
        <v>4751</v>
      </c>
      <c r="C1772" t="s">
        <v>10367</v>
      </c>
      <c r="D1772" t="s">
        <v>12145</v>
      </c>
      <c r="E1772">
        <v>917553992259</v>
      </c>
      <c r="F1772" t="s">
        <v>10386</v>
      </c>
      <c r="G1772" t="s">
        <v>10370</v>
      </c>
      <c r="H1772" s="2">
        <v>33644</v>
      </c>
    </row>
    <row r="1773" spans="1:8">
      <c r="A1773" t="s">
        <v>9184</v>
      </c>
      <c r="B1773" t="s">
        <v>163</v>
      </c>
      <c r="C1773" t="s">
        <v>10363</v>
      </c>
      <c r="D1773" t="s">
        <v>12146</v>
      </c>
      <c r="E1773">
        <v>919890229936</v>
      </c>
      <c r="F1773" t="s">
        <v>10402</v>
      </c>
      <c r="G1773" t="s">
        <v>10370</v>
      </c>
      <c r="H1773" s="2">
        <v>36529</v>
      </c>
    </row>
    <row r="1774" spans="1:8">
      <c r="A1774" t="s">
        <v>9189</v>
      </c>
      <c r="B1774" t="s">
        <v>1114</v>
      </c>
      <c r="C1774" t="s">
        <v>10367</v>
      </c>
      <c r="D1774" t="s">
        <v>12147</v>
      </c>
      <c r="E1774">
        <v>919874796285</v>
      </c>
      <c r="F1774" t="s">
        <v>10384</v>
      </c>
      <c r="G1774" t="s">
        <v>10366</v>
      </c>
      <c r="H1774" s="2">
        <v>36294</v>
      </c>
    </row>
    <row r="1775" spans="1:8">
      <c r="A1775" t="s">
        <v>9194</v>
      </c>
      <c r="B1775" t="s">
        <v>3061</v>
      </c>
      <c r="C1775" t="s">
        <v>10363</v>
      </c>
      <c r="D1775" t="s">
        <v>12148</v>
      </c>
      <c r="E1775">
        <v>917731926550</v>
      </c>
      <c r="F1775" t="s">
        <v>10374</v>
      </c>
      <c r="G1775" t="s">
        <v>10366</v>
      </c>
      <c r="H1775" s="2">
        <v>32562</v>
      </c>
    </row>
    <row r="1776" spans="1:8">
      <c r="A1776" t="s">
        <v>9199</v>
      </c>
      <c r="B1776" t="s">
        <v>1826</v>
      </c>
      <c r="C1776" t="s">
        <v>10363</v>
      </c>
      <c r="D1776" t="s">
        <v>12149</v>
      </c>
      <c r="E1776">
        <v>917062115139</v>
      </c>
      <c r="F1776" t="s">
        <v>10386</v>
      </c>
      <c r="G1776" t="s">
        <v>10379</v>
      </c>
      <c r="H1776" s="2">
        <v>35601</v>
      </c>
    </row>
    <row r="1777" spans="1:8">
      <c r="A1777" t="s">
        <v>9204</v>
      </c>
      <c r="B1777" t="s">
        <v>639</v>
      </c>
      <c r="C1777" t="s">
        <v>10363</v>
      </c>
      <c r="D1777" t="s">
        <v>12150</v>
      </c>
      <c r="E1777">
        <v>916531519748</v>
      </c>
      <c r="F1777" t="s">
        <v>10374</v>
      </c>
      <c r="G1777" t="s">
        <v>10370</v>
      </c>
      <c r="H1777" s="2">
        <v>23715</v>
      </c>
    </row>
    <row r="1778" spans="1:8">
      <c r="A1778" t="s">
        <v>9209</v>
      </c>
      <c r="B1778" t="s">
        <v>106</v>
      </c>
      <c r="C1778" t="s">
        <v>10363</v>
      </c>
      <c r="D1778" t="s">
        <v>12151</v>
      </c>
      <c r="E1778">
        <v>916264725966</v>
      </c>
      <c r="F1778" t="s">
        <v>10384</v>
      </c>
      <c r="G1778" t="s">
        <v>10366</v>
      </c>
      <c r="H1778" s="2">
        <v>23105</v>
      </c>
    </row>
    <row r="1779" spans="1:8">
      <c r="A1779" t="s">
        <v>9214</v>
      </c>
      <c r="B1779" t="s">
        <v>1447</v>
      </c>
      <c r="C1779" t="s">
        <v>10367</v>
      </c>
      <c r="D1779" t="s">
        <v>12152</v>
      </c>
      <c r="E1779">
        <v>916786111111</v>
      </c>
      <c r="F1779" t="s">
        <v>10384</v>
      </c>
      <c r="G1779" t="s">
        <v>10366</v>
      </c>
      <c r="H1779" s="2">
        <v>36549</v>
      </c>
    </row>
    <row r="1780" spans="1:8">
      <c r="A1780" t="s">
        <v>9219</v>
      </c>
      <c r="B1780" t="s">
        <v>729</v>
      </c>
      <c r="C1780" t="s">
        <v>10367</v>
      </c>
      <c r="D1780" t="s">
        <v>12153</v>
      </c>
      <c r="E1780">
        <v>918047039756</v>
      </c>
      <c r="F1780" t="s">
        <v>10402</v>
      </c>
      <c r="G1780" t="s">
        <v>10370</v>
      </c>
      <c r="H1780" s="2">
        <v>23747</v>
      </c>
    </row>
    <row r="1781" spans="1:8">
      <c r="A1781" t="s">
        <v>9224</v>
      </c>
      <c r="B1781" t="s">
        <v>4252</v>
      </c>
      <c r="C1781" t="s">
        <v>10367</v>
      </c>
      <c r="D1781" t="s">
        <v>12154</v>
      </c>
      <c r="E1781">
        <v>917820687601</v>
      </c>
      <c r="F1781" t="s">
        <v>10365</v>
      </c>
      <c r="G1781" t="s">
        <v>10377</v>
      </c>
      <c r="H1781" s="2">
        <v>30541</v>
      </c>
    </row>
    <row r="1782" spans="1:8">
      <c r="A1782" t="s">
        <v>9230</v>
      </c>
      <c r="B1782" t="s">
        <v>1140</v>
      </c>
      <c r="C1782" t="s">
        <v>10367</v>
      </c>
      <c r="D1782" t="s">
        <v>12155</v>
      </c>
      <c r="E1782">
        <v>918799514652</v>
      </c>
      <c r="F1782" t="s">
        <v>10369</v>
      </c>
      <c r="G1782" t="s">
        <v>10379</v>
      </c>
      <c r="H1782" s="2">
        <v>35047</v>
      </c>
    </row>
    <row r="1783" spans="1:8">
      <c r="A1783" t="s">
        <v>9235</v>
      </c>
      <c r="B1783" t="s">
        <v>3762</v>
      </c>
      <c r="C1783" t="s">
        <v>10363</v>
      </c>
      <c r="D1783" t="s">
        <v>12156</v>
      </c>
      <c r="E1783">
        <v>919009913139</v>
      </c>
      <c r="F1783" t="s">
        <v>10365</v>
      </c>
      <c r="G1783" t="s">
        <v>10379</v>
      </c>
      <c r="H1783" s="2">
        <v>23044</v>
      </c>
    </row>
    <row r="1784" spans="1:8">
      <c r="A1784" t="s">
        <v>9240</v>
      </c>
      <c r="B1784" t="s">
        <v>1146</v>
      </c>
      <c r="C1784" t="s">
        <v>10367</v>
      </c>
      <c r="D1784" t="s">
        <v>12157</v>
      </c>
      <c r="E1784">
        <v>916087892892</v>
      </c>
      <c r="F1784" t="s">
        <v>10376</v>
      </c>
      <c r="G1784" t="s">
        <v>10370</v>
      </c>
      <c r="H1784" s="2">
        <v>36186</v>
      </c>
    </row>
    <row r="1785" spans="1:8">
      <c r="A1785" t="s">
        <v>9245</v>
      </c>
      <c r="B1785" t="s">
        <v>1420</v>
      </c>
      <c r="C1785" t="s">
        <v>10367</v>
      </c>
      <c r="D1785" t="s">
        <v>12158</v>
      </c>
      <c r="E1785">
        <v>919069547536</v>
      </c>
      <c r="F1785" t="s">
        <v>10365</v>
      </c>
      <c r="G1785" t="s">
        <v>10370</v>
      </c>
      <c r="H1785" s="2">
        <v>26902</v>
      </c>
    </row>
    <row r="1786" spans="1:8">
      <c r="A1786" t="s">
        <v>9250</v>
      </c>
      <c r="B1786" t="s">
        <v>472</v>
      </c>
      <c r="C1786" t="s">
        <v>10363</v>
      </c>
      <c r="D1786" t="s">
        <v>12159</v>
      </c>
      <c r="E1786">
        <v>917487584308</v>
      </c>
      <c r="F1786" t="s">
        <v>10372</v>
      </c>
      <c r="G1786" t="s">
        <v>10377</v>
      </c>
      <c r="H1786" s="2">
        <v>30311</v>
      </c>
    </row>
    <row r="1787" spans="1:8">
      <c r="A1787" t="s">
        <v>9255</v>
      </c>
      <c r="B1787" t="s">
        <v>1068</v>
      </c>
      <c r="C1787" t="s">
        <v>10363</v>
      </c>
      <c r="D1787" t="s">
        <v>12160</v>
      </c>
      <c r="E1787">
        <v>918549182556</v>
      </c>
      <c r="F1787" t="s">
        <v>10381</v>
      </c>
      <c r="G1787" t="s">
        <v>10379</v>
      </c>
      <c r="H1787" s="2">
        <v>30310</v>
      </c>
    </row>
    <row r="1788" spans="1:8">
      <c r="A1788" t="s">
        <v>9260</v>
      </c>
      <c r="B1788" t="s">
        <v>265</v>
      </c>
      <c r="C1788" t="s">
        <v>10363</v>
      </c>
      <c r="D1788" t="s">
        <v>12161</v>
      </c>
      <c r="E1788">
        <v>919003539531</v>
      </c>
      <c r="F1788" t="s">
        <v>10381</v>
      </c>
      <c r="G1788" t="s">
        <v>10370</v>
      </c>
      <c r="H1788" s="2">
        <v>33181</v>
      </c>
    </row>
    <row r="1789" spans="1:8">
      <c r="A1789" t="s">
        <v>9265</v>
      </c>
      <c r="B1789" t="s">
        <v>339</v>
      </c>
      <c r="C1789" t="s">
        <v>10363</v>
      </c>
      <c r="D1789" t="s">
        <v>12162</v>
      </c>
      <c r="E1789">
        <v>919899124459</v>
      </c>
      <c r="F1789" t="s">
        <v>10386</v>
      </c>
      <c r="G1789" t="s">
        <v>10370</v>
      </c>
      <c r="H1789" s="2">
        <v>35740</v>
      </c>
    </row>
    <row r="1790" spans="1:8">
      <c r="A1790" t="s">
        <v>9270</v>
      </c>
      <c r="B1790" t="s">
        <v>1453</v>
      </c>
      <c r="C1790" t="s">
        <v>10363</v>
      </c>
      <c r="D1790" t="s">
        <v>12163</v>
      </c>
      <c r="E1790">
        <v>918216086497</v>
      </c>
      <c r="F1790" t="s">
        <v>10388</v>
      </c>
      <c r="G1790" t="s">
        <v>10379</v>
      </c>
      <c r="H1790" s="2">
        <v>37265</v>
      </c>
    </row>
    <row r="1791" spans="1:8">
      <c r="A1791" t="s">
        <v>9275</v>
      </c>
      <c r="B1791" t="s">
        <v>3783</v>
      </c>
      <c r="C1791" t="s">
        <v>10367</v>
      </c>
      <c r="D1791" t="s">
        <v>12164</v>
      </c>
      <c r="E1791">
        <v>916339616982</v>
      </c>
      <c r="F1791" t="s">
        <v>10384</v>
      </c>
      <c r="G1791" t="s">
        <v>10366</v>
      </c>
      <c r="H1791" s="2">
        <v>33697</v>
      </c>
    </row>
    <row r="1792" spans="1:8">
      <c r="A1792" t="s">
        <v>9280</v>
      </c>
      <c r="B1792" t="s">
        <v>835</v>
      </c>
      <c r="C1792" t="s">
        <v>10363</v>
      </c>
      <c r="D1792" t="s">
        <v>12165</v>
      </c>
      <c r="E1792">
        <v>918896792711</v>
      </c>
      <c r="F1792" t="s">
        <v>10402</v>
      </c>
      <c r="G1792" t="s">
        <v>10370</v>
      </c>
      <c r="H1792" s="2">
        <v>27494</v>
      </c>
    </row>
    <row r="1793" spans="1:8">
      <c r="A1793" t="s">
        <v>9285</v>
      </c>
      <c r="B1793" t="s">
        <v>130</v>
      </c>
      <c r="C1793" t="s">
        <v>10363</v>
      </c>
      <c r="D1793" t="s">
        <v>12166</v>
      </c>
      <c r="E1793">
        <v>919670795998</v>
      </c>
      <c r="F1793" t="s">
        <v>10388</v>
      </c>
      <c r="G1793" t="s">
        <v>10379</v>
      </c>
      <c r="H1793" s="2">
        <v>31199</v>
      </c>
    </row>
    <row r="1794" spans="1:8">
      <c r="A1794" t="s">
        <v>9290</v>
      </c>
      <c r="B1794" t="s">
        <v>333</v>
      </c>
      <c r="C1794" t="s">
        <v>10363</v>
      </c>
      <c r="D1794" t="s">
        <v>12167</v>
      </c>
      <c r="E1794">
        <v>918828762250</v>
      </c>
      <c r="F1794" t="s">
        <v>10369</v>
      </c>
      <c r="G1794" t="s">
        <v>10379</v>
      </c>
      <c r="H1794" s="2">
        <v>24638</v>
      </c>
    </row>
    <row r="1795" spans="1:8">
      <c r="A1795" t="s">
        <v>9295</v>
      </c>
      <c r="B1795" t="s">
        <v>4892</v>
      </c>
      <c r="C1795" t="s">
        <v>10367</v>
      </c>
      <c r="D1795" t="s">
        <v>12168</v>
      </c>
      <c r="E1795">
        <v>917020828403</v>
      </c>
      <c r="F1795" t="s">
        <v>10384</v>
      </c>
      <c r="G1795" t="s">
        <v>10377</v>
      </c>
      <c r="H1795" s="2">
        <v>27679</v>
      </c>
    </row>
    <row r="1796" spans="1:8">
      <c r="A1796" t="s">
        <v>9300</v>
      </c>
      <c r="B1796" t="s">
        <v>1568</v>
      </c>
      <c r="C1796" t="s">
        <v>10367</v>
      </c>
      <c r="D1796" t="s">
        <v>12169</v>
      </c>
      <c r="E1796">
        <v>917193588504</v>
      </c>
      <c r="F1796" t="s">
        <v>10381</v>
      </c>
      <c r="G1796" t="s">
        <v>10370</v>
      </c>
      <c r="H1796" s="2">
        <v>28774</v>
      </c>
    </row>
    <row r="1797" spans="1:8">
      <c r="A1797" t="s">
        <v>9305</v>
      </c>
      <c r="B1797" t="s">
        <v>67</v>
      </c>
      <c r="C1797" t="s">
        <v>10367</v>
      </c>
      <c r="D1797" t="s">
        <v>12170</v>
      </c>
      <c r="E1797">
        <v>919188996100</v>
      </c>
      <c r="F1797" t="s">
        <v>10374</v>
      </c>
      <c r="G1797" t="s">
        <v>10377</v>
      </c>
      <c r="H1797" s="2">
        <v>28249</v>
      </c>
    </row>
    <row r="1798" spans="1:8">
      <c r="A1798" t="s">
        <v>9310</v>
      </c>
      <c r="B1798" t="s">
        <v>449</v>
      </c>
      <c r="C1798" t="s">
        <v>10363</v>
      </c>
      <c r="D1798" t="s">
        <v>12171</v>
      </c>
      <c r="E1798">
        <v>916111281248</v>
      </c>
      <c r="F1798" t="s">
        <v>10369</v>
      </c>
      <c r="G1798" t="s">
        <v>10379</v>
      </c>
      <c r="H1798" s="2">
        <v>31543</v>
      </c>
    </row>
    <row r="1799" spans="1:8">
      <c r="A1799" t="s">
        <v>9315</v>
      </c>
      <c r="B1799" t="s">
        <v>1693</v>
      </c>
      <c r="C1799" t="s">
        <v>10367</v>
      </c>
      <c r="D1799" t="s">
        <v>12172</v>
      </c>
      <c r="E1799">
        <v>919248325940</v>
      </c>
      <c r="F1799" t="s">
        <v>10374</v>
      </c>
      <c r="G1799" t="s">
        <v>10377</v>
      </c>
      <c r="H1799" s="2">
        <v>28095</v>
      </c>
    </row>
    <row r="1800" spans="1:8">
      <c r="A1800" t="s">
        <v>9320</v>
      </c>
      <c r="B1800" t="s">
        <v>593</v>
      </c>
      <c r="C1800" t="s">
        <v>10367</v>
      </c>
      <c r="D1800" t="s">
        <v>12173</v>
      </c>
      <c r="E1800">
        <v>916604159314</v>
      </c>
      <c r="F1800" t="s">
        <v>10376</v>
      </c>
      <c r="G1800" t="s">
        <v>10366</v>
      </c>
      <c r="H1800" s="2">
        <v>23220</v>
      </c>
    </row>
    <row r="1801" spans="1:8">
      <c r="A1801" t="s">
        <v>9325</v>
      </c>
      <c r="B1801" t="s">
        <v>404</v>
      </c>
      <c r="C1801" t="s">
        <v>10363</v>
      </c>
      <c r="D1801" t="s">
        <v>12174</v>
      </c>
      <c r="E1801">
        <v>919794688213</v>
      </c>
      <c r="F1801" t="s">
        <v>10381</v>
      </c>
      <c r="G1801" t="s">
        <v>10370</v>
      </c>
      <c r="H1801" s="2">
        <v>34946</v>
      </c>
    </row>
    <row r="1802" spans="1:8">
      <c r="A1802" t="s">
        <v>9330</v>
      </c>
      <c r="B1802" t="s">
        <v>1367</v>
      </c>
      <c r="C1802" t="s">
        <v>10367</v>
      </c>
      <c r="D1802" t="s">
        <v>12175</v>
      </c>
      <c r="E1802">
        <v>919504726333</v>
      </c>
      <c r="F1802" t="s">
        <v>10369</v>
      </c>
      <c r="G1802" t="s">
        <v>10370</v>
      </c>
      <c r="H1802" s="2">
        <v>28267</v>
      </c>
    </row>
    <row r="1803" spans="1:8">
      <c r="A1803" t="s">
        <v>9335</v>
      </c>
      <c r="B1803" t="s">
        <v>1146</v>
      </c>
      <c r="C1803" t="s">
        <v>10367</v>
      </c>
      <c r="D1803" t="s">
        <v>12176</v>
      </c>
      <c r="E1803">
        <v>919879033842</v>
      </c>
      <c r="F1803" t="s">
        <v>10381</v>
      </c>
      <c r="G1803" t="s">
        <v>10379</v>
      </c>
      <c r="H1803" s="2">
        <v>37426</v>
      </c>
    </row>
    <row r="1804" spans="1:8">
      <c r="A1804" t="s">
        <v>9340</v>
      </c>
      <c r="B1804" t="s">
        <v>593</v>
      </c>
      <c r="C1804" t="s">
        <v>10367</v>
      </c>
      <c r="D1804" t="s">
        <v>12177</v>
      </c>
      <c r="E1804">
        <v>917313457748</v>
      </c>
      <c r="F1804" t="s">
        <v>10369</v>
      </c>
      <c r="G1804" t="s">
        <v>10370</v>
      </c>
      <c r="H1804" s="2">
        <v>25600</v>
      </c>
    </row>
    <row r="1805" spans="1:8">
      <c r="A1805" t="s">
        <v>9345</v>
      </c>
      <c r="B1805" t="s">
        <v>253</v>
      </c>
      <c r="C1805" t="s">
        <v>10363</v>
      </c>
      <c r="D1805" t="s">
        <v>12178</v>
      </c>
      <c r="E1805">
        <v>916231233190</v>
      </c>
      <c r="F1805" t="s">
        <v>10386</v>
      </c>
      <c r="G1805" t="s">
        <v>10366</v>
      </c>
      <c r="H1805" s="2">
        <v>33746</v>
      </c>
    </row>
    <row r="1806" spans="1:8">
      <c r="A1806" t="s">
        <v>9350</v>
      </c>
      <c r="B1806" t="s">
        <v>500</v>
      </c>
      <c r="C1806" t="s">
        <v>10363</v>
      </c>
      <c r="D1806" t="s">
        <v>12179</v>
      </c>
      <c r="E1806">
        <v>918187990971</v>
      </c>
      <c r="F1806" t="s">
        <v>10388</v>
      </c>
      <c r="G1806" t="s">
        <v>10370</v>
      </c>
      <c r="H1806" s="2">
        <v>36717</v>
      </c>
    </row>
    <row r="1807" spans="1:8">
      <c r="A1807" t="s">
        <v>9355</v>
      </c>
      <c r="B1807" t="s">
        <v>2510</v>
      </c>
      <c r="C1807" t="s">
        <v>10363</v>
      </c>
      <c r="D1807" t="s">
        <v>12180</v>
      </c>
      <c r="E1807">
        <v>919941471198</v>
      </c>
      <c r="F1807" t="s">
        <v>10388</v>
      </c>
      <c r="G1807" t="s">
        <v>10370</v>
      </c>
      <c r="H1807" s="2">
        <v>21798</v>
      </c>
    </row>
    <row r="1808" spans="1:8">
      <c r="A1808" t="s">
        <v>9360</v>
      </c>
      <c r="B1808" t="s">
        <v>1288</v>
      </c>
      <c r="C1808" t="s">
        <v>10367</v>
      </c>
      <c r="D1808" t="s">
        <v>12181</v>
      </c>
      <c r="E1808">
        <v>917923025936</v>
      </c>
      <c r="F1808" t="s">
        <v>10388</v>
      </c>
      <c r="G1808" t="s">
        <v>10370</v>
      </c>
      <c r="H1808" s="2">
        <v>32277</v>
      </c>
    </row>
    <row r="1809" spans="1:8">
      <c r="A1809" t="s">
        <v>9365</v>
      </c>
      <c r="B1809" t="s">
        <v>61</v>
      </c>
      <c r="C1809" t="s">
        <v>10367</v>
      </c>
      <c r="D1809" t="s">
        <v>12182</v>
      </c>
      <c r="E1809">
        <v>918755348148</v>
      </c>
      <c r="F1809" t="s">
        <v>10376</v>
      </c>
      <c r="G1809" t="s">
        <v>10370</v>
      </c>
      <c r="H1809" s="2">
        <v>21689</v>
      </c>
    </row>
    <row r="1810" spans="1:8">
      <c r="A1810" t="s">
        <v>9370</v>
      </c>
      <c r="B1810" t="s">
        <v>604</v>
      </c>
      <c r="C1810" t="s">
        <v>10363</v>
      </c>
      <c r="D1810" t="s">
        <v>12183</v>
      </c>
      <c r="E1810">
        <v>916088475743</v>
      </c>
      <c r="F1810" t="s">
        <v>10372</v>
      </c>
      <c r="G1810" t="s">
        <v>10370</v>
      </c>
      <c r="H1810" s="2">
        <v>35207</v>
      </c>
    </row>
    <row r="1811" spans="1:8">
      <c r="A1811" t="s">
        <v>9375</v>
      </c>
      <c r="B1811" t="s">
        <v>67</v>
      </c>
      <c r="C1811" t="s">
        <v>10367</v>
      </c>
      <c r="D1811" t="s">
        <v>12184</v>
      </c>
      <c r="E1811">
        <v>916557097204</v>
      </c>
      <c r="F1811" t="s">
        <v>10402</v>
      </c>
      <c r="G1811" t="s">
        <v>10377</v>
      </c>
      <c r="H1811" s="2">
        <v>29740</v>
      </c>
    </row>
    <row r="1812" spans="1:8">
      <c r="A1812" t="s">
        <v>9380</v>
      </c>
      <c r="B1812" t="s">
        <v>882</v>
      </c>
      <c r="C1812" t="s">
        <v>10363</v>
      </c>
      <c r="D1812" t="s">
        <v>12185</v>
      </c>
      <c r="E1812">
        <v>916281903547</v>
      </c>
      <c r="F1812" t="s">
        <v>10388</v>
      </c>
      <c r="G1812" t="s">
        <v>10366</v>
      </c>
      <c r="H1812" s="2">
        <v>22740</v>
      </c>
    </row>
    <row r="1813" spans="1:8">
      <c r="A1813" t="s">
        <v>9385</v>
      </c>
      <c r="B1813" t="s">
        <v>8808</v>
      </c>
      <c r="C1813" t="s">
        <v>10367</v>
      </c>
      <c r="D1813" t="s">
        <v>12186</v>
      </c>
      <c r="E1813">
        <v>918453391394</v>
      </c>
      <c r="F1813" t="s">
        <v>10372</v>
      </c>
      <c r="G1813" t="s">
        <v>10370</v>
      </c>
      <c r="H1813" s="2">
        <v>21535</v>
      </c>
    </row>
    <row r="1814" spans="1:8">
      <c r="A1814" t="s">
        <v>9390</v>
      </c>
      <c r="B1814" t="s">
        <v>708</v>
      </c>
      <c r="C1814" t="s">
        <v>10363</v>
      </c>
      <c r="D1814" t="s">
        <v>12187</v>
      </c>
      <c r="E1814">
        <v>918563219356</v>
      </c>
      <c r="F1814" t="s">
        <v>10374</v>
      </c>
      <c r="G1814" t="s">
        <v>10379</v>
      </c>
      <c r="H1814" s="2">
        <v>36377</v>
      </c>
    </row>
    <row r="1815" spans="1:8">
      <c r="A1815" t="s">
        <v>9395</v>
      </c>
      <c r="B1815" t="s">
        <v>762</v>
      </c>
      <c r="C1815" t="s">
        <v>10363</v>
      </c>
      <c r="D1815" t="s">
        <v>12188</v>
      </c>
      <c r="E1815">
        <v>919439141315</v>
      </c>
      <c r="F1815" t="s">
        <v>10369</v>
      </c>
      <c r="G1815" t="s">
        <v>10379</v>
      </c>
      <c r="H1815" s="2">
        <v>36797</v>
      </c>
    </row>
    <row r="1816" spans="1:8">
      <c r="A1816" t="s">
        <v>9400</v>
      </c>
      <c r="B1816" t="s">
        <v>762</v>
      </c>
      <c r="C1816" t="s">
        <v>10363</v>
      </c>
      <c r="D1816" t="s">
        <v>12189</v>
      </c>
      <c r="E1816">
        <v>919942027095</v>
      </c>
      <c r="F1816" t="s">
        <v>10374</v>
      </c>
      <c r="G1816" t="s">
        <v>10377</v>
      </c>
      <c r="H1816" s="2">
        <v>25097</v>
      </c>
    </row>
    <row r="1817" spans="1:8">
      <c r="A1817" t="s">
        <v>9405</v>
      </c>
      <c r="B1817" t="s">
        <v>2270</v>
      </c>
      <c r="C1817" t="s">
        <v>10367</v>
      </c>
      <c r="D1817" t="s">
        <v>12190</v>
      </c>
      <c r="E1817">
        <v>918306589853</v>
      </c>
      <c r="F1817" t="s">
        <v>10402</v>
      </c>
      <c r="G1817" t="s">
        <v>10370</v>
      </c>
      <c r="H1817" s="2">
        <v>34567</v>
      </c>
    </row>
    <row r="1818" spans="1:8">
      <c r="A1818" t="s">
        <v>9410</v>
      </c>
      <c r="B1818" t="s">
        <v>853</v>
      </c>
      <c r="C1818" t="s">
        <v>10363</v>
      </c>
      <c r="D1818" t="s">
        <v>12191</v>
      </c>
      <c r="E1818">
        <v>918046773145</v>
      </c>
      <c r="F1818" t="s">
        <v>10376</v>
      </c>
      <c r="G1818" t="s">
        <v>10377</v>
      </c>
      <c r="H1818" s="2">
        <v>26454</v>
      </c>
    </row>
    <row r="1819" spans="1:8">
      <c r="A1819" t="s">
        <v>9415</v>
      </c>
      <c r="B1819" t="s">
        <v>484</v>
      </c>
      <c r="C1819" t="s">
        <v>10363</v>
      </c>
      <c r="D1819" t="s">
        <v>12192</v>
      </c>
      <c r="E1819">
        <v>917760460763</v>
      </c>
      <c r="F1819" t="s">
        <v>10384</v>
      </c>
      <c r="G1819" t="s">
        <v>10377</v>
      </c>
      <c r="H1819" s="2">
        <v>35425</v>
      </c>
    </row>
    <row r="1820" spans="1:8">
      <c r="A1820" t="s">
        <v>9420</v>
      </c>
      <c r="B1820" t="s">
        <v>5267</v>
      </c>
      <c r="C1820" t="s">
        <v>10367</v>
      </c>
      <c r="D1820" t="s">
        <v>12193</v>
      </c>
      <c r="E1820">
        <v>918385942760</v>
      </c>
      <c r="F1820" t="s">
        <v>10388</v>
      </c>
      <c r="G1820" t="s">
        <v>10379</v>
      </c>
      <c r="H1820" s="2">
        <v>33921</v>
      </c>
    </row>
    <row r="1821" spans="1:8">
      <c r="A1821" t="s">
        <v>9425</v>
      </c>
      <c r="B1821" t="s">
        <v>500</v>
      </c>
      <c r="C1821" t="s">
        <v>10363</v>
      </c>
      <c r="D1821" t="s">
        <v>12194</v>
      </c>
      <c r="E1821">
        <v>917493944109</v>
      </c>
      <c r="F1821" t="s">
        <v>10365</v>
      </c>
      <c r="G1821" t="s">
        <v>10366</v>
      </c>
      <c r="H1821" s="2">
        <v>31948</v>
      </c>
    </row>
    <row r="1822" spans="1:8">
      <c r="A1822" t="s">
        <v>9430</v>
      </c>
      <c r="B1822" t="s">
        <v>7577</v>
      </c>
      <c r="C1822" t="s">
        <v>10367</v>
      </c>
      <c r="D1822" t="s">
        <v>12195</v>
      </c>
      <c r="E1822">
        <v>918738299647</v>
      </c>
      <c r="F1822" t="s">
        <v>10374</v>
      </c>
      <c r="G1822" t="s">
        <v>10370</v>
      </c>
      <c r="H1822" s="2">
        <v>35635</v>
      </c>
    </row>
    <row r="1823" spans="1:8">
      <c r="A1823" t="s">
        <v>9435</v>
      </c>
      <c r="B1823" t="s">
        <v>661</v>
      </c>
      <c r="C1823" t="s">
        <v>10367</v>
      </c>
      <c r="D1823" t="s">
        <v>12196</v>
      </c>
      <c r="E1823">
        <v>916821255619</v>
      </c>
      <c r="F1823" t="s">
        <v>10376</v>
      </c>
      <c r="G1823" t="s">
        <v>10370</v>
      </c>
      <c r="H1823" s="2">
        <v>30369</v>
      </c>
    </row>
    <row r="1824" spans="1:8">
      <c r="A1824" t="s">
        <v>9440</v>
      </c>
      <c r="B1824" t="s">
        <v>1710</v>
      </c>
      <c r="C1824" t="s">
        <v>10363</v>
      </c>
      <c r="D1824" t="s">
        <v>12197</v>
      </c>
      <c r="E1824">
        <v>918218617403</v>
      </c>
      <c r="F1824" t="s">
        <v>10374</v>
      </c>
      <c r="G1824" t="s">
        <v>10379</v>
      </c>
      <c r="H1824" s="2">
        <v>30686</v>
      </c>
    </row>
    <row r="1825" spans="1:8">
      <c r="A1825" t="s">
        <v>9445</v>
      </c>
      <c r="B1825" t="s">
        <v>137</v>
      </c>
      <c r="C1825" t="s">
        <v>10363</v>
      </c>
      <c r="D1825" t="s">
        <v>12198</v>
      </c>
      <c r="E1825">
        <v>916847052701</v>
      </c>
      <c r="F1825" t="s">
        <v>10365</v>
      </c>
      <c r="G1825" t="s">
        <v>10366</v>
      </c>
      <c r="H1825" s="2">
        <v>24129</v>
      </c>
    </row>
    <row r="1826" spans="1:8">
      <c r="A1826" t="s">
        <v>9450</v>
      </c>
      <c r="B1826" t="s">
        <v>484</v>
      </c>
      <c r="C1826" t="s">
        <v>10363</v>
      </c>
      <c r="D1826" t="s">
        <v>12199</v>
      </c>
      <c r="E1826">
        <v>919245971484</v>
      </c>
      <c r="F1826" t="s">
        <v>10376</v>
      </c>
      <c r="G1826" t="s">
        <v>10366</v>
      </c>
      <c r="H1826" s="2">
        <v>26444</v>
      </c>
    </row>
    <row r="1827" spans="1:8">
      <c r="A1827" t="s">
        <v>9455</v>
      </c>
      <c r="B1827" t="s">
        <v>1453</v>
      </c>
      <c r="C1827" t="s">
        <v>10363</v>
      </c>
      <c r="D1827" t="s">
        <v>12200</v>
      </c>
      <c r="E1827">
        <v>918909973151</v>
      </c>
      <c r="F1827" t="s">
        <v>10386</v>
      </c>
      <c r="G1827" t="s">
        <v>10379</v>
      </c>
      <c r="H1827" s="2">
        <v>31033</v>
      </c>
    </row>
    <row r="1828" spans="1:8">
      <c r="A1828" t="s">
        <v>9460</v>
      </c>
      <c r="B1828" t="s">
        <v>1068</v>
      </c>
      <c r="C1828" t="s">
        <v>10363</v>
      </c>
      <c r="D1828" t="s">
        <v>12201</v>
      </c>
      <c r="E1828">
        <v>919431924209</v>
      </c>
      <c r="F1828" t="s">
        <v>10402</v>
      </c>
      <c r="G1828" t="s">
        <v>10377</v>
      </c>
      <c r="H1828" s="2">
        <v>37271</v>
      </c>
    </row>
    <row r="1829" spans="1:8">
      <c r="A1829" t="s">
        <v>9465</v>
      </c>
      <c r="B1829" t="s">
        <v>882</v>
      </c>
      <c r="C1829" t="s">
        <v>10363</v>
      </c>
      <c r="D1829" t="s">
        <v>12202</v>
      </c>
      <c r="E1829">
        <v>917332967482</v>
      </c>
      <c r="F1829" t="s">
        <v>10365</v>
      </c>
      <c r="G1829" t="s">
        <v>10377</v>
      </c>
      <c r="H1829" s="2">
        <v>22715</v>
      </c>
    </row>
    <row r="1830" spans="1:8">
      <c r="A1830" t="s">
        <v>9470</v>
      </c>
      <c r="B1830" t="s">
        <v>271</v>
      </c>
      <c r="C1830" t="s">
        <v>10367</v>
      </c>
      <c r="D1830" t="s">
        <v>12203</v>
      </c>
      <c r="E1830">
        <v>918308179233</v>
      </c>
      <c r="F1830" t="s">
        <v>10388</v>
      </c>
      <c r="G1830" t="s">
        <v>10366</v>
      </c>
      <c r="H1830" s="2">
        <v>22304</v>
      </c>
    </row>
    <row r="1831" spans="1:8">
      <c r="A1831" t="s">
        <v>9475</v>
      </c>
      <c r="B1831" t="s">
        <v>253</v>
      </c>
      <c r="C1831" t="s">
        <v>10363</v>
      </c>
      <c r="D1831" t="s">
        <v>12204</v>
      </c>
      <c r="E1831">
        <v>916351408733</v>
      </c>
      <c r="F1831" t="s">
        <v>10384</v>
      </c>
      <c r="G1831" t="s">
        <v>10379</v>
      </c>
      <c r="H1831" s="2">
        <v>26058</v>
      </c>
    </row>
    <row r="1832" spans="1:8">
      <c r="A1832" t="s">
        <v>9480</v>
      </c>
      <c r="B1832" t="s">
        <v>363</v>
      </c>
      <c r="C1832" t="s">
        <v>10363</v>
      </c>
      <c r="D1832" t="s">
        <v>12205</v>
      </c>
      <c r="E1832">
        <v>916254666297</v>
      </c>
      <c r="F1832" t="s">
        <v>10372</v>
      </c>
      <c r="G1832" t="s">
        <v>10379</v>
      </c>
      <c r="H1832" s="2">
        <v>31082</v>
      </c>
    </row>
    <row r="1833" spans="1:8">
      <c r="A1833" t="s">
        <v>9485</v>
      </c>
      <c r="B1833" t="s">
        <v>223</v>
      </c>
      <c r="C1833" t="s">
        <v>10363</v>
      </c>
      <c r="D1833" t="s">
        <v>12206</v>
      </c>
      <c r="E1833">
        <v>919344011063</v>
      </c>
      <c r="F1833" t="s">
        <v>10388</v>
      </c>
      <c r="G1833" t="s">
        <v>10370</v>
      </c>
      <c r="H1833" s="2">
        <v>25638</v>
      </c>
    </row>
    <row r="1834" spans="1:8">
      <c r="A1834" t="s">
        <v>9490</v>
      </c>
      <c r="B1834" t="s">
        <v>1649</v>
      </c>
      <c r="C1834" t="s">
        <v>10367</v>
      </c>
      <c r="D1834" t="s">
        <v>12207</v>
      </c>
      <c r="E1834">
        <v>916962626113</v>
      </c>
      <c r="F1834" t="s">
        <v>10388</v>
      </c>
      <c r="G1834" t="s">
        <v>10379</v>
      </c>
      <c r="H1834" s="2">
        <v>25637</v>
      </c>
    </row>
    <row r="1835" spans="1:8">
      <c r="A1835" t="s">
        <v>9495</v>
      </c>
      <c r="B1835" t="s">
        <v>1498</v>
      </c>
      <c r="C1835" t="s">
        <v>10363</v>
      </c>
      <c r="D1835" t="s">
        <v>12208</v>
      </c>
      <c r="E1835">
        <v>919757504570</v>
      </c>
      <c r="F1835" t="s">
        <v>10365</v>
      </c>
      <c r="G1835" t="s">
        <v>10366</v>
      </c>
      <c r="H1835" s="2">
        <v>34275</v>
      </c>
    </row>
    <row r="1836" spans="1:8">
      <c r="A1836" t="s">
        <v>9500</v>
      </c>
      <c r="B1836" t="s">
        <v>882</v>
      </c>
      <c r="C1836" t="s">
        <v>10363</v>
      </c>
      <c r="D1836" t="s">
        <v>12209</v>
      </c>
      <c r="E1836">
        <v>916434224737</v>
      </c>
      <c r="F1836" t="s">
        <v>10365</v>
      </c>
      <c r="G1836" t="s">
        <v>10379</v>
      </c>
      <c r="H1836" s="2">
        <v>34631</v>
      </c>
    </row>
    <row r="1837" spans="1:8">
      <c r="A1837" t="s">
        <v>9505</v>
      </c>
      <c r="B1837" t="s">
        <v>8210</v>
      </c>
      <c r="C1837" t="s">
        <v>10367</v>
      </c>
      <c r="D1837" t="s">
        <v>12210</v>
      </c>
      <c r="E1837">
        <v>917734923274</v>
      </c>
      <c r="F1837" t="s">
        <v>10369</v>
      </c>
      <c r="G1837" t="s">
        <v>10370</v>
      </c>
      <c r="H1837" s="2">
        <v>26877</v>
      </c>
    </row>
    <row r="1838" spans="1:8">
      <c r="A1838" t="s">
        <v>9510</v>
      </c>
      <c r="B1838" t="s">
        <v>581</v>
      </c>
      <c r="C1838" t="s">
        <v>10367</v>
      </c>
      <c r="D1838" t="s">
        <v>12211</v>
      </c>
      <c r="E1838">
        <v>916254209906</v>
      </c>
      <c r="F1838" t="s">
        <v>10402</v>
      </c>
      <c r="G1838" t="s">
        <v>10379</v>
      </c>
      <c r="H1838" s="2">
        <v>26759</v>
      </c>
    </row>
    <row r="1839" spans="1:8">
      <c r="A1839" t="s">
        <v>9515</v>
      </c>
      <c r="B1839" t="s">
        <v>633</v>
      </c>
      <c r="C1839" t="s">
        <v>10367</v>
      </c>
      <c r="D1839" t="s">
        <v>12212</v>
      </c>
      <c r="E1839">
        <v>919502935112</v>
      </c>
      <c r="F1839" t="s">
        <v>10374</v>
      </c>
      <c r="G1839" t="s">
        <v>10377</v>
      </c>
      <c r="H1839" s="2">
        <v>31814</v>
      </c>
    </row>
    <row r="1840" spans="1:8">
      <c r="A1840" t="s">
        <v>9520</v>
      </c>
      <c r="B1840" t="s">
        <v>192</v>
      </c>
      <c r="C1840" t="s">
        <v>10367</v>
      </c>
      <c r="D1840" t="s">
        <v>12213</v>
      </c>
      <c r="E1840">
        <v>916092659423</v>
      </c>
      <c r="F1840" t="s">
        <v>10376</v>
      </c>
      <c r="G1840" t="s">
        <v>10366</v>
      </c>
      <c r="H1840" s="2">
        <v>25789</v>
      </c>
    </row>
    <row r="1841" spans="1:8">
      <c r="A1841" t="s">
        <v>9525</v>
      </c>
      <c r="B1841" t="s">
        <v>327</v>
      </c>
      <c r="C1841" t="s">
        <v>10367</v>
      </c>
      <c r="D1841" t="s">
        <v>12214</v>
      </c>
      <c r="E1841">
        <v>917271387818</v>
      </c>
      <c r="F1841" t="s">
        <v>10388</v>
      </c>
      <c r="G1841" t="s">
        <v>10366</v>
      </c>
      <c r="H1841" s="2">
        <v>25024</v>
      </c>
    </row>
    <row r="1842" spans="1:8">
      <c r="A1842" t="s">
        <v>9530</v>
      </c>
      <c r="B1842" t="s">
        <v>1052</v>
      </c>
      <c r="C1842" t="s">
        <v>10367</v>
      </c>
      <c r="D1842" t="s">
        <v>12215</v>
      </c>
      <c r="E1842">
        <v>919528826856</v>
      </c>
      <c r="F1842" t="s">
        <v>10374</v>
      </c>
      <c r="G1842" t="s">
        <v>10366</v>
      </c>
      <c r="H1842" s="2">
        <v>22588</v>
      </c>
    </row>
    <row r="1843" spans="1:8">
      <c r="A1843" t="s">
        <v>9535</v>
      </c>
      <c r="B1843" t="s">
        <v>3216</v>
      </c>
      <c r="C1843" t="s">
        <v>10367</v>
      </c>
      <c r="D1843" t="s">
        <v>12216</v>
      </c>
      <c r="E1843">
        <v>916049737022</v>
      </c>
      <c r="F1843" t="s">
        <v>10365</v>
      </c>
      <c r="G1843" t="s">
        <v>10377</v>
      </c>
      <c r="H1843" s="2">
        <v>25915</v>
      </c>
    </row>
    <row r="1844" spans="1:8">
      <c r="A1844" t="s">
        <v>9541</v>
      </c>
      <c r="B1844" t="s">
        <v>421</v>
      </c>
      <c r="C1844" t="s">
        <v>10363</v>
      </c>
      <c r="D1844" t="s">
        <v>12217</v>
      </c>
      <c r="E1844">
        <v>919741531798</v>
      </c>
      <c r="F1844" t="s">
        <v>10381</v>
      </c>
      <c r="G1844" t="s">
        <v>10370</v>
      </c>
      <c r="H1844" s="2">
        <v>21864</v>
      </c>
    </row>
    <row r="1845" spans="1:8">
      <c r="A1845" t="s">
        <v>9546</v>
      </c>
      <c r="B1845" t="s">
        <v>235</v>
      </c>
      <c r="C1845" t="s">
        <v>10367</v>
      </c>
      <c r="D1845" t="s">
        <v>12218</v>
      </c>
      <c r="E1845">
        <v>919213764160</v>
      </c>
      <c r="F1845" t="s">
        <v>10374</v>
      </c>
      <c r="G1845" t="s">
        <v>10370</v>
      </c>
      <c r="H1845" s="2">
        <v>33015</v>
      </c>
    </row>
    <row r="1846" spans="1:8">
      <c r="A1846" t="s">
        <v>9551</v>
      </c>
      <c r="B1846" t="s">
        <v>6541</v>
      </c>
      <c r="C1846" t="s">
        <v>10367</v>
      </c>
      <c r="D1846" t="s">
        <v>12219</v>
      </c>
      <c r="E1846">
        <v>916466724517</v>
      </c>
      <c r="F1846" t="s">
        <v>10374</v>
      </c>
      <c r="G1846" t="s">
        <v>10366</v>
      </c>
      <c r="H1846" s="2">
        <v>26638</v>
      </c>
    </row>
    <row r="1847" spans="1:8">
      <c r="A1847" t="s">
        <v>9556</v>
      </c>
      <c r="B1847" t="s">
        <v>288</v>
      </c>
      <c r="C1847" t="s">
        <v>10367</v>
      </c>
      <c r="D1847" t="s">
        <v>12220</v>
      </c>
      <c r="E1847">
        <v>917351126132</v>
      </c>
      <c r="F1847" t="s">
        <v>10376</v>
      </c>
      <c r="G1847" t="s">
        <v>10379</v>
      </c>
      <c r="H1847" s="2">
        <v>27642</v>
      </c>
    </row>
    <row r="1848" spans="1:8">
      <c r="A1848" t="s">
        <v>9561</v>
      </c>
      <c r="B1848" t="s">
        <v>1140</v>
      </c>
      <c r="C1848" t="s">
        <v>10367</v>
      </c>
      <c r="D1848" t="s">
        <v>12221</v>
      </c>
      <c r="E1848">
        <v>918292900762</v>
      </c>
      <c r="F1848" t="s">
        <v>10402</v>
      </c>
      <c r="G1848" t="s">
        <v>10366</v>
      </c>
      <c r="H1848" s="2">
        <v>34634</v>
      </c>
    </row>
    <row r="1849" spans="1:8">
      <c r="A1849" t="s">
        <v>9566</v>
      </c>
      <c r="B1849" t="s">
        <v>1710</v>
      </c>
      <c r="C1849" t="s">
        <v>10363</v>
      </c>
      <c r="D1849" t="s">
        <v>12222</v>
      </c>
      <c r="E1849">
        <v>916573663382</v>
      </c>
      <c r="F1849" t="s">
        <v>10376</v>
      </c>
      <c r="G1849" t="s">
        <v>10366</v>
      </c>
      <c r="H1849" s="2">
        <v>33043</v>
      </c>
    </row>
    <row r="1850" spans="1:8">
      <c r="A1850" t="s">
        <v>9571</v>
      </c>
      <c r="B1850" t="s">
        <v>2457</v>
      </c>
      <c r="C1850" t="s">
        <v>10367</v>
      </c>
      <c r="D1850" t="s">
        <v>12223</v>
      </c>
      <c r="E1850">
        <v>918876181144</v>
      </c>
      <c r="F1850" t="s">
        <v>10374</v>
      </c>
      <c r="G1850" t="s">
        <v>10370</v>
      </c>
      <c r="H1850" s="2">
        <v>32021</v>
      </c>
    </row>
    <row r="1851" spans="1:8">
      <c r="A1851" t="s">
        <v>9576</v>
      </c>
      <c r="B1851" t="s">
        <v>4669</v>
      </c>
      <c r="C1851" t="s">
        <v>10367</v>
      </c>
      <c r="D1851" t="s">
        <v>12224</v>
      </c>
      <c r="E1851">
        <v>919075503448</v>
      </c>
      <c r="F1851" t="s">
        <v>10384</v>
      </c>
      <c r="G1851" t="s">
        <v>10377</v>
      </c>
      <c r="H1851" s="2">
        <v>33929</v>
      </c>
    </row>
    <row r="1852" spans="1:8">
      <c r="A1852" t="s">
        <v>9581</v>
      </c>
      <c r="B1852" t="s">
        <v>449</v>
      </c>
      <c r="C1852" t="s">
        <v>10363</v>
      </c>
      <c r="D1852" t="s">
        <v>12225</v>
      </c>
      <c r="E1852">
        <v>919917306035</v>
      </c>
      <c r="F1852" t="s">
        <v>10381</v>
      </c>
      <c r="G1852" t="s">
        <v>10366</v>
      </c>
      <c r="H1852" s="2">
        <v>24250</v>
      </c>
    </row>
    <row r="1853" spans="1:8">
      <c r="A1853" t="s">
        <v>9586</v>
      </c>
      <c r="B1853" t="s">
        <v>157</v>
      </c>
      <c r="C1853" t="s">
        <v>10363</v>
      </c>
      <c r="D1853" t="s">
        <v>12226</v>
      </c>
      <c r="E1853">
        <v>917225243457</v>
      </c>
      <c r="F1853" t="s">
        <v>10372</v>
      </c>
      <c r="G1853" t="s">
        <v>10379</v>
      </c>
      <c r="H1853" s="2">
        <v>26214</v>
      </c>
    </row>
    <row r="1854" spans="1:8">
      <c r="A1854" t="s">
        <v>9591</v>
      </c>
      <c r="B1854" t="s">
        <v>294</v>
      </c>
      <c r="C1854" t="s">
        <v>10367</v>
      </c>
      <c r="D1854" t="s">
        <v>12227</v>
      </c>
      <c r="E1854">
        <v>917867284477</v>
      </c>
      <c r="F1854" t="s">
        <v>10388</v>
      </c>
      <c r="G1854" t="s">
        <v>10379</v>
      </c>
      <c r="H1854" s="2">
        <v>33509</v>
      </c>
    </row>
    <row r="1855" spans="1:8">
      <c r="A1855" t="s">
        <v>9596</v>
      </c>
      <c r="B1855" t="s">
        <v>5231</v>
      </c>
      <c r="C1855" t="s">
        <v>10367</v>
      </c>
      <c r="D1855" t="s">
        <v>12228</v>
      </c>
      <c r="E1855">
        <v>917865691923</v>
      </c>
      <c r="F1855" t="s">
        <v>10381</v>
      </c>
      <c r="G1855" t="s">
        <v>10379</v>
      </c>
      <c r="H1855" s="2">
        <v>28667</v>
      </c>
    </row>
    <row r="1856" spans="1:8">
      <c r="A1856" t="s">
        <v>9601</v>
      </c>
      <c r="B1856" t="s">
        <v>1008</v>
      </c>
      <c r="C1856" t="s">
        <v>10367</v>
      </c>
      <c r="D1856" t="s">
        <v>12229</v>
      </c>
      <c r="E1856">
        <v>917510266141</v>
      </c>
      <c r="F1856" t="s">
        <v>10372</v>
      </c>
      <c r="G1856" t="s">
        <v>10379</v>
      </c>
      <c r="H1856" s="2">
        <v>20732</v>
      </c>
    </row>
    <row r="1857" spans="1:8">
      <c r="A1857" t="s">
        <v>9606</v>
      </c>
      <c r="B1857" t="s">
        <v>1383</v>
      </c>
      <c r="C1857" t="s">
        <v>10367</v>
      </c>
      <c r="D1857" t="s">
        <v>12230</v>
      </c>
      <c r="E1857">
        <v>916674997076</v>
      </c>
      <c r="F1857" t="s">
        <v>10374</v>
      </c>
      <c r="G1857" t="s">
        <v>10366</v>
      </c>
      <c r="H1857" s="2">
        <v>28466</v>
      </c>
    </row>
    <row r="1858" spans="1:8">
      <c r="A1858" t="s">
        <v>9611</v>
      </c>
      <c r="B1858" t="s">
        <v>106</v>
      </c>
      <c r="C1858" t="s">
        <v>10363</v>
      </c>
      <c r="D1858" t="s">
        <v>12231</v>
      </c>
      <c r="E1858">
        <v>916259616052</v>
      </c>
      <c r="F1858" t="s">
        <v>10369</v>
      </c>
      <c r="G1858" t="s">
        <v>10370</v>
      </c>
      <c r="H1858" s="2">
        <v>23705</v>
      </c>
    </row>
    <row r="1859" spans="1:8">
      <c r="A1859" t="s">
        <v>9616</v>
      </c>
      <c r="B1859" t="s">
        <v>679</v>
      </c>
      <c r="C1859" t="s">
        <v>10367</v>
      </c>
      <c r="D1859" t="s">
        <v>12232</v>
      </c>
      <c r="E1859">
        <v>917705698538</v>
      </c>
      <c r="F1859" t="s">
        <v>10381</v>
      </c>
      <c r="G1859" t="s">
        <v>10366</v>
      </c>
      <c r="H1859" s="2">
        <v>35484</v>
      </c>
    </row>
    <row r="1860" spans="1:8">
      <c r="A1860" t="s">
        <v>9621</v>
      </c>
      <c r="B1860" t="s">
        <v>7593</v>
      </c>
      <c r="C1860" t="s">
        <v>10367</v>
      </c>
      <c r="D1860" t="s">
        <v>12233</v>
      </c>
      <c r="E1860">
        <v>919323666789</v>
      </c>
      <c r="F1860" t="s">
        <v>10388</v>
      </c>
      <c r="G1860" t="s">
        <v>10370</v>
      </c>
      <c r="H1860" s="2">
        <v>23164</v>
      </c>
    </row>
    <row r="1861" spans="1:8">
      <c r="A1861" t="s">
        <v>9626</v>
      </c>
      <c r="B1861" t="s">
        <v>265</v>
      </c>
      <c r="C1861" t="s">
        <v>10363</v>
      </c>
      <c r="D1861" t="s">
        <v>12234</v>
      </c>
      <c r="E1861">
        <v>918894750233</v>
      </c>
      <c r="F1861" t="s">
        <v>10369</v>
      </c>
      <c r="G1861" t="s">
        <v>10366</v>
      </c>
      <c r="H1861" s="2">
        <v>26373</v>
      </c>
    </row>
    <row r="1862" spans="1:8">
      <c r="A1862" t="s">
        <v>9631</v>
      </c>
      <c r="B1862" t="s">
        <v>74</v>
      </c>
      <c r="C1862" t="s">
        <v>10363</v>
      </c>
      <c r="D1862" t="s">
        <v>12235</v>
      </c>
      <c r="E1862">
        <v>917835582005</v>
      </c>
      <c r="F1862" t="s">
        <v>10402</v>
      </c>
      <c r="G1862" t="s">
        <v>10379</v>
      </c>
      <c r="H1862" s="2">
        <v>33743</v>
      </c>
    </row>
    <row r="1863" spans="1:8">
      <c r="A1863" t="s">
        <v>9636</v>
      </c>
      <c r="B1863" t="s">
        <v>633</v>
      </c>
      <c r="C1863" t="s">
        <v>10367</v>
      </c>
      <c r="D1863" t="s">
        <v>12236</v>
      </c>
      <c r="E1863">
        <v>919000675793</v>
      </c>
      <c r="F1863" t="s">
        <v>10374</v>
      </c>
      <c r="G1863" t="s">
        <v>10366</v>
      </c>
      <c r="H1863" s="2">
        <v>31033</v>
      </c>
    </row>
    <row r="1864" spans="1:8">
      <c r="A1864" t="s">
        <v>9641</v>
      </c>
      <c r="B1864" t="s">
        <v>1250</v>
      </c>
      <c r="C1864" t="s">
        <v>10363</v>
      </c>
      <c r="D1864" t="s">
        <v>12237</v>
      </c>
      <c r="E1864">
        <v>919116633650</v>
      </c>
      <c r="F1864" t="s">
        <v>10402</v>
      </c>
      <c r="G1864" t="s">
        <v>10379</v>
      </c>
      <c r="H1864" s="2">
        <v>36668</v>
      </c>
    </row>
    <row r="1865" spans="1:8">
      <c r="A1865" t="s">
        <v>9646</v>
      </c>
      <c r="B1865" t="s">
        <v>1250</v>
      </c>
      <c r="C1865" t="s">
        <v>10363</v>
      </c>
      <c r="D1865" t="s">
        <v>12238</v>
      </c>
      <c r="E1865">
        <v>918272396908</v>
      </c>
      <c r="F1865" t="s">
        <v>10376</v>
      </c>
      <c r="G1865" t="s">
        <v>10370</v>
      </c>
      <c r="H1865" s="2">
        <v>23690</v>
      </c>
    </row>
    <row r="1866" spans="1:8">
      <c r="A1866" t="s">
        <v>9652</v>
      </c>
      <c r="B1866" t="s">
        <v>1074</v>
      </c>
      <c r="C1866" t="s">
        <v>10363</v>
      </c>
      <c r="D1866" t="s">
        <v>12239</v>
      </c>
      <c r="E1866">
        <v>917692811047</v>
      </c>
      <c r="F1866" t="s">
        <v>10381</v>
      </c>
      <c r="G1866" t="s">
        <v>10379</v>
      </c>
      <c r="H1866" s="2">
        <v>28901</v>
      </c>
    </row>
    <row r="1867" spans="1:8">
      <c r="A1867" t="s">
        <v>9657</v>
      </c>
      <c r="B1867" t="s">
        <v>1288</v>
      </c>
      <c r="C1867" t="s">
        <v>10367</v>
      </c>
      <c r="D1867" t="s">
        <v>12240</v>
      </c>
      <c r="E1867">
        <v>916173666695</v>
      </c>
      <c r="F1867" t="s">
        <v>10372</v>
      </c>
      <c r="G1867" t="s">
        <v>10379</v>
      </c>
      <c r="H1867" s="2">
        <v>28076</v>
      </c>
    </row>
    <row r="1868" spans="1:8">
      <c r="A1868" t="s">
        <v>9662</v>
      </c>
      <c r="B1868" t="s">
        <v>6268</v>
      </c>
      <c r="C1868" t="s">
        <v>10367</v>
      </c>
      <c r="D1868" t="s">
        <v>12241</v>
      </c>
      <c r="E1868">
        <v>918167416547</v>
      </c>
      <c r="F1868" t="s">
        <v>10402</v>
      </c>
      <c r="G1868" t="s">
        <v>10377</v>
      </c>
      <c r="H1868" s="2">
        <v>20607</v>
      </c>
    </row>
    <row r="1869" spans="1:8">
      <c r="A1869" t="s">
        <v>9667</v>
      </c>
      <c r="B1869" t="s">
        <v>339</v>
      </c>
      <c r="C1869" t="s">
        <v>10363</v>
      </c>
      <c r="D1869" t="s">
        <v>12242</v>
      </c>
      <c r="E1869">
        <v>916695506654</v>
      </c>
      <c r="F1869" t="s">
        <v>10388</v>
      </c>
      <c r="G1869" t="s">
        <v>10379</v>
      </c>
      <c r="H1869" s="2">
        <v>35207</v>
      </c>
    </row>
    <row r="1870" spans="1:8">
      <c r="A1870" t="s">
        <v>9672</v>
      </c>
      <c r="B1870" t="s">
        <v>1660</v>
      </c>
      <c r="C1870" t="s">
        <v>10363</v>
      </c>
      <c r="D1870" t="s">
        <v>12243</v>
      </c>
      <c r="E1870">
        <v>919084504358</v>
      </c>
      <c r="F1870" t="s">
        <v>10381</v>
      </c>
      <c r="G1870" t="s">
        <v>10379</v>
      </c>
      <c r="H1870" s="2">
        <v>29814</v>
      </c>
    </row>
    <row r="1871" spans="1:8">
      <c r="A1871" t="s">
        <v>9677</v>
      </c>
      <c r="B1871" t="s">
        <v>1074</v>
      </c>
      <c r="C1871" t="s">
        <v>10363</v>
      </c>
      <c r="D1871" t="s">
        <v>12244</v>
      </c>
      <c r="E1871">
        <v>917367283813</v>
      </c>
      <c r="F1871" t="s">
        <v>10372</v>
      </c>
      <c r="G1871" t="s">
        <v>10370</v>
      </c>
      <c r="H1871" s="2">
        <v>25522</v>
      </c>
    </row>
    <row r="1872" spans="1:8">
      <c r="A1872" t="s">
        <v>9682</v>
      </c>
      <c r="B1872" t="s">
        <v>282</v>
      </c>
      <c r="C1872" t="s">
        <v>10367</v>
      </c>
      <c r="D1872" t="s">
        <v>12245</v>
      </c>
      <c r="E1872">
        <v>918610958806</v>
      </c>
      <c r="F1872" t="s">
        <v>10386</v>
      </c>
      <c r="G1872" t="s">
        <v>10370</v>
      </c>
      <c r="H1872" s="2">
        <v>22071</v>
      </c>
    </row>
    <row r="1873" spans="1:8">
      <c r="A1873" t="s">
        <v>9687</v>
      </c>
      <c r="B1873" t="s">
        <v>5231</v>
      </c>
      <c r="C1873" t="s">
        <v>10367</v>
      </c>
      <c r="D1873" t="s">
        <v>12246</v>
      </c>
      <c r="E1873">
        <v>917894177687</v>
      </c>
      <c r="F1873" t="s">
        <v>10381</v>
      </c>
      <c r="G1873" t="s">
        <v>10377</v>
      </c>
      <c r="H1873" s="2">
        <v>26044</v>
      </c>
    </row>
    <row r="1874" spans="1:8">
      <c r="A1874" t="s">
        <v>9692</v>
      </c>
      <c r="B1874" t="s">
        <v>253</v>
      </c>
      <c r="C1874" t="s">
        <v>10363</v>
      </c>
      <c r="D1874" t="s">
        <v>12247</v>
      </c>
      <c r="E1874">
        <v>919393341180</v>
      </c>
      <c r="F1874" t="s">
        <v>10374</v>
      </c>
      <c r="G1874" t="s">
        <v>10370</v>
      </c>
      <c r="H1874" s="2">
        <v>31455</v>
      </c>
    </row>
    <row r="1875" spans="1:8">
      <c r="A1875" t="s">
        <v>9697</v>
      </c>
      <c r="B1875" t="s">
        <v>2041</v>
      </c>
      <c r="C1875" t="s">
        <v>10363</v>
      </c>
      <c r="D1875" t="s">
        <v>12248</v>
      </c>
      <c r="E1875">
        <v>917529422094</v>
      </c>
      <c r="F1875" t="s">
        <v>10381</v>
      </c>
      <c r="G1875" t="s">
        <v>10377</v>
      </c>
      <c r="H1875" s="2">
        <v>33164</v>
      </c>
    </row>
    <row r="1876" spans="1:8">
      <c r="A1876" t="s">
        <v>9702</v>
      </c>
      <c r="B1876" t="s">
        <v>61</v>
      </c>
      <c r="C1876" t="s">
        <v>10367</v>
      </c>
      <c r="D1876" t="s">
        <v>12249</v>
      </c>
      <c r="E1876">
        <v>918857294286</v>
      </c>
      <c r="F1876" t="s">
        <v>10369</v>
      </c>
      <c r="G1876" t="s">
        <v>10366</v>
      </c>
      <c r="H1876" s="2">
        <v>21417</v>
      </c>
    </row>
    <row r="1877" spans="1:8">
      <c r="A1877" t="s">
        <v>9707</v>
      </c>
      <c r="B1877" t="s">
        <v>2451</v>
      </c>
      <c r="C1877" t="s">
        <v>10367</v>
      </c>
      <c r="D1877" t="s">
        <v>12250</v>
      </c>
      <c r="E1877">
        <v>916452905731</v>
      </c>
      <c r="F1877" t="s">
        <v>10381</v>
      </c>
      <c r="G1877" t="s">
        <v>10379</v>
      </c>
      <c r="H1877" s="2">
        <v>24595</v>
      </c>
    </row>
    <row r="1878" spans="1:8">
      <c r="A1878" t="s">
        <v>9712</v>
      </c>
      <c r="B1878" t="s">
        <v>587</v>
      </c>
      <c r="C1878" t="s">
        <v>10363</v>
      </c>
      <c r="D1878" t="s">
        <v>12251</v>
      </c>
      <c r="E1878">
        <v>918939320353</v>
      </c>
      <c r="F1878" t="s">
        <v>10365</v>
      </c>
      <c r="G1878" t="s">
        <v>10366</v>
      </c>
      <c r="H1878" s="2">
        <v>34300</v>
      </c>
    </row>
    <row r="1879" spans="1:8">
      <c r="A1879" t="s">
        <v>9717</v>
      </c>
      <c r="B1879" t="s">
        <v>865</v>
      </c>
      <c r="C1879" t="s">
        <v>10363</v>
      </c>
      <c r="D1879" t="s">
        <v>12252</v>
      </c>
      <c r="E1879">
        <v>918336937509</v>
      </c>
      <c r="F1879" t="s">
        <v>10388</v>
      </c>
      <c r="G1879" t="s">
        <v>10377</v>
      </c>
      <c r="H1879" s="2">
        <v>33985</v>
      </c>
    </row>
    <row r="1880" spans="1:8">
      <c r="A1880" t="s">
        <v>9722</v>
      </c>
      <c r="B1880" t="s">
        <v>1763</v>
      </c>
      <c r="C1880" t="s">
        <v>10367</v>
      </c>
      <c r="D1880" t="s">
        <v>12253</v>
      </c>
      <c r="E1880">
        <v>916366753703</v>
      </c>
      <c r="F1880" t="s">
        <v>10381</v>
      </c>
      <c r="G1880" t="s">
        <v>10377</v>
      </c>
      <c r="H1880" s="2">
        <v>32444</v>
      </c>
    </row>
    <row r="1881" spans="1:8">
      <c r="A1881" t="s">
        <v>9727</v>
      </c>
      <c r="B1881" t="s">
        <v>124</v>
      </c>
      <c r="C1881" t="s">
        <v>10363</v>
      </c>
      <c r="D1881" t="s">
        <v>12254</v>
      </c>
      <c r="E1881">
        <v>918560698018</v>
      </c>
      <c r="F1881" t="s">
        <v>10374</v>
      </c>
      <c r="G1881" t="s">
        <v>10379</v>
      </c>
      <c r="H1881" s="2">
        <v>20887</v>
      </c>
    </row>
    <row r="1882" spans="1:8">
      <c r="A1882" t="s">
        <v>9732</v>
      </c>
      <c r="B1882" t="s">
        <v>1207</v>
      </c>
      <c r="C1882" t="s">
        <v>10367</v>
      </c>
      <c r="D1882" t="s">
        <v>12255</v>
      </c>
      <c r="E1882">
        <v>919099167663</v>
      </c>
      <c r="F1882" t="s">
        <v>10365</v>
      </c>
      <c r="G1882" t="s">
        <v>10366</v>
      </c>
      <c r="H1882" s="2">
        <v>22870</v>
      </c>
    </row>
    <row r="1883" spans="1:8">
      <c r="A1883" t="s">
        <v>9737</v>
      </c>
      <c r="B1883" t="s">
        <v>621</v>
      </c>
      <c r="C1883" t="s">
        <v>10367</v>
      </c>
      <c r="D1883" t="s">
        <v>12256</v>
      </c>
      <c r="E1883">
        <v>916844442910</v>
      </c>
      <c r="F1883" t="s">
        <v>10388</v>
      </c>
      <c r="G1883" t="s">
        <v>10377</v>
      </c>
      <c r="H1883" s="2">
        <v>29971</v>
      </c>
    </row>
    <row r="1884" spans="1:8">
      <c r="A1884" t="s">
        <v>9742</v>
      </c>
      <c r="B1884" t="s">
        <v>1367</v>
      </c>
      <c r="C1884" t="s">
        <v>10367</v>
      </c>
      <c r="D1884" t="s">
        <v>12257</v>
      </c>
      <c r="E1884">
        <v>916727137997</v>
      </c>
      <c r="F1884" t="s">
        <v>10372</v>
      </c>
      <c r="G1884" t="s">
        <v>10377</v>
      </c>
      <c r="H1884" s="2">
        <v>25205</v>
      </c>
    </row>
    <row r="1885" spans="1:8">
      <c r="A1885" t="s">
        <v>9747</v>
      </c>
      <c r="B1885" t="s">
        <v>1794</v>
      </c>
      <c r="C1885" t="s">
        <v>10367</v>
      </c>
      <c r="D1885" t="s">
        <v>12258</v>
      </c>
      <c r="E1885">
        <v>918214804444</v>
      </c>
      <c r="F1885" t="s">
        <v>10365</v>
      </c>
      <c r="G1885" t="s">
        <v>10366</v>
      </c>
      <c r="H1885" s="2">
        <v>28082</v>
      </c>
    </row>
    <row r="1886" spans="1:8">
      <c r="A1886" t="s">
        <v>9752</v>
      </c>
      <c r="B1886" t="s">
        <v>667</v>
      </c>
      <c r="C1886" t="s">
        <v>10367</v>
      </c>
      <c r="D1886" t="s">
        <v>12259</v>
      </c>
      <c r="E1886">
        <v>919234354704</v>
      </c>
      <c r="F1886" t="s">
        <v>10402</v>
      </c>
      <c r="G1886" t="s">
        <v>10366</v>
      </c>
      <c r="H1886" s="2">
        <v>27769</v>
      </c>
    </row>
    <row r="1887" spans="1:8">
      <c r="A1887" t="s">
        <v>9757</v>
      </c>
      <c r="B1887" t="s">
        <v>1826</v>
      </c>
      <c r="C1887" t="s">
        <v>10363</v>
      </c>
      <c r="D1887" t="s">
        <v>12260</v>
      </c>
      <c r="E1887">
        <v>917770821391</v>
      </c>
      <c r="F1887" t="s">
        <v>10369</v>
      </c>
      <c r="G1887" t="s">
        <v>10366</v>
      </c>
      <c r="H1887" s="2">
        <v>35981</v>
      </c>
    </row>
    <row r="1888" spans="1:8">
      <c r="A1888" t="s">
        <v>9762</v>
      </c>
      <c r="B1888" t="s">
        <v>536</v>
      </c>
      <c r="C1888" t="s">
        <v>10367</v>
      </c>
      <c r="D1888" t="s">
        <v>12261</v>
      </c>
      <c r="E1888">
        <v>918320041332</v>
      </c>
      <c r="F1888" t="s">
        <v>10402</v>
      </c>
      <c r="G1888" t="s">
        <v>10366</v>
      </c>
      <c r="H1888" s="2">
        <v>36221</v>
      </c>
    </row>
    <row r="1889" spans="1:8">
      <c r="A1889" t="s">
        <v>9767</v>
      </c>
      <c r="B1889" t="s">
        <v>3124</v>
      </c>
      <c r="C1889" t="s">
        <v>10367</v>
      </c>
      <c r="D1889" t="s">
        <v>12262</v>
      </c>
      <c r="E1889">
        <v>919922613128</v>
      </c>
      <c r="F1889" t="s">
        <v>10388</v>
      </c>
      <c r="G1889" t="s">
        <v>10366</v>
      </c>
      <c r="H1889" s="2">
        <v>29284</v>
      </c>
    </row>
    <row r="1890" spans="1:8">
      <c r="A1890" t="s">
        <v>9772</v>
      </c>
      <c r="B1890" t="s">
        <v>2924</v>
      </c>
      <c r="C1890" t="s">
        <v>10367</v>
      </c>
      <c r="D1890" t="s">
        <v>12263</v>
      </c>
      <c r="E1890">
        <v>919990311930</v>
      </c>
      <c r="F1890" t="s">
        <v>10372</v>
      </c>
      <c r="G1890" t="s">
        <v>10370</v>
      </c>
      <c r="H1890" s="2">
        <v>33362</v>
      </c>
    </row>
    <row r="1891" spans="1:8">
      <c r="A1891" t="s">
        <v>9777</v>
      </c>
      <c r="B1891" t="s">
        <v>205</v>
      </c>
      <c r="C1891" t="s">
        <v>10367</v>
      </c>
      <c r="D1891" t="s">
        <v>12264</v>
      </c>
      <c r="E1891">
        <v>917896742541</v>
      </c>
      <c r="F1891" t="s">
        <v>10384</v>
      </c>
      <c r="G1891" t="s">
        <v>10379</v>
      </c>
      <c r="H1891" s="2">
        <v>33505</v>
      </c>
    </row>
    <row r="1892" spans="1:8">
      <c r="A1892" t="s">
        <v>9782</v>
      </c>
      <c r="B1892" t="s">
        <v>2474</v>
      </c>
      <c r="C1892" t="s">
        <v>10363</v>
      </c>
      <c r="D1892" t="s">
        <v>12265</v>
      </c>
      <c r="E1892">
        <v>917162789705</v>
      </c>
      <c r="F1892" t="s">
        <v>10369</v>
      </c>
      <c r="G1892" t="s">
        <v>10377</v>
      </c>
      <c r="H1892" s="2">
        <v>21928</v>
      </c>
    </row>
    <row r="1893" spans="1:8">
      <c r="A1893" t="s">
        <v>9787</v>
      </c>
      <c r="B1893" t="s">
        <v>38</v>
      </c>
      <c r="C1893" t="s">
        <v>10363</v>
      </c>
      <c r="D1893" t="s">
        <v>12266</v>
      </c>
      <c r="E1893">
        <v>917841645321</v>
      </c>
      <c r="F1893" t="s">
        <v>10372</v>
      </c>
      <c r="G1893" t="s">
        <v>10377</v>
      </c>
      <c r="H1893" s="2">
        <v>32009</v>
      </c>
    </row>
    <row r="1894" spans="1:8">
      <c r="A1894" t="s">
        <v>9792</v>
      </c>
      <c r="B1894" t="s">
        <v>3112</v>
      </c>
      <c r="C1894" t="s">
        <v>10367</v>
      </c>
      <c r="D1894" t="s">
        <v>12267</v>
      </c>
      <c r="E1894">
        <v>919834407546</v>
      </c>
      <c r="F1894" t="s">
        <v>10374</v>
      </c>
      <c r="G1894" t="s">
        <v>10370</v>
      </c>
      <c r="H1894" s="2">
        <v>30896</v>
      </c>
    </row>
    <row r="1895" spans="1:8">
      <c r="A1895" t="s">
        <v>9797</v>
      </c>
      <c r="B1895" t="s">
        <v>2143</v>
      </c>
      <c r="C1895" t="s">
        <v>10367</v>
      </c>
      <c r="D1895" t="s">
        <v>12268</v>
      </c>
      <c r="E1895">
        <v>919774479864</v>
      </c>
      <c r="F1895" t="s">
        <v>10402</v>
      </c>
      <c r="G1895" t="s">
        <v>10379</v>
      </c>
      <c r="H1895" s="2">
        <v>37388</v>
      </c>
    </row>
    <row r="1896" spans="1:8">
      <c r="A1896" t="s">
        <v>9802</v>
      </c>
      <c r="B1896" t="s">
        <v>1643</v>
      </c>
      <c r="C1896" t="s">
        <v>10363</v>
      </c>
      <c r="D1896" t="s">
        <v>12269</v>
      </c>
      <c r="E1896">
        <v>917060203169</v>
      </c>
      <c r="F1896" t="s">
        <v>10365</v>
      </c>
      <c r="G1896" t="s">
        <v>10377</v>
      </c>
      <c r="H1896" s="2">
        <v>26512</v>
      </c>
    </row>
    <row r="1897" spans="1:8">
      <c r="A1897" t="s">
        <v>9807</v>
      </c>
      <c r="B1897" t="s">
        <v>1637</v>
      </c>
      <c r="C1897" t="s">
        <v>10367</v>
      </c>
      <c r="D1897" t="s">
        <v>12270</v>
      </c>
      <c r="E1897">
        <v>917479876410</v>
      </c>
      <c r="F1897" t="s">
        <v>10402</v>
      </c>
      <c r="G1897" t="s">
        <v>10379</v>
      </c>
      <c r="H1897" s="2">
        <v>28697</v>
      </c>
    </row>
    <row r="1898" spans="1:8">
      <c r="A1898" t="s">
        <v>9812</v>
      </c>
      <c r="B1898" t="s">
        <v>835</v>
      </c>
      <c r="C1898" t="s">
        <v>10363</v>
      </c>
      <c r="D1898" t="s">
        <v>12271</v>
      </c>
      <c r="E1898">
        <v>919580625543</v>
      </c>
      <c r="F1898" t="s">
        <v>10376</v>
      </c>
      <c r="G1898" t="s">
        <v>10370</v>
      </c>
      <c r="H1898" s="2">
        <v>31148</v>
      </c>
    </row>
    <row r="1899" spans="1:8">
      <c r="A1899" t="s">
        <v>9817</v>
      </c>
      <c r="B1899" t="s">
        <v>21</v>
      </c>
      <c r="C1899" t="s">
        <v>10363</v>
      </c>
      <c r="D1899" t="s">
        <v>12272</v>
      </c>
      <c r="E1899">
        <v>919826926943</v>
      </c>
      <c r="F1899" t="s">
        <v>10365</v>
      </c>
      <c r="G1899" t="s">
        <v>10370</v>
      </c>
      <c r="H1899" s="2">
        <v>21637</v>
      </c>
    </row>
    <row r="1900" spans="1:8">
      <c r="A1900" t="s">
        <v>9822</v>
      </c>
      <c r="B1900" t="s">
        <v>1763</v>
      </c>
      <c r="C1900" t="s">
        <v>10367</v>
      </c>
      <c r="D1900" t="s">
        <v>12273</v>
      </c>
      <c r="E1900">
        <v>918833526190</v>
      </c>
      <c r="F1900" t="s">
        <v>10384</v>
      </c>
      <c r="G1900" t="s">
        <v>10366</v>
      </c>
      <c r="H1900" s="2">
        <v>33646</v>
      </c>
    </row>
    <row r="1901" spans="1:8">
      <c r="A1901" t="s">
        <v>9827</v>
      </c>
      <c r="B1901" t="s">
        <v>1972</v>
      </c>
      <c r="C1901" t="s">
        <v>10367</v>
      </c>
      <c r="D1901" t="s">
        <v>12274</v>
      </c>
      <c r="E1901">
        <v>917634911308</v>
      </c>
      <c r="F1901" t="s">
        <v>10388</v>
      </c>
      <c r="G1901" t="s">
        <v>10377</v>
      </c>
      <c r="H1901" s="2">
        <v>33873</v>
      </c>
    </row>
    <row r="1902" spans="1:8">
      <c r="A1902" t="s">
        <v>9832</v>
      </c>
      <c r="B1902" t="s">
        <v>130</v>
      </c>
      <c r="C1902" t="s">
        <v>10363</v>
      </c>
      <c r="D1902" t="s">
        <v>12275</v>
      </c>
      <c r="E1902">
        <v>916914215564</v>
      </c>
      <c r="F1902" t="s">
        <v>10386</v>
      </c>
      <c r="G1902" t="s">
        <v>10377</v>
      </c>
      <c r="H1902" s="2">
        <v>36251</v>
      </c>
    </row>
    <row r="1903" spans="1:8">
      <c r="A1903" t="s">
        <v>9837</v>
      </c>
      <c r="B1903" t="s">
        <v>392</v>
      </c>
      <c r="C1903" t="s">
        <v>10367</v>
      </c>
      <c r="D1903" t="s">
        <v>12276</v>
      </c>
      <c r="E1903">
        <v>917453321602</v>
      </c>
      <c r="F1903" t="s">
        <v>10376</v>
      </c>
      <c r="G1903" t="s">
        <v>10370</v>
      </c>
      <c r="H1903" s="2">
        <v>33858</v>
      </c>
    </row>
    <row r="1904" spans="1:8">
      <c r="A1904" t="s">
        <v>9842</v>
      </c>
      <c r="B1904" t="s">
        <v>478</v>
      </c>
      <c r="C1904" t="s">
        <v>10367</v>
      </c>
      <c r="D1904" t="s">
        <v>12277</v>
      </c>
      <c r="E1904">
        <v>919689872608</v>
      </c>
      <c r="F1904" t="s">
        <v>10365</v>
      </c>
      <c r="G1904" t="s">
        <v>10379</v>
      </c>
      <c r="H1904" s="2">
        <v>20805</v>
      </c>
    </row>
    <row r="1905" spans="1:8">
      <c r="A1905" t="s">
        <v>9847</v>
      </c>
      <c r="B1905" t="s">
        <v>241</v>
      </c>
      <c r="C1905" t="s">
        <v>10363</v>
      </c>
      <c r="D1905" t="s">
        <v>12278</v>
      </c>
      <c r="E1905">
        <v>917169759058</v>
      </c>
      <c r="F1905" t="s">
        <v>10386</v>
      </c>
      <c r="G1905" t="s">
        <v>10377</v>
      </c>
      <c r="H1905" s="2">
        <v>26397</v>
      </c>
    </row>
    <row r="1906" spans="1:8">
      <c r="A1906" t="s">
        <v>9852</v>
      </c>
      <c r="B1906" t="s">
        <v>52</v>
      </c>
      <c r="C1906" t="s">
        <v>10363</v>
      </c>
      <c r="D1906" t="s">
        <v>12279</v>
      </c>
      <c r="E1906">
        <v>916340783596</v>
      </c>
      <c r="F1906" t="s">
        <v>10365</v>
      </c>
      <c r="G1906" t="s">
        <v>10366</v>
      </c>
      <c r="H1906" s="2">
        <v>26767</v>
      </c>
    </row>
    <row r="1907" spans="1:8">
      <c r="A1907" t="s">
        <v>9857</v>
      </c>
      <c r="B1907" t="s">
        <v>1983</v>
      </c>
      <c r="C1907" t="s">
        <v>10363</v>
      </c>
      <c r="D1907" t="s">
        <v>12280</v>
      </c>
      <c r="E1907">
        <v>919910246277</v>
      </c>
      <c r="F1907" t="s">
        <v>10365</v>
      </c>
      <c r="G1907" t="s">
        <v>10379</v>
      </c>
      <c r="H1907" s="2">
        <v>24150</v>
      </c>
    </row>
    <row r="1908" spans="1:8">
      <c r="A1908" t="s">
        <v>9862</v>
      </c>
      <c r="B1908" t="s">
        <v>3762</v>
      </c>
      <c r="C1908" t="s">
        <v>10363</v>
      </c>
      <c r="D1908" t="s">
        <v>12281</v>
      </c>
      <c r="E1908">
        <v>917095073609</v>
      </c>
      <c r="F1908" t="s">
        <v>10374</v>
      </c>
      <c r="G1908" t="s">
        <v>10379</v>
      </c>
      <c r="H1908" s="2">
        <v>29999</v>
      </c>
    </row>
    <row r="1909" spans="1:8">
      <c r="A1909" t="s">
        <v>9867</v>
      </c>
      <c r="B1909" t="s">
        <v>61</v>
      </c>
      <c r="C1909" t="s">
        <v>10367</v>
      </c>
      <c r="D1909" t="s">
        <v>12282</v>
      </c>
      <c r="E1909">
        <v>917177052062</v>
      </c>
      <c r="F1909" t="s">
        <v>10381</v>
      </c>
      <c r="G1909" t="s">
        <v>10379</v>
      </c>
      <c r="H1909" s="2">
        <v>31936</v>
      </c>
    </row>
    <row r="1910" spans="1:8">
      <c r="A1910" t="s">
        <v>9872</v>
      </c>
      <c r="B1910" t="s">
        <v>2154</v>
      </c>
      <c r="C1910" t="s">
        <v>10363</v>
      </c>
      <c r="D1910" t="s">
        <v>12283</v>
      </c>
      <c r="E1910">
        <v>918160854733</v>
      </c>
      <c r="F1910" t="s">
        <v>10384</v>
      </c>
      <c r="G1910" t="s">
        <v>10379</v>
      </c>
      <c r="H1910" s="2">
        <v>24295</v>
      </c>
    </row>
    <row r="1911" spans="1:8">
      <c r="A1911" t="s">
        <v>9877</v>
      </c>
      <c r="B1911" t="s">
        <v>955</v>
      </c>
      <c r="C1911" t="s">
        <v>10363</v>
      </c>
      <c r="D1911" t="s">
        <v>12284</v>
      </c>
      <c r="E1911">
        <v>916585631527</v>
      </c>
      <c r="F1911" t="s">
        <v>10376</v>
      </c>
      <c r="G1911" t="s">
        <v>10370</v>
      </c>
      <c r="H1911" s="2">
        <v>33538</v>
      </c>
    </row>
    <row r="1912" spans="1:8">
      <c r="A1912" t="s">
        <v>9882</v>
      </c>
      <c r="B1912" t="s">
        <v>80</v>
      </c>
      <c r="C1912" t="s">
        <v>10363</v>
      </c>
      <c r="D1912" t="s">
        <v>12285</v>
      </c>
      <c r="E1912">
        <v>919373612981</v>
      </c>
      <c r="F1912" t="s">
        <v>10388</v>
      </c>
      <c r="G1912" t="s">
        <v>10377</v>
      </c>
      <c r="H1912" s="2">
        <v>31043</v>
      </c>
    </row>
    <row r="1913" spans="1:8">
      <c r="A1913" t="s">
        <v>9887</v>
      </c>
      <c r="B1913" t="s">
        <v>8914</v>
      </c>
      <c r="C1913" t="s">
        <v>10367</v>
      </c>
      <c r="D1913" t="s">
        <v>12286</v>
      </c>
      <c r="E1913">
        <v>918196688175</v>
      </c>
      <c r="F1913" t="s">
        <v>10372</v>
      </c>
      <c r="G1913" t="s">
        <v>10366</v>
      </c>
      <c r="H1913" s="2">
        <v>29824</v>
      </c>
    </row>
    <row r="1914" spans="1:8">
      <c r="A1914" t="s">
        <v>9892</v>
      </c>
      <c r="B1914" t="s">
        <v>661</v>
      </c>
      <c r="C1914" t="s">
        <v>10367</v>
      </c>
      <c r="D1914" t="s">
        <v>12287</v>
      </c>
      <c r="E1914">
        <v>918791314305</v>
      </c>
      <c r="F1914" t="s">
        <v>10386</v>
      </c>
      <c r="G1914" t="s">
        <v>10379</v>
      </c>
      <c r="H1914" s="2">
        <v>20220</v>
      </c>
    </row>
    <row r="1915" spans="1:8">
      <c r="A1915" t="s">
        <v>9897</v>
      </c>
      <c r="B1915" t="s">
        <v>345</v>
      </c>
      <c r="C1915" t="s">
        <v>10367</v>
      </c>
      <c r="D1915" t="s">
        <v>12288</v>
      </c>
      <c r="E1915">
        <v>919830866370</v>
      </c>
      <c r="F1915" t="s">
        <v>10402</v>
      </c>
      <c r="G1915" t="s">
        <v>10379</v>
      </c>
      <c r="H1915" s="2">
        <v>36139</v>
      </c>
    </row>
    <row r="1916" spans="1:8">
      <c r="A1916" t="s">
        <v>9902</v>
      </c>
      <c r="B1916" t="s">
        <v>205</v>
      </c>
      <c r="C1916" t="s">
        <v>10367</v>
      </c>
      <c r="D1916" t="s">
        <v>12289</v>
      </c>
      <c r="E1916">
        <v>919229108722</v>
      </c>
      <c r="F1916" t="s">
        <v>10386</v>
      </c>
      <c r="G1916" t="s">
        <v>10366</v>
      </c>
      <c r="H1916" s="2">
        <v>31395</v>
      </c>
    </row>
    <row r="1917" spans="1:8">
      <c r="A1917" t="s">
        <v>9907</v>
      </c>
      <c r="B1917" t="s">
        <v>4081</v>
      </c>
      <c r="C1917" t="s">
        <v>10367</v>
      </c>
      <c r="D1917" t="s">
        <v>12290</v>
      </c>
      <c r="E1917">
        <v>918414367656</v>
      </c>
      <c r="F1917" t="s">
        <v>10374</v>
      </c>
      <c r="G1917" t="s">
        <v>10370</v>
      </c>
      <c r="H1917" s="2">
        <v>20354</v>
      </c>
    </row>
    <row r="1918" spans="1:8">
      <c r="A1918" t="s">
        <v>9912</v>
      </c>
      <c r="B1918" t="s">
        <v>74</v>
      </c>
      <c r="C1918" t="s">
        <v>10363</v>
      </c>
      <c r="D1918" t="s">
        <v>12291</v>
      </c>
      <c r="E1918">
        <v>917335095356</v>
      </c>
      <c r="F1918" t="s">
        <v>10374</v>
      </c>
      <c r="G1918" t="s">
        <v>10366</v>
      </c>
      <c r="H1918" s="2">
        <v>24154</v>
      </c>
    </row>
    <row r="1919" spans="1:8">
      <c r="A1919" t="s">
        <v>9917</v>
      </c>
      <c r="B1919" t="s">
        <v>1431</v>
      </c>
      <c r="C1919" t="s">
        <v>10367</v>
      </c>
      <c r="D1919" t="s">
        <v>12292</v>
      </c>
      <c r="E1919">
        <v>918230838265</v>
      </c>
      <c r="F1919" t="s">
        <v>10365</v>
      </c>
      <c r="G1919" t="s">
        <v>10370</v>
      </c>
      <c r="H1919" s="2">
        <v>33864</v>
      </c>
    </row>
    <row r="1920" spans="1:8">
      <c r="A1920" t="s">
        <v>9922</v>
      </c>
      <c r="B1920" t="s">
        <v>282</v>
      </c>
      <c r="C1920" t="s">
        <v>10367</v>
      </c>
      <c r="D1920" t="s">
        <v>12293</v>
      </c>
      <c r="E1920">
        <v>919179996476</v>
      </c>
      <c r="F1920" t="s">
        <v>10372</v>
      </c>
      <c r="G1920" t="s">
        <v>10370</v>
      </c>
      <c r="H1920" s="2">
        <v>23756</v>
      </c>
    </row>
    <row r="1921" spans="1:8">
      <c r="A1921" t="s">
        <v>9927</v>
      </c>
      <c r="B1921" t="s">
        <v>780</v>
      </c>
      <c r="C1921" t="s">
        <v>10367</v>
      </c>
      <c r="D1921" t="s">
        <v>12294</v>
      </c>
      <c r="E1921">
        <v>917778778237</v>
      </c>
      <c r="F1921" t="s">
        <v>10369</v>
      </c>
      <c r="G1921" t="s">
        <v>10370</v>
      </c>
      <c r="H1921" s="2">
        <v>34227</v>
      </c>
    </row>
    <row r="1922" spans="1:8">
      <c r="A1922" t="s">
        <v>9932</v>
      </c>
      <c r="B1922" t="s">
        <v>6465</v>
      </c>
      <c r="C1922" t="s">
        <v>10363</v>
      </c>
      <c r="D1922" t="s">
        <v>12295</v>
      </c>
      <c r="E1922">
        <v>916149039892</v>
      </c>
      <c r="F1922" t="s">
        <v>10388</v>
      </c>
      <c r="G1922" t="s">
        <v>10379</v>
      </c>
      <c r="H1922" s="2">
        <v>31116</v>
      </c>
    </row>
    <row r="1923" spans="1:8">
      <c r="A1923" t="s">
        <v>9937</v>
      </c>
      <c r="B1923" t="s">
        <v>229</v>
      </c>
      <c r="C1923" t="s">
        <v>10367</v>
      </c>
      <c r="D1923" t="s">
        <v>12296</v>
      </c>
      <c r="E1923">
        <v>917055505208</v>
      </c>
      <c r="F1923" t="s">
        <v>10381</v>
      </c>
      <c r="G1923" t="s">
        <v>10377</v>
      </c>
      <c r="H1923" s="2">
        <v>26025</v>
      </c>
    </row>
    <row r="1924" spans="1:8">
      <c r="A1924" t="s">
        <v>9942</v>
      </c>
      <c r="B1924" t="s">
        <v>564</v>
      </c>
      <c r="C1924" t="s">
        <v>10367</v>
      </c>
      <c r="D1924" t="s">
        <v>12297</v>
      </c>
      <c r="E1924">
        <v>917038585102</v>
      </c>
      <c r="F1924" t="s">
        <v>10388</v>
      </c>
      <c r="G1924" t="s">
        <v>10377</v>
      </c>
      <c r="H1924" s="2">
        <v>22338</v>
      </c>
    </row>
    <row r="1925" spans="1:8">
      <c r="A1925" t="s">
        <v>9947</v>
      </c>
      <c r="B1925" t="s">
        <v>1710</v>
      </c>
      <c r="C1925" t="s">
        <v>10363</v>
      </c>
      <c r="D1925" t="s">
        <v>12298</v>
      </c>
      <c r="E1925">
        <v>917080579177</v>
      </c>
      <c r="F1925" t="s">
        <v>10384</v>
      </c>
      <c r="G1925" t="s">
        <v>10366</v>
      </c>
      <c r="H1925" s="2">
        <v>28019</v>
      </c>
    </row>
    <row r="1926" spans="1:8">
      <c r="A1926" t="s">
        <v>9952</v>
      </c>
      <c r="B1926" t="s">
        <v>2196</v>
      </c>
      <c r="C1926" t="s">
        <v>10367</v>
      </c>
      <c r="D1926" t="s">
        <v>12299</v>
      </c>
      <c r="E1926">
        <v>918446040494</v>
      </c>
      <c r="F1926" t="s">
        <v>10386</v>
      </c>
      <c r="G1926" t="s">
        <v>10377</v>
      </c>
      <c r="H1926" s="2">
        <v>27799</v>
      </c>
    </row>
    <row r="1927" spans="1:8">
      <c r="A1927" t="s">
        <v>9957</v>
      </c>
      <c r="B1927" t="s">
        <v>6865</v>
      </c>
      <c r="C1927" t="s">
        <v>10367</v>
      </c>
      <c r="D1927" t="s">
        <v>12300</v>
      </c>
      <c r="E1927">
        <v>917953448819</v>
      </c>
      <c r="F1927" t="s">
        <v>10384</v>
      </c>
      <c r="G1927" t="s">
        <v>10370</v>
      </c>
      <c r="H1927" s="2">
        <v>27440</v>
      </c>
    </row>
    <row r="1928" spans="1:8">
      <c r="A1928" t="s">
        <v>9962</v>
      </c>
      <c r="B1928" t="s">
        <v>2313</v>
      </c>
      <c r="C1928" t="s">
        <v>10363</v>
      </c>
      <c r="D1928" t="s">
        <v>12301</v>
      </c>
      <c r="E1928">
        <v>917959692993</v>
      </c>
      <c r="F1928" t="s">
        <v>10402</v>
      </c>
      <c r="G1928" t="s">
        <v>10370</v>
      </c>
      <c r="H1928" s="2">
        <v>27924</v>
      </c>
    </row>
    <row r="1929" spans="1:8">
      <c r="A1929" t="s">
        <v>9967</v>
      </c>
      <c r="B1929" t="s">
        <v>3586</v>
      </c>
      <c r="C1929" t="s">
        <v>10363</v>
      </c>
      <c r="D1929" t="s">
        <v>12302</v>
      </c>
      <c r="E1929">
        <v>919469841419</v>
      </c>
      <c r="F1929" t="s">
        <v>10384</v>
      </c>
      <c r="G1929" t="s">
        <v>10366</v>
      </c>
      <c r="H1929" s="2">
        <v>36878</v>
      </c>
    </row>
    <row r="1930" spans="1:8">
      <c r="A1930" t="s">
        <v>9972</v>
      </c>
      <c r="B1930" t="s">
        <v>392</v>
      </c>
      <c r="C1930" t="s">
        <v>10367</v>
      </c>
      <c r="D1930" t="s">
        <v>12303</v>
      </c>
      <c r="E1930">
        <v>919966074429</v>
      </c>
      <c r="F1930" t="s">
        <v>10381</v>
      </c>
      <c r="G1930" t="s">
        <v>10366</v>
      </c>
      <c r="H1930" s="2">
        <v>35978</v>
      </c>
    </row>
    <row r="1931" spans="1:8">
      <c r="A1931" t="s">
        <v>9977</v>
      </c>
      <c r="B1931" t="s">
        <v>2778</v>
      </c>
      <c r="C1931" t="s">
        <v>10363</v>
      </c>
      <c r="D1931" t="s">
        <v>12304</v>
      </c>
      <c r="E1931">
        <v>916476056834</v>
      </c>
      <c r="F1931" t="s">
        <v>10386</v>
      </c>
      <c r="G1931" t="s">
        <v>10370</v>
      </c>
      <c r="H1931" s="2">
        <v>26134</v>
      </c>
    </row>
    <row r="1932" spans="1:8">
      <c r="A1932" t="s">
        <v>9982</v>
      </c>
      <c r="B1932" t="s">
        <v>751</v>
      </c>
      <c r="C1932" t="s">
        <v>10367</v>
      </c>
      <c r="D1932" t="s">
        <v>12305</v>
      </c>
      <c r="E1932">
        <v>918542239124</v>
      </c>
      <c r="F1932" t="s">
        <v>10376</v>
      </c>
      <c r="G1932" t="s">
        <v>10379</v>
      </c>
      <c r="H1932" s="2">
        <v>36048</v>
      </c>
    </row>
    <row r="1933" spans="1:8">
      <c r="A1933" t="s">
        <v>9987</v>
      </c>
      <c r="B1933" t="s">
        <v>1090</v>
      </c>
      <c r="C1933" t="s">
        <v>10367</v>
      </c>
      <c r="D1933" t="s">
        <v>12306</v>
      </c>
      <c r="E1933">
        <v>918533406752</v>
      </c>
      <c r="F1933" t="s">
        <v>10365</v>
      </c>
      <c r="G1933" t="s">
        <v>10370</v>
      </c>
      <c r="H1933" s="2">
        <v>30182</v>
      </c>
    </row>
    <row r="1934" spans="1:8">
      <c r="A1934" t="s">
        <v>9992</v>
      </c>
      <c r="B1934" t="s">
        <v>186</v>
      </c>
      <c r="C1934" t="s">
        <v>10363</v>
      </c>
      <c r="D1934" t="s">
        <v>12307</v>
      </c>
      <c r="E1934">
        <v>916563139697</v>
      </c>
      <c r="F1934" t="s">
        <v>10365</v>
      </c>
      <c r="G1934" t="s">
        <v>10377</v>
      </c>
      <c r="H1934" s="2">
        <v>33991</v>
      </c>
    </row>
    <row r="1935" spans="1:8">
      <c r="A1935" t="s">
        <v>9997</v>
      </c>
      <c r="B1935" t="s">
        <v>1660</v>
      </c>
      <c r="C1935" t="s">
        <v>10363</v>
      </c>
      <c r="D1935" t="s">
        <v>12308</v>
      </c>
      <c r="E1935">
        <v>919593532102</v>
      </c>
      <c r="F1935" t="s">
        <v>10388</v>
      </c>
      <c r="G1935" t="s">
        <v>10370</v>
      </c>
      <c r="H1935" s="2">
        <v>32827</v>
      </c>
    </row>
    <row r="1936" spans="1:8">
      <c r="A1936" t="s">
        <v>10002</v>
      </c>
      <c r="B1936" t="s">
        <v>1014</v>
      </c>
      <c r="C1936" t="s">
        <v>10367</v>
      </c>
      <c r="D1936" t="s">
        <v>12309</v>
      </c>
      <c r="E1936">
        <v>918457284764</v>
      </c>
      <c r="F1936" t="s">
        <v>10388</v>
      </c>
      <c r="G1936" t="s">
        <v>10366</v>
      </c>
      <c r="H1936" s="2">
        <v>28485</v>
      </c>
    </row>
    <row r="1937" spans="1:8">
      <c r="A1937" t="s">
        <v>10007</v>
      </c>
      <c r="B1937" t="s">
        <v>1399</v>
      </c>
      <c r="C1937" t="s">
        <v>10367</v>
      </c>
      <c r="D1937" t="s">
        <v>12310</v>
      </c>
      <c r="E1937">
        <v>916646411326</v>
      </c>
      <c r="F1937" t="s">
        <v>10388</v>
      </c>
      <c r="G1937" t="s">
        <v>10377</v>
      </c>
      <c r="H1937" s="2">
        <v>29386</v>
      </c>
    </row>
    <row r="1938" spans="1:8">
      <c r="A1938" t="s">
        <v>10012</v>
      </c>
      <c r="B1938" t="s">
        <v>7839</v>
      </c>
      <c r="C1938" t="s">
        <v>10367</v>
      </c>
      <c r="D1938" t="s">
        <v>12311</v>
      </c>
      <c r="E1938">
        <v>916156635541</v>
      </c>
      <c r="F1938" t="s">
        <v>10384</v>
      </c>
      <c r="G1938" t="s">
        <v>10370</v>
      </c>
      <c r="H1938" s="2">
        <v>26778</v>
      </c>
    </row>
    <row r="1939" spans="1:8">
      <c r="A1939" t="s">
        <v>10017</v>
      </c>
      <c r="B1939" t="s">
        <v>327</v>
      </c>
      <c r="C1939" t="s">
        <v>10367</v>
      </c>
      <c r="D1939" t="s">
        <v>12312</v>
      </c>
      <c r="E1939">
        <v>916392318059</v>
      </c>
      <c r="F1939" t="s">
        <v>10372</v>
      </c>
      <c r="G1939" t="s">
        <v>10377</v>
      </c>
      <c r="H1939" s="2">
        <v>25589</v>
      </c>
    </row>
    <row r="1940" spans="1:8">
      <c r="A1940" t="s">
        <v>10022</v>
      </c>
      <c r="B1940" t="s">
        <v>1207</v>
      </c>
      <c r="C1940" t="s">
        <v>10367</v>
      </c>
      <c r="D1940" t="s">
        <v>12313</v>
      </c>
      <c r="E1940">
        <v>919599973516</v>
      </c>
      <c r="F1940" t="s">
        <v>10372</v>
      </c>
      <c r="G1940" t="s">
        <v>10377</v>
      </c>
      <c r="H1940" s="2">
        <v>35921</v>
      </c>
    </row>
    <row r="1941" spans="1:8">
      <c r="A1941" t="s">
        <v>10027</v>
      </c>
      <c r="B1941" t="s">
        <v>5074</v>
      </c>
      <c r="C1941" t="s">
        <v>10367</v>
      </c>
      <c r="D1941" t="s">
        <v>12314</v>
      </c>
      <c r="E1941">
        <v>919234211447</v>
      </c>
      <c r="F1941" t="s">
        <v>10374</v>
      </c>
      <c r="G1941" t="s">
        <v>10377</v>
      </c>
      <c r="H1941" s="2">
        <v>31544</v>
      </c>
    </row>
    <row r="1942" spans="1:8">
      <c r="A1942" t="s">
        <v>10032</v>
      </c>
      <c r="B1942" t="s">
        <v>112</v>
      </c>
      <c r="C1942" t="s">
        <v>10367</v>
      </c>
      <c r="D1942" t="s">
        <v>12315</v>
      </c>
      <c r="E1942">
        <v>916790687860</v>
      </c>
      <c r="F1942" t="s">
        <v>10384</v>
      </c>
      <c r="G1942" t="s">
        <v>10377</v>
      </c>
      <c r="H1942" s="2">
        <v>33927</v>
      </c>
    </row>
    <row r="1943" spans="1:8">
      <c r="A1943" t="s">
        <v>10037</v>
      </c>
      <c r="B1943" t="s">
        <v>604</v>
      </c>
      <c r="C1943" t="s">
        <v>10363</v>
      </c>
      <c r="D1943" t="s">
        <v>12316</v>
      </c>
      <c r="E1943">
        <v>917158910004</v>
      </c>
      <c r="F1943" t="s">
        <v>10388</v>
      </c>
      <c r="G1943" t="s">
        <v>10366</v>
      </c>
      <c r="H1943" s="2">
        <v>24504</v>
      </c>
    </row>
    <row r="1944" spans="1:8">
      <c r="A1944" t="s">
        <v>10042</v>
      </c>
      <c r="B1944" t="s">
        <v>2297</v>
      </c>
      <c r="C1944" t="s">
        <v>10363</v>
      </c>
      <c r="D1944" t="s">
        <v>12317</v>
      </c>
      <c r="E1944">
        <v>918874512639</v>
      </c>
      <c r="F1944" t="s">
        <v>10384</v>
      </c>
      <c r="G1944" t="s">
        <v>10370</v>
      </c>
      <c r="H1944" s="2">
        <v>25883</v>
      </c>
    </row>
    <row r="1945" spans="1:8">
      <c r="A1945" t="s">
        <v>10047</v>
      </c>
      <c r="B1945" t="s">
        <v>1096</v>
      </c>
      <c r="C1945" t="s">
        <v>10363</v>
      </c>
      <c r="D1945" t="s">
        <v>12318</v>
      </c>
      <c r="E1945">
        <v>918038885893</v>
      </c>
      <c r="F1945" t="s">
        <v>10376</v>
      </c>
      <c r="G1945" t="s">
        <v>10379</v>
      </c>
      <c r="H1945" s="2">
        <v>30113</v>
      </c>
    </row>
    <row r="1946" spans="1:8">
      <c r="A1946" t="s">
        <v>10052</v>
      </c>
      <c r="B1946" t="s">
        <v>524</v>
      </c>
      <c r="C1946" t="s">
        <v>10367</v>
      </c>
      <c r="D1946" t="s">
        <v>12319</v>
      </c>
      <c r="E1946">
        <v>917906162817</v>
      </c>
      <c r="F1946" t="s">
        <v>10374</v>
      </c>
      <c r="G1946" t="s">
        <v>10379</v>
      </c>
      <c r="H1946" s="2">
        <v>25365</v>
      </c>
    </row>
    <row r="1947" spans="1:8">
      <c r="A1947" t="s">
        <v>10057</v>
      </c>
      <c r="B1947" t="s">
        <v>518</v>
      </c>
      <c r="C1947" t="s">
        <v>10367</v>
      </c>
      <c r="D1947" t="s">
        <v>12320</v>
      </c>
      <c r="E1947">
        <v>916771910748</v>
      </c>
      <c r="F1947" t="s">
        <v>10386</v>
      </c>
      <c r="G1947" t="s">
        <v>10379</v>
      </c>
      <c r="H1947" s="2">
        <v>29993</v>
      </c>
    </row>
    <row r="1948" spans="1:8">
      <c r="A1948" t="s">
        <v>10062</v>
      </c>
      <c r="B1948" t="s">
        <v>265</v>
      </c>
      <c r="C1948" t="s">
        <v>10363</v>
      </c>
      <c r="D1948" t="s">
        <v>12321</v>
      </c>
      <c r="E1948">
        <v>919199644742</v>
      </c>
      <c r="F1948" t="s">
        <v>10381</v>
      </c>
      <c r="G1948" t="s">
        <v>10366</v>
      </c>
      <c r="H1948" s="2">
        <v>24342</v>
      </c>
    </row>
    <row r="1949" spans="1:8">
      <c r="A1949" t="s">
        <v>10067</v>
      </c>
      <c r="B1949" t="s">
        <v>1014</v>
      </c>
      <c r="C1949" t="s">
        <v>10367</v>
      </c>
      <c r="D1949" t="s">
        <v>12322</v>
      </c>
      <c r="E1949">
        <v>918755944496</v>
      </c>
      <c r="F1949" t="s">
        <v>10402</v>
      </c>
      <c r="G1949" t="s">
        <v>10370</v>
      </c>
      <c r="H1949" s="2">
        <v>26044</v>
      </c>
    </row>
    <row r="1950" spans="1:8">
      <c r="A1950" t="s">
        <v>10072</v>
      </c>
      <c r="B1950" t="s">
        <v>2863</v>
      </c>
      <c r="C1950" t="s">
        <v>10367</v>
      </c>
      <c r="D1950" t="s">
        <v>12323</v>
      </c>
      <c r="E1950">
        <v>918657425577</v>
      </c>
      <c r="F1950" t="s">
        <v>10384</v>
      </c>
      <c r="G1950" t="s">
        <v>10366</v>
      </c>
      <c r="H1950" s="2">
        <v>31846</v>
      </c>
    </row>
    <row r="1951" spans="1:8">
      <c r="A1951" t="s">
        <v>10077</v>
      </c>
      <c r="B1951" t="s">
        <v>2041</v>
      </c>
      <c r="C1951" t="s">
        <v>10363</v>
      </c>
      <c r="D1951" t="s">
        <v>12324</v>
      </c>
      <c r="E1951">
        <v>916300092656</v>
      </c>
      <c r="F1951" t="s">
        <v>10381</v>
      </c>
      <c r="G1951" t="s">
        <v>10377</v>
      </c>
      <c r="H1951" s="2">
        <v>25419</v>
      </c>
    </row>
    <row r="1952" spans="1:8">
      <c r="A1952" t="s">
        <v>10082</v>
      </c>
      <c r="B1952" t="s">
        <v>21</v>
      </c>
      <c r="C1952" t="s">
        <v>10363</v>
      </c>
      <c r="D1952" t="s">
        <v>12325</v>
      </c>
      <c r="E1952">
        <v>918574636872</v>
      </c>
      <c r="F1952" t="s">
        <v>10376</v>
      </c>
      <c r="G1952" t="s">
        <v>10366</v>
      </c>
      <c r="H1952" s="2">
        <v>27628</v>
      </c>
    </row>
    <row r="1953" spans="1:8">
      <c r="A1953" t="s">
        <v>10087</v>
      </c>
      <c r="B1953" t="s">
        <v>547</v>
      </c>
      <c r="C1953" t="s">
        <v>10363</v>
      </c>
      <c r="D1953" t="s">
        <v>12326</v>
      </c>
      <c r="E1953">
        <v>917809995485</v>
      </c>
      <c r="F1953" t="s">
        <v>10381</v>
      </c>
      <c r="G1953" t="s">
        <v>10370</v>
      </c>
      <c r="H1953" s="2">
        <v>21167</v>
      </c>
    </row>
    <row r="1954" spans="1:8">
      <c r="A1954" t="s">
        <v>10092</v>
      </c>
      <c r="B1954" t="s">
        <v>2636</v>
      </c>
      <c r="C1954" t="s">
        <v>10363</v>
      </c>
      <c r="D1954" t="s">
        <v>12327</v>
      </c>
      <c r="E1954">
        <v>916016558298</v>
      </c>
      <c r="F1954" t="s">
        <v>10372</v>
      </c>
      <c r="G1954" t="s">
        <v>10366</v>
      </c>
      <c r="H1954" s="2">
        <v>24662</v>
      </c>
    </row>
    <row r="1955" spans="1:8">
      <c r="A1955" t="s">
        <v>10097</v>
      </c>
      <c r="B1955" t="s">
        <v>639</v>
      </c>
      <c r="C1955" t="s">
        <v>10363</v>
      </c>
      <c r="D1955" t="s">
        <v>12328</v>
      </c>
      <c r="E1955">
        <v>916903082581</v>
      </c>
      <c r="F1955" t="s">
        <v>10381</v>
      </c>
      <c r="G1955" t="s">
        <v>10379</v>
      </c>
      <c r="H1955" s="2">
        <v>33643</v>
      </c>
    </row>
    <row r="1956" spans="1:8">
      <c r="A1956" t="s">
        <v>10102</v>
      </c>
      <c r="B1956" t="s">
        <v>443</v>
      </c>
      <c r="C1956" t="s">
        <v>10367</v>
      </c>
      <c r="D1956" t="s">
        <v>12329</v>
      </c>
      <c r="E1956">
        <v>916709313839</v>
      </c>
      <c r="F1956" t="s">
        <v>10365</v>
      </c>
      <c r="G1956" t="s">
        <v>10379</v>
      </c>
      <c r="H1956" s="2">
        <v>36777</v>
      </c>
    </row>
    <row r="1957" spans="1:8">
      <c r="A1957" t="s">
        <v>10107</v>
      </c>
      <c r="B1957" t="s">
        <v>2062</v>
      </c>
      <c r="C1957" t="s">
        <v>10367</v>
      </c>
      <c r="D1957" t="s">
        <v>12330</v>
      </c>
      <c r="E1957">
        <v>919876032688</v>
      </c>
      <c r="F1957" t="s">
        <v>10365</v>
      </c>
      <c r="G1957" t="s">
        <v>10366</v>
      </c>
      <c r="H1957" s="2">
        <v>35646</v>
      </c>
    </row>
    <row r="1958" spans="1:8">
      <c r="A1958" t="s">
        <v>10112</v>
      </c>
      <c r="B1958" t="s">
        <v>67</v>
      </c>
      <c r="C1958" t="s">
        <v>10367</v>
      </c>
      <c r="D1958" t="s">
        <v>12331</v>
      </c>
      <c r="E1958">
        <v>916936506194</v>
      </c>
      <c r="F1958" t="s">
        <v>10388</v>
      </c>
      <c r="G1958" t="s">
        <v>10377</v>
      </c>
      <c r="H1958" s="2">
        <v>21095</v>
      </c>
    </row>
    <row r="1959" spans="1:8">
      <c r="A1959" t="s">
        <v>10117</v>
      </c>
      <c r="B1959" t="s">
        <v>2463</v>
      </c>
      <c r="C1959" t="s">
        <v>10363</v>
      </c>
      <c r="D1959" t="s">
        <v>12332</v>
      </c>
      <c r="E1959">
        <v>917469336185</v>
      </c>
      <c r="F1959" t="s">
        <v>10384</v>
      </c>
      <c r="G1959" t="s">
        <v>10379</v>
      </c>
      <c r="H1959" s="2">
        <v>35292</v>
      </c>
    </row>
    <row r="1960" spans="1:8">
      <c r="A1960" t="s">
        <v>10122</v>
      </c>
      <c r="B1960" t="s">
        <v>4359</v>
      </c>
      <c r="C1960" t="s">
        <v>10363</v>
      </c>
      <c r="D1960" t="s">
        <v>12333</v>
      </c>
      <c r="E1960">
        <v>917774628423</v>
      </c>
      <c r="F1960" t="s">
        <v>10402</v>
      </c>
      <c r="G1960" t="s">
        <v>10379</v>
      </c>
      <c r="H1960" s="2">
        <v>24007</v>
      </c>
    </row>
    <row r="1961" spans="1:8">
      <c r="A1961" t="s">
        <v>10127</v>
      </c>
      <c r="B1961" t="s">
        <v>6028</v>
      </c>
      <c r="C1961" t="s">
        <v>10367</v>
      </c>
      <c r="D1961" t="s">
        <v>12334</v>
      </c>
      <c r="E1961">
        <v>917177756014</v>
      </c>
      <c r="F1961" t="s">
        <v>10386</v>
      </c>
      <c r="G1961" t="s">
        <v>10370</v>
      </c>
      <c r="H1961" s="2">
        <v>25285</v>
      </c>
    </row>
    <row r="1962" spans="1:8">
      <c r="A1962" t="s">
        <v>10132</v>
      </c>
      <c r="B1962" t="s">
        <v>1810</v>
      </c>
      <c r="C1962" t="s">
        <v>10367</v>
      </c>
      <c r="D1962" t="s">
        <v>12335</v>
      </c>
      <c r="E1962">
        <v>919675077599</v>
      </c>
      <c r="F1962" t="s">
        <v>10384</v>
      </c>
      <c r="G1962" t="s">
        <v>10366</v>
      </c>
      <c r="H1962" s="2">
        <v>21711</v>
      </c>
    </row>
    <row r="1963" spans="1:8">
      <c r="A1963" t="s">
        <v>10137</v>
      </c>
      <c r="B1963" t="s">
        <v>449</v>
      </c>
      <c r="C1963" t="s">
        <v>10363</v>
      </c>
      <c r="D1963" t="s">
        <v>12336</v>
      </c>
      <c r="E1963">
        <v>917342643958</v>
      </c>
      <c r="F1963" t="s">
        <v>10365</v>
      </c>
      <c r="G1963" t="s">
        <v>10370</v>
      </c>
      <c r="H1963" s="2">
        <v>27452</v>
      </c>
    </row>
    <row r="1964" spans="1:8">
      <c r="A1964" t="s">
        <v>10142</v>
      </c>
      <c r="B1964" t="s">
        <v>2510</v>
      </c>
      <c r="C1964" t="s">
        <v>10363</v>
      </c>
      <c r="D1964" t="s">
        <v>12337</v>
      </c>
      <c r="E1964">
        <v>917700305849</v>
      </c>
      <c r="F1964" t="s">
        <v>10369</v>
      </c>
      <c r="G1964" t="s">
        <v>10379</v>
      </c>
      <c r="H1964" s="2">
        <v>28486</v>
      </c>
    </row>
    <row r="1965" spans="1:8">
      <c r="A1965" t="s">
        <v>10147</v>
      </c>
      <c r="B1965" t="s">
        <v>3586</v>
      </c>
      <c r="C1965" t="s">
        <v>10363</v>
      </c>
      <c r="D1965" t="s">
        <v>12338</v>
      </c>
      <c r="E1965">
        <v>916054146880</v>
      </c>
      <c r="F1965" t="s">
        <v>10388</v>
      </c>
      <c r="G1965" t="s">
        <v>10370</v>
      </c>
      <c r="H1965" s="2">
        <v>36631</v>
      </c>
    </row>
    <row r="1966" spans="1:8">
      <c r="A1966" t="s">
        <v>10152</v>
      </c>
      <c r="B1966" t="s">
        <v>708</v>
      </c>
      <c r="C1966" t="s">
        <v>10363</v>
      </c>
      <c r="D1966" t="s">
        <v>12339</v>
      </c>
      <c r="E1966">
        <v>919164374951</v>
      </c>
      <c r="F1966" t="s">
        <v>10372</v>
      </c>
      <c r="G1966" t="s">
        <v>10366</v>
      </c>
      <c r="H1966" s="2">
        <v>34761</v>
      </c>
    </row>
    <row r="1967" spans="1:8">
      <c r="A1967" t="s">
        <v>10157</v>
      </c>
      <c r="B1967" t="s">
        <v>6044</v>
      </c>
      <c r="C1967" t="s">
        <v>10367</v>
      </c>
      <c r="D1967" t="s">
        <v>12340</v>
      </c>
      <c r="E1967">
        <v>916397633191</v>
      </c>
      <c r="F1967" t="s">
        <v>10372</v>
      </c>
      <c r="G1967" t="s">
        <v>10366</v>
      </c>
      <c r="H1967" s="2">
        <v>28356</v>
      </c>
    </row>
    <row r="1968" spans="1:8">
      <c r="A1968" t="s">
        <v>10162</v>
      </c>
      <c r="B1968" t="s">
        <v>1699</v>
      </c>
      <c r="C1968" t="s">
        <v>10363</v>
      </c>
      <c r="D1968" t="s">
        <v>12341</v>
      </c>
      <c r="E1968">
        <v>916987207667</v>
      </c>
      <c r="F1968" t="s">
        <v>10365</v>
      </c>
      <c r="G1968" t="s">
        <v>10379</v>
      </c>
      <c r="H1968" s="2">
        <v>29595</v>
      </c>
    </row>
    <row r="1969" spans="1:8">
      <c r="A1969" t="s">
        <v>10167</v>
      </c>
      <c r="B1969" t="s">
        <v>5231</v>
      </c>
      <c r="C1969" t="s">
        <v>10367</v>
      </c>
      <c r="D1969" t="s">
        <v>12342</v>
      </c>
      <c r="E1969">
        <v>916246606922</v>
      </c>
      <c r="F1969" t="s">
        <v>10381</v>
      </c>
      <c r="G1969" t="s">
        <v>10379</v>
      </c>
      <c r="H1969" s="2">
        <v>21066</v>
      </c>
    </row>
    <row r="1970" spans="1:8">
      <c r="A1970" t="s">
        <v>10172</v>
      </c>
      <c r="B1970" t="s">
        <v>2276</v>
      </c>
      <c r="C1970" t="s">
        <v>10367</v>
      </c>
      <c r="D1970" t="s">
        <v>12343</v>
      </c>
      <c r="E1970">
        <v>918403312259</v>
      </c>
      <c r="F1970" t="s">
        <v>10381</v>
      </c>
      <c r="G1970" t="s">
        <v>10377</v>
      </c>
      <c r="H1970" s="2">
        <v>20753</v>
      </c>
    </row>
    <row r="1971" spans="1:8">
      <c r="A1971" t="s">
        <v>10177</v>
      </c>
      <c r="B1971" t="s">
        <v>2196</v>
      </c>
      <c r="C1971" t="s">
        <v>10367</v>
      </c>
      <c r="D1971" t="s">
        <v>12344</v>
      </c>
      <c r="E1971">
        <v>918603226158</v>
      </c>
      <c r="F1971" t="s">
        <v>10381</v>
      </c>
      <c r="G1971" t="s">
        <v>10370</v>
      </c>
      <c r="H1971" s="2">
        <v>34285</v>
      </c>
    </row>
    <row r="1972" spans="1:8">
      <c r="A1972" t="s">
        <v>10182</v>
      </c>
      <c r="B1972" t="s">
        <v>1431</v>
      </c>
      <c r="C1972" t="s">
        <v>10367</v>
      </c>
      <c r="D1972" t="s">
        <v>12345</v>
      </c>
      <c r="E1972">
        <v>918392262097</v>
      </c>
      <c r="F1972" t="s">
        <v>10372</v>
      </c>
      <c r="G1972" t="s">
        <v>10377</v>
      </c>
      <c r="H1972" s="2">
        <v>30885</v>
      </c>
    </row>
    <row r="1973" spans="1:8">
      <c r="A1973" t="s">
        <v>10187</v>
      </c>
      <c r="B1973" t="s">
        <v>1660</v>
      </c>
      <c r="C1973" t="s">
        <v>10363</v>
      </c>
      <c r="D1973" t="s">
        <v>12346</v>
      </c>
      <c r="E1973">
        <v>916233797467</v>
      </c>
      <c r="F1973" t="s">
        <v>10384</v>
      </c>
      <c r="G1973" t="s">
        <v>10379</v>
      </c>
      <c r="H1973" s="2">
        <v>32620</v>
      </c>
    </row>
    <row r="1974" spans="1:8">
      <c r="A1974" t="s">
        <v>10192</v>
      </c>
      <c r="B1974" t="s">
        <v>1594</v>
      </c>
      <c r="C1974" t="s">
        <v>10363</v>
      </c>
      <c r="D1974" t="s">
        <v>12347</v>
      </c>
      <c r="E1974">
        <v>918950805987</v>
      </c>
      <c r="F1974" t="s">
        <v>10369</v>
      </c>
      <c r="G1974" t="s">
        <v>10377</v>
      </c>
      <c r="H1974" s="2">
        <v>21414</v>
      </c>
    </row>
    <row r="1975" spans="1:8">
      <c r="A1975" t="s">
        <v>10197</v>
      </c>
      <c r="B1975" t="s">
        <v>6613</v>
      </c>
      <c r="C1975" t="s">
        <v>10367</v>
      </c>
      <c r="D1975" t="s">
        <v>12348</v>
      </c>
      <c r="E1975">
        <v>917620430174</v>
      </c>
      <c r="F1975" t="s">
        <v>10369</v>
      </c>
      <c r="G1975" t="s">
        <v>10366</v>
      </c>
      <c r="H1975" s="2">
        <v>36411</v>
      </c>
    </row>
    <row r="1976" spans="1:8">
      <c r="A1976" t="s">
        <v>10202</v>
      </c>
      <c r="B1976" t="s">
        <v>667</v>
      </c>
      <c r="C1976" t="s">
        <v>10367</v>
      </c>
      <c r="D1976" t="s">
        <v>12349</v>
      </c>
      <c r="E1976">
        <v>916903496226</v>
      </c>
      <c r="F1976" t="s">
        <v>10384</v>
      </c>
      <c r="G1976" t="s">
        <v>10379</v>
      </c>
      <c r="H1976" s="2">
        <v>31858</v>
      </c>
    </row>
    <row r="1977" spans="1:8">
      <c r="A1977" t="s">
        <v>10207</v>
      </c>
      <c r="B1977" t="s">
        <v>865</v>
      </c>
      <c r="C1977" t="s">
        <v>10363</v>
      </c>
      <c r="D1977" t="s">
        <v>12350</v>
      </c>
      <c r="E1977">
        <v>918487994633</v>
      </c>
      <c r="F1977" t="s">
        <v>10381</v>
      </c>
      <c r="G1977" t="s">
        <v>10366</v>
      </c>
      <c r="H1977" s="2">
        <v>34886</v>
      </c>
    </row>
    <row r="1978" spans="1:8">
      <c r="A1978" t="s">
        <v>10212</v>
      </c>
      <c r="B1978" t="s">
        <v>432</v>
      </c>
      <c r="C1978" t="s">
        <v>10363</v>
      </c>
      <c r="D1978" t="s">
        <v>12351</v>
      </c>
      <c r="E1978">
        <v>919224580653</v>
      </c>
      <c r="F1978" t="s">
        <v>10381</v>
      </c>
      <c r="G1978" t="s">
        <v>10370</v>
      </c>
      <c r="H1978" s="2">
        <v>23543</v>
      </c>
    </row>
    <row r="1979" spans="1:8">
      <c r="A1979" t="s">
        <v>10217</v>
      </c>
      <c r="B1979" t="s">
        <v>1250</v>
      </c>
      <c r="C1979" t="s">
        <v>10363</v>
      </c>
      <c r="D1979" t="s">
        <v>12352</v>
      </c>
      <c r="E1979">
        <v>919083099608</v>
      </c>
      <c r="F1979" t="s">
        <v>10386</v>
      </c>
      <c r="G1979" t="s">
        <v>10370</v>
      </c>
      <c r="H1979" s="2">
        <v>31071</v>
      </c>
    </row>
    <row r="1980" spans="1:8">
      <c r="A1980" t="s">
        <v>10222</v>
      </c>
      <c r="B1980" t="s">
        <v>1826</v>
      </c>
      <c r="C1980" t="s">
        <v>10363</v>
      </c>
      <c r="D1980" t="s">
        <v>12353</v>
      </c>
      <c r="E1980">
        <v>917087980973</v>
      </c>
      <c r="F1980" t="s">
        <v>10372</v>
      </c>
      <c r="G1980" t="s">
        <v>10379</v>
      </c>
      <c r="H1980" s="2">
        <v>29771</v>
      </c>
    </row>
    <row r="1981" spans="1:8">
      <c r="A1981" t="s">
        <v>10227</v>
      </c>
      <c r="B1981" t="s">
        <v>518</v>
      </c>
      <c r="C1981" t="s">
        <v>10367</v>
      </c>
      <c r="D1981" t="s">
        <v>12354</v>
      </c>
      <c r="E1981">
        <v>916373379235</v>
      </c>
      <c r="F1981" t="s">
        <v>10384</v>
      </c>
      <c r="G1981" t="s">
        <v>10377</v>
      </c>
      <c r="H1981" s="2">
        <v>29111</v>
      </c>
    </row>
    <row r="1982" spans="1:8">
      <c r="A1982" t="s">
        <v>10232</v>
      </c>
      <c r="B1982" t="s">
        <v>1794</v>
      </c>
      <c r="C1982" t="s">
        <v>10367</v>
      </c>
      <c r="D1982" t="s">
        <v>12355</v>
      </c>
      <c r="E1982">
        <v>918986707133</v>
      </c>
      <c r="F1982" t="s">
        <v>10384</v>
      </c>
      <c r="G1982" t="s">
        <v>10379</v>
      </c>
      <c r="H1982" s="2">
        <v>34402</v>
      </c>
    </row>
    <row r="1983" spans="1:8">
      <c r="A1983" t="s">
        <v>10237</v>
      </c>
      <c r="B1983" t="s">
        <v>1036</v>
      </c>
      <c r="C1983" t="s">
        <v>10363</v>
      </c>
      <c r="D1983" t="s">
        <v>11041</v>
      </c>
      <c r="E1983">
        <v>918921354486</v>
      </c>
      <c r="F1983" t="s">
        <v>10369</v>
      </c>
      <c r="G1983" t="s">
        <v>10366</v>
      </c>
      <c r="H1983" s="2">
        <v>22173</v>
      </c>
    </row>
    <row r="1984" spans="1:8">
      <c r="A1984" t="s">
        <v>10242</v>
      </c>
      <c r="B1984" t="s">
        <v>1282</v>
      </c>
      <c r="C1984" t="s">
        <v>10363</v>
      </c>
      <c r="D1984" t="s">
        <v>12356</v>
      </c>
      <c r="E1984">
        <v>918865692357</v>
      </c>
      <c r="F1984" t="s">
        <v>10372</v>
      </c>
      <c r="G1984" t="s">
        <v>10366</v>
      </c>
      <c r="H1984" s="2">
        <v>21446</v>
      </c>
    </row>
    <row r="1985" spans="1:8">
      <c r="A1985" t="s">
        <v>10247</v>
      </c>
      <c r="B1985" t="s">
        <v>1164</v>
      </c>
      <c r="C1985" t="s">
        <v>10367</v>
      </c>
      <c r="D1985" t="s">
        <v>12357</v>
      </c>
      <c r="E1985">
        <v>918338418643</v>
      </c>
      <c r="F1985" t="s">
        <v>10388</v>
      </c>
      <c r="G1985" t="s">
        <v>10377</v>
      </c>
      <c r="H1985" s="2">
        <v>29518</v>
      </c>
    </row>
    <row r="1986" spans="1:8">
      <c r="A1986" t="s">
        <v>10252</v>
      </c>
      <c r="B1986" t="s">
        <v>751</v>
      </c>
      <c r="C1986" t="s">
        <v>10367</v>
      </c>
      <c r="D1986" t="s">
        <v>12358</v>
      </c>
      <c r="E1986">
        <v>919455305346</v>
      </c>
      <c r="F1986" t="s">
        <v>10381</v>
      </c>
      <c r="G1986" t="s">
        <v>10370</v>
      </c>
      <c r="H1986" s="2">
        <v>31644</v>
      </c>
    </row>
    <row r="1987" spans="1:8">
      <c r="A1987" t="s">
        <v>10257</v>
      </c>
      <c r="B1987" t="s">
        <v>265</v>
      </c>
      <c r="C1987" t="s">
        <v>10363</v>
      </c>
      <c r="D1987" t="s">
        <v>12359</v>
      </c>
      <c r="E1987">
        <v>916391095175</v>
      </c>
      <c r="F1987" t="s">
        <v>10381</v>
      </c>
      <c r="G1987" t="s">
        <v>10370</v>
      </c>
      <c r="H1987" s="2">
        <v>20498</v>
      </c>
    </row>
    <row r="1988" spans="1:8">
      <c r="A1988" t="s">
        <v>10262</v>
      </c>
      <c r="B1988" t="s">
        <v>1090</v>
      </c>
      <c r="C1988" t="s">
        <v>10367</v>
      </c>
      <c r="D1988" t="s">
        <v>12360</v>
      </c>
      <c r="E1988">
        <v>916025356913</v>
      </c>
      <c r="F1988" t="s">
        <v>10381</v>
      </c>
      <c r="G1988" t="s">
        <v>10370</v>
      </c>
      <c r="H1988" s="2">
        <v>33646</v>
      </c>
    </row>
    <row r="1989" spans="1:8">
      <c r="A1989" t="s">
        <v>10267</v>
      </c>
      <c r="B1989" t="s">
        <v>2019</v>
      </c>
      <c r="C1989" t="s">
        <v>10367</v>
      </c>
      <c r="D1989" t="s">
        <v>12361</v>
      </c>
      <c r="E1989">
        <v>918736580201</v>
      </c>
      <c r="F1989" t="s">
        <v>10376</v>
      </c>
      <c r="G1989" t="s">
        <v>10377</v>
      </c>
      <c r="H1989" s="2">
        <v>26683</v>
      </c>
    </row>
    <row r="1990" spans="1:8">
      <c r="A1990" t="s">
        <v>10272</v>
      </c>
      <c r="B1990" t="s">
        <v>21</v>
      </c>
      <c r="C1990" t="s">
        <v>10363</v>
      </c>
      <c r="D1990" t="s">
        <v>12362</v>
      </c>
      <c r="E1990">
        <v>916788517273</v>
      </c>
      <c r="F1990" t="s">
        <v>10376</v>
      </c>
      <c r="G1990" t="s">
        <v>10377</v>
      </c>
      <c r="H1990" s="2">
        <v>33160</v>
      </c>
    </row>
    <row r="1991" spans="1:8">
      <c r="A1991" t="s">
        <v>10277</v>
      </c>
      <c r="B1991" t="s">
        <v>982</v>
      </c>
      <c r="C1991" t="s">
        <v>10367</v>
      </c>
      <c r="D1991" t="s">
        <v>12363</v>
      </c>
      <c r="E1991">
        <v>917493290453</v>
      </c>
      <c r="F1991" t="s">
        <v>10369</v>
      </c>
      <c r="G1991" t="s">
        <v>10377</v>
      </c>
      <c r="H1991" s="2">
        <v>25621</v>
      </c>
    </row>
    <row r="1992" spans="1:8">
      <c r="A1992" t="s">
        <v>10282</v>
      </c>
      <c r="B1992" t="s">
        <v>144</v>
      </c>
      <c r="C1992" t="s">
        <v>10363</v>
      </c>
      <c r="D1992" t="s">
        <v>12364</v>
      </c>
      <c r="E1992">
        <v>918995687650</v>
      </c>
      <c r="F1992" t="s">
        <v>10388</v>
      </c>
      <c r="G1992" t="s">
        <v>10377</v>
      </c>
      <c r="H1992" s="2">
        <v>36183</v>
      </c>
    </row>
    <row r="1993" spans="1:8">
      <c r="A1993" t="s">
        <v>10287</v>
      </c>
      <c r="B1993" t="s">
        <v>7577</v>
      </c>
      <c r="C1993" t="s">
        <v>10367</v>
      </c>
      <c r="D1993" t="s">
        <v>12365</v>
      </c>
      <c r="E1993">
        <v>919731551187</v>
      </c>
      <c r="F1993" t="s">
        <v>10374</v>
      </c>
      <c r="G1993" t="s">
        <v>10370</v>
      </c>
      <c r="H1993" s="2">
        <v>24255</v>
      </c>
    </row>
    <row r="1994" spans="1:8">
      <c r="A1994" t="s">
        <v>10292</v>
      </c>
      <c r="B1994" t="s">
        <v>5267</v>
      </c>
      <c r="C1994" t="s">
        <v>10367</v>
      </c>
      <c r="D1994" t="s">
        <v>12366</v>
      </c>
      <c r="E1994">
        <v>919907005528</v>
      </c>
      <c r="F1994" t="s">
        <v>10365</v>
      </c>
      <c r="G1994" t="s">
        <v>10377</v>
      </c>
      <c r="H1994" s="2">
        <v>28532</v>
      </c>
    </row>
    <row r="1995" spans="1:8">
      <c r="A1995" t="s">
        <v>10297</v>
      </c>
      <c r="B1995" t="s">
        <v>1682</v>
      </c>
      <c r="C1995" t="s">
        <v>10367</v>
      </c>
      <c r="D1995" t="s">
        <v>12367</v>
      </c>
      <c r="E1995">
        <v>916495076257</v>
      </c>
      <c r="F1995" t="s">
        <v>10402</v>
      </c>
      <c r="G1995" t="s">
        <v>10379</v>
      </c>
      <c r="H1995" s="2">
        <v>34722</v>
      </c>
    </row>
    <row r="1996" spans="1:8">
      <c r="A1996" t="s">
        <v>10302</v>
      </c>
      <c r="B1996" t="s">
        <v>604</v>
      </c>
      <c r="C1996" t="s">
        <v>10363</v>
      </c>
      <c r="D1996" t="s">
        <v>12368</v>
      </c>
      <c r="E1996">
        <v>916604008076</v>
      </c>
      <c r="F1996" t="s">
        <v>10384</v>
      </c>
      <c r="G1996" t="s">
        <v>10370</v>
      </c>
      <c r="H1996" s="2">
        <v>20942</v>
      </c>
    </row>
    <row r="1997" spans="1:8">
      <c r="A1997" t="s">
        <v>10307</v>
      </c>
      <c r="B1997" t="s">
        <v>3124</v>
      </c>
      <c r="C1997" t="s">
        <v>10367</v>
      </c>
      <c r="D1997" t="s">
        <v>12369</v>
      </c>
      <c r="E1997">
        <v>919122828779</v>
      </c>
      <c r="F1997" t="s">
        <v>10376</v>
      </c>
      <c r="G1997" t="s">
        <v>10366</v>
      </c>
      <c r="H1997" s="2">
        <v>35052</v>
      </c>
    </row>
    <row r="1998" spans="1:8">
      <c r="A1998" t="s">
        <v>10312</v>
      </c>
      <c r="B1998" t="s">
        <v>1074</v>
      </c>
      <c r="C1998" t="s">
        <v>10363</v>
      </c>
      <c r="D1998" t="s">
        <v>12370</v>
      </c>
      <c r="E1998">
        <v>917633975388</v>
      </c>
      <c r="F1998" t="s">
        <v>10388</v>
      </c>
      <c r="G1998" t="s">
        <v>10377</v>
      </c>
      <c r="H1998" s="2">
        <v>28791</v>
      </c>
    </row>
    <row r="1999" spans="1:8">
      <c r="A1999" t="s">
        <v>10317</v>
      </c>
      <c r="B1999" t="s">
        <v>363</v>
      </c>
      <c r="C1999" t="s">
        <v>10363</v>
      </c>
      <c r="D1999" t="s">
        <v>12371</v>
      </c>
      <c r="E1999">
        <v>918346703404</v>
      </c>
      <c r="F1999" t="s">
        <v>10376</v>
      </c>
      <c r="G1999" t="s">
        <v>10370</v>
      </c>
      <c r="H1999" s="2">
        <v>36154</v>
      </c>
    </row>
    <row r="2000" spans="1:8">
      <c r="A2000" t="s">
        <v>10322</v>
      </c>
      <c r="B2000" t="s">
        <v>2689</v>
      </c>
      <c r="C2000" t="s">
        <v>10367</v>
      </c>
      <c r="D2000" t="s">
        <v>12372</v>
      </c>
      <c r="E2000">
        <v>916633745772</v>
      </c>
      <c r="F2000" t="s">
        <v>10388</v>
      </c>
      <c r="G2000" t="s">
        <v>10370</v>
      </c>
      <c r="H2000" s="2">
        <v>22010</v>
      </c>
    </row>
    <row r="2001" spans="1:8">
      <c r="A2001" t="s">
        <v>10327</v>
      </c>
      <c r="B2001" t="s">
        <v>1008</v>
      </c>
      <c r="C2001" t="s">
        <v>10367</v>
      </c>
      <c r="D2001" t="s">
        <v>12373</v>
      </c>
      <c r="E2001">
        <v>916711350981</v>
      </c>
      <c r="F2001" t="s">
        <v>10384</v>
      </c>
      <c r="G2001" t="s">
        <v>10370</v>
      </c>
      <c r="H2001" s="2">
        <v>23939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1"/>
  <sheetViews>
    <sheetView tabSelected="1" workbookViewId="0">
      <selection activeCell="E1" sqref="E1"/>
    </sheetView>
  </sheetViews>
  <sheetFormatPr defaultColWidth="9" defaultRowHeight="14.4" outlineLevelCol="4"/>
  <cols>
    <col min="1" max="1" width="10.4444444444444" customWidth="1"/>
    <col min="2" max="2" width="18" customWidth="1"/>
    <col min="3" max="3" width="11.5555555555556" customWidth="1"/>
    <col min="4" max="4" width="8.44444444444444" customWidth="1"/>
    <col min="5" max="5" width="16.7777777777778" customWidth="1"/>
  </cols>
  <sheetData>
    <row r="1" spans="1:5">
      <c r="A1" s="1" t="s">
        <v>3</v>
      </c>
      <c r="B1" s="1" t="s">
        <v>12374</v>
      </c>
      <c r="C1" s="1" t="s">
        <v>12375</v>
      </c>
      <c r="D1" s="1" t="s">
        <v>10360</v>
      </c>
      <c r="E1" s="1" t="s">
        <v>12376</v>
      </c>
    </row>
    <row r="2" spans="1:5">
      <c r="A2" t="s">
        <v>22</v>
      </c>
      <c r="B2" t="s">
        <v>12377</v>
      </c>
      <c r="C2" t="s">
        <v>12378</v>
      </c>
      <c r="D2" t="s">
        <v>10388</v>
      </c>
      <c r="E2" t="s">
        <v>12379</v>
      </c>
    </row>
    <row r="3" spans="1:5">
      <c r="A3" t="s">
        <v>31</v>
      </c>
      <c r="B3" t="s">
        <v>12380</v>
      </c>
      <c r="C3" t="s">
        <v>10369</v>
      </c>
      <c r="D3" t="s">
        <v>12381</v>
      </c>
      <c r="E3" t="s">
        <v>12382</v>
      </c>
    </row>
    <row r="4" spans="1:5">
      <c r="A4" t="s">
        <v>39</v>
      </c>
      <c r="B4" t="s">
        <v>12383</v>
      </c>
      <c r="C4" t="s">
        <v>12384</v>
      </c>
      <c r="D4" t="s">
        <v>10381</v>
      </c>
      <c r="E4" t="s">
        <v>12385</v>
      </c>
    </row>
    <row r="5" spans="1:5">
      <c r="A5" t="s">
        <v>46</v>
      </c>
      <c r="B5" t="s">
        <v>12386</v>
      </c>
      <c r="C5" t="s">
        <v>10369</v>
      </c>
      <c r="D5" t="s">
        <v>10381</v>
      </c>
      <c r="E5" t="s">
        <v>12387</v>
      </c>
    </row>
    <row r="6" spans="1:5">
      <c r="A6" t="s">
        <v>53</v>
      </c>
      <c r="B6" t="s">
        <v>12388</v>
      </c>
      <c r="C6" t="s">
        <v>12389</v>
      </c>
      <c r="D6" t="s">
        <v>10388</v>
      </c>
      <c r="E6" t="s">
        <v>12390</v>
      </c>
    </row>
    <row r="7" spans="1:5">
      <c r="A7" t="s">
        <v>62</v>
      </c>
      <c r="B7" t="s">
        <v>12391</v>
      </c>
      <c r="C7" t="s">
        <v>12392</v>
      </c>
      <c r="D7" t="s">
        <v>10381</v>
      </c>
      <c r="E7" t="s">
        <v>12393</v>
      </c>
    </row>
    <row r="8" spans="1:5">
      <c r="A8" t="s">
        <v>68</v>
      </c>
      <c r="B8" t="s">
        <v>12394</v>
      </c>
      <c r="C8" t="s">
        <v>12389</v>
      </c>
      <c r="D8" t="s">
        <v>10388</v>
      </c>
      <c r="E8" t="s">
        <v>12395</v>
      </c>
    </row>
    <row r="9" spans="1:5">
      <c r="A9" t="s">
        <v>75</v>
      </c>
      <c r="B9" t="s">
        <v>12396</v>
      </c>
      <c r="C9" t="s">
        <v>12397</v>
      </c>
      <c r="D9" t="s">
        <v>10376</v>
      </c>
      <c r="E9" t="s">
        <v>12398</v>
      </c>
    </row>
    <row r="10" spans="1:5">
      <c r="A10" t="s">
        <v>81</v>
      </c>
      <c r="B10" t="s">
        <v>12399</v>
      </c>
      <c r="C10" t="s">
        <v>12400</v>
      </c>
      <c r="D10" t="s">
        <v>12401</v>
      </c>
      <c r="E10" t="s">
        <v>12402</v>
      </c>
    </row>
    <row r="11" spans="1:5">
      <c r="A11" t="s">
        <v>88</v>
      </c>
      <c r="B11" t="s">
        <v>12403</v>
      </c>
      <c r="C11" t="s">
        <v>12378</v>
      </c>
      <c r="D11" t="s">
        <v>10388</v>
      </c>
      <c r="E11" t="s">
        <v>12404</v>
      </c>
    </row>
    <row r="12" spans="1:5">
      <c r="A12" t="s">
        <v>95</v>
      </c>
      <c r="B12" t="s">
        <v>12394</v>
      </c>
      <c r="C12" t="s">
        <v>12378</v>
      </c>
      <c r="D12" t="s">
        <v>10388</v>
      </c>
      <c r="E12" t="s">
        <v>12405</v>
      </c>
    </row>
    <row r="13" spans="1:5">
      <c r="A13" t="s">
        <v>101</v>
      </c>
      <c r="B13" t="s">
        <v>12406</v>
      </c>
      <c r="C13" t="s">
        <v>12407</v>
      </c>
      <c r="D13" t="s">
        <v>10388</v>
      </c>
      <c r="E13" t="s">
        <v>12408</v>
      </c>
    </row>
    <row r="14" spans="1:5">
      <c r="A14" t="s">
        <v>107</v>
      </c>
      <c r="B14" t="s">
        <v>12394</v>
      </c>
      <c r="C14" t="s">
        <v>12409</v>
      </c>
      <c r="D14" t="s">
        <v>10388</v>
      </c>
      <c r="E14" t="s">
        <v>12410</v>
      </c>
    </row>
    <row r="15" spans="1:5">
      <c r="A15" t="s">
        <v>113</v>
      </c>
      <c r="B15" t="s">
        <v>12411</v>
      </c>
      <c r="C15" t="s">
        <v>12412</v>
      </c>
      <c r="D15" t="s">
        <v>12413</v>
      </c>
      <c r="E15" t="s">
        <v>12414</v>
      </c>
    </row>
    <row r="16" spans="1:5">
      <c r="A16" t="s">
        <v>119</v>
      </c>
      <c r="B16" t="s">
        <v>12406</v>
      </c>
      <c r="C16" t="s">
        <v>12415</v>
      </c>
      <c r="D16" t="s">
        <v>12416</v>
      </c>
      <c r="E16" t="s">
        <v>12417</v>
      </c>
    </row>
    <row r="17" spans="1:5">
      <c r="A17" t="s">
        <v>125</v>
      </c>
      <c r="B17" t="s">
        <v>12418</v>
      </c>
      <c r="C17" t="s">
        <v>12419</v>
      </c>
      <c r="D17" t="s">
        <v>10376</v>
      </c>
      <c r="E17" t="s">
        <v>12420</v>
      </c>
    </row>
    <row r="18" spans="1:5">
      <c r="A18" t="s">
        <v>131</v>
      </c>
      <c r="B18" t="s">
        <v>12421</v>
      </c>
      <c r="C18" t="s">
        <v>12397</v>
      </c>
      <c r="D18" t="s">
        <v>12416</v>
      </c>
      <c r="E18" t="s">
        <v>12422</v>
      </c>
    </row>
    <row r="19" spans="1:5">
      <c r="A19" t="s">
        <v>138</v>
      </c>
      <c r="B19" t="s">
        <v>12388</v>
      </c>
      <c r="C19" t="s">
        <v>12400</v>
      </c>
      <c r="D19" t="s">
        <v>12413</v>
      </c>
      <c r="E19" t="s">
        <v>12423</v>
      </c>
    </row>
    <row r="20" spans="1:5">
      <c r="A20" t="s">
        <v>145</v>
      </c>
      <c r="B20" t="s">
        <v>12424</v>
      </c>
      <c r="C20" t="s">
        <v>10369</v>
      </c>
      <c r="D20" t="s">
        <v>12416</v>
      </c>
      <c r="E20" t="s">
        <v>12425</v>
      </c>
    </row>
    <row r="21" spans="1:5">
      <c r="A21" t="s">
        <v>152</v>
      </c>
      <c r="B21" t="s">
        <v>12426</v>
      </c>
      <c r="C21" t="s">
        <v>12415</v>
      </c>
      <c r="D21" t="s">
        <v>10376</v>
      </c>
      <c r="E21" t="s">
        <v>12427</v>
      </c>
    </row>
    <row r="22" spans="1:5">
      <c r="A22" t="s">
        <v>158</v>
      </c>
      <c r="B22" t="s">
        <v>12403</v>
      </c>
      <c r="C22" t="s">
        <v>12428</v>
      </c>
      <c r="D22" t="s">
        <v>10388</v>
      </c>
      <c r="E22" t="s">
        <v>12429</v>
      </c>
    </row>
    <row r="23" spans="1:5">
      <c r="A23" t="s">
        <v>164</v>
      </c>
      <c r="B23" t="s">
        <v>12430</v>
      </c>
      <c r="C23" t="s">
        <v>12412</v>
      </c>
      <c r="D23" t="s">
        <v>12381</v>
      </c>
      <c r="E23" t="s">
        <v>12431</v>
      </c>
    </row>
    <row r="24" spans="1:5">
      <c r="A24" t="s">
        <v>169</v>
      </c>
      <c r="B24" t="s">
        <v>12406</v>
      </c>
      <c r="C24" t="s">
        <v>12432</v>
      </c>
      <c r="D24" t="s">
        <v>12401</v>
      </c>
      <c r="E24" t="s">
        <v>12433</v>
      </c>
    </row>
    <row r="25" spans="1:5">
      <c r="A25" t="s">
        <v>175</v>
      </c>
      <c r="B25" t="s">
        <v>12434</v>
      </c>
      <c r="C25" t="s">
        <v>12397</v>
      </c>
      <c r="D25" t="s">
        <v>12416</v>
      </c>
      <c r="E25" t="s">
        <v>12435</v>
      </c>
    </row>
    <row r="26" spans="1:5">
      <c r="A26" t="s">
        <v>181</v>
      </c>
      <c r="B26" t="s">
        <v>12436</v>
      </c>
      <c r="C26" t="s">
        <v>12415</v>
      </c>
      <c r="D26" t="s">
        <v>12437</v>
      </c>
      <c r="E26" t="s">
        <v>12438</v>
      </c>
    </row>
    <row r="27" spans="1:5">
      <c r="A27" t="s">
        <v>187</v>
      </c>
      <c r="B27" t="s">
        <v>12439</v>
      </c>
      <c r="C27" t="s">
        <v>12440</v>
      </c>
      <c r="D27" t="s">
        <v>10388</v>
      </c>
      <c r="E27" t="s">
        <v>12441</v>
      </c>
    </row>
    <row r="28" spans="1:5">
      <c r="A28" t="s">
        <v>193</v>
      </c>
      <c r="B28" t="s">
        <v>12442</v>
      </c>
      <c r="C28" t="s">
        <v>12428</v>
      </c>
      <c r="D28" t="s">
        <v>10388</v>
      </c>
      <c r="E28" t="s">
        <v>12443</v>
      </c>
    </row>
    <row r="29" spans="1:5">
      <c r="A29" t="s">
        <v>200</v>
      </c>
      <c r="B29" t="s">
        <v>12403</v>
      </c>
      <c r="C29" t="s">
        <v>12397</v>
      </c>
      <c r="D29" t="s">
        <v>12413</v>
      </c>
      <c r="E29" t="s">
        <v>12444</v>
      </c>
    </row>
    <row r="30" spans="1:5">
      <c r="A30" t="s">
        <v>206</v>
      </c>
      <c r="B30" t="s">
        <v>12445</v>
      </c>
      <c r="C30" t="s">
        <v>12446</v>
      </c>
      <c r="D30" t="s">
        <v>10388</v>
      </c>
      <c r="E30" t="s">
        <v>12447</v>
      </c>
    </row>
    <row r="31" spans="1:5">
      <c r="A31" t="s">
        <v>212</v>
      </c>
      <c r="B31" t="s">
        <v>12442</v>
      </c>
      <c r="C31" t="s">
        <v>12440</v>
      </c>
      <c r="D31" t="s">
        <v>10388</v>
      </c>
      <c r="E31" t="s">
        <v>12448</v>
      </c>
    </row>
    <row r="32" spans="1:5">
      <c r="A32" t="s">
        <v>218</v>
      </c>
      <c r="B32" t="s">
        <v>12394</v>
      </c>
      <c r="C32" t="s">
        <v>12384</v>
      </c>
      <c r="D32" t="s">
        <v>12381</v>
      </c>
      <c r="E32" t="s">
        <v>12449</v>
      </c>
    </row>
    <row r="33" spans="1:5">
      <c r="A33" t="s">
        <v>224</v>
      </c>
      <c r="B33" t="s">
        <v>12450</v>
      </c>
      <c r="C33" t="s">
        <v>12389</v>
      </c>
      <c r="D33" t="s">
        <v>10388</v>
      </c>
      <c r="E33" t="s">
        <v>12451</v>
      </c>
    </row>
    <row r="34" spans="1:5">
      <c r="A34" t="s">
        <v>230</v>
      </c>
      <c r="B34" t="s">
        <v>12383</v>
      </c>
      <c r="C34" t="s">
        <v>10369</v>
      </c>
      <c r="D34" t="s">
        <v>12437</v>
      </c>
      <c r="E34" t="s">
        <v>12452</v>
      </c>
    </row>
    <row r="35" spans="1:5">
      <c r="A35" t="s">
        <v>236</v>
      </c>
      <c r="B35" t="s">
        <v>12453</v>
      </c>
      <c r="C35" t="s">
        <v>12400</v>
      </c>
      <c r="D35" t="s">
        <v>12401</v>
      </c>
      <c r="E35" t="s">
        <v>12454</v>
      </c>
    </row>
    <row r="36" spans="1:5">
      <c r="A36" t="s">
        <v>242</v>
      </c>
      <c r="B36" t="s">
        <v>12455</v>
      </c>
      <c r="C36" t="s">
        <v>10369</v>
      </c>
      <c r="D36" t="s">
        <v>12456</v>
      </c>
      <c r="E36" t="s">
        <v>12457</v>
      </c>
    </row>
    <row r="37" spans="1:5">
      <c r="A37" t="s">
        <v>248</v>
      </c>
      <c r="B37" t="s">
        <v>12386</v>
      </c>
      <c r="C37" t="s">
        <v>12446</v>
      </c>
      <c r="D37" t="s">
        <v>10388</v>
      </c>
      <c r="E37" t="s">
        <v>12458</v>
      </c>
    </row>
    <row r="38" spans="1:5">
      <c r="A38" t="s">
        <v>254</v>
      </c>
      <c r="B38" t="s">
        <v>12459</v>
      </c>
      <c r="C38" t="s">
        <v>12415</v>
      </c>
      <c r="D38" t="s">
        <v>12416</v>
      </c>
      <c r="E38" t="s">
        <v>12460</v>
      </c>
    </row>
    <row r="39" spans="1:5">
      <c r="A39" t="s">
        <v>260</v>
      </c>
      <c r="B39" t="s">
        <v>12461</v>
      </c>
      <c r="C39" t="s">
        <v>12378</v>
      </c>
      <c r="D39" t="s">
        <v>10388</v>
      </c>
      <c r="E39" t="s">
        <v>12462</v>
      </c>
    </row>
    <row r="40" spans="1:5">
      <c r="A40" t="s">
        <v>266</v>
      </c>
      <c r="B40" t="s">
        <v>12450</v>
      </c>
      <c r="C40" t="s">
        <v>12463</v>
      </c>
      <c r="D40" t="s">
        <v>10376</v>
      </c>
      <c r="E40" t="s">
        <v>12464</v>
      </c>
    </row>
    <row r="41" spans="1:5">
      <c r="A41" t="s">
        <v>272</v>
      </c>
      <c r="B41" t="s">
        <v>12424</v>
      </c>
      <c r="C41" t="s">
        <v>12407</v>
      </c>
      <c r="D41" t="s">
        <v>10388</v>
      </c>
      <c r="E41" t="s">
        <v>12465</v>
      </c>
    </row>
    <row r="42" spans="1:5">
      <c r="A42" t="s">
        <v>277</v>
      </c>
      <c r="B42" t="s">
        <v>12461</v>
      </c>
      <c r="C42" t="s">
        <v>12463</v>
      </c>
      <c r="D42" t="s">
        <v>12437</v>
      </c>
      <c r="E42" t="s">
        <v>12466</v>
      </c>
    </row>
    <row r="43" spans="1:5">
      <c r="A43" t="s">
        <v>283</v>
      </c>
      <c r="B43" t="s">
        <v>12445</v>
      </c>
      <c r="C43" t="s">
        <v>12392</v>
      </c>
      <c r="D43" t="s">
        <v>12467</v>
      </c>
      <c r="E43" t="s">
        <v>12468</v>
      </c>
    </row>
    <row r="44" spans="1:5">
      <c r="A44" t="s">
        <v>289</v>
      </c>
      <c r="B44" t="s">
        <v>12421</v>
      </c>
      <c r="C44" t="s">
        <v>12446</v>
      </c>
      <c r="D44" t="s">
        <v>10388</v>
      </c>
      <c r="E44" t="s">
        <v>12469</v>
      </c>
    </row>
    <row r="45" spans="1:5">
      <c r="A45" t="s">
        <v>295</v>
      </c>
      <c r="B45" t="s">
        <v>12470</v>
      </c>
      <c r="C45" t="s">
        <v>12397</v>
      </c>
      <c r="D45" t="s">
        <v>12381</v>
      </c>
      <c r="E45" t="s">
        <v>12471</v>
      </c>
    </row>
    <row r="46" spans="1:5">
      <c r="A46" t="s">
        <v>301</v>
      </c>
      <c r="B46" t="s">
        <v>12430</v>
      </c>
      <c r="C46" t="s">
        <v>12412</v>
      </c>
      <c r="D46" t="s">
        <v>10376</v>
      </c>
      <c r="E46" t="s">
        <v>12472</v>
      </c>
    </row>
    <row r="47" spans="1:5">
      <c r="A47" t="s">
        <v>306</v>
      </c>
      <c r="B47" t="s">
        <v>12473</v>
      </c>
      <c r="C47" t="s">
        <v>12474</v>
      </c>
      <c r="D47" t="s">
        <v>10388</v>
      </c>
      <c r="E47" t="s">
        <v>12475</v>
      </c>
    </row>
    <row r="48" spans="1:5">
      <c r="A48" t="s">
        <v>312</v>
      </c>
      <c r="B48" t="s">
        <v>12470</v>
      </c>
      <c r="C48" t="s">
        <v>12428</v>
      </c>
      <c r="D48" t="s">
        <v>10388</v>
      </c>
      <c r="E48" t="s">
        <v>12476</v>
      </c>
    </row>
    <row r="49" spans="1:5">
      <c r="A49" t="s">
        <v>317</v>
      </c>
      <c r="B49" t="s">
        <v>12477</v>
      </c>
      <c r="C49" t="s">
        <v>10369</v>
      </c>
      <c r="D49" t="s">
        <v>12467</v>
      </c>
      <c r="E49" t="s">
        <v>12478</v>
      </c>
    </row>
    <row r="50" spans="1:5">
      <c r="A50" t="s">
        <v>322</v>
      </c>
      <c r="B50" t="s">
        <v>12399</v>
      </c>
      <c r="C50" t="s">
        <v>12446</v>
      </c>
      <c r="D50" t="s">
        <v>10388</v>
      </c>
      <c r="E50" t="s">
        <v>12479</v>
      </c>
    </row>
    <row r="51" spans="1:5">
      <c r="A51" t="s">
        <v>328</v>
      </c>
      <c r="B51" t="s">
        <v>12406</v>
      </c>
      <c r="C51" t="s">
        <v>12392</v>
      </c>
      <c r="D51" t="s">
        <v>10381</v>
      </c>
      <c r="E51" t="s">
        <v>12480</v>
      </c>
    </row>
    <row r="52" spans="1:5">
      <c r="A52" t="s">
        <v>334</v>
      </c>
      <c r="B52" t="s">
        <v>12470</v>
      </c>
      <c r="C52" t="s">
        <v>12440</v>
      </c>
      <c r="D52" t="s">
        <v>10388</v>
      </c>
      <c r="E52" t="s">
        <v>12481</v>
      </c>
    </row>
    <row r="53" spans="1:5">
      <c r="A53" t="s">
        <v>340</v>
      </c>
      <c r="B53" t="s">
        <v>12394</v>
      </c>
      <c r="C53" t="s">
        <v>12392</v>
      </c>
      <c r="D53" t="s">
        <v>12381</v>
      </c>
      <c r="E53" t="s">
        <v>12482</v>
      </c>
    </row>
    <row r="54" spans="1:5">
      <c r="A54" t="s">
        <v>346</v>
      </c>
      <c r="B54" t="s">
        <v>12483</v>
      </c>
      <c r="C54" t="s">
        <v>10369</v>
      </c>
      <c r="D54" t="s">
        <v>10376</v>
      </c>
      <c r="E54" t="s">
        <v>12484</v>
      </c>
    </row>
    <row r="55" spans="1:5">
      <c r="A55" t="s">
        <v>352</v>
      </c>
      <c r="B55" t="s">
        <v>12426</v>
      </c>
      <c r="C55" t="s">
        <v>12407</v>
      </c>
      <c r="D55" t="s">
        <v>10388</v>
      </c>
      <c r="E55" t="s">
        <v>12485</v>
      </c>
    </row>
    <row r="56" spans="1:5">
      <c r="A56" t="s">
        <v>358</v>
      </c>
      <c r="B56" t="s">
        <v>12459</v>
      </c>
      <c r="C56" t="s">
        <v>12384</v>
      </c>
      <c r="D56" t="s">
        <v>12416</v>
      </c>
      <c r="E56" t="s">
        <v>12443</v>
      </c>
    </row>
    <row r="57" spans="1:5">
      <c r="A57" t="s">
        <v>364</v>
      </c>
      <c r="B57" t="s">
        <v>12383</v>
      </c>
      <c r="C57" t="s">
        <v>12409</v>
      </c>
      <c r="D57" t="s">
        <v>10388</v>
      </c>
      <c r="E57" t="s">
        <v>12486</v>
      </c>
    </row>
    <row r="58" spans="1:5">
      <c r="A58" t="s">
        <v>369</v>
      </c>
      <c r="B58" t="s">
        <v>12426</v>
      </c>
      <c r="C58" t="s">
        <v>12397</v>
      </c>
      <c r="D58" t="s">
        <v>12456</v>
      </c>
      <c r="E58" t="s">
        <v>12487</v>
      </c>
    </row>
    <row r="59" spans="1:5">
      <c r="A59" t="s">
        <v>376</v>
      </c>
      <c r="B59" t="s">
        <v>12477</v>
      </c>
      <c r="C59" t="s">
        <v>12407</v>
      </c>
      <c r="D59" t="s">
        <v>10388</v>
      </c>
      <c r="E59" t="s">
        <v>12488</v>
      </c>
    </row>
    <row r="60" spans="1:5">
      <c r="A60" t="s">
        <v>381</v>
      </c>
      <c r="B60" t="s">
        <v>12434</v>
      </c>
      <c r="C60" t="s">
        <v>12415</v>
      </c>
      <c r="D60" t="s">
        <v>12401</v>
      </c>
      <c r="E60" t="s">
        <v>12489</v>
      </c>
    </row>
    <row r="61" spans="1:5">
      <c r="A61" t="s">
        <v>387</v>
      </c>
      <c r="B61" t="s">
        <v>12386</v>
      </c>
      <c r="C61" t="s">
        <v>12419</v>
      </c>
      <c r="D61" t="s">
        <v>12413</v>
      </c>
      <c r="E61" t="s">
        <v>12490</v>
      </c>
    </row>
    <row r="62" spans="1:5">
      <c r="A62" t="s">
        <v>393</v>
      </c>
      <c r="B62" t="s">
        <v>12491</v>
      </c>
      <c r="C62" t="s">
        <v>12397</v>
      </c>
      <c r="D62" t="s">
        <v>12456</v>
      </c>
      <c r="E62" t="s">
        <v>12492</v>
      </c>
    </row>
    <row r="63" spans="1:5">
      <c r="A63" t="s">
        <v>399</v>
      </c>
      <c r="B63" t="s">
        <v>12439</v>
      </c>
      <c r="C63" t="s">
        <v>12493</v>
      </c>
      <c r="D63" t="s">
        <v>10388</v>
      </c>
      <c r="E63" t="s">
        <v>12494</v>
      </c>
    </row>
    <row r="64" spans="1:5">
      <c r="A64" t="s">
        <v>405</v>
      </c>
      <c r="B64" t="s">
        <v>12418</v>
      </c>
      <c r="C64" t="s">
        <v>12463</v>
      </c>
      <c r="D64" t="s">
        <v>12416</v>
      </c>
      <c r="E64" t="s">
        <v>12495</v>
      </c>
    </row>
    <row r="65" spans="1:5">
      <c r="A65" t="s">
        <v>410</v>
      </c>
      <c r="B65" t="s">
        <v>12491</v>
      </c>
      <c r="C65" t="s">
        <v>12463</v>
      </c>
      <c r="D65" t="s">
        <v>12467</v>
      </c>
      <c r="E65" t="s">
        <v>12496</v>
      </c>
    </row>
    <row r="66" spans="1:5">
      <c r="A66" t="s">
        <v>416</v>
      </c>
      <c r="B66" t="s">
        <v>12450</v>
      </c>
      <c r="C66" t="s">
        <v>12419</v>
      </c>
      <c r="D66" t="s">
        <v>12437</v>
      </c>
      <c r="E66" t="s">
        <v>12497</v>
      </c>
    </row>
    <row r="67" spans="1:5">
      <c r="A67" t="s">
        <v>422</v>
      </c>
      <c r="B67" t="s">
        <v>12498</v>
      </c>
      <c r="C67" t="s">
        <v>12499</v>
      </c>
      <c r="D67" t="s">
        <v>10388</v>
      </c>
      <c r="E67" t="s">
        <v>12500</v>
      </c>
    </row>
    <row r="68" spans="1:5">
      <c r="A68" t="s">
        <v>427</v>
      </c>
      <c r="B68" t="s">
        <v>12434</v>
      </c>
      <c r="C68" t="s">
        <v>12428</v>
      </c>
      <c r="D68" t="s">
        <v>10388</v>
      </c>
      <c r="E68" t="s">
        <v>12501</v>
      </c>
    </row>
    <row r="69" spans="1:5">
      <c r="A69" t="s">
        <v>433</v>
      </c>
      <c r="B69" t="s">
        <v>12477</v>
      </c>
      <c r="C69" t="s">
        <v>12419</v>
      </c>
      <c r="D69" t="s">
        <v>12401</v>
      </c>
      <c r="E69" t="s">
        <v>12502</v>
      </c>
    </row>
    <row r="70" spans="1:5">
      <c r="A70" t="s">
        <v>438</v>
      </c>
      <c r="B70" t="s">
        <v>12503</v>
      </c>
      <c r="C70" t="s">
        <v>12397</v>
      </c>
      <c r="D70" t="s">
        <v>12401</v>
      </c>
      <c r="E70" t="s">
        <v>12504</v>
      </c>
    </row>
    <row r="71" spans="1:5">
      <c r="A71" t="s">
        <v>444</v>
      </c>
      <c r="B71" t="s">
        <v>12436</v>
      </c>
      <c r="C71" t="s">
        <v>12384</v>
      </c>
      <c r="D71" t="s">
        <v>12413</v>
      </c>
      <c r="E71" t="s">
        <v>12420</v>
      </c>
    </row>
    <row r="72" spans="1:5">
      <c r="A72" t="s">
        <v>450</v>
      </c>
      <c r="B72" t="s">
        <v>12491</v>
      </c>
      <c r="C72" t="s">
        <v>12392</v>
      </c>
      <c r="D72" t="s">
        <v>12467</v>
      </c>
      <c r="E72" t="s">
        <v>12505</v>
      </c>
    </row>
    <row r="73" spans="1:5">
      <c r="A73" t="s">
        <v>455</v>
      </c>
      <c r="B73" t="s">
        <v>12461</v>
      </c>
      <c r="C73" t="s">
        <v>12378</v>
      </c>
      <c r="D73" t="s">
        <v>10388</v>
      </c>
      <c r="E73" t="s">
        <v>12506</v>
      </c>
    </row>
    <row r="74" spans="1:5">
      <c r="A74" t="s">
        <v>461</v>
      </c>
      <c r="B74" t="s">
        <v>12406</v>
      </c>
      <c r="C74" t="s">
        <v>12392</v>
      </c>
      <c r="D74" t="s">
        <v>12413</v>
      </c>
      <c r="E74" t="s">
        <v>12507</v>
      </c>
    </row>
    <row r="75" spans="1:5">
      <c r="A75" t="s">
        <v>467</v>
      </c>
      <c r="B75" t="s">
        <v>12508</v>
      </c>
      <c r="C75" t="s">
        <v>12463</v>
      </c>
      <c r="D75" t="s">
        <v>12456</v>
      </c>
      <c r="E75" t="s">
        <v>12509</v>
      </c>
    </row>
    <row r="76" spans="1:5">
      <c r="A76" t="s">
        <v>473</v>
      </c>
      <c r="B76" t="s">
        <v>12386</v>
      </c>
      <c r="C76" t="s">
        <v>12407</v>
      </c>
      <c r="D76" t="s">
        <v>10388</v>
      </c>
      <c r="E76" t="s">
        <v>12506</v>
      </c>
    </row>
    <row r="77" spans="1:5">
      <c r="A77" t="s">
        <v>479</v>
      </c>
      <c r="B77" t="s">
        <v>12434</v>
      </c>
      <c r="C77" t="s">
        <v>12409</v>
      </c>
      <c r="D77" t="s">
        <v>10388</v>
      </c>
      <c r="E77" t="s">
        <v>12510</v>
      </c>
    </row>
    <row r="78" spans="1:5">
      <c r="A78" t="s">
        <v>485</v>
      </c>
      <c r="B78" t="s">
        <v>12491</v>
      </c>
      <c r="C78" t="s">
        <v>12409</v>
      </c>
      <c r="D78" t="s">
        <v>10388</v>
      </c>
      <c r="E78" t="s">
        <v>12511</v>
      </c>
    </row>
    <row r="79" spans="1:5">
      <c r="A79" t="s">
        <v>490</v>
      </c>
      <c r="B79" t="s">
        <v>12512</v>
      </c>
      <c r="C79" t="s">
        <v>12407</v>
      </c>
      <c r="D79" t="s">
        <v>10388</v>
      </c>
      <c r="E79" t="s">
        <v>12513</v>
      </c>
    </row>
    <row r="80" spans="1:5">
      <c r="A80" t="s">
        <v>495</v>
      </c>
      <c r="B80" t="s">
        <v>12442</v>
      </c>
      <c r="C80" t="s">
        <v>12499</v>
      </c>
      <c r="D80" t="s">
        <v>10388</v>
      </c>
      <c r="E80" t="s">
        <v>12514</v>
      </c>
    </row>
    <row r="81" spans="1:5">
      <c r="A81" t="s">
        <v>501</v>
      </c>
      <c r="B81" t="s">
        <v>12403</v>
      </c>
      <c r="C81" t="s">
        <v>12428</v>
      </c>
      <c r="D81" t="s">
        <v>10388</v>
      </c>
      <c r="E81" t="s">
        <v>12515</v>
      </c>
    </row>
    <row r="82" spans="1:5">
      <c r="A82" t="s">
        <v>507</v>
      </c>
      <c r="B82" t="s">
        <v>12411</v>
      </c>
      <c r="C82" t="s">
        <v>12392</v>
      </c>
      <c r="D82" t="s">
        <v>12467</v>
      </c>
      <c r="E82" t="s">
        <v>12516</v>
      </c>
    </row>
    <row r="83" spans="1:5">
      <c r="A83" t="s">
        <v>513</v>
      </c>
      <c r="B83" t="s">
        <v>12483</v>
      </c>
      <c r="C83" t="s">
        <v>12463</v>
      </c>
      <c r="D83" t="s">
        <v>12467</v>
      </c>
      <c r="E83" t="s">
        <v>12517</v>
      </c>
    </row>
    <row r="84" spans="1:5">
      <c r="A84" t="s">
        <v>519</v>
      </c>
      <c r="B84" t="s">
        <v>12380</v>
      </c>
      <c r="C84" t="s">
        <v>10369</v>
      </c>
      <c r="D84" t="s">
        <v>10376</v>
      </c>
      <c r="E84" t="s">
        <v>12518</v>
      </c>
    </row>
    <row r="85" spans="1:5">
      <c r="A85" t="s">
        <v>525</v>
      </c>
      <c r="B85" t="s">
        <v>12386</v>
      </c>
      <c r="C85" t="s">
        <v>12407</v>
      </c>
      <c r="D85" t="s">
        <v>10388</v>
      </c>
      <c r="E85" t="s">
        <v>12519</v>
      </c>
    </row>
    <row r="86" spans="1:5">
      <c r="A86" t="s">
        <v>531</v>
      </c>
      <c r="B86" t="s">
        <v>12473</v>
      </c>
      <c r="C86" t="s">
        <v>12378</v>
      </c>
      <c r="D86" t="s">
        <v>10388</v>
      </c>
      <c r="E86" t="s">
        <v>12520</v>
      </c>
    </row>
    <row r="87" spans="1:5">
      <c r="A87" t="s">
        <v>537</v>
      </c>
      <c r="B87" t="s">
        <v>12470</v>
      </c>
      <c r="C87" t="s">
        <v>12415</v>
      </c>
      <c r="D87" t="s">
        <v>12401</v>
      </c>
      <c r="E87" t="s">
        <v>12521</v>
      </c>
    </row>
    <row r="88" spans="1:5">
      <c r="A88" t="s">
        <v>542</v>
      </c>
      <c r="B88" t="s">
        <v>12399</v>
      </c>
      <c r="C88" t="s">
        <v>12400</v>
      </c>
      <c r="D88" t="s">
        <v>12416</v>
      </c>
      <c r="E88" t="s">
        <v>12522</v>
      </c>
    </row>
    <row r="89" spans="1:5">
      <c r="A89" t="s">
        <v>548</v>
      </c>
      <c r="B89" t="s">
        <v>12430</v>
      </c>
      <c r="C89" t="s">
        <v>12463</v>
      </c>
      <c r="D89" t="s">
        <v>12467</v>
      </c>
      <c r="E89" t="s">
        <v>12523</v>
      </c>
    </row>
    <row r="90" spans="1:5">
      <c r="A90" t="s">
        <v>553</v>
      </c>
      <c r="B90" t="s">
        <v>12411</v>
      </c>
      <c r="C90" t="s">
        <v>12415</v>
      </c>
      <c r="D90" t="s">
        <v>12413</v>
      </c>
      <c r="E90" t="s">
        <v>12524</v>
      </c>
    </row>
    <row r="91" spans="1:5">
      <c r="A91" t="s">
        <v>559</v>
      </c>
      <c r="B91" t="s">
        <v>12525</v>
      </c>
      <c r="C91" t="s">
        <v>12428</v>
      </c>
      <c r="D91" t="s">
        <v>10388</v>
      </c>
      <c r="E91" t="s">
        <v>12526</v>
      </c>
    </row>
    <row r="92" spans="1:5">
      <c r="A92" t="s">
        <v>565</v>
      </c>
      <c r="B92" t="s">
        <v>12394</v>
      </c>
      <c r="C92" t="s">
        <v>12412</v>
      </c>
      <c r="D92" t="s">
        <v>12467</v>
      </c>
      <c r="E92" t="s">
        <v>12527</v>
      </c>
    </row>
    <row r="93" spans="1:5">
      <c r="A93" t="s">
        <v>570</v>
      </c>
      <c r="B93" t="s">
        <v>12491</v>
      </c>
      <c r="C93" t="s">
        <v>12463</v>
      </c>
      <c r="D93" t="s">
        <v>10381</v>
      </c>
      <c r="E93" t="s">
        <v>12528</v>
      </c>
    </row>
    <row r="94" spans="1:5">
      <c r="A94" t="s">
        <v>576</v>
      </c>
      <c r="B94" t="s">
        <v>12442</v>
      </c>
      <c r="C94" t="s">
        <v>12499</v>
      </c>
      <c r="D94" t="s">
        <v>10388</v>
      </c>
      <c r="E94" t="s">
        <v>12529</v>
      </c>
    </row>
    <row r="95" spans="1:5">
      <c r="A95" t="s">
        <v>582</v>
      </c>
      <c r="B95" t="s">
        <v>12477</v>
      </c>
      <c r="C95" t="s">
        <v>12378</v>
      </c>
      <c r="D95" t="s">
        <v>10388</v>
      </c>
      <c r="E95" t="s">
        <v>12530</v>
      </c>
    </row>
    <row r="96" spans="1:5">
      <c r="A96" t="s">
        <v>588</v>
      </c>
      <c r="B96" t="s">
        <v>12424</v>
      </c>
      <c r="C96" t="s">
        <v>12474</v>
      </c>
      <c r="D96" t="s">
        <v>10388</v>
      </c>
      <c r="E96" t="s">
        <v>12531</v>
      </c>
    </row>
    <row r="97" spans="1:5">
      <c r="A97" t="s">
        <v>594</v>
      </c>
      <c r="B97" t="s">
        <v>12436</v>
      </c>
      <c r="C97" t="s">
        <v>12419</v>
      </c>
      <c r="D97" t="s">
        <v>12413</v>
      </c>
      <c r="E97" t="s">
        <v>12532</v>
      </c>
    </row>
    <row r="98" spans="1:5">
      <c r="A98" t="s">
        <v>599</v>
      </c>
      <c r="B98" t="s">
        <v>12383</v>
      </c>
      <c r="C98" t="s">
        <v>12440</v>
      </c>
      <c r="D98" t="s">
        <v>10388</v>
      </c>
      <c r="E98" t="s">
        <v>12533</v>
      </c>
    </row>
    <row r="99" spans="1:5">
      <c r="A99" t="s">
        <v>605</v>
      </c>
      <c r="B99" t="s">
        <v>12396</v>
      </c>
      <c r="C99" t="s">
        <v>12400</v>
      </c>
      <c r="D99" t="s">
        <v>12456</v>
      </c>
      <c r="E99" t="s">
        <v>12534</v>
      </c>
    </row>
    <row r="100" spans="1:5">
      <c r="A100" t="s">
        <v>611</v>
      </c>
      <c r="B100" t="s">
        <v>12421</v>
      </c>
      <c r="C100" t="s">
        <v>12384</v>
      </c>
      <c r="D100" t="s">
        <v>12456</v>
      </c>
      <c r="E100" t="s">
        <v>12535</v>
      </c>
    </row>
    <row r="101" spans="1:5">
      <c r="A101" t="s">
        <v>616</v>
      </c>
      <c r="B101" t="s">
        <v>12455</v>
      </c>
      <c r="C101" t="s">
        <v>12397</v>
      </c>
      <c r="D101" t="s">
        <v>12456</v>
      </c>
      <c r="E101" t="s">
        <v>12536</v>
      </c>
    </row>
    <row r="102" spans="1:5">
      <c r="A102" t="s">
        <v>622</v>
      </c>
      <c r="B102" t="s">
        <v>12503</v>
      </c>
      <c r="C102" t="s">
        <v>12392</v>
      </c>
      <c r="D102" t="s">
        <v>10402</v>
      </c>
      <c r="E102" t="s">
        <v>12537</v>
      </c>
    </row>
    <row r="103" spans="1:5">
      <c r="A103" t="s">
        <v>628</v>
      </c>
      <c r="B103" t="s">
        <v>12470</v>
      </c>
      <c r="C103" t="s">
        <v>12415</v>
      </c>
      <c r="D103" t="s">
        <v>12437</v>
      </c>
      <c r="E103" t="s">
        <v>12538</v>
      </c>
    </row>
    <row r="104" spans="1:5">
      <c r="A104" t="s">
        <v>634</v>
      </c>
      <c r="B104" t="s">
        <v>12406</v>
      </c>
      <c r="C104" t="s">
        <v>12493</v>
      </c>
      <c r="D104" t="s">
        <v>10388</v>
      </c>
      <c r="E104" t="s">
        <v>12539</v>
      </c>
    </row>
    <row r="105" spans="1:5">
      <c r="A105" t="s">
        <v>640</v>
      </c>
      <c r="B105" t="s">
        <v>12503</v>
      </c>
      <c r="C105" t="s">
        <v>12389</v>
      </c>
      <c r="D105" t="s">
        <v>10388</v>
      </c>
      <c r="E105" t="s">
        <v>12540</v>
      </c>
    </row>
    <row r="106" spans="1:5">
      <c r="A106" t="s">
        <v>645</v>
      </c>
      <c r="B106" t="s">
        <v>12396</v>
      </c>
      <c r="C106" t="s">
        <v>12407</v>
      </c>
      <c r="D106" t="s">
        <v>10388</v>
      </c>
      <c r="E106" t="s">
        <v>12541</v>
      </c>
    </row>
    <row r="107" spans="1:5">
      <c r="A107" t="s">
        <v>650</v>
      </c>
      <c r="B107" t="s">
        <v>12439</v>
      </c>
      <c r="C107" t="s">
        <v>12446</v>
      </c>
      <c r="D107" t="s">
        <v>10388</v>
      </c>
      <c r="E107" t="s">
        <v>12542</v>
      </c>
    </row>
    <row r="108" spans="1:5">
      <c r="A108" t="s">
        <v>656</v>
      </c>
      <c r="B108" t="s">
        <v>12426</v>
      </c>
      <c r="C108" t="s">
        <v>12412</v>
      </c>
      <c r="D108" t="s">
        <v>12401</v>
      </c>
      <c r="E108" t="s">
        <v>12543</v>
      </c>
    </row>
    <row r="109" spans="1:5">
      <c r="A109" t="s">
        <v>662</v>
      </c>
      <c r="B109" t="s">
        <v>12386</v>
      </c>
      <c r="C109" t="s">
        <v>12499</v>
      </c>
      <c r="D109" t="s">
        <v>10388</v>
      </c>
      <c r="E109" t="s">
        <v>12544</v>
      </c>
    </row>
    <row r="110" spans="1:5">
      <c r="A110" t="s">
        <v>668</v>
      </c>
      <c r="B110" t="s">
        <v>12455</v>
      </c>
      <c r="C110" t="s">
        <v>12493</v>
      </c>
      <c r="D110" t="s">
        <v>10388</v>
      </c>
      <c r="E110" t="s">
        <v>12545</v>
      </c>
    </row>
    <row r="111" spans="1:5">
      <c r="A111" t="s">
        <v>674</v>
      </c>
      <c r="B111" t="s">
        <v>12477</v>
      </c>
      <c r="C111" t="s">
        <v>12412</v>
      </c>
      <c r="D111" t="s">
        <v>12467</v>
      </c>
      <c r="E111" t="s">
        <v>12546</v>
      </c>
    </row>
    <row r="112" spans="1:5">
      <c r="A112" t="s">
        <v>680</v>
      </c>
      <c r="B112" t="s">
        <v>12386</v>
      </c>
      <c r="C112" t="s">
        <v>12440</v>
      </c>
      <c r="D112" t="s">
        <v>10388</v>
      </c>
      <c r="E112" t="s">
        <v>12547</v>
      </c>
    </row>
    <row r="113" spans="1:5">
      <c r="A113" t="s">
        <v>686</v>
      </c>
      <c r="B113" t="s">
        <v>12477</v>
      </c>
      <c r="C113" t="s">
        <v>12493</v>
      </c>
      <c r="D113" t="s">
        <v>10388</v>
      </c>
      <c r="E113" t="s">
        <v>12548</v>
      </c>
    </row>
    <row r="114" spans="1:5">
      <c r="A114" t="s">
        <v>692</v>
      </c>
      <c r="B114" t="s">
        <v>12396</v>
      </c>
      <c r="C114" t="s">
        <v>12407</v>
      </c>
      <c r="D114" t="s">
        <v>10388</v>
      </c>
      <c r="E114" t="s">
        <v>12549</v>
      </c>
    </row>
    <row r="115" spans="1:5">
      <c r="A115" t="s">
        <v>698</v>
      </c>
      <c r="B115" t="s">
        <v>12380</v>
      </c>
      <c r="C115" t="s">
        <v>12407</v>
      </c>
      <c r="D115" t="s">
        <v>10388</v>
      </c>
      <c r="E115" t="s">
        <v>12550</v>
      </c>
    </row>
    <row r="116" spans="1:5">
      <c r="A116" t="s">
        <v>703</v>
      </c>
      <c r="B116" t="s">
        <v>12442</v>
      </c>
      <c r="C116" t="s">
        <v>12428</v>
      </c>
      <c r="D116" t="s">
        <v>10388</v>
      </c>
      <c r="E116" t="s">
        <v>12551</v>
      </c>
    </row>
    <row r="117" spans="1:5">
      <c r="A117" t="s">
        <v>709</v>
      </c>
      <c r="B117" t="s">
        <v>12424</v>
      </c>
      <c r="C117" t="s">
        <v>12419</v>
      </c>
      <c r="D117" t="s">
        <v>12413</v>
      </c>
      <c r="E117" t="s">
        <v>12379</v>
      </c>
    </row>
    <row r="118" spans="1:5">
      <c r="A118" t="s">
        <v>714</v>
      </c>
      <c r="B118" t="s">
        <v>12552</v>
      </c>
      <c r="C118" t="s">
        <v>12378</v>
      </c>
      <c r="D118" t="s">
        <v>10388</v>
      </c>
      <c r="E118" t="s">
        <v>12553</v>
      </c>
    </row>
    <row r="119" spans="1:5">
      <c r="A119" t="s">
        <v>719</v>
      </c>
      <c r="B119" t="s">
        <v>12436</v>
      </c>
      <c r="C119" t="s">
        <v>12384</v>
      </c>
      <c r="D119" t="s">
        <v>12401</v>
      </c>
      <c r="E119" t="s">
        <v>12554</v>
      </c>
    </row>
    <row r="120" spans="1:5">
      <c r="A120" t="s">
        <v>724</v>
      </c>
      <c r="B120" t="s">
        <v>12477</v>
      </c>
      <c r="C120" t="s">
        <v>12397</v>
      </c>
      <c r="D120" t="s">
        <v>12437</v>
      </c>
      <c r="E120" t="s">
        <v>12555</v>
      </c>
    </row>
    <row r="121" spans="1:5">
      <c r="A121" t="s">
        <v>730</v>
      </c>
      <c r="B121" t="s">
        <v>12388</v>
      </c>
      <c r="C121" t="s">
        <v>12384</v>
      </c>
      <c r="D121" t="s">
        <v>12401</v>
      </c>
      <c r="E121" t="s">
        <v>12548</v>
      </c>
    </row>
    <row r="122" spans="1:5">
      <c r="A122" t="s">
        <v>735</v>
      </c>
      <c r="B122" t="s">
        <v>12436</v>
      </c>
      <c r="C122" t="s">
        <v>12407</v>
      </c>
      <c r="D122" t="s">
        <v>10388</v>
      </c>
      <c r="E122" t="s">
        <v>12556</v>
      </c>
    </row>
    <row r="123" spans="1:5">
      <c r="A123" t="s">
        <v>741</v>
      </c>
      <c r="B123" t="s">
        <v>12436</v>
      </c>
      <c r="C123" t="s">
        <v>12474</v>
      </c>
      <c r="D123" t="s">
        <v>10388</v>
      </c>
      <c r="E123" t="s">
        <v>12557</v>
      </c>
    </row>
    <row r="124" spans="1:5">
      <c r="A124" t="s">
        <v>746</v>
      </c>
      <c r="B124" t="s">
        <v>12418</v>
      </c>
      <c r="C124" t="s">
        <v>12432</v>
      </c>
      <c r="D124" t="s">
        <v>10402</v>
      </c>
      <c r="E124" t="s">
        <v>12558</v>
      </c>
    </row>
    <row r="125" spans="1:5">
      <c r="A125" t="s">
        <v>752</v>
      </c>
      <c r="B125" t="s">
        <v>12394</v>
      </c>
      <c r="C125" t="s">
        <v>12412</v>
      </c>
      <c r="D125" t="s">
        <v>12381</v>
      </c>
      <c r="E125" t="s">
        <v>12559</v>
      </c>
    </row>
    <row r="126" spans="1:5">
      <c r="A126" t="s">
        <v>757</v>
      </c>
      <c r="B126" t="s">
        <v>12552</v>
      </c>
      <c r="C126" t="s">
        <v>12440</v>
      </c>
      <c r="D126" t="s">
        <v>10388</v>
      </c>
      <c r="E126" t="s">
        <v>12560</v>
      </c>
    </row>
    <row r="127" spans="1:5">
      <c r="A127" t="s">
        <v>763</v>
      </c>
      <c r="B127" t="s">
        <v>12512</v>
      </c>
      <c r="C127" t="s">
        <v>12499</v>
      </c>
      <c r="D127" t="s">
        <v>10388</v>
      </c>
      <c r="E127" t="s">
        <v>12510</v>
      </c>
    </row>
    <row r="128" spans="1:5">
      <c r="A128" t="s">
        <v>769</v>
      </c>
      <c r="B128" t="s">
        <v>12552</v>
      </c>
      <c r="C128" t="s">
        <v>12474</v>
      </c>
      <c r="D128" t="s">
        <v>10388</v>
      </c>
      <c r="E128" t="s">
        <v>12561</v>
      </c>
    </row>
    <row r="129" spans="1:5">
      <c r="A129" t="s">
        <v>775</v>
      </c>
      <c r="B129" t="s">
        <v>12411</v>
      </c>
      <c r="C129" t="s">
        <v>12384</v>
      </c>
      <c r="D129" t="s">
        <v>12413</v>
      </c>
      <c r="E129" t="s">
        <v>12562</v>
      </c>
    </row>
    <row r="130" spans="1:5">
      <c r="A130" t="s">
        <v>781</v>
      </c>
      <c r="B130" t="s">
        <v>12563</v>
      </c>
      <c r="C130" t="s">
        <v>12499</v>
      </c>
      <c r="D130" t="s">
        <v>10388</v>
      </c>
      <c r="E130" t="s">
        <v>12482</v>
      </c>
    </row>
    <row r="131" spans="1:5">
      <c r="A131" t="s">
        <v>787</v>
      </c>
      <c r="B131" t="s">
        <v>12430</v>
      </c>
      <c r="C131" t="s">
        <v>10369</v>
      </c>
      <c r="D131" t="s">
        <v>10381</v>
      </c>
      <c r="E131" t="s">
        <v>12564</v>
      </c>
    </row>
    <row r="132" spans="1:5">
      <c r="A132" t="s">
        <v>792</v>
      </c>
      <c r="B132" t="s">
        <v>12565</v>
      </c>
      <c r="C132" t="s">
        <v>12409</v>
      </c>
      <c r="D132" t="s">
        <v>10388</v>
      </c>
      <c r="E132" t="s">
        <v>12566</v>
      </c>
    </row>
    <row r="133" spans="1:5">
      <c r="A133" t="s">
        <v>797</v>
      </c>
      <c r="B133" t="s">
        <v>12426</v>
      </c>
      <c r="C133" t="s">
        <v>12428</v>
      </c>
      <c r="D133" t="s">
        <v>10388</v>
      </c>
      <c r="E133" t="s">
        <v>12567</v>
      </c>
    </row>
    <row r="134" spans="1:5">
      <c r="A134" t="s">
        <v>803</v>
      </c>
      <c r="B134" t="s">
        <v>12477</v>
      </c>
      <c r="C134" t="s">
        <v>12474</v>
      </c>
      <c r="D134" t="s">
        <v>10388</v>
      </c>
      <c r="E134" t="s">
        <v>12479</v>
      </c>
    </row>
    <row r="135" spans="1:5">
      <c r="A135" t="s">
        <v>808</v>
      </c>
      <c r="B135" t="s">
        <v>12430</v>
      </c>
      <c r="C135" t="s">
        <v>12392</v>
      </c>
      <c r="D135" t="s">
        <v>12401</v>
      </c>
      <c r="E135" t="s">
        <v>12568</v>
      </c>
    </row>
    <row r="136" spans="1:5">
      <c r="A136" t="s">
        <v>813</v>
      </c>
      <c r="B136" t="s">
        <v>12399</v>
      </c>
      <c r="C136" t="s">
        <v>12428</v>
      </c>
      <c r="D136" t="s">
        <v>10388</v>
      </c>
      <c r="E136" t="s">
        <v>12569</v>
      </c>
    </row>
    <row r="137" spans="1:5">
      <c r="A137" t="s">
        <v>818</v>
      </c>
      <c r="B137" t="s">
        <v>12498</v>
      </c>
      <c r="C137" t="s">
        <v>12407</v>
      </c>
      <c r="D137" t="s">
        <v>10388</v>
      </c>
      <c r="E137" t="s">
        <v>12570</v>
      </c>
    </row>
    <row r="138" spans="1:5">
      <c r="A138" t="s">
        <v>824</v>
      </c>
      <c r="B138" t="s">
        <v>12391</v>
      </c>
      <c r="C138" t="s">
        <v>12428</v>
      </c>
      <c r="D138" t="s">
        <v>10388</v>
      </c>
      <c r="E138" t="s">
        <v>12571</v>
      </c>
    </row>
    <row r="139" spans="1:5">
      <c r="A139" t="s">
        <v>830</v>
      </c>
      <c r="B139" t="s">
        <v>12565</v>
      </c>
      <c r="C139" t="s">
        <v>12440</v>
      </c>
      <c r="D139" t="s">
        <v>10388</v>
      </c>
      <c r="E139" t="s">
        <v>12572</v>
      </c>
    </row>
    <row r="140" spans="1:5">
      <c r="A140" t="s">
        <v>836</v>
      </c>
      <c r="B140" t="s">
        <v>12498</v>
      </c>
      <c r="C140" t="s">
        <v>12419</v>
      </c>
      <c r="D140" t="s">
        <v>12401</v>
      </c>
      <c r="E140" t="s">
        <v>12573</v>
      </c>
    </row>
    <row r="141" spans="1:5">
      <c r="A141" t="s">
        <v>842</v>
      </c>
      <c r="B141" t="s">
        <v>12377</v>
      </c>
      <c r="C141" t="s">
        <v>12493</v>
      </c>
      <c r="D141" t="s">
        <v>10388</v>
      </c>
      <c r="E141" t="s">
        <v>12574</v>
      </c>
    </row>
    <row r="142" spans="1:5">
      <c r="A142" t="s">
        <v>848</v>
      </c>
      <c r="B142" t="s">
        <v>12508</v>
      </c>
      <c r="C142" t="s">
        <v>12415</v>
      </c>
      <c r="D142" t="s">
        <v>12437</v>
      </c>
      <c r="E142" t="s">
        <v>12575</v>
      </c>
    </row>
    <row r="143" spans="1:5">
      <c r="A143" t="s">
        <v>854</v>
      </c>
      <c r="B143" t="s">
        <v>12455</v>
      </c>
      <c r="C143" t="s">
        <v>12440</v>
      </c>
      <c r="D143" t="s">
        <v>10388</v>
      </c>
      <c r="E143" t="s">
        <v>12576</v>
      </c>
    </row>
    <row r="144" spans="1:5">
      <c r="A144" t="s">
        <v>860</v>
      </c>
      <c r="B144" t="s">
        <v>12439</v>
      </c>
      <c r="C144" t="s">
        <v>12389</v>
      </c>
      <c r="D144" t="s">
        <v>10388</v>
      </c>
      <c r="E144" t="s">
        <v>12577</v>
      </c>
    </row>
    <row r="145" spans="1:5">
      <c r="A145" t="s">
        <v>866</v>
      </c>
      <c r="B145" t="s">
        <v>12512</v>
      </c>
      <c r="C145" t="s">
        <v>12378</v>
      </c>
      <c r="D145" t="s">
        <v>10388</v>
      </c>
      <c r="E145" t="s">
        <v>12578</v>
      </c>
    </row>
    <row r="146" spans="1:5">
      <c r="A146" t="s">
        <v>872</v>
      </c>
      <c r="B146" t="s">
        <v>12483</v>
      </c>
      <c r="C146" t="s">
        <v>12412</v>
      </c>
      <c r="D146" t="s">
        <v>12437</v>
      </c>
      <c r="E146" t="s">
        <v>12579</v>
      </c>
    </row>
    <row r="147" spans="1:5">
      <c r="A147" t="s">
        <v>877</v>
      </c>
      <c r="B147" t="s">
        <v>12483</v>
      </c>
      <c r="C147" t="s">
        <v>12446</v>
      </c>
      <c r="D147" t="s">
        <v>10388</v>
      </c>
      <c r="E147" t="s">
        <v>12580</v>
      </c>
    </row>
    <row r="148" spans="1:5">
      <c r="A148" t="s">
        <v>883</v>
      </c>
      <c r="B148" t="s">
        <v>12424</v>
      </c>
      <c r="C148" t="s">
        <v>12499</v>
      </c>
      <c r="D148" t="s">
        <v>10388</v>
      </c>
      <c r="E148" t="s">
        <v>12581</v>
      </c>
    </row>
    <row r="149" spans="1:5">
      <c r="A149" t="s">
        <v>888</v>
      </c>
      <c r="B149" t="s">
        <v>12503</v>
      </c>
      <c r="C149" t="s">
        <v>12392</v>
      </c>
      <c r="D149" t="s">
        <v>12416</v>
      </c>
      <c r="E149" t="s">
        <v>12488</v>
      </c>
    </row>
    <row r="150" spans="1:5">
      <c r="A150" t="s">
        <v>894</v>
      </c>
      <c r="B150" t="s">
        <v>12491</v>
      </c>
      <c r="C150" t="s">
        <v>12463</v>
      </c>
      <c r="D150" t="s">
        <v>10381</v>
      </c>
      <c r="E150" t="s">
        <v>12582</v>
      </c>
    </row>
    <row r="151" spans="1:5">
      <c r="A151" t="s">
        <v>900</v>
      </c>
      <c r="B151" t="s">
        <v>12503</v>
      </c>
      <c r="C151" t="s">
        <v>12428</v>
      </c>
      <c r="D151" t="s">
        <v>10388</v>
      </c>
      <c r="E151" t="s">
        <v>12583</v>
      </c>
    </row>
    <row r="152" spans="1:5">
      <c r="A152" t="s">
        <v>905</v>
      </c>
      <c r="B152" t="s">
        <v>12450</v>
      </c>
      <c r="C152" t="s">
        <v>12474</v>
      </c>
      <c r="D152" t="s">
        <v>10388</v>
      </c>
      <c r="E152" t="s">
        <v>12584</v>
      </c>
    </row>
    <row r="153" spans="1:5">
      <c r="A153" t="s">
        <v>911</v>
      </c>
      <c r="B153" t="s">
        <v>12434</v>
      </c>
      <c r="C153" t="s">
        <v>12428</v>
      </c>
      <c r="D153" t="s">
        <v>10388</v>
      </c>
      <c r="E153" t="s">
        <v>12585</v>
      </c>
    </row>
    <row r="154" spans="1:5">
      <c r="A154" t="s">
        <v>917</v>
      </c>
      <c r="B154" t="s">
        <v>12453</v>
      </c>
      <c r="C154" t="s">
        <v>12499</v>
      </c>
      <c r="D154" t="s">
        <v>10388</v>
      </c>
      <c r="E154" t="s">
        <v>12586</v>
      </c>
    </row>
    <row r="155" spans="1:5">
      <c r="A155" t="s">
        <v>922</v>
      </c>
      <c r="B155" t="s">
        <v>12424</v>
      </c>
      <c r="C155" t="s">
        <v>12419</v>
      </c>
      <c r="D155" t="s">
        <v>12381</v>
      </c>
      <c r="E155" t="s">
        <v>12587</v>
      </c>
    </row>
    <row r="156" spans="1:5">
      <c r="A156" t="s">
        <v>928</v>
      </c>
      <c r="B156" t="s">
        <v>12439</v>
      </c>
      <c r="C156" t="s">
        <v>12392</v>
      </c>
      <c r="D156" t="s">
        <v>12467</v>
      </c>
      <c r="E156" t="s">
        <v>12588</v>
      </c>
    </row>
    <row r="157" spans="1:5">
      <c r="A157" t="s">
        <v>934</v>
      </c>
      <c r="B157" t="s">
        <v>12388</v>
      </c>
      <c r="C157" t="s">
        <v>12463</v>
      </c>
      <c r="D157" t="s">
        <v>12437</v>
      </c>
      <c r="E157" t="s">
        <v>12589</v>
      </c>
    </row>
    <row r="158" spans="1:5">
      <c r="A158" t="s">
        <v>940</v>
      </c>
      <c r="B158" t="s">
        <v>12442</v>
      </c>
      <c r="C158" t="s">
        <v>12389</v>
      </c>
      <c r="D158" t="s">
        <v>10388</v>
      </c>
      <c r="E158" t="s">
        <v>12590</v>
      </c>
    </row>
    <row r="159" spans="1:5">
      <c r="A159" t="s">
        <v>945</v>
      </c>
      <c r="B159" t="s">
        <v>12436</v>
      </c>
      <c r="C159" t="s">
        <v>12397</v>
      </c>
      <c r="D159" t="s">
        <v>12413</v>
      </c>
      <c r="E159" t="s">
        <v>12591</v>
      </c>
    </row>
    <row r="160" spans="1:5">
      <c r="A160" t="s">
        <v>950</v>
      </c>
      <c r="B160" t="s">
        <v>12439</v>
      </c>
      <c r="C160" t="s">
        <v>12432</v>
      </c>
      <c r="D160" t="s">
        <v>12416</v>
      </c>
      <c r="E160" t="s">
        <v>12592</v>
      </c>
    </row>
    <row r="161" spans="1:5">
      <c r="A161" t="s">
        <v>956</v>
      </c>
      <c r="B161" t="s">
        <v>12436</v>
      </c>
      <c r="C161" t="s">
        <v>12400</v>
      </c>
      <c r="D161" t="s">
        <v>12456</v>
      </c>
      <c r="E161" t="s">
        <v>12593</v>
      </c>
    </row>
    <row r="162" spans="1:5">
      <c r="A162" t="s">
        <v>962</v>
      </c>
      <c r="B162" t="s">
        <v>12421</v>
      </c>
      <c r="C162" t="s">
        <v>12389</v>
      </c>
      <c r="D162" t="s">
        <v>10388</v>
      </c>
      <c r="E162" t="s">
        <v>12594</v>
      </c>
    </row>
    <row r="163" spans="1:5">
      <c r="A163" t="s">
        <v>967</v>
      </c>
      <c r="B163" t="s">
        <v>12434</v>
      </c>
      <c r="C163" t="s">
        <v>12493</v>
      </c>
      <c r="D163" t="s">
        <v>10388</v>
      </c>
      <c r="E163" t="s">
        <v>12595</v>
      </c>
    </row>
    <row r="164" spans="1:5">
      <c r="A164" t="s">
        <v>972</v>
      </c>
      <c r="B164" t="s">
        <v>12396</v>
      </c>
      <c r="C164" t="s">
        <v>12474</v>
      </c>
      <c r="D164" t="s">
        <v>10388</v>
      </c>
      <c r="E164" t="s">
        <v>12596</v>
      </c>
    </row>
    <row r="165" spans="1:5">
      <c r="A165" t="s">
        <v>977</v>
      </c>
      <c r="B165" t="s">
        <v>12388</v>
      </c>
      <c r="C165" t="s">
        <v>12428</v>
      </c>
      <c r="D165" t="s">
        <v>10388</v>
      </c>
      <c r="E165" t="s">
        <v>12597</v>
      </c>
    </row>
    <row r="166" spans="1:5">
      <c r="A166" t="s">
        <v>983</v>
      </c>
      <c r="B166" t="s">
        <v>12470</v>
      </c>
      <c r="C166" t="s">
        <v>12389</v>
      </c>
      <c r="D166" t="s">
        <v>10388</v>
      </c>
      <c r="E166" t="s">
        <v>12598</v>
      </c>
    </row>
    <row r="167" spans="1:5">
      <c r="A167" t="s">
        <v>988</v>
      </c>
      <c r="B167" t="s">
        <v>12426</v>
      </c>
      <c r="C167" t="s">
        <v>12392</v>
      </c>
      <c r="D167" t="s">
        <v>10402</v>
      </c>
      <c r="E167" t="s">
        <v>12599</v>
      </c>
    </row>
    <row r="168" spans="1:5">
      <c r="A168" t="s">
        <v>993</v>
      </c>
      <c r="B168" t="s">
        <v>12383</v>
      </c>
      <c r="C168" t="s">
        <v>12419</v>
      </c>
      <c r="D168" t="s">
        <v>12467</v>
      </c>
      <c r="E168" t="s">
        <v>12382</v>
      </c>
    </row>
    <row r="169" spans="1:5">
      <c r="A169" t="s">
        <v>998</v>
      </c>
      <c r="B169" t="s">
        <v>12508</v>
      </c>
      <c r="C169" t="s">
        <v>12412</v>
      </c>
      <c r="D169" t="s">
        <v>12413</v>
      </c>
      <c r="E169" t="s">
        <v>12600</v>
      </c>
    </row>
    <row r="170" spans="1:5">
      <c r="A170" t="s">
        <v>1003</v>
      </c>
      <c r="B170" t="s">
        <v>12434</v>
      </c>
      <c r="C170" t="s">
        <v>12419</v>
      </c>
      <c r="D170" t="s">
        <v>10376</v>
      </c>
      <c r="E170" t="s">
        <v>12601</v>
      </c>
    </row>
    <row r="171" spans="1:5">
      <c r="A171" t="s">
        <v>1009</v>
      </c>
      <c r="B171" t="s">
        <v>12552</v>
      </c>
      <c r="C171" t="s">
        <v>12397</v>
      </c>
      <c r="D171" t="s">
        <v>10376</v>
      </c>
      <c r="E171" t="s">
        <v>12587</v>
      </c>
    </row>
    <row r="172" spans="1:5">
      <c r="A172" t="s">
        <v>1015</v>
      </c>
      <c r="B172" t="s">
        <v>12383</v>
      </c>
      <c r="C172" t="s">
        <v>12474</v>
      </c>
      <c r="D172" t="s">
        <v>10388</v>
      </c>
      <c r="E172" t="s">
        <v>12602</v>
      </c>
    </row>
    <row r="173" spans="1:5">
      <c r="A173" t="s">
        <v>1020</v>
      </c>
      <c r="B173" t="s">
        <v>12426</v>
      </c>
      <c r="C173" t="s">
        <v>12499</v>
      </c>
      <c r="D173" t="s">
        <v>10388</v>
      </c>
      <c r="E173" t="s">
        <v>12564</v>
      </c>
    </row>
    <row r="174" spans="1:5">
      <c r="A174" t="s">
        <v>1025</v>
      </c>
      <c r="B174" t="s">
        <v>12450</v>
      </c>
      <c r="C174" t="s">
        <v>12493</v>
      </c>
      <c r="D174" t="s">
        <v>10388</v>
      </c>
      <c r="E174" t="s">
        <v>12603</v>
      </c>
    </row>
    <row r="175" spans="1:5">
      <c r="A175" t="s">
        <v>1031</v>
      </c>
      <c r="B175" t="s">
        <v>12406</v>
      </c>
      <c r="C175" t="s">
        <v>12389</v>
      </c>
      <c r="D175" t="s">
        <v>10388</v>
      </c>
      <c r="E175" t="s">
        <v>12604</v>
      </c>
    </row>
    <row r="176" spans="1:5">
      <c r="A176" t="s">
        <v>1037</v>
      </c>
      <c r="B176" t="s">
        <v>12386</v>
      </c>
      <c r="C176" t="s">
        <v>12474</v>
      </c>
      <c r="D176" t="s">
        <v>10388</v>
      </c>
      <c r="E176" t="s">
        <v>12605</v>
      </c>
    </row>
    <row r="177" spans="1:5">
      <c r="A177" t="s">
        <v>1042</v>
      </c>
      <c r="B177" t="s">
        <v>12411</v>
      </c>
      <c r="C177" t="s">
        <v>12389</v>
      </c>
      <c r="D177" t="s">
        <v>10388</v>
      </c>
      <c r="E177" t="s">
        <v>12606</v>
      </c>
    </row>
    <row r="178" spans="1:5">
      <c r="A178" t="s">
        <v>1047</v>
      </c>
      <c r="B178" t="s">
        <v>12477</v>
      </c>
      <c r="C178" t="s">
        <v>12415</v>
      </c>
      <c r="D178" t="s">
        <v>12437</v>
      </c>
      <c r="E178" t="s">
        <v>12607</v>
      </c>
    </row>
    <row r="179" spans="1:5">
      <c r="A179" t="s">
        <v>1053</v>
      </c>
      <c r="B179" t="s">
        <v>12421</v>
      </c>
      <c r="C179" t="s">
        <v>12474</v>
      </c>
      <c r="D179" t="s">
        <v>10388</v>
      </c>
      <c r="E179" t="s">
        <v>12608</v>
      </c>
    </row>
    <row r="180" spans="1:5">
      <c r="A180" t="s">
        <v>1058</v>
      </c>
      <c r="B180" t="s">
        <v>12498</v>
      </c>
      <c r="C180" t="s">
        <v>12412</v>
      </c>
      <c r="D180" t="s">
        <v>12413</v>
      </c>
      <c r="E180" t="s">
        <v>12609</v>
      </c>
    </row>
    <row r="181" spans="1:5">
      <c r="A181" t="s">
        <v>1063</v>
      </c>
      <c r="B181" t="s">
        <v>12473</v>
      </c>
      <c r="C181" t="s">
        <v>12474</v>
      </c>
      <c r="D181" t="s">
        <v>10388</v>
      </c>
      <c r="E181" t="s">
        <v>12610</v>
      </c>
    </row>
    <row r="182" spans="1:5">
      <c r="A182" t="s">
        <v>1069</v>
      </c>
      <c r="B182" t="s">
        <v>12552</v>
      </c>
      <c r="C182" t="s">
        <v>12432</v>
      </c>
      <c r="D182" t="s">
        <v>12437</v>
      </c>
      <c r="E182" t="s">
        <v>12611</v>
      </c>
    </row>
    <row r="183" spans="1:5">
      <c r="A183" t="s">
        <v>1075</v>
      </c>
      <c r="B183" t="s">
        <v>12386</v>
      </c>
      <c r="C183" t="s">
        <v>12493</v>
      </c>
      <c r="D183" t="s">
        <v>10388</v>
      </c>
      <c r="E183" t="s">
        <v>12612</v>
      </c>
    </row>
    <row r="184" spans="1:5">
      <c r="A184" t="s">
        <v>1080</v>
      </c>
      <c r="B184" t="s">
        <v>12377</v>
      </c>
      <c r="C184" t="s">
        <v>12499</v>
      </c>
      <c r="D184" t="s">
        <v>10388</v>
      </c>
      <c r="E184" t="s">
        <v>12613</v>
      </c>
    </row>
    <row r="185" spans="1:5">
      <c r="A185" t="s">
        <v>1085</v>
      </c>
      <c r="B185" t="s">
        <v>12434</v>
      </c>
      <c r="C185" t="s">
        <v>12440</v>
      </c>
      <c r="D185" t="s">
        <v>10388</v>
      </c>
      <c r="E185" t="s">
        <v>12614</v>
      </c>
    </row>
    <row r="186" spans="1:5">
      <c r="A186" t="s">
        <v>1091</v>
      </c>
      <c r="B186" t="s">
        <v>12403</v>
      </c>
      <c r="C186" t="s">
        <v>12400</v>
      </c>
      <c r="D186" t="s">
        <v>12401</v>
      </c>
      <c r="E186" t="s">
        <v>12615</v>
      </c>
    </row>
    <row r="187" spans="1:5">
      <c r="A187" t="s">
        <v>1097</v>
      </c>
      <c r="B187" t="s">
        <v>12483</v>
      </c>
      <c r="C187" t="s">
        <v>12493</v>
      </c>
      <c r="D187" t="s">
        <v>10388</v>
      </c>
      <c r="E187" t="s">
        <v>12616</v>
      </c>
    </row>
    <row r="188" spans="1:5">
      <c r="A188" t="s">
        <v>1103</v>
      </c>
      <c r="B188" t="s">
        <v>12455</v>
      </c>
      <c r="C188" t="s">
        <v>12415</v>
      </c>
      <c r="D188" t="s">
        <v>10376</v>
      </c>
      <c r="E188" t="s">
        <v>12617</v>
      </c>
    </row>
    <row r="189" spans="1:5">
      <c r="A189" t="s">
        <v>1109</v>
      </c>
      <c r="B189" t="s">
        <v>12411</v>
      </c>
      <c r="C189" t="s">
        <v>12474</v>
      </c>
      <c r="D189" t="s">
        <v>10388</v>
      </c>
      <c r="E189" t="s">
        <v>12618</v>
      </c>
    </row>
    <row r="190" spans="1:5">
      <c r="A190" t="s">
        <v>1115</v>
      </c>
      <c r="B190" t="s">
        <v>12436</v>
      </c>
      <c r="C190" t="s">
        <v>12412</v>
      </c>
      <c r="D190" t="s">
        <v>10381</v>
      </c>
      <c r="E190" t="s">
        <v>12619</v>
      </c>
    </row>
    <row r="191" spans="1:5">
      <c r="A191" t="s">
        <v>1120</v>
      </c>
      <c r="B191" t="s">
        <v>12411</v>
      </c>
      <c r="C191" t="s">
        <v>12493</v>
      </c>
      <c r="D191" t="s">
        <v>10388</v>
      </c>
      <c r="E191" t="s">
        <v>12620</v>
      </c>
    </row>
    <row r="192" spans="1:5">
      <c r="A192" t="s">
        <v>1125</v>
      </c>
      <c r="B192" t="s">
        <v>12396</v>
      </c>
      <c r="C192" t="s">
        <v>12499</v>
      </c>
      <c r="D192" t="s">
        <v>10388</v>
      </c>
      <c r="E192" t="s">
        <v>12621</v>
      </c>
    </row>
    <row r="193" spans="1:5">
      <c r="A193" t="s">
        <v>1130</v>
      </c>
      <c r="B193" t="s">
        <v>12399</v>
      </c>
      <c r="C193" t="s">
        <v>12400</v>
      </c>
      <c r="D193" t="s">
        <v>10402</v>
      </c>
      <c r="E193" t="s">
        <v>12622</v>
      </c>
    </row>
    <row r="194" spans="1:5">
      <c r="A194" t="s">
        <v>1135</v>
      </c>
      <c r="B194" t="s">
        <v>12424</v>
      </c>
      <c r="C194" t="s">
        <v>12412</v>
      </c>
      <c r="D194" t="s">
        <v>12381</v>
      </c>
      <c r="E194" t="s">
        <v>12623</v>
      </c>
    </row>
    <row r="195" spans="1:5">
      <c r="A195" t="s">
        <v>1141</v>
      </c>
      <c r="B195" t="s">
        <v>12430</v>
      </c>
      <c r="C195" t="s">
        <v>12400</v>
      </c>
      <c r="D195" t="s">
        <v>12381</v>
      </c>
      <c r="E195" t="s">
        <v>12624</v>
      </c>
    </row>
    <row r="196" spans="1:5">
      <c r="A196" t="s">
        <v>1147</v>
      </c>
      <c r="B196" t="s">
        <v>12491</v>
      </c>
      <c r="C196" t="s">
        <v>12463</v>
      </c>
      <c r="D196" t="s">
        <v>10402</v>
      </c>
      <c r="E196" t="s">
        <v>12625</v>
      </c>
    </row>
    <row r="197" spans="1:5">
      <c r="A197" t="s">
        <v>1153</v>
      </c>
      <c r="B197" t="s">
        <v>12459</v>
      </c>
      <c r="C197" t="s">
        <v>12499</v>
      </c>
      <c r="D197" t="s">
        <v>10388</v>
      </c>
      <c r="E197" t="s">
        <v>12626</v>
      </c>
    </row>
    <row r="198" spans="1:5">
      <c r="A198" t="s">
        <v>1159</v>
      </c>
      <c r="B198" t="s">
        <v>12450</v>
      </c>
      <c r="C198" t="s">
        <v>12412</v>
      </c>
      <c r="D198" t="s">
        <v>12437</v>
      </c>
      <c r="E198" t="s">
        <v>12627</v>
      </c>
    </row>
    <row r="199" spans="1:5">
      <c r="A199" t="s">
        <v>1165</v>
      </c>
      <c r="B199" t="s">
        <v>12388</v>
      </c>
      <c r="C199" t="s">
        <v>12392</v>
      </c>
      <c r="D199" t="s">
        <v>12456</v>
      </c>
      <c r="E199" t="s">
        <v>12628</v>
      </c>
    </row>
    <row r="200" spans="1:5">
      <c r="A200" t="s">
        <v>1170</v>
      </c>
      <c r="B200" t="s">
        <v>12406</v>
      </c>
      <c r="C200" t="s">
        <v>12428</v>
      </c>
      <c r="D200" t="s">
        <v>10388</v>
      </c>
      <c r="E200" t="s">
        <v>12629</v>
      </c>
    </row>
    <row r="201" spans="1:5">
      <c r="A201" t="s">
        <v>1176</v>
      </c>
      <c r="B201" t="s">
        <v>12394</v>
      </c>
      <c r="C201" t="s">
        <v>12493</v>
      </c>
      <c r="D201" t="s">
        <v>10388</v>
      </c>
      <c r="E201" t="s">
        <v>12630</v>
      </c>
    </row>
    <row r="202" spans="1:5">
      <c r="A202" t="s">
        <v>1181</v>
      </c>
      <c r="B202" t="s">
        <v>12477</v>
      </c>
      <c r="C202" t="s">
        <v>12415</v>
      </c>
      <c r="D202" t="s">
        <v>12401</v>
      </c>
      <c r="E202" t="s">
        <v>12604</v>
      </c>
    </row>
    <row r="203" spans="1:5">
      <c r="A203" t="s">
        <v>1187</v>
      </c>
      <c r="B203" t="s">
        <v>12411</v>
      </c>
      <c r="C203" t="s">
        <v>12392</v>
      </c>
      <c r="D203" t="s">
        <v>10376</v>
      </c>
      <c r="E203" t="s">
        <v>12631</v>
      </c>
    </row>
    <row r="204" spans="1:5">
      <c r="A204" t="s">
        <v>1192</v>
      </c>
      <c r="B204" t="s">
        <v>12459</v>
      </c>
      <c r="C204" t="s">
        <v>12407</v>
      </c>
      <c r="D204" t="s">
        <v>10388</v>
      </c>
      <c r="E204" t="s">
        <v>12632</v>
      </c>
    </row>
    <row r="205" spans="1:5">
      <c r="A205" t="s">
        <v>1197</v>
      </c>
      <c r="B205" t="s">
        <v>12461</v>
      </c>
      <c r="C205" t="s">
        <v>12400</v>
      </c>
      <c r="D205" t="s">
        <v>12381</v>
      </c>
      <c r="E205" t="s">
        <v>12633</v>
      </c>
    </row>
    <row r="206" spans="1:5">
      <c r="A206" t="s">
        <v>1202</v>
      </c>
      <c r="B206" t="s">
        <v>12396</v>
      </c>
      <c r="C206" t="s">
        <v>12499</v>
      </c>
      <c r="D206" t="s">
        <v>10388</v>
      </c>
      <c r="E206" t="s">
        <v>12634</v>
      </c>
    </row>
    <row r="207" spans="1:5">
      <c r="A207" t="s">
        <v>1208</v>
      </c>
      <c r="B207" t="s">
        <v>12391</v>
      </c>
      <c r="C207" t="s">
        <v>12384</v>
      </c>
      <c r="D207" t="s">
        <v>12467</v>
      </c>
      <c r="E207" t="s">
        <v>12635</v>
      </c>
    </row>
    <row r="208" spans="1:5">
      <c r="A208" t="s">
        <v>1214</v>
      </c>
      <c r="B208" t="s">
        <v>12459</v>
      </c>
      <c r="C208" t="s">
        <v>12407</v>
      </c>
      <c r="D208" t="s">
        <v>10388</v>
      </c>
      <c r="E208" t="s">
        <v>12636</v>
      </c>
    </row>
    <row r="209" spans="1:5">
      <c r="A209" t="s">
        <v>1219</v>
      </c>
      <c r="B209" t="s">
        <v>12418</v>
      </c>
      <c r="C209" t="s">
        <v>12499</v>
      </c>
      <c r="D209" t="s">
        <v>10388</v>
      </c>
      <c r="E209" t="s">
        <v>12637</v>
      </c>
    </row>
    <row r="210" spans="1:5">
      <c r="A210" t="s">
        <v>1224</v>
      </c>
      <c r="B210" t="s">
        <v>12424</v>
      </c>
      <c r="C210" t="s">
        <v>10369</v>
      </c>
      <c r="D210" t="s">
        <v>10376</v>
      </c>
      <c r="E210" t="s">
        <v>12448</v>
      </c>
    </row>
    <row r="211" spans="1:5">
      <c r="A211" t="s">
        <v>1230</v>
      </c>
      <c r="B211" t="s">
        <v>12498</v>
      </c>
      <c r="C211" t="s">
        <v>12432</v>
      </c>
      <c r="D211" t="s">
        <v>12456</v>
      </c>
      <c r="E211" t="s">
        <v>12638</v>
      </c>
    </row>
    <row r="212" spans="1:5">
      <c r="A212" t="s">
        <v>1235</v>
      </c>
      <c r="B212" t="s">
        <v>12386</v>
      </c>
      <c r="C212" t="s">
        <v>12378</v>
      </c>
      <c r="D212" t="s">
        <v>10388</v>
      </c>
      <c r="E212" t="s">
        <v>12639</v>
      </c>
    </row>
    <row r="213" spans="1:5">
      <c r="A213" t="s">
        <v>1240</v>
      </c>
      <c r="B213" t="s">
        <v>12525</v>
      </c>
      <c r="C213" t="s">
        <v>10369</v>
      </c>
      <c r="D213" t="s">
        <v>10381</v>
      </c>
      <c r="E213" t="s">
        <v>12640</v>
      </c>
    </row>
    <row r="214" spans="1:5">
      <c r="A214" t="s">
        <v>1245</v>
      </c>
      <c r="B214" t="s">
        <v>12455</v>
      </c>
      <c r="C214" t="s">
        <v>12428</v>
      </c>
      <c r="D214" t="s">
        <v>10388</v>
      </c>
      <c r="E214" t="s">
        <v>12641</v>
      </c>
    </row>
    <row r="215" spans="1:5">
      <c r="A215" t="s">
        <v>1251</v>
      </c>
      <c r="B215" t="s">
        <v>12411</v>
      </c>
      <c r="C215" t="s">
        <v>12428</v>
      </c>
      <c r="D215" t="s">
        <v>10388</v>
      </c>
      <c r="E215" t="s">
        <v>12642</v>
      </c>
    </row>
    <row r="216" spans="1:5">
      <c r="A216" t="s">
        <v>1256</v>
      </c>
      <c r="B216" t="s">
        <v>12411</v>
      </c>
      <c r="C216" t="s">
        <v>12400</v>
      </c>
      <c r="D216" t="s">
        <v>10402</v>
      </c>
      <c r="E216" t="s">
        <v>12643</v>
      </c>
    </row>
    <row r="217" spans="1:5">
      <c r="A217" t="s">
        <v>1261</v>
      </c>
      <c r="B217" t="s">
        <v>12445</v>
      </c>
      <c r="C217" t="s">
        <v>12400</v>
      </c>
      <c r="D217" t="s">
        <v>12401</v>
      </c>
      <c r="E217" t="s">
        <v>12644</v>
      </c>
    </row>
    <row r="218" spans="1:5">
      <c r="A218" t="s">
        <v>1266</v>
      </c>
      <c r="B218" t="s">
        <v>12418</v>
      </c>
      <c r="C218" t="s">
        <v>12432</v>
      </c>
      <c r="D218" t="s">
        <v>10402</v>
      </c>
      <c r="E218" t="s">
        <v>12645</v>
      </c>
    </row>
    <row r="219" spans="1:5">
      <c r="A219" t="s">
        <v>1272</v>
      </c>
      <c r="B219" t="s">
        <v>12388</v>
      </c>
      <c r="C219" t="s">
        <v>12392</v>
      </c>
      <c r="D219" t="s">
        <v>12416</v>
      </c>
      <c r="E219" t="s">
        <v>12646</v>
      </c>
    </row>
    <row r="220" spans="1:5">
      <c r="A220" t="s">
        <v>1277</v>
      </c>
      <c r="B220" t="s">
        <v>12450</v>
      </c>
      <c r="C220" t="s">
        <v>12392</v>
      </c>
      <c r="D220" t="s">
        <v>12413</v>
      </c>
      <c r="E220" t="s">
        <v>12647</v>
      </c>
    </row>
    <row r="221" spans="1:5">
      <c r="A221" t="s">
        <v>1283</v>
      </c>
      <c r="B221" t="s">
        <v>12403</v>
      </c>
      <c r="C221" t="s">
        <v>12499</v>
      </c>
      <c r="D221" t="s">
        <v>10388</v>
      </c>
      <c r="E221" t="s">
        <v>12648</v>
      </c>
    </row>
    <row r="222" spans="1:5">
      <c r="A222" t="s">
        <v>1289</v>
      </c>
      <c r="B222" t="s">
        <v>12391</v>
      </c>
      <c r="C222" t="s">
        <v>12440</v>
      </c>
      <c r="D222" t="s">
        <v>10388</v>
      </c>
      <c r="E222" t="s">
        <v>12649</v>
      </c>
    </row>
    <row r="223" spans="1:5">
      <c r="A223" t="s">
        <v>1294</v>
      </c>
      <c r="B223" t="s">
        <v>12386</v>
      </c>
      <c r="C223" t="s">
        <v>12389</v>
      </c>
      <c r="D223" t="s">
        <v>10388</v>
      </c>
      <c r="E223" t="s">
        <v>12599</v>
      </c>
    </row>
    <row r="224" spans="1:5">
      <c r="A224" t="s">
        <v>1299</v>
      </c>
      <c r="B224" t="s">
        <v>12399</v>
      </c>
      <c r="C224" t="s">
        <v>12407</v>
      </c>
      <c r="D224" t="s">
        <v>10388</v>
      </c>
      <c r="E224" t="s">
        <v>12650</v>
      </c>
    </row>
    <row r="225" spans="1:5">
      <c r="A225" t="s">
        <v>1304</v>
      </c>
      <c r="B225" t="s">
        <v>12552</v>
      </c>
      <c r="C225" t="s">
        <v>12389</v>
      </c>
      <c r="D225" t="s">
        <v>10388</v>
      </c>
      <c r="E225" t="s">
        <v>12651</v>
      </c>
    </row>
    <row r="226" spans="1:5">
      <c r="A226" t="s">
        <v>1309</v>
      </c>
      <c r="B226" t="s">
        <v>12403</v>
      </c>
      <c r="C226" t="s">
        <v>12428</v>
      </c>
      <c r="D226" t="s">
        <v>10388</v>
      </c>
      <c r="E226" t="s">
        <v>12652</v>
      </c>
    </row>
    <row r="227" spans="1:5">
      <c r="A227" t="s">
        <v>1314</v>
      </c>
      <c r="B227" t="s">
        <v>12403</v>
      </c>
      <c r="C227" t="s">
        <v>12493</v>
      </c>
      <c r="D227" t="s">
        <v>10388</v>
      </c>
      <c r="E227" t="s">
        <v>12653</v>
      </c>
    </row>
    <row r="228" spans="1:5">
      <c r="A228" t="s">
        <v>1319</v>
      </c>
      <c r="B228" t="s">
        <v>12436</v>
      </c>
      <c r="C228" t="s">
        <v>12389</v>
      </c>
      <c r="D228" t="s">
        <v>10388</v>
      </c>
      <c r="E228" t="s">
        <v>12654</v>
      </c>
    </row>
    <row r="229" spans="1:5">
      <c r="A229" t="s">
        <v>1325</v>
      </c>
      <c r="B229" t="s">
        <v>12421</v>
      </c>
      <c r="C229" t="s">
        <v>12397</v>
      </c>
      <c r="D229" t="s">
        <v>12413</v>
      </c>
      <c r="E229" t="s">
        <v>12655</v>
      </c>
    </row>
    <row r="230" spans="1:5">
      <c r="A230" t="s">
        <v>1331</v>
      </c>
      <c r="B230" t="s">
        <v>12455</v>
      </c>
      <c r="C230" t="s">
        <v>12389</v>
      </c>
      <c r="D230" t="s">
        <v>10388</v>
      </c>
      <c r="E230" t="s">
        <v>12656</v>
      </c>
    </row>
    <row r="231" spans="1:5">
      <c r="A231" t="s">
        <v>1336</v>
      </c>
      <c r="B231" t="s">
        <v>12436</v>
      </c>
      <c r="C231" t="s">
        <v>12432</v>
      </c>
      <c r="D231" t="s">
        <v>12467</v>
      </c>
      <c r="E231" t="s">
        <v>12657</v>
      </c>
    </row>
    <row r="232" spans="1:5">
      <c r="A232" t="s">
        <v>1341</v>
      </c>
      <c r="B232" t="s">
        <v>12470</v>
      </c>
      <c r="C232" t="s">
        <v>12389</v>
      </c>
      <c r="D232" t="s">
        <v>10388</v>
      </c>
      <c r="E232" t="s">
        <v>12658</v>
      </c>
    </row>
    <row r="233" spans="1:5">
      <c r="A233" t="s">
        <v>1346</v>
      </c>
      <c r="B233" t="s">
        <v>12426</v>
      </c>
      <c r="C233" t="s">
        <v>10369</v>
      </c>
      <c r="D233" t="s">
        <v>12413</v>
      </c>
      <c r="E233" t="s">
        <v>12448</v>
      </c>
    </row>
    <row r="234" spans="1:5">
      <c r="A234" t="s">
        <v>1351</v>
      </c>
      <c r="B234" t="s">
        <v>12525</v>
      </c>
      <c r="C234" t="s">
        <v>12384</v>
      </c>
      <c r="D234" t="s">
        <v>12381</v>
      </c>
      <c r="E234" t="s">
        <v>12659</v>
      </c>
    </row>
    <row r="235" spans="1:5">
      <c r="A235" t="s">
        <v>1356</v>
      </c>
      <c r="B235" t="s">
        <v>12461</v>
      </c>
      <c r="C235" t="s">
        <v>12415</v>
      </c>
      <c r="D235" t="s">
        <v>12381</v>
      </c>
      <c r="E235" t="s">
        <v>12660</v>
      </c>
    </row>
    <row r="236" spans="1:5">
      <c r="A236" t="s">
        <v>1362</v>
      </c>
      <c r="B236" t="s">
        <v>12426</v>
      </c>
      <c r="C236" t="s">
        <v>12407</v>
      </c>
      <c r="D236" t="s">
        <v>10388</v>
      </c>
      <c r="E236" t="s">
        <v>12661</v>
      </c>
    </row>
    <row r="237" spans="1:5">
      <c r="A237" t="s">
        <v>1368</v>
      </c>
      <c r="B237" t="s">
        <v>12525</v>
      </c>
      <c r="C237" t="s">
        <v>12392</v>
      </c>
      <c r="D237" t="s">
        <v>12381</v>
      </c>
      <c r="E237" t="s">
        <v>12662</v>
      </c>
    </row>
    <row r="238" spans="1:5">
      <c r="A238" t="s">
        <v>1373</v>
      </c>
      <c r="B238" t="s">
        <v>12430</v>
      </c>
      <c r="C238" t="s">
        <v>12428</v>
      </c>
      <c r="D238" t="s">
        <v>10388</v>
      </c>
      <c r="E238" t="s">
        <v>12663</v>
      </c>
    </row>
    <row r="239" spans="1:5">
      <c r="A239" t="s">
        <v>1378</v>
      </c>
      <c r="B239" t="s">
        <v>12424</v>
      </c>
      <c r="C239" t="s">
        <v>12446</v>
      </c>
      <c r="D239" t="s">
        <v>10388</v>
      </c>
      <c r="E239" t="s">
        <v>12664</v>
      </c>
    </row>
    <row r="240" spans="1:5">
      <c r="A240" t="s">
        <v>1384</v>
      </c>
      <c r="B240" t="s">
        <v>12421</v>
      </c>
      <c r="C240" t="s">
        <v>12409</v>
      </c>
      <c r="D240" t="s">
        <v>10388</v>
      </c>
      <c r="E240" t="s">
        <v>12665</v>
      </c>
    </row>
    <row r="241" spans="1:5">
      <c r="A241" t="s">
        <v>1389</v>
      </c>
      <c r="B241" t="s">
        <v>12477</v>
      </c>
      <c r="C241" t="s">
        <v>12378</v>
      </c>
      <c r="D241" t="s">
        <v>10388</v>
      </c>
      <c r="E241" t="s">
        <v>12666</v>
      </c>
    </row>
    <row r="242" spans="1:5">
      <c r="A242" t="s">
        <v>1394</v>
      </c>
      <c r="B242" t="s">
        <v>12377</v>
      </c>
      <c r="C242" t="s">
        <v>12384</v>
      </c>
      <c r="D242" t="s">
        <v>12456</v>
      </c>
      <c r="E242" t="s">
        <v>12667</v>
      </c>
    </row>
    <row r="243" spans="1:5">
      <c r="A243" t="s">
        <v>1400</v>
      </c>
      <c r="B243" t="s">
        <v>12508</v>
      </c>
      <c r="C243" t="s">
        <v>12415</v>
      </c>
      <c r="D243" t="s">
        <v>12467</v>
      </c>
      <c r="E243" t="s">
        <v>12668</v>
      </c>
    </row>
    <row r="244" spans="1:5">
      <c r="A244" t="s">
        <v>1405</v>
      </c>
      <c r="B244" t="s">
        <v>12477</v>
      </c>
      <c r="C244" t="s">
        <v>12389</v>
      </c>
      <c r="D244" t="s">
        <v>10388</v>
      </c>
      <c r="E244" t="s">
        <v>12669</v>
      </c>
    </row>
    <row r="245" spans="1:5">
      <c r="A245" t="s">
        <v>1410</v>
      </c>
      <c r="B245" t="s">
        <v>12442</v>
      </c>
      <c r="C245" t="s">
        <v>12474</v>
      </c>
      <c r="D245" t="s">
        <v>10388</v>
      </c>
      <c r="E245" t="s">
        <v>12524</v>
      </c>
    </row>
    <row r="246" spans="1:5">
      <c r="A246" t="s">
        <v>1415</v>
      </c>
      <c r="B246" t="s">
        <v>12383</v>
      </c>
      <c r="C246" t="s">
        <v>12419</v>
      </c>
      <c r="D246" t="s">
        <v>10381</v>
      </c>
      <c r="E246" t="s">
        <v>12669</v>
      </c>
    </row>
    <row r="247" spans="1:5">
      <c r="A247" t="s">
        <v>1421</v>
      </c>
      <c r="B247" t="s">
        <v>12565</v>
      </c>
      <c r="C247" t="s">
        <v>12493</v>
      </c>
      <c r="D247" t="s">
        <v>10388</v>
      </c>
      <c r="E247" t="s">
        <v>12670</v>
      </c>
    </row>
    <row r="248" spans="1:5">
      <c r="A248" t="s">
        <v>1426</v>
      </c>
      <c r="B248" t="s">
        <v>12436</v>
      </c>
      <c r="C248" t="s">
        <v>12432</v>
      </c>
      <c r="D248" t="s">
        <v>12456</v>
      </c>
      <c r="E248" t="s">
        <v>12671</v>
      </c>
    </row>
    <row r="249" spans="1:5">
      <c r="A249" t="s">
        <v>1432</v>
      </c>
      <c r="B249" t="s">
        <v>12386</v>
      </c>
      <c r="C249" t="s">
        <v>12428</v>
      </c>
      <c r="D249" t="s">
        <v>10388</v>
      </c>
      <c r="E249" t="s">
        <v>12672</v>
      </c>
    </row>
    <row r="250" spans="1:5">
      <c r="A250" t="s">
        <v>1437</v>
      </c>
      <c r="B250" t="s">
        <v>12394</v>
      </c>
      <c r="C250" t="s">
        <v>10369</v>
      </c>
      <c r="D250" t="s">
        <v>12416</v>
      </c>
      <c r="E250" t="s">
        <v>12673</v>
      </c>
    </row>
    <row r="251" spans="1:5">
      <c r="A251" t="s">
        <v>1442</v>
      </c>
      <c r="B251" t="s">
        <v>12418</v>
      </c>
      <c r="C251" t="s">
        <v>12400</v>
      </c>
      <c r="D251" t="s">
        <v>12456</v>
      </c>
      <c r="E251" t="s">
        <v>12674</v>
      </c>
    </row>
    <row r="252" spans="1:5">
      <c r="A252" t="s">
        <v>1448</v>
      </c>
      <c r="B252" t="s">
        <v>12386</v>
      </c>
      <c r="C252" t="s">
        <v>12446</v>
      </c>
      <c r="D252" t="s">
        <v>10388</v>
      </c>
      <c r="E252" t="s">
        <v>12675</v>
      </c>
    </row>
    <row r="253" spans="1:5">
      <c r="A253" t="s">
        <v>1454</v>
      </c>
      <c r="B253" t="s">
        <v>12525</v>
      </c>
      <c r="C253" t="s">
        <v>12415</v>
      </c>
      <c r="D253" t="s">
        <v>10381</v>
      </c>
      <c r="E253" t="s">
        <v>12676</v>
      </c>
    </row>
    <row r="254" spans="1:5">
      <c r="A254" t="s">
        <v>1459</v>
      </c>
      <c r="B254" t="s">
        <v>12391</v>
      </c>
      <c r="C254" t="s">
        <v>12432</v>
      </c>
      <c r="D254" t="s">
        <v>12437</v>
      </c>
      <c r="E254" t="s">
        <v>12677</v>
      </c>
    </row>
    <row r="255" spans="1:5">
      <c r="A255" t="s">
        <v>1465</v>
      </c>
      <c r="B255" t="s">
        <v>12388</v>
      </c>
      <c r="C255" t="s">
        <v>12397</v>
      </c>
      <c r="D255" t="s">
        <v>12467</v>
      </c>
      <c r="E255" t="s">
        <v>12678</v>
      </c>
    </row>
    <row r="256" spans="1:5">
      <c r="A256" t="s">
        <v>1471</v>
      </c>
      <c r="B256" t="s">
        <v>12508</v>
      </c>
      <c r="C256" t="s">
        <v>12463</v>
      </c>
      <c r="D256" t="s">
        <v>12413</v>
      </c>
      <c r="E256" t="s">
        <v>12679</v>
      </c>
    </row>
    <row r="257" spans="1:5">
      <c r="A257" t="s">
        <v>1477</v>
      </c>
      <c r="B257" t="s">
        <v>12380</v>
      </c>
      <c r="C257" t="s">
        <v>12474</v>
      </c>
      <c r="D257" t="s">
        <v>10388</v>
      </c>
      <c r="E257" t="s">
        <v>12680</v>
      </c>
    </row>
    <row r="258" spans="1:5">
      <c r="A258" t="s">
        <v>1483</v>
      </c>
      <c r="B258" t="s">
        <v>12418</v>
      </c>
      <c r="C258" t="s">
        <v>12378</v>
      </c>
      <c r="D258" t="s">
        <v>10388</v>
      </c>
      <c r="E258" t="s">
        <v>12681</v>
      </c>
    </row>
    <row r="259" spans="1:5">
      <c r="A259" t="s">
        <v>1488</v>
      </c>
      <c r="B259" t="s">
        <v>12403</v>
      </c>
      <c r="C259" t="s">
        <v>12432</v>
      </c>
      <c r="D259" t="s">
        <v>12467</v>
      </c>
      <c r="E259" t="s">
        <v>12682</v>
      </c>
    </row>
    <row r="260" spans="1:5">
      <c r="A260" t="s">
        <v>1493</v>
      </c>
      <c r="B260" t="s">
        <v>12552</v>
      </c>
      <c r="C260" t="s">
        <v>12432</v>
      </c>
      <c r="D260" t="s">
        <v>12381</v>
      </c>
      <c r="E260" t="s">
        <v>12683</v>
      </c>
    </row>
    <row r="261" spans="1:5">
      <c r="A261" t="s">
        <v>1499</v>
      </c>
      <c r="B261" t="s">
        <v>12512</v>
      </c>
      <c r="C261" t="s">
        <v>12493</v>
      </c>
      <c r="D261" t="s">
        <v>10388</v>
      </c>
      <c r="E261" t="s">
        <v>12684</v>
      </c>
    </row>
    <row r="262" spans="1:5">
      <c r="A262" t="s">
        <v>1504</v>
      </c>
      <c r="B262" t="s">
        <v>12453</v>
      </c>
      <c r="C262" t="s">
        <v>12397</v>
      </c>
      <c r="D262" t="s">
        <v>10381</v>
      </c>
      <c r="E262" t="s">
        <v>12685</v>
      </c>
    </row>
    <row r="263" spans="1:5">
      <c r="A263" t="s">
        <v>1509</v>
      </c>
      <c r="B263" t="s">
        <v>12508</v>
      </c>
      <c r="C263" t="s">
        <v>12440</v>
      </c>
      <c r="D263" t="s">
        <v>10388</v>
      </c>
      <c r="E263" t="s">
        <v>12513</v>
      </c>
    </row>
    <row r="264" spans="1:5">
      <c r="A264" t="s">
        <v>1514</v>
      </c>
      <c r="B264" t="s">
        <v>12403</v>
      </c>
      <c r="C264" t="s">
        <v>12428</v>
      </c>
      <c r="D264" t="s">
        <v>10388</v>
      </c>
      <c r="E264" t="s">
        <v>12686</v>
      </c>
    </row>
    <row r="265" spans="1:5">
      <c r="A265" t="s">
        <v>1519</v>
      </c>
      <c r="B265" t="s">
        <v>12503</v>
      </c>
      <c r="C265" t="s">
        <v>10369</v>
      </c>
      <c r="D265" t="s">
        <v>12413</v>
      </c>
      <c r="E265" t="s">
        <v>12687</v>
      </c>
    </row>
    <row r="266" spans="1:5">
      <c r="A266" t="s">
        <v>1524</v>
      </c>
      <c r="B266" t="s">
        <v>12396</v>
      </c>
      <c r="C266" t="s">
        <v>12428</v>
      </c>
      <c r="D266" t="s">
        <v>10388</v>
      </c>
      <c r="E266" t="s">
        <v>12688</v>
      </c>
    </row>
    <row r="267" spans="1:5">
      <c r="A267" t="s">
        <v>1529</v>
      </c>
      <c r="B267" t="s">
        <v>12391</v>
      </c>
      <c r="C267" t="s">
        <v>12428</v>
      </c>
      <c r="D267" t="s">
        <v>10388</v>
      </c>
      <c r="E267" t="s">
        <v>12379</v>
      </c>
    </row>
    <row r="268" spans="1:5">
      <c r="A268" t="s">
        <v>1534</v>
      </c>
      <c r="B268" t="s">
        <v>12434</v>
      </c>
      <c r="C268" t="s">
        <v>12397</v>
      </c>
      <c r="D268" t="s">
        <v>12413</v>
      </c>
      <c r="E268" t="s">
        <v>12689</v>
      </c>
    </row>
    <row r="269" spans="1:5">
      <c r="A269" t="s">
        <v>1540</v>
      </c>
      <c r="B269" t="s">
        <v>12525</v>
      </c>
      <c r="C269" t="s">
        <v>12428</v>
      </c>
      <c r="D269" t="s">
        <v>10388</v>
      </c>
      <c r="E269" t="s">
        <v>12690</v>
      </c>
    </row>
    <row r="270" spans="1:5">
      <c r="A270" t="s">
        <v>1546</v>
      </c>
      <c r="B270" t="s">
        <v>12525</v>
      </c>
      <c r="C270" t="s">
        <v>12400</v>
      </c>
      <c r="D270" t="s">
        <v>12401</v>
      </c>
      <c r="E270" t="s">
        <v>12691</v>
      </c>
    </row>
    <row r="271" spans="1:5">
      <c r="A271" t="s">
        <v>1552</v>
      </c>
      <c r="B271" t="s">
        <v>12399</v>
      </c>
      <c r="C271" t="s">
        <v>12400</v>
      </c>
      <c r="D271" t="s">
        <v>12416</v>
      </c>
      <c r="E271" t="s">
        <v>12692</v>
      </c>
    </row>
    <row r="272" spans="1:5">
      <c r="A272" t="s">
        <v>1558</v>
      </c>
      <c r="B272" t="s">
        <v>12525</v>
      </c>
      <c r="C272" t="s">
        <v>12378</v>
      </c>
      <c r="D272" t="s">
        <v>10388</v>
      </c>
      <c r="E272" t="s">
        <v>12693</v>
      </c>
    </row>
    <row r="273" spans="1:5">
      <c r="A273" t="s">
        <v>1563</v>
      </c>
      <c r="B273" t="s">
        <v>12565</v>
      </c>
      <c r="C273" t="s">
        <v>12474</v>
      </c>
      <c r="D273" t="s">
        <v>10388</v>
      </c>
      <c r="E273" t="s">
        <v>12694</v>
      </c>
    </row>
    <row r="274" spans="1:5">
      <c r="A274" t="s">
        <v>1569</v>
      </c>
      <c r="B274" t="s">
        <v>12394</v>
      </c>
      <c r="C274" t="s">
        <v>12409</v>
      </c>
      <c r="D274" t="s">
        <v>10388</v>
      </c>
      <c r="E274" t="s">
        <v>12695</v>
      </c>
    </row>
    <row r="275" spans="1:5">
      <c r="A275" t="s">
        <v>1574</v>
      </c>
      <c r="B275" t="s">
        <v>12383</v>
      </c>
      <c r="C275" t="s">
        <v>12384</v>
      </c>
      <c r="D275" t="s">
        <v>12467</v>
      </c>
      <c r="E275" t="s">
        <v>12696</v>
      </c>
    </row>
    <row r="276" spans="1:5">
      <c r="A276" t="s">
        <v>1579</v>
      </c>
      <c r="B276" t="s">
        <v>12565</v>
      </c>
      <c r="C276" t="s">
        <v>12493</v>
      </c>
      <c r="D276" t="s">
        <v>10388</v>
      </c>
      <c r="E276" t="s">
        <v>12697</v>
      </c>
    </row>
    <row r="277" spans="1:5">
      <c r="A277" t="s">
        <v>1584</v>
      </c>
      <c r="B277" t="s">
        <v>12552</v>
      </c>
      <c r="C277" t="s">
        <v>12432</v>
      </c>
      <c r="D277" t="s">
        <v>10402</v>
      </c>
      <c r="E277" t="s">
        <v>12698</v>
      </c>
    </row>
    <row r="278" spans="1:5">
      <c r="A278" t="s">
        <v>1589</v>
      </c>
      <c r="B278" t="s">
        <v>12421</v>
      </c>
      <c r="C278" t="s">
        <v>12389</v>
      </c>
      <c r="D278" t="s">
        <v>10388</v>
      </c>
      <c r="E278" t="s">
        <v>12699</v>
      </c>
    </row>
    <row r="279" spans="1:5">
      <c r="A279" t="s">
        <v>1595</v>
      </c>
      <c r="B279" t="s">
        <v>12565</v>
      </c>
      <c r="C279" t="s">
        <v>12397</v>
      </c>
      <c r="D279" t="s">
        <v>10402</v>
      </c>
      <c r="E279" t="s">
        <v>12700</v>
      </c>
    </row>
    <row r="280" spans="1:5">
      <c r="A280" t="s">
        <v>1600</v>
      </c>
      <c r="B280" t="s">
        <v>12450</v>
      </c>
      <c r="C280" t="s">
        <v>10369</v>
      </c>
      <c r="D280" t="s">
        <v>12437</v>
      </c>
      <c r="E280" t="s">
        <v>12701</v>
      </c>
    </row>
    <row r="281" spans="1:5">
      <c r="A281" t="s">
        <v>1605</v>
      </c>
      <c r="B281" t="s">
        <v>12388</v>
      </c>
      <c r="C281" t="s">
        <v>12432</v>
      </c>
      <c r="D281" t="s">
        <v>12467</v>
      </c>
      <c r="E281" t="s">
        <v>12629</v>
      </c>
    </row>
    <row r="282" spans="1:5">
      <c r="A282" t="s">
        <v>1611</v>
      </c>
      <c r="B282" t="s">
        <v>12470</v>
      </c>
      <c r="C282" t="s">
        <v>12407</v>
      </c>
      <c r="D282" t="s">
        <v>10388</v>
      </c>
      <c r="E282" t="s">
        <v>12702</v>
      </c>
    </row>
    <row r="283" spans="1:5">
      <c r="A283" t="s">
        <v>1616</v>
      </c>
      <c r="B283" t="s">
        <v>12563</v>
      </c>
      <c r="C283" t="s">
        <v>12384</v>
      </c>
      <c r="D283" t="s">
        <v>12401</v>
      </c>
      <c r="E283" t="s">
        <v>12703</v>
      </c>
    </row>
    <row r="284" spans="1:5">
      <c r="A284" t="s">
        <v>1621</v>
      </c>
      <c r="B284" t="s">
        <v>12388</v>
      </c>
      <c r="C284" t="s">
        <v>10369</v>
      </c>
      <c r="D284" t="s">
        <v>12467</v>
      </c>
      <c r="E284" t="s">
        <v>12704</v>
      </c>
    </row>
    <row r="285" spans="1:5">
      <c r="A285" t="s">
        <v>1627</v>
      </c>
      <c r="B285" t="s">
        <v>12391</v>
      </c>
      <c r="C285" t="s">
        <v>12432</v>
      </c>
      <c r="D285" t="s">
        <v>12401</v>
      </c>
      <c r="E285" t="s">
        <v>12705</v>
      </c>
    </row>
    <row r="286" spans="1:5">
      <c r="A286" t="s">
        <v>1632</v>
      </c>
      <c r="B286" t="s">
        <v>12434</v>
      </c>
      <c r="C286" t="s">
        <v>12409</v>
      </c>
      <c r="D286" t="s">
        <v>10388</v>
      </c>
      <c r="E286" t="s">
        <v>12706</v>
      </c>
    </row>
    <row r="287" spans="1:5">
      <c r="A287" t="s">
        <v>1638</v>
      </c>
      <c r="B287" t="s">
        <v>12442</v>
      </c>
      <c r="C287" t="s">
        <v>12409</v>
      </c>
      <c r="D287" t="s">
        <v>10388</v>
      </c>
      <c r="E287" t="s">
        <v>12707</v>
      </c>
    </row>
    <row r="288" spans="1:5">
      <c r="A288" t="s">
        <v>1644</v>
      </c>
      <c r="B288" t="s">
        <v>12424</v>
      </c>
      <c r="C288" t="s">
        <v>12474</v>
      </c>
      <c r="D288" t="s">
        <v>10388</v>
      </c>
      <c r="E288" t="s">
        <v>12708</v>
      </c>
    </row>
    <row r="289" spans="1:5">
      <c r="A289" t="s">
        <v>1650</v>
      </c>
      <c r="B289" t="s">
        <v>12459</v>
      </c>
      <c r="C289" t="s">
        <v>12384</v>
      </c>
      <c r="D289" t="s">
        <v>10381</v>
      </c>
      <c r="E289" t="s">
        <v>12709</v>
      </c>
    </row>
    <row r="290" spans="1:5">
      <c r="A290" t="s">
        <v>1655</v>
      </c>
      <c r="B290" t="s">
        <v>12399</v>
      </c>
      <c r="C290" t="s">
        <v>12446</v>
      </c>
      <c r="D290" t="s">
        <v>10388</v>
      </c>
      <c r="E290" t="s">
        <v>12710</v>
      </c>
    </row>
    <row r="291" spans="1:5">
      <c r="A291" t="s">
        <v>1661</v>
      </c>
      <c r="B291" t="s">
        <v>12424</v>
      </c>
      <c r="C291" t="s">
        <v>12493</v>
      </c>
      <c r="D291" t="s">
        <v>10388</v>
      </c>
      <c r="E291" t="s">
        <v>12711</v>
      </c>
    </row>
    <row r="292" spans="1:5">
      <c r="A292" t="s">
        <v>1667</v>
      </c>
      <c r="B292" t="s">
        <v>12450</v>
      </c>
      <c r="C292" t="s">
        <v>12440</v>
      </c>
      <c r="D292" t="s">
        <v>10388</v>
      </c>
      <c r="E292" t="s">
        <v>12712</v>
      </c>
    </row>
    <row r="293" spans="1:5">
      <c r="A293" t="s">
        <v>1672</v>
      </c>
      <c r="B293" t="s">
        <v>12436</v>
      </c>
      <c r="C293" t="s">
        <v>12407</v>
      </c>
      <c r="D293" t="s">
        <v>10388</v>
      </c>
      <c r="E293" t="s">
        <v>12713</v>
      </c>
    </row>
    <row r="294" spans="1:5">
      <c r="A294" t="s">
        <v>1677</v>
      </c>
      <c r="B294" t="s">
        <v>12442</v>
      </c>
      <c r="C294" t="s">
        <v>12415</v>
      </c>
      <c r="D294" t="s">
        <v>12401</v>
      </c>
      <c r="E294" t="s">
        <v>12714</v>
      </c>
    </row>
    <row r="295" spans="1:5">
      <c r="A295" t="s">
        <v>1683</v>
      </c>
      <c r="B295" t="s">
        <v>12512</v>
      </c>
      <c r="C295" t="s">
        <v>12397</v>
      </c>
      <c r="D295" t="s">
        <v>10376</v>
      </c>
      <c r="E295" t="s">
        <v>12715</v>
      </c>
    </row>
    <row r="296" spans="1:5">
      <c r="A296" t="s">
        <v>1688</v>
      </c>
      <c r="B296" t="s">
        <v>12450</v>
      </c>
      <c r="C296" t="s">
        <v>12428</v>
      </c>
      <c r="D296" t="s">
        <v>10388</v>
      </c>
      <c r="E296" t="s">
        <v>12716</v>
      </c>
    </row>
    <row r="297" spans="1:5">
      <c r="A297" t="s">
        <v>1694</v>
      </c>
      <c r="B297" t="s">
        <v>12473</v>
      </c>
      <c r="C297" t="s">
        <v>12412</v>
      </c>
      <c r="D297" t="s">
        <v>12381</v>
      </c>
      <c r="E297" t="s">
        <v>12717</v>
      </c>
    </row>
    <row r="298" spans="1:5">
      <c r="A298" t="s">
        <v>1700</v>
      </c>
      <c r="B298" t="s">
        <v>12399</v>
      </c>
      <c r="C298" t="s">
        <v>12446</v>
      </c>
      <c r="D298" t="s">
        <v>10388</v>
      </c>
      <c r="E298" t="s">
        <v>12718</v>
      </c>
    </row>
    <row r="299" spans="1:5">
      <c r="A299" t="s">
        <v>1705</v>
      </c>
      <c r="B299" t="s">
        <v>12399</v>
      </c>
      <c r="C299" t="s">
        <v>12384</v>
      </c>
      <c r="D299" t="s">
        <v>12381</v>
      </c>
      <c r="E299" t="s">
        <v>12719</v>
      </c>
    </row>
    <row r="300" spans="1:5">
      <c r="A300" t="s">
        <v>1711</v>
      </c>
      <c r="B300" t="s">
        <v>12436</v>
      </c>
      <c r="C300" t="s">
        <v>12378</v>
      </c>
      <c r="D300" t="s">
        <v>10388</v>
      </c>
      <c r="E300" t="s">
        <v>12720</v>
      </c>
    </row>
    <row r="301" spans="1:5">
      <c r="A301" t="s">
        <v>1716</v>
      </c>
      <c r="B301" t="s">
        <v>12498</v>
      </c>
      <c r="C301" t="s">
        <v>12412</v>
      </c>
      <c r="D301" t="s">
        <v>12381</v>
      </c>
      <c r="E301" t="s">
        <v>12721</v>
      </c>
    </row>
    <row r="302" spans="1:5">
      <c r="A302" t="s">
        <v>1721</v>
      </c>
      <c r="B302" t="s">
        <v>12424</v>
      </c>
      <c r="C302" t="s">
        <v>12474</v>
      </c>
      <c r="D302" t="s">
        <v>10388</v>
      </c>
      <c r="E302" t="s">
        <v>12722</v>
      </c>
    </row>
    <row r="303" spans="1:5">
      <c r="A303" t="s">
        <v>1726</v>
      </c>
      <c r="B303" t="s">
        <v>12386</v>
      </c>
      <c r="C303" t="s">
        <v>12389</v>
      </c>
      <c r="D303" t="s">
        <v>10388</v>
      </c>
      <c r="E303" t="s">
        <v>12379</v>
      </c>
    </row>
    <row r="304" spans="1:5">
      <c r="A304" t="s">
        <v>1731</v>
      </c>
      <c r="B304" t="s">
        <v>12565</v>
      </c>
      <c r="C304" t="s">
        <v>12397</v>
      </c>
      <c r="D304" t="s">
        <v>12401</v>
      </c>
      <c r="E304" t="s">
        <v>12723</v>
      </c>
    </row>
    <row r="305" spans="1:5">
      <c r="A305" t="s">
        <v>1736</v>
      </c>
      <c r="B305" t="s">
        <v>12442</v>
      </c>
      <c r="C305" t="s">
        <v>12432</v>
      </c>
      <c r="D305" t="s">
        <v>12416</v>
      </c>
      <c r="E305" t="s">
        <v>12724</v>
      </c>
    </row>
    <row r="306" spans="1:5">
      <c r="A306" t="s">
        <v>1741</v>
      </c>
      <c r="B306" t="s">
        <v>12391</v>
      </c>
      <c r="C306" t="s">
        <v>12400</v>
      </c>
      <c r="D306" t="s">
        <v>12437</v>
      </c>
      <c r="E306" t="s">
        <v>12598</v>
      </c>
    </row>
    <row r="307" spans="1:5">
      <c r="A307" t="s">
        <v>1746</v>
      </c>
      <c r="B307" t="s">
        <v>12426</v>
      </c>
      <c r="C307" t="s">
        <v>12384</v>
      </c>
      <c r="D307" t="s">
        <v>12437</v>
      </c>
      <c r="E307" t="s">
        <v>12725</v>
      </c>
    </row>
    <row r="308" spans="1:5">
      <c r="A308" t="s">
        <v>1752</v>
      </c>
      <c r="B308" t="s">
        <v>12512</v>
      </c>
      <c r="C308" t="s">
        <v>12400</v>
      </c>
      <c r="D308" t="s">
        <v>10402</v>
      </c>
      <c r="E308" t="s">
        <v>12726</v>
      </c>
    </row>
    <row r="309" spans="1:5">
      <c r="A309" t="s">
        <v>1758</v>
      </c>
      <c r="B309" t="s">
        <v>12430</v>
      </c>
      <c r="C309" t="s">
        <v>12499</v>
      </c>
      <c r="D309" t="s">
        <v>10388</v>
      </c>
      <c r="E309" t="s">
        <v>12727</v>
      </c>
    </row>
    <row r="310" spans="1:5">
      <c r="A310" t="s">
        <v>1764</v>
      </c>
      <c r="B310" t="s">
        <v>12388</v>
      </c>
      <c r="C310" t="s">
        <v>12389</v>
      </c>
      <c r="D310" t="s">
        <v>10388</v>
      </c>
      <c r="E310" t="s">
        <v>12728</v>
      </c>
    </row>
    <row r="311" spans="1:5">
      <c r="A311" t="s">
        <v>1769</v>
      </c>
      <c r="B311" t="s">
        <v>12403</v>
      </c>
      <c r="C311" t="s">
        <v>10369</v>
      </c>
      <c r="D311" t="s">
        <v>10376</v>
      </c>
      <c r="E311" t="s">
        <v>12729</v>
      </c>
    </row>
    <row r="312" spans="1:5">
      <c r="A312" t="s">
        <v>1774</v>
      </c>
      <c r="B312" t="s">
        <v>12473</v>
      </c>
      <c r="C312" t="s">
        <v>12440</v>
      </c>
      <c r="D312" t="s">
        <v>10388</v>
      </c>
      <c r="E312" t="s">
        <v>12730</v>
      </c>
    </row>
    <row r="313" spans="1:5">
      <c r="A313" t="s">
        <v>1779</v>
      </c>
      <c r="B313" t="s">
        <v>12445</v>
      </c>
      <c r="C313" t="s">
        <v>12378</v>
      </c>
      <c r="D313" t="s">
        <v>10388</v>
      </c>
      <c r="E313" t="s">
        <v>12731</v>
      </c>
    </row>
    <row r="314" spans="1:5">
      <c r="A314" t="s">
        <v>1784</v>
      </c>
      <c r="B314" t="s">
        <v>12477</v>
      </c>
      <c r="C314" t="s">
        <v>12384</v>
      </c>
      <c r="D314" t="s">
        <v>12401</v>
      </c>
      <c r="E314" t="s">
        <v>12732</v>
      </c>
    </row>
    <row r="315" spans="1:5">
      <c r="A315" t="s">
        <v>1789</v>
      </c>
      <c r="B315" t="s">
        <v>12391</v>
      </c>
      <c r="C315" t="s">
        <v>12389</v>
      </c>
      <c r="D315" t="s">
        <v>10388</v>
      </c>
      <c r="E315" t="s">
        <v>12733</v>
      </c>
    </row>
    <row r="316" spans="1:5">
      <c r="A316" t="s">
        <v>1795</v>
      </c>
      <c r="B316" t="s">
        <v>12470</v>
      </c>
      <c r="C316" t="s">
        <v>12499</v>
      </c>
      <c r="D316" t="s">
        <v>10388</v>
      </c>
      <c r="E316" t="s">
        <v>12734</v>
      </c>
    </row>
    <row r="317" spans="1:5">
      <c r="A317" t="s">
        <v>1800</v>
      </c>
      <c r="B317" t="s">
        <v>12508</v>
      </c>
      <c r="C317" t="s">
        <v>12392</v>
      </c>
      <c r="D317" t="s">
        <v>10402</v>
      </c>
      <c r="E317" t="s">
        <v>12735</v>
      </c>
    </row>
    <row r="318" spans="1:5">
      <c r="A318" t="s">
        <v>1805</v>
      </c>
      <c r="B318" t="s">
        <v>12406</v>
      </c>
      <c r="C318" t="s">
        <v>12389</v>
      </c>
      <c r="D318" t="s">
        <v>10388</v>
      </c>
      <c r="E318" t="s">
        <v>12705</v>
      </c>
    </row>
    <row r="319" spans="1:5">
      <c r="A319" t="s">
        <v>1811</v>
      </c>
      <c r="B319" t="s">
        <v>12434</v>
      </c>
      <c r="C319" t="s">
        <v>12432</v>
      </c>
      <c r="D319" t="s">
        <v>10376</v>
      </c>
      <c r="E319" t="s">
        <v>12423</v>
      </c>
    </row>
    <row r="320" spans="1:5">
      <c r="A320" t="s">
        <v>1816</v>
      </c>
      <c r="B320" t="s">
        <v>12563</v>
      </c>
      <c r="C320" t="s">
        <v>12409</v>
      </c>
      <c r="D320" t="s">
        <v>10388</v>
      </c>
      <c r="E320" t="s">
        <v>12736</v>
      </c>
    </row>
    <row r="321" spans="1:5">
      <c r="A321" t="s">
        <v>1821</v>
      </c>
      <c r="B321" t="s">
        <v>12380</v>
      </c>
      <c r="C321" t="s">
        <v>12499</v>
      </c>
      <c r="D321" t="s">
        <v>10388</v>
      </c>
      <c r="E321" t="s">
        <v>12737</v>
      </c>
    </row>
    <row r="322" spans="1:5">
      <c r="A322" t="s">
        <v>1827</v>
      </c>
      <c r="B322" t="s">
        <v>12477</v>
      </c>
      <c r="C322" t="s">
        <v>12474</v>
      </c>
      <c r="D322" t="s">
        <v>10388</v>
      </c>
      <c r="E322" t="s">
        <v>12738</v>
      </c>
    </row>
    <row r="323" spans="1:5">
      <c r="A323" t="s">
        <v>1832</v>
      </c>
      <c r="B323" t="s">
        <v>12477</v>
      </c>
      <c r="C323" t="s">
        <v>12392</v>
      </c>
      <c r="D323" t="s">
        <v>12381</v>
      </c>
      <c r="E323" t="s">
        <v>12739</v>
      </c>
    </row>
    <row r="324" spans="1:5">
      <c r="A324" t="s">
        <v>1837</v>
      </c>
      <c r="B324" t="s">
        <v>12418</v>
      </c>
      <c r="C324" t="s">
        <v>12407</v>
      </c>
      <c r="D324" t="s">
        <v>10388</v>
      </c>
      <c r="E324" t="s">
        <v>12740</v>
      </c>
    </row>
    <row r="325" spans="1:5">
      <c r="A325" t="s">
        <v>1842</v>
      </c>
      <c r="B325" t="s">
        <v>12565</v>
      </c>
      <c r="C325" t="s">
        <v>12400</v>
      </c>
      <c r="D325" t="s">
        <v>10376</v>
      </c>
      <c r="E325" t="s">
        <v>12741</v>
      </c>
    </row>
    <row r="326" spans="1:5">
      <c r="A326" t="s">
        <v>1847</v>
      </c>
      <c r="B326" t="s">
        <v>12565</v>
      </c>
      <c r="C326" t="s">
        <v>10369</v>
      </c>
      <c r="D326" t="s">
        <v>10402</v>
      </c>
      <c r="E326" t="s">
        <v>12729</v>
      </c>
    </row>
    <row r="327" spans="1:5">
      <c r="A327" t="s">
        <v>1852</v>
      </c>
      <c r="B327" t="s">
        <v>12450</v>
      </c>
      <c r="C327" t="s">
        <v>12409</v>
      </c>
      <c r="D327" t="s">
        <v>10388</v>
      </c>
      <c r="E327" t="s">
        <v>12742</v>
      </c>
    </row>
    <row r="328" spans="1:5">
      <c r="A328" t="s">
        <v>1857</v>
      </c>
      <c r="B328" t="s">
        <v>12418</v>
      </c>
      <c r="C328" t="s">
        <v>12384</v>
      </c>
      <c r="D328" t="s">
        <v>12437</v>
      </c>
      <c r="E328" t="s">
        <v>12561</v>
      </c>
    </row>
    <row r="329" spans="1:5">
      <c r="A329" t="s">
        <v>1862</v>
      </c>
      <c r="B329" t="s">
        <v>12403</v>
      </c>
      <c r="C329" t="s">
        <v>12419</v>
      </c>
      <c r="D329" t="s">
        <v>12381</v>
      </c>
      <c r="E329" t="s">
        <v>12743</v>
      </c>
    </row>
    <row r="330" spans="1:5">
      <c r="A330" t="s">
        <v>1867</v>
      </c>
      <c r="B330" t="s">
        <v>12388</v>
      </c>
      <c r="C330" t="s">
        <v>12428</v>
      </c>
      <c r="D330" t="s">
        <v>10388</v>
      </c>
      <c r="E330" t="s">
        <v>12744</v>
      </c>
    </row>
    <row r="331" spans="1:5">
      <c r="A331" t="s">
        <v>1872</v>
      </c>
      <c r="B331" t="s">
        <v>12421</v>
      </c>
      <c r="C331" t="s">
        <v>12463</v>
      </c>
      <c r="D331" t="s">
        <v>10402</v>
      </c>
      <c r="E331" t="s">
        <v>12745</v>
      </c>
    </row>
    <row r="332" spans="1:5">
      <c r="A332" t="s">
        <v>1877</v>
      </c>
      <c r="B332" t="s">
        <v>12426</v>
      </c>
      <c r="C332" t="s">
        <v>12412</v>
      </c>
      <c r="D332" t="s">
        <v>12401</v>
      </c>
      <c r="E332" t="s">
        <v>12596</v>
      </c>
    </row>
    <row r="333" spans="1:5">
      <c r="A333" t="s">
        <v>1882</v>
      </c>
      <c r="B333" t="s">
        <v>12380</v>
      </c>
      <c r="C333" t="s">
        <v>12409</v>
      </c>
      <c r="D333" t="s">
        <v>10388</v>
      </c>
      <c r="E333" t="s">
        <v>12746</v>
      </c>
    </row>
    <row r="334" spans="1:5">
      <c r="A334" t="s">
        <v>1887</v>
      </c>
      <c r="B334" t="s">
        <v>12377</v>
      </c>
      <c r="C334" t="s">
        <v>12412</v>
      </c>
      <c r="D334" t="s">
        <v>12413</v>
      </c>
      <c r="E334" t="s">
        <v>12731</v>
      </c>
    </row>
    <row r="335" spans="1:5">
      <c r="A335" t="s">
        <v>1892</v>
      </c>
      <c r="B335" t="s">
        <v>12406</v>
      </c>
      <c r="C335" t="s">
        <v>12432</v>
      </c>
      <c r="D335" t="s">
        <v>10381</v>
      </c>
      <c r="E335" t="s">
        <v>12747</v>
      </c>
    </row>
    <row r="336" spans="1:5">
      <c r="A336" t="s">
        <v>1897</v>
      </c>
      <c r="B336" t="s">
        <v>12439</v>
      </c>
      <c r="C336" t="s">
        <v>12499</v>
      </c>
      <c r="D336" t="s">
        <v>10388</v>
      </c>
      <c r="E336" t="s">
        <v>12748</v>
      </c>
    </row>
    <row r="337" spans="1:5">
      <c r="A337" t="s">
        <v>1902</v>
      </c>
      <c r="B337" t="s">
        <v>12406</v>
      </c>
      <c r="C337" t="s">
        <v>12409</v>
      </c>
      <c r="D337" t="s">
        <v>10388</v>
      </c>
      <c r="E337" t="s">
        <v>12749</v>
      </c>
    </row>
    <row r="338" spans="1:5">
      <c r="A338" t="s">
        <v>1907</v>
      </c>
      <c r="B338" t="s">
        <v>12525</v>
      </c>
      <c r="C338" t="s">
        <v>12400</v>
      </c>
      <c r="D338" t="s">
        <v>12467</v>
      </c>
      <c r="E338" t="s">
        <v>12750</v>
      </c>
    </row>
    <row r="339" spans="1:5">
      <c r="A339" t="s">
        <v>1912</v>
      </c>
      <c r="B339" t="s">
        <v>12453</v>
      </c>
      <c r="C339" t="s">
        <v>12415</v>
      </c>
      <c r="D339" t="s">
        <v>10376</v>
      </c>
      <c r="E339" t="s">
        <v>12451</v>
      </c>
    </row>
    <row r="340" spans="1:5">
      <c r="A340" t="s">
        <v>1917</v>
      </c>
      <c r="B340" t="s">
        <v>12388</v>
      </c>
      <c r="C340" t="s">
        <v>12415</v>
      </c>
      <c r="D340" t="s">
        <v>12381</v>
      </c>
      <c r="E340" t="s">
        <v>12751</v>
      </c>
    </row>
    <row r="341" spans="1:5">
      <c r="A341" t="s">
        <v>1922</v>
      </c>
      <c r="B341" t="s">
        <v>12442</v>
      </c>
      <c r="C341" t="s">
        <v>12474</v>
      </c>
      <c r="D341" t="s">
        <v>10388</v>
      </c>
      <c r="E341" t="s">
        <v>12752</v>
      </c>
    </row>
    <row r="342" spans="1:5">
      <c r="A342" t="s">
        <v>1927</v>
      </c>
      <c r="B342" t="s">
        <v>12399</v>
      </c>
      <c r="C342" t="s">
        <v>12409</v>
      </c>
      <c r="D342" t="s">
        <v>10388</v>
      </c>
      <c r="E342" t="s">
        <v>12449</v>
      </c>
    </row>
    <row r="343" spans="1:5">
      <c r="A343" t="s">
        <v>1932</v>
      </c>
      <c r="B343" t="s">
        <v>12377</v>
      </c>
      <c r="C343" t="s">
        <v>12493</v>
      </c>
      <c r="D343" t="s">
        <v>10388</v>
      </c>
      <c r="E343" t="s">
        <v>12753</v>
      </c>
    </row>
    <row r="344" spans="1:5">
      <c r="A344" t="s">
        <v>1937</v>
      </c>
      <c r="B344" t="s">
        <v>12470</v>
      </c>
      <c r="C344" t="s">
        <v>12392</v>
      </c>
      <c r="D344" t="s">
        <v>12381</v>
      </c>
      <c r="E344" t="s">
        <v>12561</v>
      </c>
    </row>
    <row r="345" spans="1:5">
      <c r="A345" t="s">
        <v>1942</v>
      </c>
      <c r="B345" t="s">
        <v>12386</v>
      </c>
      <c r="C345" t="s">
        <v>12389</v>
      </c>
      <c r="D345" t="s">
        <v>10388</v>
      </c>
      <c r="E345" t="s">
        <v>12754</v>
      </c>
    </row>
    <row r="346" spans="1:5">
      <c r="A346" t="s">
        <v>1947</v>
      </c>
      <c r="B346" t="s">
        <v>12380</v>
      </c>
      <c r="C346" t="s">
        <v>12463</v>
      </c>
      <c r="D346" t="s">
        <v>12467</v>
      </c>
      <c r="E346" t="s">
        <v>12755</v>
      </c>
    </row>
    <row r="347" spans="1:5">
      <c r="A347" t="s">
        <v>1952</v>
      </c>
      <c r="B347" t="s">
        <v>12459</v>
      </c>
      <c r="C347" t="s">
        <v>10369</v>
      </c>
      <c r="D347" t="s">
        <v>12456</v>
      </c>
      <c r="E347" t="s">
        <v>12756</v>
      </c>
    </row>
    <row r="348" spans="1:5">
      <c r="A348" t="s">
        <v>1957</v>
      </c>
      <c r="B348" t="s">
        <v>12470</v>
      </c>
      <c r="C348" t="s">
        <v>12446</v>
      </c>
      <c r="D348" t="s">
        <v>10388</v>
      </c>
      <c r="E348" t="s">
        <v>12757</v>
      </c>
    </row>
    <row r="349" spans="1:5">
      <c r="A349" t="s">
        <v>1962</v>
      </c>
      <c r="B349" t="s">
        <v>12445</v>
      </c>
      <c r="C349" t="s">
        <v>10369</v>
      </c>
      <c r="D349" t="s">
        <v>12437</v>
      </c>
      <c r="E349" t="s">
        <v>12758</v>
      </c>
    </row>
    <row r="350" spans="1:5">
      <c r="A350" t="s">
        <v>1967</v>
      </c>
      <c r="B350" t="s">
        <v>12552</v>
      </c>
      <c r="C350" t="s">
        <v>12378</v>
      </c>
      <c r="D350" t="s">
        <v>10388</v>
      </c>
      <c r="E350" t="s">
        <v>12759</v>
      </c>
    </row>
    <row r="351" spans="1:5">
      <c r="A351" t="s">
        <v>1973</v>
      </c>
      <c r="B351" t="s">
        <v>12421</v>
      </c>
      <c r="C351" t="s">
        <v>12415</v>
      </c>
      <c r="D351" t="s">
        <v>12413</v>
      </c>
      <c r="E351" t="s">
        <v>12760</v>
      </c>
    </row>
    <row r="352" spans="1:5">
      <c r="A352" t="s">
        <v>1978</v>
      </c>
      <c r="B352" t="s">
        <v>12445</v>
      </c>
      <c r="C352" t="s">
        <v>12499</v>
      </c>
      <c r="D352" t="s">
        <v>10388</v>
      </c>
      <c r="E352" t="s">
        <v>12761</v>
      </c>
    </row>
    <row r="353" spans="1:5">
      <c r="A353" t="s">
        <v>1984</v>
      </c>
      <c r="B353" t="s">
        <v>12445</v>
      </c>
      <c r="C353" t="s">
        <v>12409</v>
      </c>
      <c r="D353" t="s">
        <v>10388</v>
      </c>
      <c r="E353" t="s">
        <v>12528</v>
      </c>
    </row>
    <row r="354" spans="1:5">
      <c r="A354" t="s">
        <v>1989</v>
      </c>
      <c r="B354" t="s">
        <v>12461</v>
      </c>
      <c r="C354" t="s">
        <v>12428</v>
      </c>
      <c r="D354" t="s">
        <v>10388</v>
      </c>
      <c r="E354" t="s">
        <v>12762</v>
      </c>
    </row>
    <row r="355" spans="1:5">
      <c r="A355" t="s">
        <v>1994</v>
      </c>
      <c r="B355" t="s">
        <v>12426</v>
      </c>
      <c r="C355" t="s">
        <v>12428</v>
      </c>
      <c r="D355" t="s">
        <v>10388</v>
      </c>
      <c r="E355" t="s">
        <v>12763</v>
      </c>
    </row>
    <row r="356" spans="1:5">
      <c r="A356" t="s">
        <v>1999</v>
      </c>
      <c r="B356" t="s">
        <v>12445</v>
      </c>
      <c r="C356" t="s">
        <v>10369</v>
      </c>
      <c r="D356" t="s">
        <v>12437</v>
      </c>
      <c r="E356" t="s">
        <v>12764</v>
      </c>
    </row>
    <row r="357" spans="1:5">
      <c r="A357" t="s">
        <v>2004</v>
      </c>
      <c r="B357" t="s">
        <v>12459</v>
      </c>
      <c r="C357" t="s">
        <v>12474</v>
      </c>
      <c r="D357" t="s">
        <v>10388</v>
      </c>
      <c r="E357" t="s">
        <v>12517</v>
      </c>
    </row>
    <row r="358" spans="1:5">
      <c r="A358" t="s">
        <v>2009</v>
      </c>
      <c r="B358" t="s">
        <v>12424</v>
      </c>
      <c r="C358" t="s">
        <v>12378</v>
      </c>
      <c r="D358" t="s">
        <v>10388</v>
      </c>
      <c r="E358" t="s">
        <v>12464</v>
      </c>
    </row>
    <row r="359" spans="1:5">
      <c r="A359" t="s">
        <v>2014</v>
      </c>
      <c r="B359" t="s">
        <v>12386</v>
      </c>
      <c r="C359" t="s">
        <v>12499</v>
      </c>
      <c r="D359" t="s">
        <v>10388</v>
      </c>
      <c r="E359" t="s">
        <v>12765</v>
      </c>
    </row>
    <row r="360" spans="1:5">
      <c r="A360" t="s">
        <v>2020</v>
      </c>
      <c r="B360" t="s">
        <v>12491</v>
      </c>
      <c r="C360" t="s">
        <v>12446</v>
      </c>
      <c r="D360" t="s">
        <v>10388</v>
      </c>
      <c r="E360" t="s">
        <v>12766</v>
      </c>
    </row>
    <row r="361" spans="1:5">
      <c r="A361" t="s">
        <v>2025</v>
      </c>
      <c r="B361" t="s">
        <v>12459</v>
      </c>
      <c r="C361" t="s">
        <v>12474</v>
      </c>
      <c r="D361" t="s">
        <v>10388</v>
      </c>
      <c r="E361" t="s">
        <v>12735</v>
      </c>
    </row>
    <row r="362" spans="1:5">
      <c r="A362" t="s">
        <v>2030</v>
      </c>
      <c r="B362" t="s">
        <v>12430</v>
      </c>
      <c r="C362" t="s">
        <v>12463</v>
      </c>
      <c r="D362" t="s">
        <v>12416</v>
      </c>
      <c r="E362" t="s">
        <v>12767</v>
      </c>
    </row>
    <row r="363" spans="1:5">
      <c r="A363" t="s">
        <v>2036</v>
      </c>
      <c r="B363" t="s">
        <v>12498</v>
      </c>
      <c r="C363" t="s">
        <v>12463</v>
      </c>
      <c r="D363" t="s">
        <v>12381</v>
      </c>
      <c r="E363" t="s">
        <v>12768</v>
      </c>
    </row>
    <row r="364" spans="1:5">
      <c r="A364" t="s">
        <v>2042</v>
      </c>
      <c r="B364" t="s">
        <v>12418</v>
      </c>
      <c r="C364" t="s">
        <v>12415</v>
      </c>
      <c r="D364" t="s">
        <v>12416</v>
      </c>
      <c r="E364" t="s">
        <v>12769</v>
      </c>
    </row>
    <row r="365" spans="1:5">
      <c r="A365" t="s">
        <v>2047</v>
      </c>
      <c r="B365" t="s">
        <v>12455</v>
      </c>
      <c r="C365" t="s">
        <v>12397</v>
      </c>
      <c r="D365" t="s">
        <v>12437</v>
      </c>
      <c r="E365" t="s">
        <v>12770</v>
      </c>
    </row>
    <row r="366" spans="1:5">
      <c r="A366" t="s">
        <v>2052</v>
      </c>
      <c r="B366" t="s">
        <v>12399</v>
      </c>
      <c r="C366" t="s">
        <v>12389</v>
      </c>
      <c r="D366" t="s">
        <v>10388</v>
      </c>
      <c r="E366" t="s">
        <v>12771</v>
      </c>
    </row>
    <row r="367" spans="1:5">
      <c r="A367" t="s">
        <v>2057</v>
      </c>
      <c r="B367" t="s">
        <v>12386</v>
      </c>
      <c r="C367" t="s">
        <v>12407</v>
      </c>
      <c r="D367" t="s">
        <v>10388</v>
      </c>
      <c r="E367" t="s">
        <v>12772</v>
      </c>
    </row>
    <row r="368" spans="1:5">
      <c r="A368" t="s">
        <v>2063</v>
      </c>
      <c r="B368" t="s">
        <v>12512</v>
      </c>
      <c r="C368" t="s">
        <v>12463</v>
      </c>
      <c r="D368" t="s">
        <v>10376</v>
      </c>
      <c r="E368" t="s">
        <v>12773</v>
      </c>
    </row>
    <row r="369" spans="1:5">
      <c r="A369" t="s">
        <v>2068</v>
      </c>
      <c r="B369" t="s">
        <v>12411</v>
      </c>
      <c r="C369" t="s">
        <v>12412</v>
      </c>
      <c r="D369" t="s">
        <v>12437</v>
      </c>
      <c r="E369" t="s">
        <v>12774</v>
      </c>
    </row>
    <row r="370" spans="1:5">
      <c r="A370" t="s">
        <v>2074</v>
      </c>
      <c r="B370" t="s">
        <v>12498</v>
      </c>
      <c r="C370" t="s">
        <v>12440</v>
      </c>
      <c r="D370" t="s">
        <v>10388</v>
      </c>
      <c r="E370" t="s">
        <v>12775</v>
      </c>
    </row>
    <row r="371" spans="1:5">
      <c r="A371" t="s">
        <v>2080</v>
      </c>
      <c r="B371" t="s">
        <v>12442</v>
      </c>
      <c r="C371" t="s">
        <v>12493</v>
      </c>
      <c r="D371" t="s">
        <v>10388</v>
      </c>
      <c r="E371" t="s">
        <v>12776</v>
      </c>
    </row>
    <row r="372" spans="1:5">
      <c r="A372" t="s">
        <v>2086</v>
      </c>
      <c r="B372" t="s">
        <v>12430</v>
      </c>
      <c r="C372" t="s">
        <v>12428</v>
      </c>
      <c r="D372" t="s">
        <v>10388</v>
      </c>
      <c r="E372" t="s">
        <v>12777</v>
      </c>
    </row>
    <row r="373" spans="1:5">
      <c r="A373" t="s">
        <v>2091</v>
      </c>
      <c r="B373" t="s">
        <v>12461</v>
      </c>
      <c r="C373" t="s">
        <v>12389</v>
      </c>
      <c r="D373" t="s">
        <v>10388</v>
      </c>
      <c r="E373" t="s">
        <v>12778</v>
      </c>
    </row>
    <row r="374" spans="1:5">
      <c r="A374" t="s">
        <v>2096</v>
      </c>
      <c r="B374" t="s">
        <v>12383</v>
      </c>
      <c r="C374" t="s">
        <v>12419</v>
      </c>
      <c r="D374" t="s">
        <v>12456</v>
      </c>
      <c r="E374" t="s">
        <v>12779</v>
      </c>
    </row>
    <row r="375" spans="1:5">
      <c r="A375" t="s">
        <v>2102</v>
      </c>
      <c r="B375" t="s">
        <v>12386</v>
      </c>
      <c r="C375" t="s">
        <v>12392</v>
      </c>
      <c r="D375" t="s">
        <v>12413</v>
      </c>
      <c r="E375" t="s">
        <v>12780</v>
      </c>
    </row>
    <row r="376" spans="1:5">
      <c r="A376" t="s">
        <v>2107</v>
      </c>
      <c r="B376" t="s">
        <v>12380</v>
      </c>
      <c r="C376" t="s">
        <v>12474</v>
      </c>
      <c r="D376" t="s">
        <v>10388</v>
      </c>
      <c r="E376" t="s">
        <v>12781</v>
      </c>
    </row>
    <row r="377" spans="1:5">
      <c r="A377" t="s">
        <v>2113</v>
      </c>
      <c r="B377" t="s">
        <v>12498</v>
      </c>
      <c r="C377" t="s">
        <v>12415</v>
      </c>
      <c r="D377" t="s">
        <v>10376</v>
      </c>
      <c r="E377" t="s">
        <v>12410</v>
      </c>
    </row>
    <row r="378" spans="1:5">
      <c r="A378" t="s">
        <v>2118</v>
      </c>
      <c r="B378" t="s">
        <v>12391</v>
      </c>
      <c r="C378" t="s">
        <v>12409</v>
      </c>
      <c r="D378" t="s">
        <v>10388</v>
      </c>
      <c r="E378" t="s">
        <v>12782</v>
      </c>
    </row>
    <row r="379" spans="1:5">
      <c r="A379" t="s">
        <v>2123</v>
      </c>
      <c r="B379" t="s">
        <v>12483</v>
      </c>
      <c r="C379" t="s">
        <v>12493</v>
      </c>
      <c r="D379" t="s">
        <v>10388</v>
      </c>
      <c r="E379" t="s">
        <v>12783</v>
      </c>
    </row>
    <row r="380" spans="1:5">
      <c r="A380" t="s">
        <v>2128</v>
      </c>
      <c r="B380" t="s">
        <v>12411</v>
      </c>
      <c r="C380" t="s">
        <v>12412</v>
      </c>
      <c r="D380" t="s">
        <v>10402</v>
      </c>
      <c r="E380" t="s">
        <v>12784</v>
      </c>
    </row>
    <row r="381" spans="1:5">
      <c r="A381" t="s">
        <v>2133</v>
      </c>
      <c r="B381" t="s">
        <v>12455</v>
      </c>
      <c r="C381" t="s">
        <v>12493</v>
      </c>
      <c r="D381" t="s">
        <v>10388</v>
      </c>
      <c r="E381" t="s">
        <v>12785</v>
      </c>
    </row>
    <row r="382" spans="1:5">
      <c r="A382" t="s">
        <v>2138</v>
      </c>
      <c r="B382" t="s">
        <v>12396</v>
      </c>
      <c r="C382" t="s">
        <v>12409</v>
      </c>
      <c r="D382" t="s">
        <v>10388</v>
      </c>
      <c r="E382" t="s">
        <v>12786</v>
      </c>
    </row>
    <row r="383" spans="1:5">
      <c r="A383" t="s">
        <v>2144</v>
      </c>
      <c r="B383" t="s">
        <v>12473</v>
      </c>
      <c r="C383" t="s">
        <v>12499</v>
      </c>
      <c r="D383" t="s">
        <v>10388</v>
      </c>
      <c r="E383" t="s">
        <v>12787</v>
      </c>
    </row>
    <row r="384" spans="1:5">
      <c r="A384" t="s">
        <v>2149</v>
      </c>
      <c r="B384" t="s">
        <v>12459</v>
      </c>
      <c r="C384" t="s">
        <v>12415</v>
      </c>
      <c r="D384" t="s">
        <v>12467</v>
      </c>
      <c r="E384" t="s">
        <v>12788</v>
      </c>
    </row>
    <row r="385" spans="1:5">
      <c r="A385" t="s">
        <v>2155</v>
      </c>
      <c r="B385" t="s">
        <v>12461</v>
      </c>
      <c r="C385" t="s">
        <v>12407</v>
      </c>
      <c r="D385" t="s">
        <v>10388</v>
      </c>
      <c r="E385" t="s">
        <v>12789</v>
      </c>
    </row>
    <row r="386" spans="1:5">
      <c r="A386" t="s">
        <v>2160</v>
      </c>
      <c r="B386" t="s">
        <v>12406</v>
      </c>
      <c r="C386" t="s">
        <v>12474</v>
      </c>
      <c r="D386" t="s">
        <v>10388</v>
      </c>
      <c r="E386" t="s">
        <v>12790</v>
      </c>
    </row>
    <row r="387" spans="1:5">
      <c r="A387" t="s">
        <v>2165</v>
      </c>
      <c r="B387" t="s">
        <v>12421</v>
      </c>
      <c r="C387" t="s">
        <v>12463</v>
      </c>
      <c r="D387" t="s">
        <v>12401</v>
      </c>
      <c r="E387" t="s">
        <v>12791</v>
      </c>
    </row>
    <row r="388" spans="1:5">
      <c r="A388" t="s">
        <v>2170</v>
      </c>
      <c r="B388" t="s">
        <v>12421</v>
      </c>
      <c r="C388" t="s">
        <v>12409</v>
      </c>
      <c r="D388" t="s">
        <v>10388</v>
      </c>
      <c r="E388" t="s">
        <v>12792</v>
      </c>
    </row>
    <row r="389" spans="1:5">
      <c r="A389" t="s">
        <v>2176</v>
      </c>
      <c r="B389" t="s">
        <v>12439</v>
      </c>
      <c r="C389" t="s">
        <v>12407</v>
      </c>
      <c r="D389" t="s">
        <v>10388</v>
      </c>
      <c r="E389" t="s">
        <v>12658</v>
      </c>
    </row>
    <row r="390" spans="1:5">
      <c r="A390" t="s">
        <v>2181</v>
      </c>
      <c r="B390" t="s">
        <v>12445</v>
      </c>
      <c r="C390" t="s">
        <v>12397</v>
      </c>
      <c r="D390" t="s">
        <v>12437</v>
      </c>
      <c r="E390" t="s">
        <v>12793</v>
      </c>
    </row>
    <row r="391" spans="1:5">
      <c r="A391" t="s">
        <v>2186</v>
      </c>
      <c r="B391" t="s">
        <v>12380</v>
      </c>
      <c r="C391" t="s">
        <v>12446</v>
      </c>
      <c r="D391" t="s">
        <v>10388</v>
      </c>
      <c r="E391" t="s">
        <v>12794</v>
      </c>
    </row>
    <row r="392" spans="1:5">
      <c r="A392" t="s">
        <v>2191</v>
      </c>
      <c r="B392" t="s">
        <v>12508</v>
      </c>
      <c r="C392" t="s">
        <v>12432</v>
      </c>
      <c r="D392" t="s">
        <v>12413</v>
      </c>
      <c r="E392" t="s">
        <v>12795</v>
      </c>
    </row>
    <row r="393" spans="1:5">
      <c r="A393" t="s">
        <v>2197</v>
      </c>
      <c r="B393" t="s">
        <v>12411</v>
      </c>
      <c r="C393" t="s">
        <v>12409</v>
      </c>
      <c r="D393" t="s">
        <v>10388</v>
      </c>
      <c r="E393" t="s">
        <v>12796</v>
      </c>
    </row>
    <row r="394" spans="1:5">
      <c r="A394" t="s">
        <v>2203</v>
      </c>
      <c r="B394" t="s">
        <v>12388</v>
      </c>
      <c r="C394" t="s">
        <v>12499</v>
      </c>
      <c r="D394" t="s">
        <v>10388</v>
      </c>
      <c r="E394" t="s">
        <v>12649</v>
      </c>
    </row>
    <row r="395" spans="1:5">
      <c r="A395" t="s">
        <v>2208</v>
      </c>
      <c r="B395" t="s">
        <v>12380</v>
      </c>
      <c r="C395" t="s">
        <v>12499</v>
      </c>
      <c r="D395" t="s">
        <v>10388</v>
      </c>
      <c r="E395" t="s">
        <v>12749</v>
      </c>
    </row>
    <row r="396" spans="1:5">
      <c r="A396" t="s">
        <v>2213</v>
      </c>
      <c r="B396" t="s">
        <v>12470</v>
      </c>
      <c r="C396" t="s">
        <v>12419</v>
      </c>
      <c r="D396" t="s">
        <v>12437</v>
      </c>
      <c r="E396" t="s">
        <v>12797</v>
      </c>
    </row>
    <row r="397" spans="1:5">
      <c r="A397" t="s">
        <v>2218</v>
      </c>
      <c r="B397" t="s">
        <v>12436</v>
      </c>
      <c r="C397" t="s">
        <v>12392</v>
      </c>
      <c r="D397" t="s">
        <v>10402</v>
      </c>
      <c r="E397" t="s">
        <v>12798</v>
      </c>
    </row>
    <row r="398" spans="1:5">
      <c r="A398" t="s">
        <v>2223</v>
      </c>
      <c r="B398" t="s">
        <v>12473</v>
      </c>
      <c r="C398" t="s">
        <v>12397</v>
      </c>
      <c r="D398" t="s">
        <v>10381</v>
      </c>
      <c r="E398" t="s">
        <v>12799</v>
      </c>
    </row>
    <row r="399" spans="1:5">
      <c r="A399" t="s">
        <v>2228</v>
      </c>
      <c r="B399" t="s">
        <v>12459</v>
      </c>
      <c r="C399" t="s">
        <v>12415</v>
      </c>
      <c r="D399" t="s">
        <v>12456</v>
      </c>
      <c r="E399" t="s">
        <v>12696</v>
      </c>
    </row>
    <row r="400" spans="1:5">
      <c r="A400" t="s">
        <v>2234</v>
      </c>
      <c r="B400" t="s">
        <v>12552</v>
      </c>
      <c r="C400" t="s">
        <v>12432</v>
      </c>
      <c r="D400" t="s">
        <v>12437</v>
      </c>
      <c r="E400" t="s">
        <v>12489</v>
      </c>
    </row>
    <row r="401" spans="1:5">
      <c r="A401" t="s">
        <v>2239</v>
      </c>
      <c r="B401" t="s">
        <v>12483</v>
      </c>
      <c r="C401" t="s">
        <v>12446</v>
      </c>
      <c r="D401" t="s">
        <v>10388</v>
      </c>
      <c r="E401" t="s">
        <v>12572</v>
      </c>
    </row>
    <row r="402" spans="1:5">
      <c r="A402" t="s">
        <v>2245</v>
      </c>
      <c r="B402" t="s">
        <v>12565</v>
      </c>
      <c r="C402" t="s">
        <v>12392</v>
      </c>
      <c r="D402" t="s">
        <v>12413</v>
      </c>
      <c r="E402" t="s">
        <v>12753</v>
      </c>
    </row>
    <row r="403" spans="1:5">
      <c r="A403" t="s">
        <v>2250</v>
      </c>
      <c r="B403" t="s">
        <v>12498</v>
      </c>
      <c r="C403" t="s">
        <v>12474</v>
      </c>
      <c r="D403" t="s">
        <v>10388</v>
      </c>
      <c r="E403" t="s">
        <v>12800</v>
      </c>
    </row>
    <row r="404" spans="1:5">
      <c r="A404" t="s">
        <v>2255</v>
      </c>
      <c r="B404" t="s">
        <v>12388</v>
      </c>
      <c r="C404" t="s">
        <v>12389</v>
      </c>
      <c r="D404" t="s">
        <v>10388</v>
      </c>
      <c r="E404" t="s">
        <v>12801</v>
      </c>
    </row>
    <row r="405" spans="1:5">
      <c r="A405" t="s">
        <v>2260</v>
      </c>
      <c r="B405" t="s">
        <v>12403</v>
      </c>
      <c r="C405" t="s">
        <v>12392</v>
      </c>
      <c r="D405" t="s">
        <v>12401</v>
      </c>
      <c r="E405" t="s">
        <v>12802</v>
      </c>
    </row>
    <row r="406" spans="1:5">
      <c r="A406" t="s">
        <v>2265</v>
      </c>
      <c r="B406" t="s">
        <v>12483</v>
      </c>
      <c r="C406" t="s">
        <v>12412</v>
      </c>
      <c r="D406" t="s">
        <v>12437</v>
      </c>
      <c r="E406" t="s">
        <v>12803</v>
      </c>
    </row>
    <row r="407" spans="1:5">
      <c r="A407" t="s">
        <v>2271</v>
      </c>
      <c r="B407" t="s">
        <v>12483</v>
      </c>
      <c r="C407" t="s">
        <v>12419</v>
      </c>
      <c r="D407" t="s">
        <v>12381</v>
      </c>
      <c r="E407" t="s">
        <v>12804</v>
      </c>
    </row>
    <row r="408" spans="1:5">
      <c r="A408" t="s">
        <v>2277</v>
      </c>
      <c r="B408" t="s">
        <v>12552</v>
      </c>
      <c r="C408" t="s">
        <v>12397</v>
      </c>
      <c r="D408" t="s">
        <v>12413</v>
      </c>
      <c r="E408" t="s">
        <v>12805</v>
      </c>
    </row>
    <row r="409" spans="1:5">
      <c r="A409" t="s">
        <v>2282</v>
      </c>
      <c r="B409" t="s">
        <v>12424</v>
      </c>
      <c r="C409" t="s">
        <v>12419</v>
      </c>
      <c r="D409" t="s">
        <v>12381</v>
      </c>
      <c r="E409" t="s">
        <v>12806</v>
      </c>
    </row>
    <row r="410" spans="1:5">
      <c r="A410" t="s">
        <v>2287</v>
      </c>
      <c r="B410" t="s">
        <v>12434</v>
      </c>
      <c r="C410" t="s">
        <v>12499</v>
      </c>
      <c r="D410" t="s">
        <v>10388</v>
      </c>
      <c r="E410" t="s">
        <v>12807</v>
      </c>
    </row>
    <row r="411" spans="1:5">
      <c r="A411" t="s">
        <v>2292</v>
      </c>
      <c r="B411" t="s">
        <v>12394</v>
      </c>
      <c r="C411" t="s">
        <v>12432</v>
      </c>
      <c r="D411" t="s">
        <v>12416</v>
      </c>
      <c r="E411" t="s">
        <v>12808</v>
      </c>
    </row>
    <row r="412" spans="1:5">
      <c r="A412" t="s">
        <v>2298</v>
      </c>
      <c r="B412" t="s">
        <v>12421</v>
      </c>
      <c r="C412" t="s">
        <v>12446</v>
      </c>
      <c r="D412" t="s">
        <v>10388</v>
      </c>
      <c r="E412" t="s">
        <v>12683</v>
      </c>
    </row>
    <row r="413" spans="1:5">
      <c r="A413" t="s">
        <v>2303</v>
      </c>
      <c r="B413" t="s">
        <v>12377</v>
      </c>
      <c r="C413" t="s">
        <v>12409</v>
      </c>
      <c r="D413" t="s">
        <v>10388</v>
      </c>
      <c r="E413" t="s">
        <v>12809</v>
      </c>
    </row>
    <row r="414" spans="1:5">
      <c r="A414" t="s">
        <v>2308</v>
      </c>
      <c r="B414" t="s">
        <v>12388</v>
      </c>
      <c r="C414" t="s">
        <v>12400</v>
      </c>
      <c r="D414" t="s">
        <v>12467</v>
      </c>
      <c r="E414" t="s">
        <v>12810</v>
      </c>
    </row>
    <row r="415" spans="1:5">
      <c r="A415" t="s">
        <v>2314</v>
      </c>
      <c r="B415" t="s">
        <v>12498</v>
      </c>
      <c r="C415" t="s">
        <v>12499</v>
      </c>
      <c r="D415" t="s">
        <v>10388</v>
      </c>
      <c r="E415" t="s">
        <v>12811</v>
      </c>
    </row>
    <row r="416" spans="1:5">
      <c r="A416" t="s">
        <v>2319</v>
      </c>
      <c r="B416" t="s">
        <v>12436</v>
      </c>
      <c r="C416" t="s">
        <v>12493</v>
      </c>
      <c r="D416" t="s">
        <v>10388</v>
      </c>
      <c r="E416" t="s">
        <v>12574</v>
      </c>
    </row>
    <row r="417" spans="1:5">
      <c r="A417" t="s">
        <v>2324</v>
      </c>
      <c r="B417" t="s">
        <v>12477</v>
      </c>
      <c r="C417" t="s">
        <v>12392</v>
      </c>
      <c r="D417" t="s">
        <v>12456</v>
      </c>
      <c r="E417" t="s">
        <v>12812</v>
      </c>
    </row>
    <row r="418" spans="1:5">
      <c r="A418" t="s">
        <v>2330</v>
      </c>
      <c r="B418" t="s">
        <v>12455</v>
      </c>
      <c r="C418" t="s">
        <v>12499</v>
      </c>
      <c r="D418" t="s">
        <v>10388</v>
      </c>
      <c r="E418" t="s">
        <v>12764</v>
      </c>
    </row>
    <row r="419" spans="1:5">
      <c r="A419" t="s">
        <v>2335</v>
      </c>
      <c r="B419" t="s">
        <v>12424</v>
      </c>
      <c r="C419" t="s">
        <v>12412</v>
      </c>
      <c r="D419" t="s">
        <v>12437</v>
      </c>
      <c r="E419" t="s">
        <v>12813</v>
      </c>
    </row>
    <row r="420" spans="1:5">
      <c r="A420" t="s">
        <v>2340</v>
      </c>
      <c r="B420" t="s">
        <v>12430</v>
      </c>
      <c r="C420" t="s">
        <v>12400</v>
      </c>
      <c r="D420" t="s">
        <v>10376</v>
      </c>
      <c r="E420" t="s">
        <v>12786</v>
      </c>
    </row>
    <row r="421" spans="1:5">
      <c r="A421" t="s">
        <v>2345</v>
      </c>
      <c r="B421" t="s">
        <v>12491</v>
      </c>
      <c r="C421" t="s">
        <v>12397</v>
      </c>
      <c r="D421" t="s">
        <v>12456</v>
      </c>
      <c r="E421" t="s">
        <v>12814</v>
      </c>
    </row>
    <row r="422" spans="1:5">
      <c r="A422" t="s">
        <v>2350</v>
      </c>
      <c r="B422" t="s">
        <v>12445</v>
      </c>
      <c r="C422" t="s">
        <v>12428</v>
      </c>
      <c r="D422" t="s">
        <v>10388</v>
      </c>
      <c r="E422" t="s">
        <v>12544</v>
      </c>
    </row>
    <row r="423" spans="1:5">
      <c r="A423" t="s">
        <v>2355</v>
      </c>
      <c r="B423" t="s">
        <v>12453</v>
      </c>
      <c r="C423" t="s">
        <v>12432</v>
      </c>
      <c r="D423" t="s">
        <v>12456</v>
      </c>
      <c r="E423" t="s">
        <v>12815</v>
      </c>
    </row>
    <row r="424" spans="1:5">
      <c r="A424" t="s">
        <v>2360</v>
      </c>
      <c r="B424" t="s">
        <v>12477</v>
      </c>
      <c r="C424" t="s">
        <v>12378</v>
      </c>
      <c r="D424" t="s">
        <v>10388</v>
      </c>
      <c r="E424" t="s">
        <v>12816</v>
      </c>
    </row>
    <row r="425" spans="1:5">
      <c r="A425" t="s">
        <v>2365</v>
      </c>
      <c r="B425" t="s">
        <v>12421</v>
      </c>
      <c r="C425" t="s">
        <v>12412</v>
      </c>
      <c r="D425" t="s">
        <v>10376</v>
      </c>
      <c r="E425" t="s">
        <v>12817</v>
      </c>
    </row>
    <row r="426" spans="1:5">
      <c r="A426" t="s">
        <v>2370</v>
      </c>
      <c r="B426" t="s">
        <v>12459</v>
      </c>
      <c r="C426" t="s">
        <v>12446</v>
      </c>
      <c r="D426" t="s">
        <v>10388</v>
      </c>
      <c r="E426" t="s">
        <v>12441</v>
      </c>
    </row>
    <row r="427" spans="1:5">
      <c r="A427" t="s">
        <v>2375</v>
      </c>
      <c r="B427" t="s">
        <v>12565</v>
      </c>
      <c r="C427" t="s">
        <v>12378</v>
      </c>
      <c r="D427" t="s">
        <v>10388</v>
      </c>
      <c r="E427" t="s">
        <v>12818</v>
      </c>
    </row>
    <row r="428" spans="1:5">
      <c r="A428" t="s">
        <v>2380</v>
      </c>
      <c r="B428" t="s">
        <v>12434</v>
      </c>
      <c r="C428" t="s">
        <v>12499</v>
      </c>
      <c r="D428" t="s">
        <v>10388</v>
      </c>
      <c r="E428" t="s">
        <v>12819</v>
      </c>
    </row>
    <row r="429" spans="1:5">
      <c r="A429" t="s">
        <v>2385</v>
      </c>
      <c r="B429" t="s">
        <v>12388</v>
      </c>
      <c r="C429" t="s">
        <v>12415</v>
      </c>
      <c r="D429" t="s">
        <v>12416</v>
      </c>
      <c r="E429" t="s">
        <v>12820</v>
      </c>
    </row>
    <row r="430" spans="1:5">
      <c r="A430" t="s">
        <v>2390</v>
      </c>
      <c r="B430" t="s">
        <v>12426</v>
      </c>
      <c r="C430" t="s">
        <v>12384</v>
      </c>
      <c r="D430" t="s">
        <v>10381</v>
      </c>
      <c r="E430" t="s">
        <v>12821</v>
      </c>
    </row>
    <row r="431" spans="1:5">
      <c r="A431" t="s">
        <v>2395</v>
      </c>
      <c r="B431" t="s">
        <v>12503</v>
      </c>
      <c r="C431" t="s">
        <v>12400</v>
      </c>
      <c r="D431" t="s">
        <v>12467</v>
      </c>
      <c r="E431" t="s">
        <v>12822</v>
      </c>
    </row>
    <row r="432" spans="1:5">
      <c r="A432" t="s">
        <v>2400</v>
      </c>
      <c r="B432" t="s">
        <v>12512</v>
      </c>
      <c r="C432" t="s">
        <v>12378</v>
      </c>
      <c r="D432" t="s">
        <v>10388</v>
      </c>
      <c r="E432" t="s">
        <v>12823</v>
      </c>
    </row>
    <row r="433" spans="1:5">
      <c r="A433" t="s">
        <v>2405</v>
      </c>
      <c r="B433" t="s">
        <v>12525</v>
      </c>
      <c r="C433" t="s">
        <v>12446</v>
      </c>
      <c r="D433" t="s">
        <v>10388</v>
      </c>
      <c r="E433" t="s">
        <v>12824</v>
      </c>
    </row>
    <row r="434" spans="1:5">
      <c r="A434" t="s">
        <v>2410</v>
      </c>
      <c r="B434" t="s">
        <v>12391</v>
      </c>
      <c r="C434" t="s">
        <v>12409</v>
      </c>
      <c r="D434" t="s">
        <v>10388</v>
      </c>
      <c r="E434" t="s">
        <v>12825</v>
      </c>
    </row>
    <row r="435" spans="1:5">
      <c r="A435" t="s">
        <v>2415</v>
      </c>
      <c r="B435" t="s">
        <v>12450</v>
      </c>
      <c r="C435" t="s">
        <v>12409</v>
      </c>
      <c r="D435" t="s">
        <v>10388</v>
      </c>
      <c r="E435" t="s">
        <v>12826</v>
      </c>
    </row>
    <row r="436" spans="1:5">
      <c r="A436" t="s">
        <v>2421</v>
      </c>
      <c r="B436" t="s">
        <v>12565</v>
      </c>
      <c r="C436" t="s">
        <v>12428</v>
      </c>
      <c r="D436" t="s">
        <v>10388</v>
      </c>
      <c r="E436" t="s">
        <v>12827</v>
      </c>
    </row>
    <row r="437" spans="1:5">
      <c r="A437" t="s">
        <v>2426</v>
      </c>
      <c r="B437" t="s">
        <v>12439</v>
      </c>
      <c r="C437" t="s">
        <v>12463</v>
      </c>
      <c r="D437" t="s">
        <v>12456</v>
      </c>
      <c r="E437" t="s">
        <v>12828</v>
      </c>
    </row>
    <row r="438" spans="1:5">
      <c r="A438" t="s">
        <v>2431</v>
      </c>
      <c r="B438" t="s">
        <v>12424</v>
      </c>
      <c r="C438" t="s">
        <v>12474</v>
      </c>
      <c r="D438" t="s">
        <v>10388</v>
      </c>
      <c r="E438" t="s">
        <v>12829</v>
      </c>
    </row>
    <row r="439" spans="1:5">
      <c r="A439" t="s">
        <v>2436</v>
      </c>
      <c r="B439" t="s">
        <v>12436</v>
      </c>
      <c r="C439" t="s">
        <v>12384</v>
      </c>
      <c r="D439" t="s">
        <v>12456</v>
      </c>
      <c r="E439" t="s">
        <v>12830</v>
      </c>
    </row>
    <row r="440" spans="1:5">
      <c r="A440" t="s">
        <v>2441</v>
      </c>
      <c r="B440" t="s">
        <v>12512</v>
      </c>
      <c r="C440" t="s">
        <v>12397</v>
      </c>
      <c r="D440" t="s">
        <v>12413</v>
      </c>
      <c r="E440" t="s">
        <v>12599</v>
      </c>
    </row>
    <row r="441" spans="1:5">
      <c r="A441" t="s">
        <v>2446</v>
      </c>
      <c r="B441" t="s">
        <v>12383</v>
      </c>
      <c r="C441" t="s">
        <v>12493</v>
      </c>
      <c r="D441" t="s">
        <v>10388</v>
      </c>
      <c r="E441" t="s">
        <v>12831</v>
      </c>
    </row>
    <row r="442" spans="1:5">
      <c r="A442" t="s">
        <v>2452</v>
      </c>
      <c r="B442" t="s">
        <v>12470</v>
      </c>
      <c r="C442" t="s">
        <v>12419</v>
      </c>
      <c r="D442" t="s">
        <v>12381</v>
      </c>
      <c r="E442" t="s">
        <v>12832</v>
      </c>
    </row>
    <row r="443" spans="1:5">
      <c r="A443" t="s">
        <v>2458</v>
      </c>
      <c r="B443" t="s">
        <v>12434</v>
      </c>
      <c r="C443" t="s">
        <v>12499</v>
      </c>
      <c r="D443" t="s">
        <v>10388</v>
      </c>
      <c r="E443" t="s">
        <v>12833</v>
      </c>
    </row>
    <row r="444" spans="1:5">
      <c r="A444" t="s">
        <v>2464</v>
      </c>
      <c r="B444" t="s">
        <v>12508</v>
      </c>
      <c r="C444" t="s">
        <v>12415</v>
      </c>
      <c r="D444" t="s">
        <v>12413</v>
      </c>
      <c r="E444" t="s">
        <v>12385</v>
      </c>
    </row>
    <row r="445" spans="1:5">
      <c r="A445" t="s">
        <v>2469</v>
      </c>
      <c r="B445" t="s">
        <v>12403</v>
      </c>
      <c r="C445" t="s">
        <v>12378</v>
      </c>
      <c r="D445" t="s">
        <v>10388</v>
      </c>
      <c r="E445" t="s">
        <v>12834</v>
      </c>
    </row>
    <row r="446" spans="1:5">
      <c r="A446" t="s">
        <v>2475</v>
      </c>
      <c r="B446" t="s">
        <v>12421</v>
      </c>
      <c r="C446" t="s">
        <v>12446</v>
      </c>
      <c r="D446" t="s">
        <v>10388</v>
      </c>
      <c r="E446" t="s">
        <v>12835</v>
      </c>
    </row>
    <row r="447" spans="1:5">
      <c r="A447" t="s">
        <v>2480</v>
      </c>
      <c r="B447" t="s">
        <v>12525</v>
      </c>
      <c r="C447" t="s">
        <v>12440</v>
      </c>
      <c r="D447" t="s">
        <v>10388</v>
      </c>
      <c r="E447" t="s">
        <v>12635</v>
      </c>
    </row>
    <row r="448" spans="1:5">
      <c r="A448" t="s">
        <v>2485</v>
      </c>
      <c r="B448" t="s">
        <v>12377</v>
      </c>
      <c r="C448" t="s">
        <v>12428</v>
      </c>
      <c r="D448" t="s">
        <v>10388</v>
      </c>
      <c r="E448" t="s">
        <v>12836</v>
      </c>
    </row>
    <row r="449" spans="1:5">
      <c r="A449" t="s">
        <v>2490</v>
      </c>
      <c r="B449" t="s">
        <v>12453</v>
      </c>
      <c r="C449" t="s">
        <v>12389</v>
      </c>
      <c r="D449" t="s">
        <v>10388</v>
      </c>
      <c r="E449" t="s">
        <v>12837</v>
      </c>
    </row>
    <row r="450" spans="1:5">
      <c r="A450" t="s">
        <v>2495</v>
      </c>
      <c r="B450" t="s">
        <v>12491</v>
      </c>
      <c r="C450" t="s">
        <v>12389</v>
      </c>
      <c r="D450" t="s">
        <v>10388</v>
      </c>
      <c r="E450" t="s">
        <v>12838</v>
      </c>
    </row>
    <row r="451" spans="1:5">
      <c r="A451" t="s">
        <v>2500</v>
      </c>
      <c r="B451" t="s">
        <v>12411</v>
      </c>
      <c r="C451" t="s">
        <v>12400</v>
      </c>
      <c r="D451" t="s">
        <v>12437</v>
      </c>
      <c r="E451" t="s">
        <v>12839</v>
      </c>
    </row>
    <row r="452" spans="1:5">
      <c r="A452" t="s">
        <v>2505</v>
      </c>
      <c r="B452" t="s">
        <v>12377</v>
      </c>
      <c r="C452" t="s">
        <v>12384</v>
      </c>
      <c r="D452" t="s">
        <v>10381</v>
      </c>
      <c r="E452" t="s">
        <v>12840</v>
      </c>
    </row>
    <row r="453" spans="1:5">
      <c r="A453" t="s">
        <v>2511</v>
      </c>
      <c r="B453" t="s">
        <v>12483</v>
      </c>
      <c r="C453" t="s">
        <v>12432</v>
      </c>
      <c r="D453" t="s">
        <v>12456</v>
      </c>
      <c r="E453" t="s">
        <v>12841</v>
      </c>
    </row>
    <row r="454" spans="1:5">
      <c r="A454" t="s">
        <v>2516</v>
      </c>
      <c r="B454" t="s">
        <v>12491</v>
      </c>
      <c r="C454" t="s">
        <v>12389</v>
      </c>
      <c r="D454" t="s">
        <v>10388</v>
      </c>
      <c r="E454" t="s">
        <v>12842</v>
      </c>
    </row>
    <row r="455" spans="1:5">
      <c r="A455" t="s">
        <v>2521</v>
      </c>
      <c r="B455" t="s">
        <v>12377</v>
      </c>
      <c r="C455" t="s">
        <v>12392</v>
      </c>
      <c r="D455" t="s">
        <v>10376</v>
      </c>
      <c r="E455" t="s">
        <v>12843</v>
      </c>
    </row>
    <row r="456" spans="1:5">
      <c r="A456" t="s">
        <v>2526</v>
      </c>
      <c r="B456" t="s">
        <v>12477</v>
      </c>
      <c r="C456" t="s">
        <v>12378</v>
      </c>
      <c r="D456" t="s">
        <v>10388</v>
      </c>
      <c r="E456" t="s">
        <v>12471</v>
      </c>
    </row>
    <row r="457" spans="1:5">
      <c r="A457" t="s">
        <v>2531</v>
      </c>
      <c r="B457" t="s">
        <v>12453</v>
      </c>
      <c r="C457" t="s">
        <v>12384</v>
      </c>
      <c r="D457" t="s">
        <v>12456</v>
      </c>
      <c r="E457" t="s">
        <v>12844</v>
      </c>
    </row>
    <row r="458" spans="1:5">
      <c r="A458" t="s">
        <v>2536</v>
      </c>
      <c r="B458" t="s">
        <v>12498</v>
      </c>
      <c r="C458" t="s">
        <v>12419</v>
      </c>
      <c r="D458" t="s">
        <v>12437</v>
      </c>
      <c r="E458" t="s">
        <v>12835</v>
      </c>
    </row>
    <row r="459" spans="1:5">
      <c r="A459" t="s">
        <v>2541</v>
      </c>
      <c r="B459" t="s">
        <v>12461</v>
      </c>
      <c r="C459" t="s">
        <v>12432</v>
      </c>
      <c r="D459" t="s">
        <v>12467</v>
      </c>
      <c r="E459" t="s">
        <v>12501</v>
      </c>
    </row>
    <row r="460" spans="1:5">
      <c r="A460" t="s">
        <v>2546</v>
      </c>
      <c r="B460" t="s">
        <v>12455</v>
      </c>
      <c r="C460" t="s">
        <v>12446</v>
      </c>
      <c r="D460" t="s">
        <v>10388</v>
      </c>
      <c r="E460" t="s">
        <v>12845</v>
      </c>
    </row>
    <row r="461" spans="1:5">
      <c r="A461" t="s">
        <v>2551</v>
      </c>
      <c r="B461" t="s">
        <v>12442</v>
      </c>
      <c r="C461" t="s">
        <v>12446</v>
      </c>
      <c r="D461" t="s">
        <v>10388</v>
      </c>
      <c r="E461" t="s">
        <v>12846</v>
      </c>
    </row>
    <row r="462" spans="1:5">
      <c r="A462" t="s">
        <v>2556</v>
      </c>
      <c r="B462" t="s">
        <v>12383</v>
      </c>
      <c r="C462" t="s">
        <v>12389</v>
      </c>
      <c r="D462" t="s">
        <v>10388</v>
      </c>
      <c r="E462" t="s">
        <v>12847</v>
      </c>
    </row>
    <row r="463" spans="1:5">
      <c r="A463" t="s">
        <v>2561</v>
      </c>
      <c r="B463" t="s">
        <v>12508</v>
      </c>
      <c r="C463" t="s">
        <v>12440</v>
      </c>
      <c r="D463" t="s">
        <v>10388</v>
      </c>
      <c r="E463" t="s">
        <v>12848</v>
      </c>
    </row>
    <row r="464" spans="1:5">
      <c r="A464" t="s">
        <v>2566</v>
      </c>
      <c r="B464" t="s">
        <v>12399</v>
      </c>
      <c r="C464" t="s">
        <v>12474</v>
      </c>
      <c r="D464" t="s">
        <v>10388</v>
      </c>
      <c r="E464" t="s">
        <v>12717</v>
      </c>
    </row>
    <row r="465" spans="1:5">
      <c r="A465" t="s">
        <v>2571</v>
      </c>
      <c r="B465" t="s">
        <v>12525</v>
      </c>
      <c r="C465" t="s">
        <v>12397</v>
      </c>
      <c r="D465" t="s">
        <v>12401</v>
      </c>
      <c r="E465" t="s">
        <v>12636</v>
      </c>
    </row>
    <row r="466" spans="1:5">
      <c r="A466" t="s">
        <v>2576</v>
      </c>
      <c r="B466" t="s">
        <v>12491</v>
      </c>
      <c r="C466" t="s">
        <v>12428</v>
      </c>
      <c r="D466" t="s">
        <v>10388</v>
      </c>
      <c r="E466" t="s">
        <v>12849</v>
      </c>
    </row>
    <row r="467" spans="1:5">
      <c r="A467" t="s">
        <v>2581</v>
      </c>
      <c r="B467" t="s">
        <v>12434</v>
      </c>
      <c r="C467" t="s">
        <v>12446</v>
      </c>
      <c r="D467" t="s">
        <v>10388</v>
      </c>
      <c r="E467" t="s">
        <v>12826</v>
      </c>
    </row>
    <row r="468" spans="1:5">
      <c r="A468" t="s">
        <v>2586</v>
      </c>
      <c r="B468" t="s">
        <v>12552</v>
      </c>
      <c r="C468" t="s">
        <v>12409</v>
      </c>
      <c r="D468" t="s">
        <v>10388</v>
      </c>
      <c r="E468" t="s">
        <v>12850</v>
      </c>
    </row>
    <row r="469" spans="1:5">
      <c r="A469" t="s">
        <v>2591</v>
      </c>
      <c r="B469" t="s">
        <v>12434</v>
      </c>
      <c r="C469" t="s">
        <v>12400</v>
      </c>
      <c r="D469" t="s">
        <v>12401</v>
      </c>
      <c r="E469" t="s">
        <v>12851</v>
      </c>
    </row>
    <row r="470" spans="1:5">
      <c r="A470" t="s">
        <v>2596</v>
      </c>
      <c r="B470" t="s">
        <v>12525</v>
      </c>
      <c r="C470" t="s">
        <v>12419</v>
      </c>
      <c r="D470" t="s">
        <v>10402</v>
      </c>
      <c r="E470" t="s">
        <v>12852</v>
      </c>
    </row>
    <row r="471" spans="1:5">
      <c r="A471" t="s">
        <v>2601</v>
      </c>
      <c r="B471" t="s">
        <v>12459</v>
      </c>
      <c r="C471" t="s">
        <v>12389</v>
      </c>
      <c r="D471" t="s">
        <v>10388</v>
      </c>
      <c r="E471" t="s">
        <v>12853</v>
      </c>
    </row>
    <row r="472" spans="1:5">
      <c r="A472" t="s">
        <v>2606</v>
      </c>
      <c r="B472" t="s">
        <v>12498</v>
      </c>
      <c r="C472" t="s">
        <v>12463</v>
      </c>
      <c r="D472" t="s">
        <v>12437</v>
      </c>
      <c r="E472" t="s">
        <v>12854</v>
      </c>
    </row>
    <row r="473" spans="1:5">
      <c r="A473" t="s">
        <v>2611</v>
      </c>
      <c r="B473" t="s">
        <v>12491</v>
      </c>
      <c r="C473" t="s">
        <v>12384</v>
      </c>
      <c r="D473" t="s">
        <v>12401</v>
      </c>
      <c r="E473" t="s">
        <v>12855</v>
      </c>
    </row>
    <row r="474" spans="1:5">
      <c r="A474" t="s">
        <v>2616</v>
      </c>
      <c r="B474" t="s">
        <v>12503</v>
      </c>
      <c r="C474" t="s">
        <v>12378</v>
      </c>
      <c r="D474" t="s">
        <v>10388</v>
      </c>
      <c r="E474" t="s">
        <v>12856</v>
      </c>
    </row>
    <row r="475" spans="1:5">
      <c r="A475" t="s">
        <v>2621</v>
      </c>
      <c r="B475" t="s">
        <v>12418</v>
      </c>
      <c r="C475" t="s">
        <v>12432</v>
      </c>
      <c r="D475" t="s">
        <v>12456</v>
      </c>
      <c r="E475" t="s">
        <v>12857</v>
      </c>
    </row>
    <row r="476" spans="1:5">
      <c r="A476" t="s">
        <v>2626</v>
      </c>
      <c r="B476" t="s">
        <v>12450</v>
      </c>
      <c r="C476" t="s">
        <v>12428</v>
      </c>
      <c r="D476" t="s">
        <v>10388</v>
      </c>
      <c r="E476" t="s">
        <v>12858</v>
      </c>
    </row>
    <row r="477" spans="1:5">
      <c r="A477" t="s">
        <v>2631</v>
      </c>
      <c r="B477" t="s">
        <v>12436</v>
      </c>
      <c r="C477" t="s">
        <v>12432</v>
      </c>
      <c r="D477" t="s">
        <v>10381</v>
      </c>
      <c r="E477" t="s">
        <v>12859</v>
      </c>
    </row>
    <row r="478" spans="1:5">
      <c r="A478" t="s">
        <v>2637</v>
      </c>
      <c r="B478" t="s">
        <v>12473</v>
      </c>
      <c r="C478" t="s">
        <v>12432</v>
      </c>
      <c r="D478" t="s">
        <v>12467</v>
      </c>
      <c r="E478" t="s">
        <v>12860</v>
      </c>
    </row>
    <row r="479" spans="1:5">
      <c r="A479" t="s">
        <v>2643</v>
      </c>
      <c r="B479" t="s">
        <v>12434</v>
      </c>
      <c r="C479" t="s">
        <v>12392</v>
      </c>
      <c r="D479" t="s">
        <v>12401</v>
      </c>
      <c r="E479" t="s">
        <v>12488</v>
      </c>
    </row>
    <row r="480" spans="1:5">
      <c r="A480" t="s">
        <v>2648</v>
      </c>
      <c r="B480" t="s">
        <v>12453</v>
      </c>
      <c r="C480" t="s">
        <v>12415</v>
      </c>
      <c r="D480" t="s">
        <v>12416</v>
      </c>
      <c r="E480" t="s">
        <v>12861</v>
      </c>
    </row>
    <row r="481" spans="1:5">
      <c r="A481" t="s">
        <v>2653</v>
      </c>
      <c r="B481" t="s">
        <v>12436</v>
      </c>
      <c r="C481" t="s">
        <v>12412</v>
      </c>
      <c r="D481" t="s">
        <v>12413</v>
      </c>
      <c r="E481" t="s">
        <v>12433</v>
      </c>
    </row>
    <row r="482" spans="1:5">
      <c r="A482" t="s">
        <v>2658</v>
      </c>
      <c r="B482" t="s">
        <v>12388</v>
      </c>
      <c r="C482" t="s">
        <v>12415</v>
      </c>
      <c r="D482" t="s">
        <v>12437</v>
      </c>
      <c r="E482" t="s">
        <v>12862</v>
      </c>
    </row>
    <row r="483" spans="1:5">
      <c r="A483" t="s">
        <v>2664</v>
      </c>
      <c r="B483" t="s">
        <v>12383</v>
      </c>
      <c r="C483" t="s">
        <v>12493</v>
      </c>
      <c r="D483" t="s">
        <v>10388</v>
      </c>
      <c r="E483" t="s">
        <v>12863</v>
      </c>
    </row>
    <row r="484" spans="1:5">
      <c r="A484" t="s">
        <v>2669</v>
      </c>
      <c r="B484" t="s">
        <v>12455</v>
      </c>
      <c r="C484" t="s">
        <v>12389</v>
      </c>
      <c r="D484" t="s">
        <v>10388</v>
      </c>
      <c r="E484" t="s">
        <v>12864</v>
      </c>
    </row>
    <row r="485" spans="1:5">
      <c r="A485" t="s">
        <v>2674</v>
      </c>
      <c r="B485" t="s">
        <v>12512</v>
      </c>
      <c r="C485" t="s">
        <v>12446</v>
      </c>
      <c r="D485" t="s">
        <v>10388</v>
      </c>
      <c r="E485" t="s">
        <v>12865</v>
      </c>
    </row>
    <row r="486" spans="1:5">
      <c r="A486" t="s">
        <v>2679</v>
      </c>
      <c r="B486" t="s">
        <v>12525</v>
      </c>
      <c r="C486" t="s">
        <v>10369</v>
      </c>
      <c r="D486" t="s">
        <v>12413</v>
      </c>
      <c r="E486" t="s">
        <v>12866</v>
      </c>
    </row>
    <row r="487" spans="1:5">
      <c r="A487" t="s">
        <v>2684</v>
      </c>
      <c r="B487" t="s">
        <v>12563</v>
      </c>
      <c r="C487" t="s">
        <v>12440</v>
      </c>
      <c r="D487" t="s">
        <v>10388</v>
      </c>
      <c r="E487" t="s">
        <v>12867</v>
      </c>
    </row>
    <row r="488" spans="1:5">
      <c r="A488" t="s">
        <v>2690</v>
      </c>
      <c r="B488" t="s">
        <v>12380</v>
      </c>
      <c r="C488" t="s">
        <v>12407</v>
      </c>
      <c r="D488" t="s">
        <v>10388</v>
      </c>
      <c r="E488" t="s">
        <v>12868</v>
      </c>
    </row>
    <row r="489" spans="1:5">
      <c r="A489" t="s">
        <v>2695</v>
      </c>
      <c r="B489" t="s">
        <v>12455</v>
      </c>
      <c r="C489" t="s">
        <v>12415</v>
      </c>
      <c r="D489" t="s">
        <v>10381</v>
      </c>
      <c r="E489" t="s">
        <v>12869</v>
      </c>
    </row>
    <row r="490" spans="1:5">
      <c r="A490" t="s">
        <v>2700</v>
      </c>
      <c r="B490" t="s">
        <v>12386</v>
      </c>
      <c r="C490" t="s">
        <v>12446</v>
      </c>
      <c r="D490" t="s">
        <v>10388</v>
      </c>
      <c r="E490" t="s">
        <v>12870</v>
      </c>
    </row>
    <row r="491" spans="1:5">
      <c r="A491" t="s">
        <v>2705</v>
      </c>
      <c r="B491" t="s">
        <v>12394</v>
      </c>
      <c r="C491" t="s">
        <v>12389</v>
      </c>
      <c r="D491" t="s">
        <v>10388</v>
      </c>
      <c r="E491" t="s">
        <v>12871</v>
      </c>
    </row>
    <row r="492" spans="1:5">
      <c r="A492" t="s">
        <v>2710</v>
      </c>
      <c r="B492" t="s">
        <v>12563</v>
      </c>
      <c r="C492" t="s">
        <v>12446</v>
      </c>
      <c r="D492" t="s">
        <v>10388</v>
      </c>
      <c r="E492" t="s">
        <v>12859</v>
      </c>
    </row>
    <row r="493" spans="1:5">
      <c r="A493" t="s">
        <v>2715</v>
      </c>
      <c r="B493" t="s">
        <v>12450</v>
      </c>
      <c r="C493" t="s">
        <v>12446</v>
      </c>
      <c r="D493" t="s">
        <v>10388</v>
      </c>
      <c r="E493" t="s">
        <v>12872</v>
      </c>
    </row>
    <row r="494" spans="1:5">
      <c r="A494" t="s">
        <v>2721</v>
      </c>
      <c r="B494" t="s">
        <v>12434</v>
      </c>
      <c r="C494" t="s">
        <v>12419</v>
      </c>
      <c r="D494" t="s">
        <v>12381</v>
      </c>
      <c r="E494" t="s">
        <v>12873</v>
      </c>
    </row>
    <row r="495" spans="1:5">
      <c r="A495" t="s">
        <v>2727</v>
      </c>
      <c r="B495" t="s">
        <v>12388</v>
      </c>
      <c r="C495" t="s">
        <v>12499</v>
      </c>
      <c r="D495" t="s">
        <v>10388</v>
      </c>
      <c r="E495" t="s">
        <v>12874</v>
      </c>
    </row>
    <row r="496" spans="1:5">
      <c r="A496" t="s">
        <v>2732</v>
      </c>
      <c r="B496" t="s">
        <v>12388</v>
      </c>
      <c r="C496" t="s">
        <v>12419</v>
      </c>
      <c r="D496" t="s">
        <v>10402</v>
      </c>
      <c r="E496" t="s">
        <v>12875</v>
      </c>
    </row>
    <row r="497" spans="1:5">
      <c r="A497" t="s">
        <v>2737</v>
      </c>
      <c r="B497" t="s">
        <v>12498</v>
      </c>
      <c r="C497" t="s">
        <v>12415</v>
      </c>
      <c r="D497" t="s">
        <v>10402</v>
      </c>
      <c r="E497" t="s">
        <v>12643</v>
      </c>
    </row>
    <row r="498" spans="1:5">
      <c r="A498" t="s">
        <v>2743</v>
      </c>
      <c r="B498" t="s">
        <v>12450</v>
      </c>
      <c r="C498" t="s">
        <v>12384</v>
      </c>
      <c r="D498" t="s">
        <v>10381</v>
      </c>
      <c r="E498" t="s">
        <v>12876</v>
      </c>
    </row>
    <row r="499" spans="1:5">
      <c r="A499" t="s">
        <v>2748</v>
      </c>
      <c r="B499" t="s">
        <v>12453</v>
      </c>
      <c r="C499" t="s">
        <v>12415</v>
      </c>
      <c r="D499" t="s">
        <v>12437</v>
      </c>
      <c r="E499" t="s">
        <v>12654</v>
      </c>
    </row>
    <row r="500" spans="1:5">
      <c r="A500" t="s">
        <v>2753</v>
      </c>
      <c r="B500" t="s">
        <v>12424</v>
      </c>
      <c r="C500" t="s">
        <v>12463</v>
      </c>
      <c r="D500" t="s">
        <v>10402</v>
      </c>
      <c r="E500" t="s">
        <v>12877</v>
      </c>
    </row>
    <row r="501" spans="1:5">
      <c r="A501" t="s">
        <v>2758</v>
      </c>
      <c r="B501" t="s">
        <v>12470</v>
      </c>
      <c r="C501" t="s">
        <v>12389</v>
      </c>
      <c r="D501" t="s">
        <v>10388</v>
      </c>
      <c r="E501" t="s">
        <v>12878</v>
      </c>
    </row>
    <row r="502" spans="1:5">
      <c r="A502" t="s">
        <v>2763</v>
      </c>
      <c r="B502" t="s">
        <v>12426</v>
      </c>
      <c r="C502" t="s">
        <v>12440</v>
      </c>
      <c r="D502" t="s">
        <v>10388</v>
      </c>
      <c r="E502" t="s">
        <v>12879</v>
      </c>
    </row>
    <row r="503" spans="1:5">
      <c r="A503" t="s">
        <v>2768</v>
      </c>
      <c r="B503" t="s">
        <v>12498</v>
      </c>
      <c r="C503" t="s">
        <v>12415</v>
      </c>
      <c r="D503" t="s">
        <v>10402</v>
      </c>
      <c r="E503" t="s">
        <v>12880</v>
      </c>
    </row>
    <row r="504" spans="1:5">
      <c r="A504" t="s">
        <v>2773</v>
      </c>
      <c r="B504" t="s">
        <v>12459</v>
      </c>
      <c r="C504" t="s">
        <v>10369</v>
      </c>
      <c r="D504" t="s">
        <v>12413</v>
      </c>
      <c r="E504" t="s">
        <v>12881</v>
      </c>
    </row>
    <row r="505" spans="1:5">
      <c r="A505" t="s">
        <v>2779</v>
      </c>
      <c r="B505" t="s">
        <v>12445</v>
      </c>
      <c r="C505" t="s">
        <v>12384</v>
      </c>
      <c r="D505" t="s">
        <v>12437</v>
      </c>
      <c r="E505" t="s">
        <v>12882</v>
      </c>
    </row>
    <row r="506" spans="1:5">
      <c r="A506" t="s">
        <v>2784</v>
      </c>
      <c r="B506" t="s">
        <v>12439</v>
      </c>
      <c r="C506" t="s">
        <v>12440</v>
      </c>
      <c r="D506" t="s">
        <v>10388</v>
      </c>
      <c r="E506" t="s">
        <v>12883</v>
      </c>
    </row>
    <row r="507" spans="1:5">
      <c r="A507" t="s">
        <v>2789</v>
      </c>
      <c r="B507" t="s">
        <v>12470</v>
      </c>
      <c r="C507" t="s">
        <v>12432</v>
      </c>
      <c r="D507" t="s">
        <v>12456</v>
      </c>
      <c r="E507" t="s">
        <v>12884</v>
      </c>
    </row>
    <row r="508" spans="1:5">
      <c r="A508" t="s">
        <v>2794</v>
      </c>
      <c r="B508" t="s">
        <v>12491</v>
      </c>
      <c r="C508" t="s">
        <v>12432</v>
      </c>
      <c r="D508" t="s">
        <v>12437</v>
      </c>
      <c r="E508" t="s">
        <v>12670</v>
      </c>
    </row>
    <row r="509" spans="1:5">
      <c r="A509" t="s">
        <v>2799</v>
      </c>
      <c r="B509" t="s">
        <v>12552</v>
      </c>
      <c r="C509" t="s">
        <v>12446</v>
      </c>
      <c r="D509" t="s">
        <v>10388</v>
      </c>
      <c r="E509" t="s">
        <v>12658</v>
      </c>
    </row>
    <row r="510" spans="1:5">
      <c r="A510" t="s">
        <v>2805</v>
      </c>
      <c r="B510" t="s">
        <v>12426</v>
      </c>
      <c r="C510" t="s">
        <v>12384</v>
      </c>
      <c r="D510" t="s">
        <v>12381</v>
      </c>
      <c r="E510" t="s">
        <v>12885</v>
      </c>
    </row>
    <row r="511" spans="1:5">
      <c r="A511" t="s">
        <v>2810</v>
      </c>
      <c r="B511" t="s">
        <v>12483</v>
      </c>
      <c r="C511" t="s">
        <v>12428</v>
      </c>
      <c r="D511" t="s">
        <v>10388</v>
      </c>
      <c r="E511" t="s">
        <v>12886</v>
      </c>
    </row>
    <row r="512" spans="1:5">
      <c r="A512" t="s">
        <v>2816</v>
      </c>
      <c r="B512" t="s">
        <v>12421</v>
      </c>
      <c r="C512" t="s">
        <v>12409</v>
      </c>
      <c r="D512" t="s">
        <v>10388</v>
      </c>
      <c r="E512" t="s">
        <v>12887</v>
      </c>
    </row>
    <row r="513" spans="1:5">
      <c r="A513" t="s">
        <v>2821</v>
      </c>
      <c r="B513" t="s">
        <v>12391</v>
      </c>
      <c r="C513" t="s">
        <v>12412</v>
      </c>
      <c r="D513" t="s">
        <v>12381</v>
      </c>
      <c r="E513" t="s">
        <v>12888</v>
      </c>
    </row>
    <row r="514" spans="1:5">
      <c r="A514" t="s">
        <v>2826</v>
      </c>
      <c r="B514" t="s">
        <v>12380</v>
      </c>
      <c r="C514" t="s">
        <v>12392</v>
      </c>
      <c r="D514" t="s">
        <v>12401</v>
      </c>
      <c r="E514" t="s">
        <v>12889</v>
      </c>
    </row>
    <row r="515" spans="1:5">
      <c r="A515" t="s">
        <v>2832</v>
      </c>
      <c r="B515" t="s">
        <v>12461</v>
      </c>
      <c r="C515" t="s">
        <v>12407</v>
      </c>
      <c r="D515" t="s">
        <v>10388</v>
      </c>
      <c r="E515" t="s">
        <v>12890</v>
      </c>
    </row>
    <row r="516" spans="1:5">
      <c r="A516" t="s">
        <v>2838</v>
      </c>
      <c r="B516" t="s">
        <v>12503</v>
      </c>
      <c r="C516" t="s">
        <v>12446</v>
      </c>
      <c r="D516" t="s">
        <v>10388</v>
      </c>
      <c r="E516" t="s">
        <v>12891</v>
      </c>
    </row>
    <row r="517" spans="1:5">
      <c r="A517" t="s">
        <v>2843</v>
      </c>
      <c r="B517" t="s">
        <v>12380</v>
      </c>
      <c r="C517" t="s">
        <v>12389</v>
      </c>
      <c r="D517" t="s">
        <v>10388</v>
      </c>
      <c r="E517" t="s">
        <v>12892</v>
      </c>
    </row>
    <row r="518" spans="1:5">
      <c r="A518" t="s">
        <v>2848</v>
      </c>
      <c r="B518" t="s">
        <v>12411</v>
      </c>
      <c r="C518" t="s">
        <v>12463</v>
      </c>
      <c r="D518" t="s">
        <v>12467</v>
      </c>
      <c r="E518" t="s">
        <v>12893</v>
      </c>
    </row>
    <row r="519" spans="1:5">
      <c r="A519" t="s">
        <v>2853</v>
      </c>
      <c r="B519" t="s">
        <v>12421</v>
      </c>
      <c r="C519" t="s">
        <v>12384</v>
      </c>
      <c r="D519" t="s">
        <v>12416</v>
      </c>
      <c r="E519" t="s">
        <v>12894</v>
      </c>
    </row>
    <row r="520" spans="1:5">
      <c r="A520" t="s">
        <v>2858</v>
      </c>
      <c r="B520" t="s">
        <v>12430</v>
      </c>
      <c r="C520" t="s">
        <v>12474</v>
      </c>
      <c r="D520" t="s">
        <v>10388</v>
      </c>
      <c r="E520" t="s">
        <v>12895</v>
      </c>
    </row>
    <row r="521" spans="1:5">
      <c r="A521" t="s">
        <v>2864</v>
      </c>
      <c r="B521" t="s">
        <v>12394</v>
      </c>
      <c r="C521" t="s">
        <v>12446</v>
      </c>
      <c r="D521" t="s">
        <v>10388</v>
      </c>
      <c r="E521" t="s">
        <v>12896</v>
      </c>
    </row>
    <row r="522" spans="1:5">
      <c r="A522" t="s">
        <v>2869</v>
      </c>
      <c r="B522" t="s">
        <v>12396</v>
      </c>
      <c r="C522" t="s">
        <v>12378</v>
      </c>
      <c r="D522" t="s">
        <v>10388</v>
      </c>
      <c r="E522" t="s">
        <v>12897</v>
      </c>
    </row>
    <row r="523" spans="1:5">
      <c r="A523" t="s">
        <v>2874</v>
      </c>
      <c r="B523" t="s">
        <v>12491</v>
      </c>
      <c r="C523" t="s">
        <v>12463</v>
      </c>
      <c r="D523" t="s">
        <v>12416</v>
      </c>
      <c r="E523" t="s">
        <v>12898</v>
      </c>
    </row>
    <row r="524" spans="1:5">
      <c r="A524" t="s">
        <v>2879</v>
      </c>
      <c r="B524" t="s">
        <v>12470</v>
      </c>
      <c r="C524" t="s">
        <v>12397</v>
      </c>
      <c r="D524" t="s">
        <v>12401</v>
      </c>
      <c r="E524" t="s">
        <v>12899</v>
      </c>
    </row>
    <row r="525" spans="1:5">
      <c r="A525" t="s">
        <v>2884</v>
      </c>
      <c r="B525" t="s">
        <v>12403</v>
      </c>
      <c r="C525" t="s">
        <v>12409</v>
      </c>
      <c r="D525" t="s">
        <v>10388</v>
      </c>
      <c r="E525" t="s">
        <v>12900</v>
      </c>
    </row>
    <row r="526" spans="1:5">
      <c r="A526" t="s">
        <v>2889</v>
      </c>
      <c r="B526" t="s">
        <v>12512</v>
      </c>
      <c r="C526" t="s">
        <v>12397</v>
      </c>
      <c r="D526" t="s">
        <v>12437</v>
      </c>
      <c r="E526" t="s">
        <v>12711</v>
      </c>
    </row>
    <row r="527" spans="1:5">
      <c r="A527" t="s">
        <v>2894</v>
      </c>
      <c r="B527" t="s">
        <v>12394</v>
      </c>
      <c r="C527" t="s">
        <v>12474</v>
      </c>
      <c r="D527" t="s">
        <v>10388</v>
      </c>
      <c r="E527" t="s">
        <v>12901</v>
      </c>
    </row>
    <row r="528" spans="1:5">
      <c r="A528" t="s">
        <v>2899</v>
      </c>
      <c r="B528" t="s">
        <v>12453</v>
      </c>
      <c r="C528" t="s">
        <v>12384</v>
      </c>
      <c r="D528" t="s">
        <v>10376</v>
      </c>
      <c r="E528" t="s">
        <v>12902</v>
      </c>
    </row>
    <row r="529" spans="1:5">
      <c r="A529" t="s">
        <v>2904</v>
      </c>
      <c r="B529" t="s">
        <v>12503</v>
      </c>
      <c r="C529" t="s">
        <v>12409</v>
      </c>
      <c r="D529" t="s">
        <v>10388</v>
      </c>
      <c r="E529" t="s">
        <v>12903</v>
      </c>
    </row>
    <row r="530" spans="1:5">
      <c r="A530" t="s">
        <v>2909</v>
      </c>
      <c r="B530" t="s">
        <v>12552</v>
      </c>
      <c r="C530" t="s">
        <v>12440</v>
      </c>
      <c r="D530" t="s">
        <v>10388</v>
      </c>
      <c r="E530" t="s">
        <v>12904</v>
      </c>
    </row>
    <row r="531" spans="1:5">
      <c r="A531" t="s">
        <v>2914</v>
      </c>
      <c r="B531" t="s">
        <v>12461</v>
      </c>
      <c r="C531" t="s">
        <v>12474</v>
      </c>
      <c r="D531" t="s">
        <v>10388</v>
      </c>
      <c r="E531" t="s">
        <v>12905</v>
      </c>
    </row>
    <row r="532" spans="1:5">
      <c r="A532" t="s">
        <v>2919</v>
      </c>
      <c r="B532" t="s">
        <v>12399</v>
      </c>
      <c r="C532" t="s">
        <v>12499</v>
      </c>
      <c r="D532" t="s">
        <v>10388</v>
      </c>
      <c r="E532" t="s">
        <v>12906</v>
      </c>
    </row>
    <row r="533" spans="1:5">
      <c r="A533" t="s">
        <v>2925</v>
      </c>
      <c r="B533" t="s">
        <v>12383</v>
      </c>
      <c r="C533" t="s">
        <v>12493</v>
      </c>
      <c r="D533" t="s">
        <v>10388</v>
      </c>
      <c r="E533" t="s">
        <v>12907</v>
      </c>
    </row>
    <row r="534" spans="1:5">
      <c r="A534" t="s">
        <v>2930</v>
      </c>
      <c r="B534" t="s">
        <v>12424</v>
      </c>
      <c r="C534" t="s">
        <v>12397</v>
      </c>
      <c r="D534" t="s">
        <v>12401</v>
      </c>
      <c r="E534" t="s">
        <v>12908</v>
      </c>
    </row>
    <row r="535" spans="1:5">
      <c r="A535" t="s">
        <v>2935</v>
      </c>
      <c r="B535" t="s">
        <v>12450</v>
      </c>
      <c r="C535" t="s">
        <v>12409</v>
      </c>
      <c r="D535" t="s">
        <v>10388</v>
      </c>
      <c r="E535" t="s">
        <v>12909</v>
      </c>
    </row>
    <row r="536" spans="1:5">
      <c r="A536" t="s">
        <v>2940</v>
      </c>
      <c r="B536" t="s">
        <v>12565</v>
      </c>
      <c r="C536" t="s">
        <v>12415</v>
      </c>
      <c r="D536" t="s">
        <v>12437</v>
      </c>
      <c r="E536" t="s">
        <v>12910</v>
      </c>
    </row>
    <row r="537" spans="1:5">
      <c r="A537" t="s">
        <v>2946</v>
      </c>
      <c r="B537" t="s">
        <v>12434</v>
      </c>
      <c r="C537" t="s">
        <v>12446</v>
      </c>
      <c r="D537" t="s">
        <v>10388</v>
      </c>
      <c r="E537" t="s">
        <v>12382</v>
      </c>
    </row>
    <row r="538" spans="1:5">
      <c r="A538" t="s">
        <v>2951</v>
      </c>
      <c r="B538" t="s">
        <v>12406</v>
      </c>
      <c r="C538" t="s">
        <v>12493</v>
      </c>
      <c r="D538" t="s">
        <v>10388</v>
      </c>
      <c r="E538" t="s">
        <v>12821</v>
      </c>
    </row>
    <row r="539" spans="1:5">
      <c r="A539" t="s">
        <v>2956</v>
      </c>
      <c r="B539" t="s">
        <v>12477</v>
      </c>
      <c r="C539" t="s">
        <v>12499</v>
      </c>
      <c r="D539" t="s">
        <v>10388</v>
      </c>
      <c r="E539" t="s">
        <v>12911</v>
      </c>
    </row>
    <row r="540" spans="1:5">
      <c r="A540" t="s">
        <v>2961</v>
      </c>
      <c r="B540" t="s">
        <v>12461</v>
      </c>
      <c r="C540" t="s">
        <v>12384</v>
      </c>
      <c r="D540" t="s">
        <v>12416</v>
      </c>
      <c r="E540" t="s">
        <v>12379</v>
      </c>
    </row>
    <row r="541" spans="1:5">
      <c r="A541" t="s">
        <v>2966</v>
      </c>
      <c r="B541" t="s">
        <v>12430</v>
      </c>
      <c r="C541" t="s">
        <v>12446</v>
      </c>
      <c r="D541" t="s">
        <v>10388</v>
      </c>
      <c r="E541" t="s">
        <v>12912</v>
      </c>
    </row>
    <row r="542" spans="1:5">
      <c r="A542" t="s">
        <v>2971</v>
      </c>
      <c r="B542" t="s">
        <v>12426</v>
      </c>
      <c r="C542" t="s">
        <v>12432</v>
      </c>
      <c r="D542" t="s">
        <v>12437</v>
      </c>
      <c r="E542" t="s">
        <v>12913</v>
      </c>
    </row>
    <row r="543" spans="1:5">
      <c r="A543" t="s">
        <v>2976</v>
      </c>
      <c r="B543" t="s">
        <v>12450</v>
      </c>
      <c r="C543" t="s">
        <v>12474</v>
      </c>
      <c r="D543" t="s">
        <v>10388</v>
      </c>
      <c r="E543" t="s">
        <v>12914</v>
      </c>
    </row>
    <row r="544" spans="1:5">
      <c r="A544" t="s">
        <v>2981</v>
      </c>
      <c r="B544" t="s">
        <v>12503</v>
      </c>
      <c r="C544" t="s">
        <v>10369</v>
      </c>
      <c r="D544" t="s">
        <v>12437</v>
      </c>
      <c r="E544" t="s">
        <v>12809</v>
      </c>
    </row>
    <row r="545" spans="1:5">
      <c r="A545" t="s">
        <v>2986</v>
      </c>
      <c r="B545" t="s">
        <v>12436</v>
      </c>
      <c r="C545" t="s">
        <v>12493</v>
      </c>
      <c r="D545" t="s">
        <v>10388</v>
      </c>
      <c r="E545" t="s">
        <v>12875</v>
      </c>
    </row>
    <row r="546" spans="1:5">
      <c r="A546" t="s">
        <v>2991</v>
      </c>
      <c r="B546" t="s">
        <v>12450</v>
      </c>
      <c r="C546" t="s">
        <v>12384</v>
      </c>
      <c r="D546" t="s">
        <v>12413</v>
      </c>
      <c r="E546" t="s">
        <v>12771</v>
      </c>
    </row>
    <row r="547" spans="1:5">
      <c r="A547" t="s">
        <v>2996</v>
      </c>
      <c r="B547" t="s">
        <v>12391</v>
      </c>
      <c r="C547" t="s">
        <v>12499</v>
      </c>
      <c r="D547" t="s">
        <v>10388</v>
      </c>
      <c r="E547" t="s">
        <v>12915</v>
      </c>
    </row>
    <row r="548" spans="1:5">
      <c r="A548" t="s">
        <v>3001</v>
      </c>
      <c r="B548" t="s">
        <v>12439</v>
      </c>
      <c r="C548" t="s">
        <v>12499</v>
      </c>
      <c r="D548" t="s">
        <v>10388</v>
      </c>
      <c r="E548" t="s">
        <v>12916</v>
      </c>
    </row>
    <row r="549" spans="1:5">
      <c r="A549" t="s">
        <v>3006</v>
      </c>
      <c r="B549" t="s">
        <v>12445</v>
      </c>
      <c r="C549" t="s">
        <v>12432</v>
      </c>
      <c r="D549" t="s">
        <v>12456</v>
      </c>
      <c r="E549" t="s">
        <v>12917</v>
      </c>
    </row>
    <row r="550" spans="1:5">
      <c r="A550" t="s">
        <v>3011</v>
      </c>
      <c r="B550" t="s">
        <v>12391</v>
      </c>
      <c r="C550" t="s">
        <v>12499</v>
      </c>
      <c r="D550" t="s">
        <v>10388</v>
      </c>
      <c r="E550" t="s">
        <v>12918</v>
      </c>
    </row>
    <row r="551" spans="1:5">
      <c r="A551" t="s">
        <v>3016</v>
      </c>
      <c r="B551" t="s">
        <v>12503</v>
      </c>
      <c r="C551" t="s">
        <v>12463</v>
      </c>
      <c r="D551" t="s">
        <v>12456</v>
      </c>
      <c r="E551" t="s">
        <v>12447</v>
      </c>
    </row>
    <row r="552" spans="1:5">
      <c r="A552" t="s">
        <v>3021</v>
      </c>
      <c r="B552" t="s">
        <v>12424</v>
      </c>
      <c r="C552" t="s">
        <v>12392</v>
      </c>
      <c r="D552" t="s">
        <v>12401</v>
      </c>
      <c r="E552" t="s">
        <v>12919</v>
      </c>
    </row>
    <row r="553" spans="1:5">
      <c r="A553" t="s">
        <v>3026</v>
      </c>
      <c r="B553" t="s">
        <v>12439</v>
      </c>
      <c r="C553" t="s">
        <v>12428</v>
      </c>
      <c r="D553" t="s">
        <v>10388</v>
      </c>
      <c r="E553" t="s">
        <v>12920</v>
      </c>
    </row>
    <row r="554" spans="1:5">
      <c r="A554" t="s">
        <v>3031</v>
      </c>
      <c r="B554" t="s">
        <v>12477</v>
      </c>
      <c r="C554" t="s">
        <v>12463</v>
      </c>
      <c r="D554" t="s">
        <v>12437</v>
      </c>
      <c r="E554" t="s">
        <v>12921</v>
      </c>
    </row>
    <row r="555" spans="1:5">
      <c r="A555" t="s">
        <v>3036</v>
      </c>
      <c r="B555" t="s">
        <v>12399</v>
      </c>
      <c r="C555" t="s">
        <v>12397</v>
      </c>
      <c r="D555" t="s">
        <v>12413</v>
      </c>
      <c r="E555" t="s">
        <v>12922</v>
      </c>
    </row>
    <row r="556" spans="1:5">
      <c r="A556" t="s">
        <v>3041</v>
      </c>
      <c r="B556" t="s">
        <v>12426</v>
      </c>
      <c r="C556" t="s">
        <v>12400</v>
      </c>
      <c r="D556" t="s">
        <v>12413</v>
      </c>
      <c r="E556" t="s">
        <v>12614</v>
      </c>
    </row>
    <row r="557" spans="1:5">
      <c r="A557" t="s">
        <v>3046</v>
      </c>
      <c r="B557" t="s">
        <v>12455</v>
      </c>
      <c r="C557" t="s">
        <v>12493</v>
      </c>
      <c r="D557" t="s">
        <v>10388</v>
      </c>
      <c r="E557" t="s">
        <v>12923</v>
      </c>
    </row>
    <row r="558" spans="1:5">
      <c r="A558" t="s">
        <v>3051</v>
      </c>
      <c r="B558" t="s">
        <v>12508</v>
      </c>
      <c r="C558" t="s">
        <v>12440</v>
      </c>
      <c r="D558" t="s">
        <v>10388</v>
      </c>
      <c r="E558" t="s">
        <v>12598</v>
      </c>
    </row>
    <row r="559" spans="1:5">
      <c r="A559" t="s">
        <v>3056</v>
      </c>
      <c r="B559" t="s">
        <v>12421</v>
      </c>
      <c r="C559" t="s">
        <v>12392</v>
      </c>
      <c r="D559" t="s">
        <v>12456</v>
      </c>
      <c r="E559" t="s">
        <v>12924</v>
      </c>
    </row>
    <row r="560" spans="1:5">
      <c r="A560" t="s">
        <v>3062</v>
      </c>
      <c r="B560" t="s">
        <v>12421</v>
      </c>
      <c r="C560" t="s">
        <v>12409</v>
      </c>
      <c r="D560" t="s">
        <v>10388</v>
      </c>
      <c r="E560" t="s">
        <v>12925</v>
      </c>
    </row>
    <row r="561" spans="1:5">
      <c r="A561" t="s">
        <v>3067</v>
      </c>
      <c r="B561" t="s">
        <v>12426</v>
      </c>
      <c r="C561" t="s">
        <v>12474</v>
      </c>
      <c r="D561" t="s">
        <v>10388</v>
      </c>
      <c r="E561" t="s">
        <v>12533</v>
      </c>
    </row>
    <row r="562" spans="1:5">
      <c r="A562" t="s">
        <v>3072</v>
      </c>
      <c r="B562" t="s">
        <v>12470</v>
      </c>
      <c r="C562" t="s">
        <v>12428</v>
      </c>
      <c r="D562" t="s">
        <v>10388</v>
      </c>
      <c r="E562" t="s">
        <v>12704</v>
      </c>
    </row>
    <row r="563" spans="1:5">
      <c r="A563" t="s">
        <v>3077</v>
      </c>
      <c r="B563" t="s">
        <v>12394</v>
      </c>
      <c r="C563" t="s">
        <v>12397</v>
      </c>
      <c r="D563" t="s">
        <v>12401</v>
      </c>
      <c r="E563" t="s">
        <v>12926</v>
      </c>
    </row>
    <row r="564" spans="1:5">
      <c r="A564" t="s">
        <v>3082</v>
      </c>
      <c r="B564" t="s">
        <v>12470</v>
      </c>
      <c r="C564" t="s">
        <v>12384</v>
      </c>
      <c r="D564" t="s">
        <v>10376</v>
      </c>
      <c r="E564" t="s">
        <v>12927</v>
      </c>
    </row>
    <row r="565" spans="1:5">
      <c r="A565" t="s">
        <v>3087</v>
      </c>
      <c r="B565" t="s">
        <v>12477</v>
      </c>
      <c r="C565" t="s">
        <v>12384</v>
      </c>
      <c r="D565" t="s">
        <v>12416</v>
      </c>
      <c r="E565" t="s">
        <v>12928</v>
      </c>
    </row>
    <row r="566" spans="1:5">
      <c r="A566" t="s">
        <v>3092</v>
      </c>
      <c r="B566" t="s">
        <v>12442</v>
      </c>
      <c r="C566" t="s">
        <v>12400</v>
      </c>
      <c r="D566" t="s">
        <v>12416</v>
      </c>
      <c r="E566" t="s">
        <v>12929</v>
      </c>
    </row>
    <row r="567" spans="1:5">
      <c r="A567" t="s">
        <v>3097</v>
      </c>
      <c r="B567" t="s">
        <v>12386</v>
      </c>
      <c r="C567" t="s">
        <v>12493</v>
      </c>
      <c r="D567" t="s">
        <v>10388</v>
      </c>
      <c r="E567" t="s">
        <v>12930</v>
      </c>
    </row>
    <row r="568" spans="1:5">
      <c r="A568" t="s">
        <v>3102</v>
      </c>
      <c r="B568" t="s">
        <v>12430</v>
      </c>
      <c r="C568" t="s">
        <v>12392</v>
      </c>
      <c r="D568" t="s">
        <v>12456</v>
      </c>
      <c r="E568" t="s">
        <v>12931</v>
      </c>
    </row>
    <row r="569" spans="1:5">
      <c r="A569" t="s">
        <v>3107</v>
      </c>
      <c r="B569" t="s">
        <v>12406</v>
      </c>
      <c r="C569" t="s">
        <v>12493</v>
      </c>
      <c r="D569" t="s">
        <v>10388</v>
      </c>
      <c r="E569" t="s">
        <v>12932</v>
      </c>
    </row>
    <row r="570" spans="1:5">
      <c r="A570" t="s">
        <v>3113</v>
      </c>
      <c r="B570" t="s">
        <v>12442</v>
      </c>
      <c r="C570" t="s">
        <v>12384</v>
      </c>
      <c r="D570" t="s">
        <v>12413</v>
      </c>
      <c r="E570" t="s">
        <v>12933</v>
      </c>
    </row>
    <row r="571" spans="1:5">
      <c r="A571" t="s">
        <v>3119</v>
      </c>
      <c r="B571" t="s">
        <v>12411</v>
      </c>
      <c r="C571" t="s">
        <v>12474</v>
      </c>
      <c r="D571" t="s">
        <v>10388</v>
      </c>
      <c r="E571" t="s">
        <v>12934</v>
      </c>
    </row>
    <row r="572" spans="1:5">
      <c r="A572" t="s">
        <v>3125</v>
      </c>
      <c r="B572" t="s">
        <v>12411</v>
      </c>
      <c r="C572" t="s">
        <v>12474</v>
      </c>
      <c r="D572" t="s">
        <v>10388</v>
      </c>
      <c r="E572" t="s">
        <v>12935</v>
      </c>
    </row>
    <row r="573" spans="1:5">
      <c r="A573" t="s">
        <v>3130</v>
      </c>
      <c r="B573" t="s">
        <v>12503</v>
      </c>
      <c r="C573" t="s">
        <v>12419</v>
      </c>
      <c r="D573" t="s">
        <v>12416</v>
      </c>
      <c r="E573" t="s">
        <v>12659</v>
      </c>
    </row>
    <row r="574" spans="1:5">
      <c r="A574" t="s">
        <v>3135</v>
      </c>
      <c r="B574" t="s">
        <v>12439</v>
      </c>
      <c r="C574" t="s">
        <v>12440</v>
      </c>
      <c r="D574" t="s">
        <v>10388</v>
      </c>
      <c r="E574" t="s">
        <v>12873</v>
      </c>
    </row>
    <row r="575" spans="1:5">
      <c r="A575" t="s">
        <v>3140</v>
      </c>
      <c r="B575" t="s">
        <v>12508</v>
      </c>
      <c r="C575" t="s">
        <v>12400</v>
      </c>
      <c r="D575" t="s">
        <v>12381</v>
      </c>
      <c r="E575" t="s">
        <v>12689</v>
      </c>
    </row>
    <row r="576" spans="1:5">
      <c r="A576" t="s">
        <v>3145</v>
      </c>
      <c r="B576" t="s">
        <v>12470</v>
      </c>
      <c r="C576" t="s">
        <v>12397</v>
      </c>
      <c r="D576" t="s">
        <v>10381</v>
      </c>
      <c r="E576" t="s">
        <v>12936</v>
      </c>
    </row>
    <row r="577" spans="1:5">
      <c r="A577" t="s">
        <v>3150</v>
      </c>
      <c r="B577" t="s">
        <v>12380</v>
      </c>
      <c r="C577" t="s">
        <v>12499</v>
      </c>
      <c r="D577" t="s">
        <v>10388</v>
      </c>
      <c r="E577" t="s">
        <v>12937</v>
      </c>
    </row>
    <row r="578" spans="1:5">
      <c r="A578" t="s">
        <v>3155</v>
      </c>
      <c r="B578" t="s">
        <v>12403</v>
      </c>
      <c r="C578" t="s">
        <v>12474</v>
      </c>
      <c r="D578" t="s">
        <v>10388</v>
      </c>
      <c r="E578" t="s">
        <v>12938</v>
      </c>
    </row>
    <row r="579" spans="1:5">
      <c r="A579" t="s">
        <v>3160</v>
      </c>
      <c r="B579" t="s">
        <v>12470</v>
      </c>
      <c r="C579" t="s">
        <v>12397</v>
      </c>
      <c r="D579" t="s">
        <v>12437</v>
      </c>
      <c r="E579" t="s">
        <v>12939</v>
      </c>
    </row>
    <row r="580" spans="1:5">
      <c r="A580" t="s">
        <v>3165</v>
      </c>
      <c r="B580" t="s">
        <v>12403</v>
      </c>
      <c r="C580" t="s">
        <v>12397</v>
      </c>
      <c r="D580" t="s">
        <v>10402</v>
      </c>
      <c r="E580" t="s">
        <v>12940</v>
      </c>
    </row>
    <row r="581" spans="1:5">
      <c r="A581" t="s">
        <v>3170</v>
      </c>
      <c r="B581" t="s">
        <v>12377</v>
      </c>
      <c r="C581" t="s">
        <v>12384</v>
      </c>
      <c r="D581" t="s">
        <v>12401</v>
      </c>
      <c r="E581" t="s">
        <v>12941</v>
      </c>
    </row>
    <row r="582" spans="1:5">
      <c r="A582" t="s">
        <v>3175</v>
      </c>
      <c r="B582" t="s">
        <v>12377</v>
      </c>
      <c r="C582" t="s">
        <v>12499</v>
      </c>
      <c r="D582" t="s">
        <v>10388</v>
      </c>
      <c r="E582" t="s">
        <v>12942</v>
      </c>
    </row>
    <row r="583" spans="1:5">
      <c r="A583" t="s">
        <v>3180</v>
      </c>
      <c r="B583" t="s">
        <v>12442</v>
      </c>
      <c r="C583" t="s">
        <v>12440</v>
      </c>
      <c r="D583" t="s">
        <v>10388</v>
      </c>
      <c r="E583" t="s">
        <v>12943</v>
      </c>
    </row>
    <row r="584" spans="1:5">
      <c r="A584" t="s">
        <v>3185</v>
      </c>
      <c r="B584" t="s">
        <v>12552</v>
      </c>
      <c r="C584" t="s">
        <v>12412</v>
      </c>
      <c r="D584" t="s">
        <v>12416</v>
      </c>
      <c r="E584" t="s">
        <v>12944</v>
      </c>
    </row>
    <row r="585" spans="1:5">
      <c r="A585" t="s">
        <v>3190</v>
      </c>
      <c r="B585" t="s">
        <v>12498</v>
      </c>
      <c r="C585" t="s">
        <v>12415</v>
      </c>
      <c r="D585" t="s">
        <v>10402</v>
      </c>
      <c r="E585" t="s">
        <v>12945</v>
      </c>
    </row>
    <row r="586" spans="1:5">
      <c r="A586" t="s">
        <v>3195</v>
      </c>
      <c r="B586" t="s">
        <v>12461</v>
      </c>
      <c r="C586" t="s">
        <v>12432</v>
      </c>
      <c r="D586" t="s">
        <v>10381</v>
      </c>
      <c r="E586" t="s">
        <v>12946</v>
      </c>
    </row>
    <row r="587" spans="1:5">
      <c r="A587" t="s">
        <v>3200</v>
      </c>
      <c r="B587" t="s">
        <v>12426</v>
      </c>
      <c r="C587" t="s">
        <v>12493</v>
      </c>
      <c r="D587" t="s">
        <v>10388</v>
      </c>
      <c r="E587" t="s">
        <v>12947</v>
      </c>
    </row>
    <row r="588" spans="1:5">
      <c r="A588" t="s">
        <v>3205</v>
      </c>
      <c r="B588" t="s">
        <v>12418</v>
      </c>
      <c r="C588" t="s">
        <v>12474</v>
      </c>
      <c r="D588" t="s">
        <v>10388</v>
      </c>
      <c r="E588" t="s">
        <v>12948</v>
      </c>
    </row>
    <row r="589" spans="1:5">
      <c r="A589" t="s">
        <v>3211</v>
      </c>
      <c r="B589" t="s">
        <v>12383</v>
      </c>
      <c r="C589" t="s">
        <v>12428</v>
      </c>
      <c r="D589" t="s">
        <v>10388</v>
      </c>
      <c r="E589" t="s">
        <v>12949</v>
      </c>
    </row>
    <row r="590" spans="1:5">
      <c r="A590" t="s">
        <v>3217</v>
      </c>
      <c r="B590" t="s">
        <v>12436</v>
      </c>
      <c r="C590" t="s">
        <v>12389</v>
      </c>
      <c r="D590" t="s">
        <v>10388</v>
      </c>
      <c r="E590" t="s">
        <v>12950</v>
      </c>
    </row>
    <row r="591" spans="1:5">
      <c r="A591" t="s">
        <v>3222</v>
      </c>
      <c r="B591" t="s">
        <v>12394</v>
      </c>
      <c r="C591" t="s">
        <v>12428</v>
      </c>
      <c r="D591" t="s">
        <v>10388</v>
      </c>
      <c r="E591" t="s">
        <v>12951</v>
      </c>
    </row>
    <row r="592" spans="1:5">
      <c r="A592" t="s">
        <v>3227</v>
      </c>
      <c r="B592" t="s">
        <v>12470</v>
      </c>
      <c r="C592" t="s">
        <v>12397</v>
      </c>
      <c r="D592" t="s">
        <v>12456</v>
      </c>
      <c r="E592" t="s">
        <v>12928</v>
      </c>
    </row>
    <row r="593" spans="1:5">
      <c r="A593" t="s">
        <v>3232</v>
      </c>
      <c r="B593" t="s">
        <v>12442</v>
      </c>
      <c r="C593" t="s">
        <v>12412</v>
      </c>
      <c r="D593" t="s">
        <v>12413</v>
      </c>
      <c r="E593" t="s">
        <v>12625</v>
      </c>
    </row>
    <row r="594" spans="1:5">
      <c r="A594" t="s">
        <v>3237</v>
      </c>
      <c r="B594" t="s">
        <v>12563</v>
      </c>
      <c r="C594" t="s">
        <v>12384</v>
      </c>
      <c r="D594" t="s">
        <v>12416</v>
      </c>
      <c r="E594" t="s">
        <v>12952</v>
      </c>
    </row>
    <row r="595" spans="1:5">
      <c r="A595" t="s">
        <v>3242</v>
      </c>
      <c r="B595" t="s">
        <v>12503</v>
      </c>
      <c r="C595" t="s">
        <v>12446</v>
      </c>
      <c r="D595" t="s">
        <v>10388</v>
      </c>
      <c r="E595" t="s">
        <v>12953</v>
      </c>
    </row>
    <row r="596" spans="1:5">
      <c r="A596" t="s">
        <v>3247</v>
      </c>
      <c r="B596" t="s">
        <v>12406</v>
      </c>
      <c r="C596" t="s">
        <v>12419</v>
      </c>
      <c r="D596" t="s">
        <v>12456</v>
      </c>
      <c r="E596" t="s">
        <v>12954</v>
      </c>
    </row>
    <row r="597" spans="1:5">
      <c r="A597" t="s">
        <v>3252</v>
      </c>
      <c r="B597" t="s">
        <v>12436</v>
      </c>
      <c r="C597" t="s">
        <v>12378</v>
      </c>
      <c r="D597" t="s">
        <v>10388</v>
      </c>
      <c r="E597" t="s">
        <v>12861</v>
      </c>
    </row>
    <row r="598" spans="1:5">
      <c r="A598" t="s">
        <v>3258</v>
      </c>
      <c r="B598" t="s">
        <v>12403</v>
      </c>
      <c r="C598" t="s">
        <v>12415</v>
      </c>
      <c r="D598" t="s">
        <v>12437</v>
      </c>
      <c r="E598" t="s">
        <v>12955</v>
      </c>
    </row>
    <row r="599" spans="1:5">
      <c r="A599" t="s">
        <v>3263</v>
      </c>
      <c r="B599" t="s">
        <v>12424</v>
      </c>
      <c r="C599" t="s">
        <v>12474</v>
      </c>
      <c r="D599" t="s">
        <v>10388</v>
      </c>
      <c r="E599" t="s">
        <v>12956</v>
      </c>
    </row>
    <row r="600" spans="1:5">
      <c r="A600" t="s">
        <v>3268</v>
      </c>
      <c r="B600" t="s">
        <v>12388</v>
      </c>
      <c r="C600" t="s">
        <v>12415</v>
      </c>
      <c r="D600" t="s">
        <v>12401</v>
      </c>
      <c r="E600" t="s">
        <v>12617</v>
      </c>
    </row>
    <row r="601" spans="1:5">
      <c r="A601" t="s">
        <v>3273</v>
      </c>
      <c r="B601" t="s">
        <v>12445</v>
      </c>
      <c r="C601" t="s">
        <v>10369</v>
      </c>
      <c r="D601" t="s">
        <v>12413</v>
      </c>
      <c r="E601" t="s">
        <v>12957</v>
      </c>
    </row>
    <row r="602" spans="1:5">
      <c r="A602" t="s">
        <v>3278</v>
      </c>
      <c r="B602" t="s">
        <v>12421</v>
      </c>
      <c r="C602" t="s">
        <v>12428</v>
      </c>
      <c r="D602" t="s">
        <v>10388</v>
      </c>
      <c r="E602" t="s">
        <v>12575</v>
      </c>
    </row>
    <row r="603" spans="1:5">
      <c r="A603" t="s">
        <v>3283</v>
      </c>
      <c r="B603" t="s">
        <v>12418</v>
      </c>
      <c r="C603" t="s">
        <v>12440</v>
      </c>
      <c r="D603" t="s">
        <v>10388</v>
      </c>
      <c r="E603" t="s">
        <v>12958</v>
      </c>
    </row>
    <row r="604" spans="1:5">
      <c r="A604" t="s">
        <v>3288</v>
      </c>
      <c r="B604" t="s">
        <v>12411</v>
      </c>
      <c r="C604" t="s">
        <v>12415</v>
      </c>
      <c r="D604" t="s">
        <v>12381</v>
      </c>
      <c r="E604" t="s">
        <v>12959</v>
      </c>
    </row>
    <row r="605" spans="1:5">
      <c r="A605" t="s">
        <v>3293</v>
      </c>
      <c r="B605" t="s">
        <v>12503</v>
      </c>
      <c r="C605" t="s">
        <v>12389</v>
      </c>
      <c r="D605" t="s">
        <v>10388</v>
      </c>
      <c r="E605" t="s">
        <v>12960</v>
      </c>
    </row>
    <row r="606" spans="1:5">
      <c r="A606" t="s">
        <v>3298</v>
      </c>
      <c r="B606" t="s">
        <v>12403</v>
      </c>
      <c r="C606" t="s">
        <v>12400</v>
      </c>
      <c r="D606" t="s">
        <v>10381</v>
      </c>
      <c r="E606" t="s">
        <v>12961</v>
      </c>
    </row>
    <row r="607" spans="1:5">
      <c r="A607" t="s">
        <v>3303</v>
      </c>
      <c r="B607" t="s">
        <v>12426</v>
      </c>
      <c r="C607" t="s">
        <v>12407</v>
      </c>
      <c r="D607" t="s">
        <v>10388</v>
      </c>
      <c r="E607" t="s">
        <v>12962</v>
      </c>
    </row>
    <row r="608" spans="1:5">
      <c r="A608" t="s">
        <v>3308</v>
      </c>
      <c r="B608" t="s">
        <v>12473</v>
      </c>
      <c r="C608" t="s">
        <v>12389</v>
      </c>
      <c r="D608" t="s">
        <v>10388</v>
      </c>
      <c r="E608" t="s">
        <v>12963</v>
      </c>
    </row>
    <row r="609" spans="1:5">
      <c r="A609" t="s">
        <v>3313</v>
      </c>
      <c r="B609" t="s">
        <v>12525</v>
      </c>
      <c r="C609" t="s">
        <v>12384</v>
      </c>
      <c r="D609" t="s">
        <v>12437</v>
      </c>
      <c r="E609" t="s">
        <v>12964</v>
      </c>
    </row>
    <row r="610" spans="1:5">
      <c r="A610" t="s">
        <v>3318</v>
      </c>
      <c r="B610" t="s">
        <v>12503</v>
      </c>
      <c r="C610" t="s">
        <v>12446</v>
      </c>
      <c r="D610" t="s">
        <v>10388</v>
      </c>
      <c r="E610" t="s">
        <v>12965</v>
      </c>
    </row>
    <row r="611" spans="1:5">
      <c r="A611" t="s">
        <v>3323</v>
      </c>
      <c r="B611" t="s">
        <v>12377</v>
      </c>
      <c r="C611" t="s">
        <v>12463</v>
      </c>
      <c r="D611" t="s">
        <v>12413</v>
      </c>
      <c r="E611" t="s">
        <v>12687</v>
      </c>
    </row>
    <row r="612" spans="1:5">
      <c r="A612" t="s">
        <v>3328</v>
      </c>
      <c r="B612" t="s">
        <v>12377</v>
      </c>
      <c r="C612" t="s">
        <v>12446</v>
      </c>
      <c r="D612" t="s">
        <v>10388</v>
      </c>
      <c r="E612" t="s">
        <v>12966</v>
      </c>
    </row>
    <row r="613" spans="1:5">
      <c r="A613" t="s">
        <v>3333</v>
      </c>
      <c r="B613" t="s">
        <v>12399</v>
      </c>
      <c r="C613" t="s">
        <v>12384</v>
      </c>
      <c r="D613" t="s">
        <v>12381</v>
      </c>
      <c r="E613" t="s">
        <v>12967</v>
      </c>
    </row>
    <row r="614" spans="1:5">
      <c r="A614" t="s">
        <v>3338</v>
      </c>
      <c r="B614" t="s">
        <v>12430</v>
      </c>
      <c r="C614" t="s">
        <v>10369</v>
      </c>
      <c r="D614" t="s">
        <v>12437</v>
      </c>
      <c r="E614" t="s">
        <v>12827</v>
      </c>
    </row>
    <row r="615" spans="1:5">
      <c r="A615" t="s">
        <v>3343</v>
      </c>
      <c r="B615" t="s">
        <v>12552</v>
      </c>
      <c r="C615" t="s">
        <v>12384</v>
      </c>
      <c r="D615" t="s">
        <v>12416</v>
      </c>
      <c r="E615" t="s">
        <v>12968</v>
      </c>
    </row>
    <row r="616" spans="1:5">
      <c r="A616" t="s">
        <v>3348</v>
      </c>
      <c r="B616" t="s">
        <v>12377</v>
      </c>
      <c r="C616" t="s">
        <v>12407</v>
      </c>
      <c r="D616" t="s">
        <v>10388</v>
      </c>
      <c r="E616" t="s">
        <v>12878</v>
      </c>
    </row>
    <row r="617" spans="1:5">
      <c r="A617" t="s">
        <v>3353</v>
      </c>
      <c r="B617" t="s">
        <v>12386</v>
      </c>
      <c r="C617" t="s">
        <v>12493</v>
      </c>
      <c r="D617" t="s">
        <v>10388</v>
      </c>
      <c r="E617" t="s">
        <v>12655</v>
      </c>
    </row>
    <row r="618" spans="1:5">
      <c r="A618" t="s">
        <v>3358</v>
      </c>
      <c r="B618" t="s">
        <v>12453</v>
      </c>
      <c r="C618" t="s">
        <v>12409</v>
      </c>
      <c r="D618" t="s">
        <v>10388</v>
      </c>
      <c r="E618" t="s">
        <v>12566</v>
      </c>
    </row>
    <row r="619" spans="1:5">
      <c r="A619" t="s">
        <v>3363</v>
      </c>
      <c r="B619" t="s">
        <v>12565</v>
      </c>
      <c r="C619" t="s">
        <v>12407</v>
      </c>
      <c r="D619" t="s">
        <v>10388</v>
      </c>
      <c r="E619" t="s">
        <v>12969</v>
      </c>
    </row>
    <row r="620" spans="1:5">
      <c r="A620" t="s">
        <v>3368</v>
      </c>
      <c r="B620" t="s">
        <v>12386</v>
      </c>
      <c r="C620" t="s">
        <v>12432</v>
      </c>
      <c r="D620" t="s">
        <v>12381</v>
      </c>
      <c r="E620" t="s">
        <v>12776</v>
      </c>
    </row>
    <row r="621" spans="1:5">
      <c r="A621" t="s">
        <v>3373</v>
      </c>
      <c r="B621" t="s">
        <v>12508</v>
      </c>
      <c r="C621" t="s">
        <v>12463</v>
      </c>
      <c r="D621" t="s">
        <v>12437</v>
      </c>
      <c r="E621" t="s">
        <v>12970</v>
      </c>
    </row>
    <row r="622" spans="1:5">
      <c r="A622" t="s">
        <v>3378</v>
      </c>
      <c r="B622" t="s">
        <v>12473</v>
      </c>
      <c r="C622" t="s">
        <v>12392</v>
      </c>
      <c r="D622" t="s">
        <v>10376</v>
      </c>
      <c r="E622" t="s">
        <v>12971</v>
      </c>
    </row>
    <row r="623" spans="1:5">
      <c r="A623" t="s">
        <v>3383</v>
      </c>
      <c r="B623" t="s">
        <v>12396</v>
      </c>
      <c r="C623" t="s">
        <v>12378</v>
      </c>
      <c r="D623" t="s">
        <v>10388</v>
      </c>
      <c r="E623" t="s">
        <v>12972</v>
      </c>
    </row>
    <row r="624" spans="1:5">
      <c r="A624" t="s">
        <v>3388</v>
      </c>
      <c r="B624" t="s">
        <v>12377</v>
      </c>
      <c r="C624" t="s">
        <v>12407</v>
      </c>
      <c r="D624" t="s">
        <v>10388</v>
      </c>
      <c r="E624" t="s">
        <v>12973</v>
      </c>
    </row>
    <row r="625" spans="1:5">
      <c r="A625" t="s">
        <v>3393</v>
      </c>
      <c r="B625" t="s">
        <v>12377</v>
      </c>
      <c r="C625" t="s">
        <v>12474</v>
      </c>
      <c r="D625" t="s">
        <v>10388</v>
      </c>
      <c r="E625" t="s">
        <v>12857</v>
      </c>
    </row>
    <row r="626" spans="1:5">
      <c r="A626" t="s">
        <v>3398</v>
      </c>
      <c r="B626" t="s">
        <v>12377</v>
      </c>
      <c r="C626" t="s">
        <v>12378</v>
      </c>
      <c r="D626" t="s">
        <v>10388</v>
      </c>
      <c r="E626" t="s">
        <v>12673</v>
      </c>
    </row>
    <row r="627" spans="1:5">
      <c r="A627" t="s">
        <v>3403</v>
      </c>
      <c r="B627" t="s">
        <v>12386</v>
      </c>
      <c r="C627" t="s">
        <v>12415</v>
      </c>
      <c r="D627" t="s">
        <v>12467</v>
      </c>
      <c r="E627" t="s">
        <v>12732</v>
      </c>
    </row>
    <row r="628" spans="1:5">
      <c r="A628" t="s">
        <v>3408</v>
      </c>
      <c r="B628" t="s">
        <v>12411</v>
      </c>
      <c r="C628" t="s">
        <v>12419</v>
      </c>
      <c r="D628" t="s">
        <v>12381</v>
      </c>
      <c r="E628" t="s">
        <v>12974</v>
      </c>
    </row>
    <row r="629" spans="1:5">
      <c r="A629" t="s">
        <v>3413</v>
      </c>
      <c r="B629" t="s">
        <v>12426</v>
      </c>
      <c r="C629" t="s">
        <v>12412</v>
      </c>
      <c r="D629" t="s">
        <v>10376</v>
      </c>
      <c r="E629" t="s">
        <v>12975</v>
      </c>
    </row>
    <row r="630" spans="1:5">
      <c r="A630" t="s">
        <v>3418</v>
      </c>
      <c r="B630" t="s">
        <v>12383</v>
      </c>
      <c r="C630" t="s">
        <v>12407</v>
      </c>
      <c r="D630" t="s">
        <v>10388</v>
      </c>
      <c r="E630" t="s">
        <v>12789</v>
      </c>
    </row>
    <row r="631" spans="1:5">
      <c r="A631" t="s">
        <v>3423</v>
      </c>
      <c r="B631" t="s">
        <v>12418</v>
      </c>
      <c r="C631" t="s">
        <v>12415</v>
      </c>
      <c r="D631" t="s">
        <v>12437</v>
      </c>
      <c r="E631" t="s">
        <v>12976</v>
      </c>
    </row>
    <row r="632" spans="1:5">
      <c r="A632" t="s">
        <v>3428</v>
      </c>
      <c r="B632" t="s">
        <v>12552</v>
      </c>
      <c r="C632" t="s">
        <v>12412</v>
      </c>
      <c r="D632" t="s">
        <v>12381</v>
      </c>
      <c r="E632" t="s">
        <v>12977</v>
      </c>
    </row>
    <row r="633" spans="1:5">
      <c r="A633" t="s">
        <v>3433</v>
      </c>
      <c r="B633" t="s">
        <v>12512</v>
      </c>
      <c r="C633" t="s">
        <v>12389</v>
      </c>
      <c r="D633" t="s">
        <v>10388</v>
      </c>
      <c r="E633" t="s">
        <v>12978</v>
      </c>
    </row>
    <row r="634" spans="1:5">
      <c r="A634" t="s">
        <v>3438</v>
      </c>
      <c r="B634" t="s">
        <v>12421</v>
      </c>
      <c r="C634" t="s">
        <v>10369</v>
      </c>
      <c r="D634" t="s">
        <v>12437</v>
      </c>
      <c r="E634" t="s">
        <v>12979</v>
      </c>
    </row>
    <row r="635" spans="1:5">
      <c r="A635" t="s">
        <v>3443</v>
      </c>
      <c r="B635" t="s">
        <v>12430</v>
      </c>
      <c r="C635" t="s">
        <v>12419</v>
      </c>
      <c r="D635" t="s">
        <v>10381</v>
      </c>
      <c r="E635" t="s">
        <v>12980</v>
      </c>
    </row>
    <row r="636" spans="1:5">
      <c r="A636" t="s">
        <v>3449</v>
      </c>
      <c r="B636" t="s">
        <v>12383</v>
      </c>
      <c r="C636" t="s">
        <v>12428</v>
      </c>
      <c r="D636" t="s">
        <v>10388</v>
      </c>
      <c r="E636" t="s">
        <v>12981</v>
      </c>
    </row>
    <row r="637" spans="1:5">
      <c r="A637" t="s">
        <v>3454</v>
      </c>
      <c r="B637" t="s">
        <v>12459</v>
      </c>
      <c r="C637" t="s">
        <v>12428</v>
      </c>
      <c r="D637" t="s">
        <v>10388</v>
      </c>
      <c r="E637" t="s">
        <v>12982</v>
      </c>
    </row>
    <row r="638" spans="1:5">
      <c r="A638" t="s">
        <v>3459</v>
      </c>
      <c r="B638" t="s">
        <v>12380</v>
      </c>
      <c r="C638" t="s">
        <v>12419</v>
      </c>
      <c r="D638" t="s">
        <v>10376</v>
      </c>
      <c r="E638" t="s">
        <v>12901</v>
      </c>
    </row>
    <row r="639" spans="1:5">
      <c r="A639" t="s">
        <v>3464</v>
      </c>
      <c r="B639" t="s">
        <v>12473</v>
      </c>
      <c r="C639" t="s">
        <v>12400</v>
      </c>
      <c r="D639" t="s">
        <v>12401</v>
      </c>
      <c r="E639" t="s">
        <v>12545</v>
      </c>
    </row>
    <row r="640" spans="1:5">
      <c r="A640" t="s">
        <v>3469</v>
      </c>
      <c r="B640" t="s">
        <v>12512</v>
      </c>
      <c r="C640" t="s">
        <v>12384</v>
      </c>
      <c r="D640" t="s">
        <v>12456</v>
      </c>
      <c r="E640" t="s">
        <v>12983</v>
      </c>
    </row>
    <row r="641" spans="1:5">
      <c r="A641" t="s">
        <v>3474</v>
      </c>
      <c r="B641" t="s">
        <v>12565</v>
      </c>
      <c r="C641" t="s">
        <v>12412</v>
      </c>
      <c r="D641" t="s">
        <v>12381</v>
      </c>
      <c r="E641" t="s">
        <v>12984</v>
      </c>
    </row>
    <row r="642" spans="1:5">
      <c r="A642" t="s">
        <v>3479</v>
      </c>
      <c r="B642" t="s">
        <v>12565</v>
      </c>
      <c r="C642" t="s">
        <v>12378</v>
      </c>
      <c r="D642" t="s">
        <v>10388</v>
      </c>
      <c r="E642" t="s">
        <v>12985</v>
      </c>
    </row>
    <row r="643" spans="1:5">
      <c r="A643" t="s">
        <v>3484</v>
      </c>
      <c r="B643" t="s">
        <v>12508</v>
      </c>
      <c r="C643" t="s">
        <v>12400</v>
      </c>
      <c r="D643" t="s">
        <v>10381</v>
      </c>
      <c r="E643" t="s">
        <v>12900</v>
      </c>
    </row>
    <row r="644" spans="1:5">
      <c r="A644" t="s">
        <v>3489</v>
      </c>
      <c r="B644" t="s">
        <v>12445</v>
      </c>
      <c r="C644" t="s">
        <v>12499</v>
      </c>
      <c r="D644" t="s">
        <v>10388</v>
      </c>
      <c r="E644" t="s">
        <v>12986</v>
      </c>
    </row>
    <row r="645" spans="1:5">
      <c r="A645" t="s">
        <v>3495</v>
      </c>
      <c r="B645" t="s">
        <v>12388</v>
      </c>
      <c r="C645" t="s">
        <v>12412</v>
      </c>
      <c r="D645" t="s">
        <v>12456</v>
      </c>
      <c r="E645" t="s">
        <v>12987</v>
      </c>
    </row>
    <row r="646" spans="1:5">
      <c r="A646" t="s">
        <v>3500</v>
      </c>
      <c r="B646" t="s">
        <v>12525</v>
      </c>
      <c r="C646" t="s">
        <v>12440</v>
      </c>
      <c r="D646" t="s">
        <v>10388</v>
      </c>
      <c r="E646" t="s">
        <v>12666</v>
      </c>
    </row>
    <row r="647" spans="1:5">
      <c r="A647" t="s">
        <v>3505</v>
      </c>
      <c r="B647" t="s">
        <v>12483</v>
      </c>
      <c r="C647" t="s">
        <v>12474</v>
      </c>
      <c r="D647" t="s">
        <v>10388</v>
      </c>
      <c r="E647" t="s">
        <v>12988</v>
      </c>
    </row>
    <row r="648" spans="1:5">
      <c r="A648" t="s">
        <v>3510</v>
      </c>
      <c r="B648" t="s">
        <v>12563</v>
      </c>
      <c r="C648" t="s">
        <v>12446</v>
      </c>
      <c r="D648" t="s">
        <v>10388</v>
      </c>
      <c r="E648" t="s">
        <v>12986</v>
      </c>
    </row>
    <row r="649" spans="1:5">
      <c r="A649" t="s">
        <v>3515</v>
      </c>
      <c r="B649" t="s">
        <v>12430</v>
      </c>
      <c r="C649" t="s">
        <v>12378</v>
      </c>
      <c r="D649" t="s">
        <v>10388</v>
      </c>
      <c r="E649" t="s">
        <v>12989</v>
      </c>
    </row>
    <row r="650" spans="1:5">
      <c r="A650" t="s">
        <v>3520</v>
      </c>
      <c r="B650" t="s">
        <v>12394</v>
      </c>
      <c r="C650" t="s">
        <v>12412</v>
      </c>
      <c r="D650" t="s">
        <v>10381</v>
      </c>
      <c r="E650" t="s">
        <v>12825</v>
      </c>
    </row>
    <row r="651" spans="1:5">
      <c r="A651" t="s">
        <v>3526</v>
      </c>
      <c r="B651" t="s">
        <v>12386</v>
      </c>
      <c r="C651" t="s">
        <v>12412</v>
      </c>
      <c r="D651" t="s">
        <v>10376</v>
      </c>
      <c r="E651" t="s">
        <v>12990</v>
      </c>
    </row>
    <row r="652" spans="1:5">
      <c r="A652" t="s">
        <v>3531</v>
      </c>
      <c r="B652" t="s">
        <v>12552</v>
      </c>
      <c r="C652" t="s">
        <v>12474</v>
      </c>
      <c r="D652" t="s">
        <v>10388</v>
      </c>
      <c r="E652" t="s">
        <v>12869</v>
      </c>
    </row>
    <row r="653" spans="1:5">
      <c r="A653" t="s">
        <v>3536</v>
      </c>
      <c r="B653" t="s">
        <v>12491</v>
      </c>
      <c r="C653" t="s">
        <v>12397</v>
      </c>
      <c r="D653" t="s">
        <v>12401</v>
      </c>
      <c r="E653" t="s">
        <v>12991</v>
      </c>
    </row>
    <row r="654" spans="1:5">
      <c r="A654" t="s">
        <v>3541</v>
      </c>
      <c r="B654" t="s">
        <v>12450</v>
      </c>
      <c r="C654" t="s">
        <v>12384</v>
      </c>
      <c r="D654" t="s">
        <v>12467</v>
      </c>
      <c r="E654" t="s">
        <v>12992</v>
      </c>
    </row>
    <row r="655" spans="1:5">
      <c r="A655" t="s">
        <v>3546</v>
      </c>
      <c r="B655" t="s">
        <v>12436</v>
      </c>
      <c r="C655" t="s">
        <v>12428</v>
      </c>
      <c r="D655" t="s">
        <v>10388</v>
      </c>
      <c r="E655" t="s">
        <v>12993</v>
      </c>
    </row>
    <row r="656" spans="1:5">
      <c r="A656" t="s">
        <v>3551</v>
      </c>
      <c r="B656" t="s">
        <v>12396</v>
      </c>
      <c r="C656" t="s">
        <v>12384</v>
      </c>
      <c r="D656" t="s">
        <v>10402</v>
      </c>
      <c r="E656" t="s">
        <v>12994</v>
      </c>
    </row>
    <row r="657" spans="1:5">
      <c r="A657" t="s">
        <v>3556</v>
      </c>
      <c r="B657" t="s">
        <v>12394</v>
      </c>
      <c r="C657" t="s">
        <v>10369</v>
      </c>
      <c r="D657" t="s">
        <v>12437</v>
      </c>
      <c r="E657" t="s">
        <v>12995</v>
      </c>
    </row>
    <row r="658" spans="1:5">
      <c r="A658" t="s">
        <v>3561</v>
      </c>
      <c r="B658" t="s">
        <v>12461</v>
      </c>
      <c r="C658" t="s">
        <v>12440</v>
      </c>
      <c r="D658" t="s">
        <v>10388</v>
      </c>
      <c r="E658" t="s">
        <v>12881</v>
      </c>
    </row>
    <row r="659" spans="1:5">
      <c r="A659" t="s">
        <v>3566</v>
      </c>
      <c r="B659" t="s">
        <v>12498</v>
      </c>
      <c r="C659" t="s">
        <v>12419</v>
      </c>
      <c r="D659" t="s">
        <v>12416</v>
      </c>
      <c r="E659" t="s">
        <v>12744</v>
      </c>
    </row>
    <row r="660" spans="1:5">
      <c r="A660" t="s">
        <v>3571</v>
      </c>
      <c r="B660" t="s">
        <v>12512</v>
      </c>
      <c r="C660" t="s">
        <v>12493</v>
      </c>
      <c r="D660" t="s">
        <v>10388</v>
      </c>
      <c r="E660" t="s">
        <v>12828</v>
      </c>
    </row>
    <row r="661" spans="1:5">
      <c r="A661" t="s">
        <v>3576</v>
      </c>
      <c r="B661" t="s">
        <v>12470</v>
      </c>
      <c r="C661" t="s">
        <v>12415</v>
      </c>
      <c r="D661" t="s">
        <v>12381</v>
      </c>
      <c r="E661" t="s">
        <v>12996</v>
      </c>
    </row>
    <row r="662" spans="1:5">
      <c r="A662" t="s">
        <v>3581</v>
      </c>
      <c r="B662" t="s">
        <v>12399</v>
      </c>
      <c r="C662" t="s">
        <v>12412</v>
      </c>
      <c r="D662" t="s">
        <v>12401</v>
      </c>
      <c r="E662" t="s">
        <v>12997</v>
      </c>
    </row>
    <row r="663" spans="1:5">
      <c r="A663" t="s">
        <v>3587</v>
      </c>
      <c r="B663" t="s">
        <v>12512</v>
      </c>
      <c r="C663" t="s">
        <v>12407</v>
      </c>
      <c r="D663" t="s">
        <v>10388</v>
      </c>
      <c r="E663" t="s">
        <v>12684</v>
      </c>
    </row>
    <row r="664" spans="1:5">
      <c r="A664" t="s">
        <v>3592</v>
      </c>
      <c r="B664" t="s">
        <v>12388</v>
      </c>
      <c r="C664" t="s">
        <v>12440</v>
      </c>
      <c r="D664" t="s">
        <v>10388</v>
      </c>
      <c r="E664" t="s">
        <v>12998</v>
      </c>
    </row>
    <row r="665" spans="1:5">
      <c r="A665" t="s">
        <v>3597</v>
      </c>
      <c r="B665" t="s">
        <v>12383</v>
      </c>
      <c r="C665" t="s">
        <v>12392</v>
      </c>
      <c r="D665" t="s">
        <v>12413</v>
      </c>
      <c r="E665" t="s">
        <v>12999</v>
      </c>
    </row>
    <row r="666" spans="1:5">
      <c r="A666" t="s">
        <v>3602</v>
      </c>
      <c r="B666" t="s">
        <v>12377</v>
      </c>
      <c r="C666" t="s">
        <v>12419</v>
      </c>
      <c r="D666" t="s">
        <v>12437</v>
      </c>
      <c r="E666" t="s">
        <v>12691</v>
      </c>
    </row>
    <row r="667" spans="1:5">
      <c r="A667" t="s">
        <v>3607</v>
      </c>
      <c r="B667" t="s">
        <v>12498</v>
      </c>
      <c r="C667" t="s">
        <v>12499</v>
      </c>
      <c r="D667" t="s">
        <v>10388</v>
      </c>
      <c r="E667" t="s">
        <v>13000</v>
      </c>
    </row>
    <row r="668" spans="1:5">
      <c r="A668" t="s">
        <v>3612</v>
      </c>
      <c r="B668" t="s">
        <v>12503</v>
      </c>
      <c r="C668" t="s">
        <v>12384</v>
      </c>
      <c r="D668" t="s">
        <v>12437</v>
      </c>
      <c r="E668" t="s">
        <v>13001</v>
      </c>
    </row>
    <row r="669" spans="1:5">
      <c r="A669" t="s">
        <v>3617</v>
      </c>
      <c r="B669" t="s">
        <v>12380</v>
      </c>
      <c r="C669" t="s">
        <v>12378</v>
      </c>
      <c r="D669" t="s">
        <v>10388</v>
      </c>
      <c r="E669" t="s">
        <v>12469</v>
      </c>
    </row>
    <row r="670" spans="1:5">
      <c r="A670" t="s">
        <v>3622</v>
      </c>
      <c r="B670" t="s">
        <v>12439</v>
      </c>
      <c r="C670" t="s">
        <v>12446</v>
      </c>
      <c r="D670" t="s">
        <v>10388</v>
      </c>
      <c r="E670" t="s">
        <v>13002</v>
      </c>
    </row>
    <row r="671" spans="1:5">
      <c r="A671" t="s">
        <v>3627</v>
      </c>
      <c r="B671" t="s">
        <v>12498</v>
      </c>
      <c r="C671" t="s">
        <v>12428</v>
      </c>
      <c r="D671" t="s">
        <v>10388</v>
      </c>
      <c r="E671" t="s">
        <v>12611</v>
      </c>
    </row>
    <row r="672" spans="1:5">
      <c r="A672" t="s">
        <v>3632</v>
      </c>
      <c r="B672" t="s">
        <v>12396</v>
      </c>
      <c r="C672" t="s">
        <v>12499</v>
      </c>
      <c r="D672" t="s">
        <v>10388</v>
      </c>
      <c r="E672" t="s">
        <v>12966</v>
      </c>
    </row>
    <row r="673" spans="1:5">
      <c r="A673" t="s">
        <v>3637</v>
      </c>
      <c r="B673" t="s">
        <v>12436</v>
      </c>
      <c r="C673" t="s">
        <v>10369</v>
      </c>
      <c r="D673" t="s">
        <v>12413</v>
      </c>
      <c r="E673" t="s">
        <v>13003</v>
      </c>
    </row>
    <row r="674" spans="1:5">
      <c r="A674" t="s">
        <v>3642</v>
      </c>
      <c r="B674" t="s">
        <v>12383</v>
      </c>
      <c r="C674" t="s">
        <v>12440</v>
      </c>
      <c r="D674" t="s">
        <v>10388</v>
      </c>
      <c r="E674" t="s">
        <v>13004</v>
      </c>
    </row>
    <row r="675" spans="1:5">
      <c r="A675" t="s">
        <v>3647</v>
      </c>
      <c r="B675" t="s">
        <v>12399</v>
      </c>
      <c r="C675" t="s">
        <v>12499</v>
      </c>
      <c r="D675" t="s">
        <v>10388</v>
      </c>
      <c r="E675" t="s">
        <v>12713</v>
      </c>
    </row>
    <row r="676" spans="1:5">
      <c r="A676" t="s">
        <v>3652</v>
      </c>
      <c r="B676" t="s">
        <v>12406</v>
      </c>
      <c r="C676" t="s">
        <v>12389</v>
      </c>
      <c r="D676" t="s">
        <v>10388</v>
      </c>
      <c r="E676" t="s">
        <v>12799</v>
      </c>
    </row>
    <row r="677" spans="1:5">
      <c r="A677" t="s">
        <v>3657</v>
      </c>
      <c r="B677" t="s">
        <v>12436</v>
      </c>
      <c r="C677" t="s">
        <v>12384</v>
      </c>
      <c r="D677" t="s">
        <v>12437</v>
      </c>
      <c r="E677" t="s">
        <v>13005</v>
      </c>
    </row>
    <row r="678" spans="1:5">
      <c r="A678" t="s">
        <v>3662</v>
      </c>
      <c r="B678" t="s">
        <v>12455</v>
      </c>
      <c r="C678" t="s">
        <v>12428</v>
      </c>
      <c r="D678" t="s">
        <v>10388</v>
      </c>
      <c r="E678" t="s">
        <v>13006</v>
      </c>
    </row>
    <row r="679" spans="1:5">
      <c r="A679" t="s">
        <v>3667</v>
      </c>
      <c r="B679" t="s">
        <v>12426</v>
      </c>
      <c r="C679" t="s">
        <v>12378</v>
      </c>
      <c r="D679" t="s">
        <v>10388</v>
      </c>
      <c r="E679" t="s">
        <v>12527</v>
      </c>
    </row>
    <row r="680" spans="1:5">
      <c r="A680" t="s">
        <v>3672</v>
      </c>
      <c r="B680" t="s">
        <v>12565</v>
      </c>
      <c r="C680" t="s">
        <v>12428</v>
      </c>
      <c r="D680" t="s">
        <v>10388</v>
      </c>
      <c r="E680" t="s">
        <v>12404</v>
      </c>
    </row>
    <row r="681" spans="1:5">
      <c r="A681" t="s">
        <v>3677</v>
      </c>
      <c r="B681" t="s">
        <v>12508</v>
      </c>
      <c r="C681" t="s">
        <v>12400</v>
      </c>
      <c r="D681" t="s">
        <v>12401</v>
      </c>
      <c r="E681" t="s">
        <v>12479</v>
      </c>
    </row>
    <row r="682" spans="1:5">
      <c r="A682" t="s">
        <v>3682</v>
      </c>
      <c r="B682" t="s">
        <v>12470</v>
      </c>
      <c r="C682" t="s">
        <v>12440</v>
      </c>
      <c r="D682" t="s">
        <v>10388</v>
      </c>
      <c r="E682" t="s">
        <v>13007</v>
      </c>
    </row>
    <row r="683" spans="1:5">
      <c r="A683" t="s">
        <v>3687</v>
      </c>
      <c r="B683" t="s">
        <v>12403</v>
      </c>
      <c r="C683" t="s">
        <v>12419</v>
      </c>
      <c r="D683" t="s">
        <v>12381</v>
      </c>
      <c r="E683" t="s">
        <v>13008</v>
      </c>
    </row>
    <row r="684" spans="1:5">
      <c r="A684" t="s">
        <v>3692</v>
      </c>
      <c r="B684" t="s">
        <v>12491</v>
      </c>
      <c r="C684" t="s">
        <v>12384</v>
      </c>
      <c r="D684" t="s">
        <v>12467</v>
      </c>
      <c r="E684" t="s">
        <v>13009</v>
      </c>
    </row>
    <row r="685" spans="1:5">
      <c r="A685" t="s">
        <v>3697</v>
      </c>
      <c r="B685" t="s">
        <v>12394</v>
      </c>
      <c r="C685" t="s">
        <v>12407</v>
      </c>
      <c r="D685" t="s">
        <v>10388</v>
      </c>
      <c r="E685" t="s">
        <v>12940</v>
      </c>
    </row>
    <row r="686" spans="1:5">
      <c r="A686" t="s">
        <v>3702</v>
      </c>
      <c r="B686" t="s">
        <v>12445</v>
      </c>
      <c r="C686" t="s">
        <v>12389</v>
      </c>
      <c r="D686" t="s">
        <v>10388</v>
      </c>
      <c r="E686" t="s">
        <v>13010</v>
      </c>
    </row>
    <row r="687" spans="1:5">
      <c r="A687" t="s">
        <v>3707</v>
      </c>
      <c r="B687" t="s">
        <v>12455</v>
      </c>
      <c r="C687" t="s">
        <v>12378</v>
      </c>
      <c r="D687" t="s">
        <v>10388</v>
      </c>
      <c r="E687" t="s">
        <v>13011</v>
      </c>
    </row>
    <row r="688" spans="1:5">
      <c r="A688" t="s">
        <v>3712</v>
      </c>
      <c r="B688" t="s">
        <v>12383</v>
      </c>
      <c r="C688" t="s">
        <v>12432</v>
      </c>
      <c r="D688" t="s">
        <v>10381</v>
      </c>
      <c r="E688" t="s">
        <v>13012</v>
      </c>
    </row>
    <row r="689" spans="1:5">
      <c r="A689" t="s">
        <v>3717</v>
      </c>
      <c r="B689" t="s">
        <v>12434</v>
      </c>
      <c r="C689" t="s">
        <v>12389</v>
      </c>
      <c r="D689" t="s">
        <v>10388</v>
      </c>
      <c r="E689" t="s">
        <v>13013</v>
      </c>
    </row>
    <row r="690" spans="1:5">
      <c r="A690" t="s">
        <v>3722</v>
      </c>
      <c r="B690" t="s">
        <v>12439</v>
      </c>
      <c r="C690" t="s">
        <v>12428</v>
      </c>
      <c r="D690" t="s">
        <v>10388</v>
      </c>
      <c r="E690" t="s">
        <v>13014</v>
      </c>
    </row>
    <row r="691" spans="1:5">
      <c r="A691" t="s">
        <v>3727</v>
      </c>
      <c r="B691" t="s">
        <v>12424</v>
      </c>
      <c r="C691" t="s">
        <v>10369</v>
      </c>
      <c r="D691" t="s">
        <v>12456</v>
      </c>
      <c r="E691" t="s">
        <v>13015</v>
      </c>
    </row>
    <row r="692" spans="1:5">
      <c r="A692" t="s">
        <v>3732</v>
      </c>
      <c r="B692" t="s">
        <v>12483</v>
      </c>
      <c r="C692" t="s">
        <v>12463</v>
      </c>
      <c r="D692" t="s">
        <v>12456</v>
      </c>
      <c r="E692" t="s">
        <v>12524</v>
      </c>
    </row>
    <row r="693" spans="1:5">
      <c r="A693" t="s">
        <v>3737</v>
      </c>
      <c r="B693" t="s">
        <v>12439</v>
      </c>
      <c r="C693" t="s">
        <v>12419</v>
      </c>
      <c r="D693" t="s">
        <v>12413</v>
      </c>
      <c r="E693" t="s">
        <v>12983</v>
      </c>
    </row>
    <row r="694" spans="1:5">
      <c r="A694" t="s">
        <v>3742</v>
      </c>
      <c r="B694" t="s">
        <v>12399</v>
      </c>
      <c r="C694" t="s">
        <v>12419</v>
      </c>
      <c r="D694" t="s">
        <v>12381</v>
      </c>
      <c r="E694" t="s">
        <v>13016</v>
      </c>
    </row>
    <row r="695" spans="1:5">
      <c r="A695" t="s">
        <v>3747</v>
      </c>
      <c r="B695" t="s">
        <v>12563</v>
      </c>
      <c r="C695" t="s">
        <v>12446</v>
      </c>
      <c r="D695" t="s">
        <v>10388</v>
      </c>
      <c r="E695" t="s">
        <v>13017</v>
      </c>
    </row>
    <row r="696" spans="1:5">
      <c r="A696" t="s">
        <v>3752</v>
      </c>
      <c r="B696" t="s">
        <v>12442</v>
      </c>
      <c r="C696" t="s">
        <v>12499</v>
      </c>
      <c r="D696" t="s">
        <v>10388</v>
      </c>
      <c r="E696" t="s">
        <v>12836</v>
      </c>
    </row>
    <row r="697" spans="1:5">
      <c r="A697" t="s">
        <v>3757</v>
      </c>
      <c r="B697" t="s">
        <v>12525</v>
      </c>
      <c r="C697" t="s">
        <v>12419</v>
      </c>
      <c r="D697" t="s">
        <v>12437</v>
      </c>
      <c r="E697" t="s">
        <v>12769</v>
      </c>
    </row>
    <row r="698" spans="1:5">
      <c r="A698" t="s">
        <v>3763</v>
      </c>
      <c r="B698" t="s">
        <v>12424</v>
      </c>
      <c r="C698" t="s">
        <v>12440</v>
      </c>
      <c r="D698" t="s">
        <v>10388</v>
      </c>
      <c r="E698" t="s">
        <v>12857</v>
      </c>
    </row>
    <row r="699" spans="1:5">
      <c r="A699" t="s">
        <v>3768</v>
      </c>
      <c r="B699" t="s">
        <v>12445</v>
      </c>
      <c r="C699" t="s">
        <v>12389</v>
      </c>
      <c r="D699" t="s">
        <v>10388</v>
      </c>
      <c r="E699" t="s">
        <v>12562</v>
      </c>
    </row>
    <row r="700" spans="1:5">
      <c r="A700" t="s">
        <v>3773</v>
      </c>
      <c r="B700" t="s">
        <v>12453</v>
      </c>
      <c r="C700" t="s">
        <v>12499</v>
      </c>
      <c r="D700" t="s">
        <v>10388</v>
      </c>
      <c r="E700" t="s">
        <v>12560</v>
      </c>
    </row>
    <row r="701" spans="1:5">
      <c r="A701" t="s">
        <v>3778</v>
      </c>
      <c r="B701" t="s">
        <v>12380</v>
      </c>
      <c r="C701" t="s">
        <v>12440</v>
      </c>
      <c r="D701" t="s">
        <v>10388</v>
      </c>
      <c r="E701" t="s">
        <v>13018</v>
      </c>
    </row>
    <row r="702" spans="1:5">
      <c r="A702" t="s">
        <v>3784</v>
      </c>
      <c r="B702" t="s">
        <v>12563</v>
      </c>
      <c r="C702" t="s">
        <v>12407</v>
      </c>
      <c r="D702" t="s">
        <v>10388</v>
      </c>
      <c r="E702" t="s">
        <v>13019</v>
      </c>
    </row>
    <row r="703" spans="1:5">
      <c r="A703" t="s">
        <v>3789</v>
      </c>
      <c r="B703" t="s">
        <v>12383</v>
      </c>
      <c r="C703" t="s">
        <v>12397</v>
      </c>
      <c r="D703" t="s">
        <v>12401</v>
      </c>
      <c r="E703" t="s">
        <v>12501</v>
      </c>
    </row>
    <row r="704" spans="1:5">
      <c r="A704" t="s">
        <v>3794</v>
      </c>
      <c r="B704" t="s">
        <v>12491</v>
      </c>
      <c r="C704" t="s">
        <v>12397</v>
      </c>
      <c r="D704" t="s">
        <v>12456</v>
      </c>
      <c r="E704" t="s">
        <v>12951</v>
      </c>
    </row>
    <row r="705" spans="1:5">
      <c r="A705" t="s">
        <v>3799</v>
      </c>
      <c r="B705" t="s">
        <v>12430</v>
      </c>
      <c r="C705" t="s">
        <v>12389</v>
      </c>
      <c r="D705" t="s">
        <v>10388</v>
      </c>
      <c r="E705" t="s">
        <v>12855</v>
      </c>
    </row>
    <row r="706" spans="1:5">
      <c r="A706" t="s">
        <v>3804</v>
      </c>
      <c r="B706" t="s">
        <v>12434</v>
      </c>
      <c r="C706" t="s">
        <v>12384</v>
      </c>
      <c r="D706" t="s">
        <v>10376</v>
      </c>
      <c r="E706" t="s">
        <v>12596</v>
      </c>
    </row>
    <row r="707" spans="1:5">
      <c r="A707" t="s">
        <v>3809</v>
      </c>
      <c r="B707" t="s">
        <v>12450</v>
      </c>
      <c r="C707" t="s">
        <v>12499</v>
      </c>
      <c r="D707" t="s">
        <v>10388</v>
      </c>
      <c r="E707" t="s">
        <v>13020</v>
      </c>
    </row>
    <row r="708" spans="1:5">
      <c r="A708" t="s">
        <v>3814</v>
      </c>
      <c r="B708" t="s">
        <v>12394</v>
      </c>
      <c r="C708" t="s">
        <v>10369</v>
      </c>
      <c r="D708" t="s">
        <v>10402</v>
      </c>
      <c r="E708" t="s">
        <v>13021</v>
      </c>
    </row>
    <row r="709" spans="1:5">
      <c r="A709" t="s">
        <v>3819</v>
      </c>
      <c r="B709" t="s">
        <v>12406</v>
      </c>
      <c r="C709" t="s">
        <v>12440</v>
      </c>
      <c r="D709" t="s">
        <v>10388</v>
      </c>
      <c r="E709" t="s">
        <v>12390</v>
      </c>
    </row>
    <row r="710" spans="1:5">
      <c r="A710" t="s">
        <v>3824</v>
      </c>
      <c r="B710" t="s">
        <v>12473</v>
      </c>
      <c r="C710" t="s">
        <v>12407</v>
      </c>
      <c r="D710" t="s">
        <v>10388</v>
      </c>
      <c r="E710" t="s">
        <v>12404</v>
      </c>
    </row>
    <row r="711" spans="1:5">
      <c r="A711" t="s">
        <v>3829</v>
      </c>
      <c r="B711" t="s">
        <v>12391</v>
      </c>
      <c r="C711" t="s">
        <v>12415</v>
      </c>
      <c r="D711" t="s">
        <v>10376</v>
      </c>
      <c r="E711" t="s">
        <v>12408</v>
      </c>
    </row>
    <row r="712" spans="1:5">
      <c r="A712" t="s">
        <v>3834</v>
      </c>
      <c r="B712" t="s">
        <v>12445</v>
      </c>
      <c r="C712" t="s">
        <v>12428</v>
      </c>
      <c r="D712" t="s">
        <v>10388</v>
      </c>
      <c r="E712" t="s">
        <v>13022</v>
      </c>
    </row>
    <row r="713" spans="1:5">
      <c r="A713" t="s">
        <v>3839</v>
      </c>
      <c r="B713" t="s">
        <v>12455</v>
      </c>
      <c r="C713" t="s">
        <v>12407</v>
      </c>
      <c r="D713" t="s">
        <v>10388</v>
      </c>
      <c r="E713" t="s">
        <v>12801</v>
      </c>
    </row>
    <row r="714" spans="1:5">
      <c r="A714" t="s">
        <v>3844</v>
      </c>
      <c r="B714" t="s">
        <v>12421</v>
      </c>
      <c r="C714" t="s">
        <v>12378</v>
      </c>
      <c r="D714" t="s">
        <v>10388</v>
      </c>
      <c r="E714" t="s">
        <v>13023</v>
      </c>
    </row>
    <row r="715" spans="1:5">
      <c r="A715" t="s">
        <v>3849</v>
      </c>
      <c r="B715" t="s">
        <v>12473</v>
      </c>
      <c r="C715" t="s">
        <v>12400</v>
      </c>
      <c r="D715" t="s">
        <v>10381</v>
      </c>
      <c r="E715" t="s">
        <v>13024</v>
      </c>
    </row>
    <row r="716" spans="1:5">
      <c r="A716" t="s">
        <v>3854</v>
      </c>
      <c r="B716" t="s">
        <v>12508</v>
      </c>
      <c r="C716" t="s">
        <v>12463</v>
      </c>
      <c r="D716" t="s">
        <v>12416</v>
      </c>
      <c r="E716" t="s">
        <v>13025</v>
      </c>
    </row>
    <row r="717" spans="1:5">
      <c r="A717" t="s">
        <v>3859</v>
      </c>
      <c r="B717" t="s">
        <v>12459</v>
      </c>
      <c r="C717" t="s">
        <v>12409</v>
      </c>
      <c r="D717" t="s">
        <v>10388</v>
      </c>
      <c r="E717" t="s">
        <v>13026</v>
      </c>
    </row>
    <row r="718" spans="1:5">
      <c r="A718" t="s">
        <v>3864</v>
      </c>
      <c r="B718" t="s">
        <v>12473</v>
      </c>
      <c r="C718" t="s">
        <v>12428</v>
      </c>
      <c r="D718" t="s">
        <v>10388</v>
      </c>
      <c r="E718" t="s">
        <v>12865</v>
      </c>
    </row>
    <row r="719" spans="1:5">
      <c r="A719" t="s">
        <v>3869</v>
      </c>
      <c r="B719" t="s">
        <v>12498</v>
      </c>
      <c r="C719" t="s">
        <v>12384</v>
      </c>
      <c r="D719" t="s">
        <v>12456</v>
      </c>
      <c r="E719" t="s">
        <v>12592</v>
      </c>
    </row>
    <row r="720" spans="1:5">
      <c r="A720" t="s">
        <v>3874</v>
      </c>
      <c r="B720" t="s">
        <v>12424</v>
      </c>
      <c r="C720" t="s">
        <v>12397</v>
      </c>
      <c r="D720" t="s">
        <v>12416</v>
      </c>
      <c r="E720" t="s">
        <v>13027</v>
      </c>
    </row>
    <row r="721" spans="1:5">
      <c r="A721" t="s">
        <v>3879</v>
      </c>
      <c r="B721" t="s">
        <v>12512</v>
      </c>
      <c r="C721" t="s">
        <v>12389</v>
      </c>
      <c r="D721" t="s">
        <v>10388</v>
      </c>
      <c r="E721" t="s">
        <v>13028</v>
      </c>
    </row>
    <row r="722" spans="1:5">
      <c r="A722" t="s">
        <v>3884</v>
      </c>
      <c r="B722" t="s">
        <v>12403</v>
      </c>
      <c r="C722" t="s">
        <v>12428</v>
      </c>
      <c r="D722" t="s">
        <v>10388</v>
      </c>
      <c r="E722" t="s">
        <v>13029</v>
      </c>
    </row>
    <row r="723" spans="1:5">
      <c r="A723" t="s">
        <v>3889</v>
      </c>
      <c r="B723" t="s">
        <v>12483</v>
      </c>
      <c r="C723" t="s">
        <v>12412</v>
      </c>
      <c r="D723" t="s">
        <v>10381</v>
      </c>
      <c r="E723" t="s">
        <v>12524</v>
      </c>
    </row>
    <row r="724" spans="1:5">
      <c r="A724" t="s">
        <v>3894</v>
      </c>
      <c r="B724" t="s">
        <v>12450</v>
      </c>
      <c r="C724" t="s">
        <v>12463</v>
      </c>
      <c r="D724" t="s">
        <v>12401</v>
      </c>
      <c r="E724" t="s">
        <v>13030</v>
      </c>
    </row>
    <row r="725" spans="1:5">
      <c r="A725" t="s">
        <v>3899</v>
      </c>
      <c r="B725" t="s">
        <v>12503</v>
      </c>
      <c r="C725" t="s">
        <v>12389</v>
      </c>
      <c r="D725" t="s">
        <v>10388</v>
      </c>
      <c r="E725" t="s">
        <v>13031</v>
      </c>
    </row>
    <row r="726" spans="1:5">
      <c r="A726" t="s">
        <v>3904</v>
      </c>
      <c r="B726" t="s">
        <v>12418</v>
      </c>
      <c r="C726" t="s">
        <v>12499</v>
      </c>
      <c r="D726" t="s">
        <v>10388</v>
      </c>
      <c r="E726" t="s">
        <v>13032</v>
      </c>
    </row>
    <row r="727" spans="1:5">
      <c r="A727" t="s">
        <v>3909</v>
      </c>
      <c r="B727" t="s">
        <v>12563</v>
      </c>
      <c r="C727" t="s">
        <v>12474</v>
      </c>
      <c r="D727" t="s">
        <v>10388</v>
      </c>
      <c r="E727" t="s">
        <v>13033</v>
      </c>
    </row>
    <row r="728" spans="1:5">
      <c r="A728" t="s">
        <v>3914</v>
      </c>
      <c r="B728" t="s">
        <v>12445</v>
      </c>
      <c r="C728" t="s">
        <v>12412</v>
      </c>
      <c r="D728" t="s">
        <v>10376</v>
      </c>
      <c r="E728" t="s">
        <v>13018</v>
      </c>
    </row>
    <row r="729" spans="1:5">
      <c r="A729" t="s">
        <v>3919</v>
      </c>
      <c r="B729" t="s">
        <v>12403</v>
      </c>
      <c r="C729" t="s">
        <v>12389</v>
      </c>
      <c r="D729" t="s">
        <v>10388</v>
      </c>
      <c r="E729" t="s">
        <v>13034</v>
      </c>
    </row>
    <row r="730" spans="1:5">
      <c r="A730" t="s">
        <v>3924</v>
      </c>
      <c r="B730" t="s">
        <v>12563</v>
      </c>
      <c r="C730" t="s">
        <v>12446</v>
      </c>
      <c r="D730" t="s">
        <v>10388</v>
      </c>
      <c r="E730" t="s">
        <v>12937</v>
      </c>
    </row>
    <row r="731" spans="1:5">
      <c r="A731" t="s">
        <v>3930</v>
      </c>
      <c r="B731" t="s">
        <v>12450</v>
      </c>
      <c r="C731" t="s">
        <v>12499</v>
      </c>
      <c r="D731" t="s">
        <v>10388</v>
      </c>
      <c r="E731" t="s">
        <v>12618</v>
      </c>
    </row>
    <row r="732" spans="1:5">
      <c r="A732" t="s">
        <v>3935</v>
      </c>
      <c r="B732" t="s">
        <v>12424</v>
      </c>
      <c r="C732" t="s">
        <v>12389</v>
      </c>
      <c r="D732" t="s">
        <v>10388</v>
      </c>
      <c r="E732" t="s">
        <v>13035</v>
      </c>
    </row>
    <row r="733" spans="1:5">
      <c r="A733" t="s">
        <v>3940</v>
      </c>
      <c r="B733" t="s">
        <v>12477</v>
      </c>
      <c r="C733" t="s">
        <v>10369</v>
      </c>
      <c r="D733" t="s">
        <v>12467</v>
      </c>
      <c r="E733" t="s">
        <v>13036</v>
      </c>
    </row>
    <row r="734" spans="1:5">
      <c r="A734" t="s">
        <v>3945</v>
      </c>
      <c r="B734" t="s">
        <v>12563</v>
      </c>
      <c r="C734" t="s">
        <v>12389</v>
      </c>
      <c r="D734" t="s">
        <v>10388</v>
      </c>
      <c r="E734" t="s">
        <v>13037</v>
      </c>
    </row>
    <row r="735" spans="1:5">
      <c r="A735" t="s">
        <v>3950</v>
      </c>
      <c r="B735" t="s">
        <v>12411</v>
      </c>
      <c r="C735" t="s">
        <v>12463</v>
      </c>
      <c r="D735" t="s">
        <v>12413</v>
      </c>
      <c r="E735" t="s">
        <v>13038</v>
      </c>
    </row>
    <row r="736" spans="1:5">
      <c r="A736" t="s">
        <v>3955</v>
      </c>
      <c r="B736" t="s">
        <v>12565</v>
      </c>
      <c r="C736" t="s">
        <v>12463</v>
      </c>
      <c r="D736" t="s">
        <v>12401</v>
      </c>
      <c r="E736" t="s">
        <v>13039</v>
      </c>
    </row>
    <row r="737" spans="1:5">
      <c r="A737" t="s">
        <v>3960</v>
      </c>
      <c r="B737" t="s">
        <v>12406</v>
      </c>
      <c r="C737" t="s">
        <v>12384</v>
      </c>
      <c r="D737" t="s">
        <v>10402</v>
      </c>
      <c r="E737" t="s">
        <v>13040</v>
      </c>
    </row>
    <row r="738" spans="1:5">
      <c r="A738" t="s">
        <v>3965</v>
      </c>
      <c r="B738" t="s">
        <v>12377</v>
      </c>
      <c r="C738" t="s">
        <v>12419</v>
      </c>
      <c r="D738" t="s">
        <v>10402</v>
      </c>
      <c r="E738" t="s">
        <v>12600</v>
      </c>
    </row>
    <row r="739" spans="1:5">
      <c r="A739" t="s">
        <v>3970</v>
      </c>
      <c r="B739" t="s">
        <v>12483</v>
      </c>
      <c r="C739" t="s">
        <v>12440</v>
      </c>
      <c r="D739" t="s">
        <v>10388</v>
      </c>
      <c r="E739" t="s">
        <v>13041</v>
      </c>
    </row>
    <row r="740" spans="1:5">
      <c r="A740" t="s">
        <v>3976</v>
      </c>
      <c r="B740" t="s">
        <v>12380</v>
      </c>
      <c r="C740" t="s">
        <v>12428</v>
      </c>
      <c r="D740" t="s">
        <v>10388</v>
      </c>
      <c r="E740" t="s">
        <v>13042</v>
      </c>
    </row>
    <row r="741" spans="1:5">
      <c r="A741" t="s">
        <v>3981</v>
      </c>
      <c r="B741" t="s">
        <v>12477</v>
      </c>
      <c r="C741" t="s">
        <v>12463</v>
      </c>
      <c r="D741" t="s">
        <v>12401</v>
      </c>
      <c r="E741" t="s">
        <v>12809</v>
      </c>
    </row>
    <row r="742" spans="1:5">
      <c r="A742" t="s">
        <v>3986</v>
      </c>
      <c r="B742" t="s">
        <v>12430</v>
      </c>
      <c r="C742" t="s">
        <v>12463</v>
      </c>
      <c r="D742" t="s">
        <v>12416</v>
      </c>
      <c r="E742" t="s">
        <v>13043</v>
      </c>
    </row>
    <row r="743" spans="1:5">
      <c r="A743" t="s">
        <v>3991</v>
      </c>
      <c r="B743" t="s">
        <v>12396</v>
      </c>
      <c r="C743" t="s">
        <v>12493</v>
      </c>
      <c r="D743" t="s">
        <v>10388</v>
      </c>
      <c r="E743" t="s">
        <v>12537</v>
      </c>
    </row>
    <row r="744" spans="1:5">
      <c r="A744" t="s">
        <v>3996</v>
      </c>
      <c r="B744" t="s">
        <v>12508</v>
      </c>
      <c r="C744" t="s">
        <v>12432</v>
      </c>
      <c r="D744" t="s">
        <v>12456</v>
      </c>
      <c r="E744" t="s">
        <v>12924</v>
      </c>
    </row>
    <row r="745" spans="1:5">
      <c r="A745" t="s">
        <v>4001</v>
      </c>
      <c r="B745" t="s">
        <v>12453</v>
      </c>
      <c r="C745" t="s">
        <v>12378</v>
      </c>
      <c r="D745" t="s">
        <v>10388</v>
      </c>
      <c r="E745" t="s">
        <v>12427</v>
      </c>
    </row>
    <row r="746" spans="1:5">
      <c r="A746" t="s">
        <v>4006</v>
      </c>
      <c r="B746" t="s">
        <v>12426</v>
      </c>
      <c r="C746" t="s">
        <v>12412</v>
      </c>
      <c r="D746" t="s">
        <v>12437</v>
      </c>
      <c r="E746" t="s">
        <v>13044</v>
      </c>
    </row>
    <row r="747" spans="1:5">
      <c r="A747" t="s">
        <v>4011</v>
      </c>
      <c r="B747" t="s">
        <v>12512</v>
      </c>
      <c r="C747" t="s">
        <v>12392</v>
      </c>
      <c r="D747" t="s">
        <v>10376</v>
      </c>
      <c r="E747" t="s">
        <v>13045</v>
      </c>
    </row>
    <row r="748" spans="1:5">
      <c r="A748" t="s">
        <v>4016</v>
      </c>
      <c r="B748" t="s">
        <v>12434</v>
      </c>
      <c r="C748" t="s">
        <v>12428</v>
      </c>
      <c r="D748" t="s">
        <v>10388</v>
      </c>
      <c r="E748" t="s">
        <v>12506</v>
      </c>
    </row>
    <row r="749" spans="1:5">
      <c r="A749" t="s">
        <v>4021</v>
      </c>
      <c r="B749" t="s">
        <v>12565</v>
      </c>
      <c r="C749" t="s">
        <v>12389</v>
      </c>
      <c r="D749" t="s">
        <v>10388</v>
      </c>
      <c r="E749" t="s">
        <v>12874</v>
      </c>
    </row>
    <row r="750" spans="1:5">
      <c r="A750" t="s">
        <v>4026</v>
      </c>
      <c r="B750" t="s">
        <v>12563</v>
      </c>
      <c r="C750" t="s">
        <v>12428</v>
      </c>
      <c r="D750" t="s">
        <v>10388</v>
      </c>
      <c r="E750" t="s">
        <v>13046</v>
      </c>
    </row>
    <row r="751" spans="1:5">
      <c r="A751" t="s">
        <v>4031</v>
      </c>
      <c r="B751" t="s">
        <v>12411</v>
      </c>
      <c r="C751" t="s">
        <v>12419</v>
      </c>
      <c r="D751" t="s">
        <v>12437</v>
      </c>
      <c r="E751" t="s">
        <v>13047</v>
      </c>
    </row>
    <row r="752" spans="1:5">
      <c r="A752" t="s">
        <v>4036</v>
      </c>
      <c r="B752" t="s">
        <v>12477</v>
      </c>
      <c r="C752" t="s">
        <v>12400</v>
      </c>
      <c r="D752" t="s">
        <v>12437</v>
      </c>
      <c r="E752" t="s">
        <v>12608</v>
      </c>
    </row>
    <row r="753" spans="1:5">
      <c r="A753" t="s">
        <v>4041</v>
      </c>
      <c r="B753" t="s">
        <v>12477</v>
      </c>
      <c r="C753" t="s">
        <v>12493</v>
      </c>
      <c r="D753" t="s">
        <v>10388</v>
      </c>
      <c r="E753" t="s">
        <v>13048</v>
      </c>
    </row>
    <row r="754" spans="1:5">
      <c r="A754" t="s">
        <v>4046</v>
      </c>
      <c r="B754" t="s">
        <v>12503</v>
      </c>
      <c r="C754" t="s">
        <v>12409</v>
      </c>
      <c r="D754" t="s">
        <v>10388</v>
      </c>
      <c r="E754" t="s">
        <v>13049</v>
      </c>
    </row>
    <row r="755" spans="1:5">
      <c r="A755" t="s">
        <v>4051</v>
      </c>
      <c r="B755" t="s">
        <v>12453</v>
      </c>
      <c r="C755" t="s">
        <v>12407</v>
      </c>
      <c r="D755" t="s">
        <v>10388</v>
      </c>
      <c r="E755" t="s">
        <v>12584</v>
      </c>
    </row>
    <row r="756" spans="1:5">
      <c r="A756" t="s">
        <v>4056</v>
      </c>
      <c r="B756" t="s">
        <v>12453</v>
      </c>
      <c r="C756" t="s">
        <v>12463</v>
      </c>
      <c r="D756" t="s">
        <v>12401</v>
      </c>
      <c r="E756" t="s">
        <v>13050</v>
      </c>
    </row>
    <row r="757" spans="1:5">
      <c r="A757" t="s">
        <v>4061</v>
      </c>
      <c r="B757" t="s">
        <v>12439</v>
      </c>
      <c r="C757" t="s">
        <v>12415</v>
      </c>
      <c r="D757" t="s">
        <v>10402</v>
      </c>
      <c r="E757" t="s">
        <v>13051</v>
      </c>
    </row>
    <row r="758" spans="1:5">
      <c r="A758" t="s">
        <v>4066</v>
      </c>
      <c r="B758" t="s">
        <v>12552</v>
      </c>
      <c r="C758" t="s">
        <v>12389</v>
      </c>
      <c r="D758" t="s">
        <v>10388</v>
      </c>
      <c r="E758" t="s">
        <v>13052</v>
      </c>
    </row>
    <row r="759" spans="1:5">
      <c r="A759" t="s">
        <v>4071</v>
      </c>
      <c r="B759" t="s">
        <v>12394</v>
      </c>
      <c r="C759" t="s">
        <v>12384</v>
      </c>
      <c r="D759" t="s">
        <v>10381</v>
      </c>
      <c r="E759" t="s">
        <v>13053</v>
      </c>
    </row>
    <row r="760" spans="1:5">
      <c r="A760" t="s">
        <v>4076</v>
      </c>
      <c r="B760" t="s">
        <v>12383</v>
      </c>
      <c r="C760" t="s">
        <v>12397</v>
      </c>
      <c r="D760" t="s">
        <v>12437</v>
      </c>
      <c r="E760" t="s">
        <v>12862</v>
      </c>
    </row>
    <row r="761" spans="1:5">
      <c r="A761" t="s">
        <v>4082</v>
      </c>
      <c r="B761" t="s">
        <v>12565</v>
      </c>
      <c r="C761" t="s">
        <v>12419</v>
      </c>
      <c r="D761" t="s">
        <v>12416</v>
      </c>
      <c r="E761" t="s">
        <v>13054</v>
      </c>
    </row>
    <row r="762" spans="1:5">
      <c r="A762" t="s">
        <v>4087</v>
      </c>
      <c r="B762" t="s">
        <v>12383</v>
      </c>
      <c r="C762" t="s">
        <v>12446</v>
      </c>
      <c r="D762" t="s">
        <v>10388</v>
      </c>
      <c r="E762" t="s">
        <v>13055</v>
      </c>
    </row>
    <row r="763" spans="1:5">
      <c r="A763" t="s">
        <v>4092</v>
      </c>
      <c r="B763" t="s">
        <v>12491</v>
      </c>
      <c r="C763" t="s">
        <v>12493</v>
      </c>
      <c r="D763" t="s">
        <v>10388</v>
      </c>
      <c r="E763" t="s">
        <v>13056</v>
      </c>
    </row>
    <row r="764" spans="1:5">
      <c r="A764" t="s">
        <v>4097</v>
      </c>
      <c r="B764" t="s">
        <v>12450</v>
      </c>
      <c r="C764" t="s">
        <v>12389</v>
      </c>
      <c r="D764" t="s">
        <v>10388</v>
      </c>
      <c r="E764" t="s">
        <v>13057</v>
      </c>
    </row>
    <row r="765" spans="1:5">
      <c r="A765" t="s">
        <v>4102</v>
      </c>
      <c r="B765" t="s">
        <v>12445</v>
      </c>
      <c r="C765" t="s">
        <v>12409</v>
      </c>
      <c r="D765" t="s">
        <v>10388</v>
      </c>
      <c r="E765" t="s">
        <v>13058</v>
      </c>
    </row>
    <row r="766" spans="1:5">
      <c r="A766" t="s">
        <v>4107</v>
      </c>
      <c r="B766" t="s">
        <v>12450</v>
      </c>
      <c r="C766" t="s">
        <v>12428</v>
      </c>
      <c r="D766" t="s">
        <v>10388</v>
      </c>
      <c r="E766" t="s">
        <v>12527</v>
      </c>
    </row>
    <row r="767" spans="1:5">
      <c r="A767" t="s">
        <v>4112</v>
      </c>
      <c r="B767" t="s">
        <v>12461</v>
      </c>
      <c r="C767" t="s">
        <v>12392</v>
      </c>
      <c r="D767" t="s">
        <v>10376</v>
      </c>
      <c r="E767" t="s">
        <v>12581</v>
      </c>
    </row>
    <row r="768" spans="1:5">
      <c r="A768" t="s">
        <v>4117</v>
      </c>
      <c r="B768" t="s">
        <v>12525</v>
      </c>
      <c r="C768" t="s">
        <v>12419</v>
      </c>
      <c r="D768" t="s">
        <v>10376</v>
      </c>
      <c r="E768" t="s">
        <v>13059</v>
      </c>
    </row>
    <row r="769" spans="1:5">
      <c r="A769" t="s">
        <v>4122</v>
      </c>
      <c r="B769" t="s">
        <v>12552</v>
      </c>
      <c r="C769" t="s">
        <v>12446</v>
      </c>
      <c r="D769" t="s">
        <v>10388</v>
      </c>
      <c r="E769" t="s">
        <v>13060</v>
      </c>
    </row>
    <row r="770" spans="1:5">
      <c r="A770" t="s">
        <v>4127</v>
      </c>
      <c r="B770" t="s">
        <v>12453</v>
      </c>
      <c r="C770" t="s">
        <v>12409</v>
      </c>
      <c r="D770" t="s">
        <v>10388</v>
      </c>
      <c r="E770" t="s">
        <v>12793</v>
      </c>
    </row>
    <row r="771" spans="1:5">
      <c r="A771" t="s">
        <v>4132</v>
      </c>
      <c r="B771" t="s">
        <v>12563</v>
      </c>
      <c r="C771" t="s">
        <v>12392</v>
      </c>
      <c r="D771" t="s">
        <v>12416</v>
      </c>
      <c r="E771" t="s">
        <v>13061</v>
      </c>
    </row>
    <row r="772" spans="1:5">
      <c r="A772" t="s">
        <v>4137</v>
      </c>
      <c r="B772" t="s">
        <v>12552</v>
      </c>
      <c r="C772" t="s">
        <v>12412</v>
      </c>
      <c r="D772" t="s">
        <v>12401</v>
      </c>
      <c r="E772" t="s">
        <v>13062</v>
      </c>
    </row>
    <row r="773" spans="1:5">
      <c r="A773" t="s">
        <v>4142</v>
      </c>
      <c r="B773" t="s">
        <v>12377</v>
      </c>
      <c r="C773" t="s">
        <v>12378</v>
      </c>
      <c r="D773" t="s">
        <v>10388</v>
      </c>
      <c r="E773" t="s">
        <v>13063</v>
      </c>
    </row>
    <row r="774" spans="1:5">
      <c r="A774" t="s">
        <v>4147</v>
      </c>
      <c r="B774" t="s">
        <v>12424</v>
      </c>
      <c r="C774" t="s">
        <v>12407</v>
      </c>
      <c r="D774" t="s">
        <v>10388</v>
      </c>
      <c r="E774" t="s">
        <v>13064</v>
      </c>
    </row>
    <row r="775" spans="1:5">
      <c r="A775" t="s">
        <v>4152</v>
      </c>
      <c r="B775" t="s">
        <v>12434</v>
      </c>
      <c r="C775" t="s">
        <v>12419</v>
      </c>
      <c r="D775" t="s">
        <v>12416</v>
      </c>
      <c r="E775" t="s">
        <v>12973</v>
      </c>
    </row>
    <row r="776" spans="1:5">
      <c r="A776" t="s">
        <v>4157</v>
      </c>
      <c r="B776" t="s">
        <v>12473</v>
      </c>
      <c r="C776" t="s">
        <v>12463</v>
      </c>
      <c r="D776" t="s">
        <v>12437</v>
      </c>
      <c r="E776" t="s">
        <v>12603</v>
      </c>
    </row>
    <row r="777" spans="1:5">
      <c r="A777" t="s">
        <v>4162</v>
      </c>
      <c r="B777" t="s">
        <v>12503</v>
      </c>
      <c r="C777" t="s">
        <v>12440</v>
      </c>
      <c r="D777" t="s">
        <v>10388</v>
      </c>
      <c r="E777" t="s">
        <v>12888</v>
      </c>
    </row>
    <row r="778" spans="1:5">
      <c r="A778" t="s">
        <v>4167</v>
      </c>
      <c r="B778" t="s">
        <v>12386</v>
      </c>
      <c r="C778" t="s">
        <v>12384</v>
      </c>
      <c r="D778" t="s">
        <v>10381</v>
      </c>
      <c r="E778" t="s">
        <v>12948</v>
      </c>
    </row>
    <row r="779" spans="1:5">
      <c r="A779" t="s">
        <v>4172</v>
      </c>
      <c r="B779" t="s">
        <v>12377</v>
      </c>
      <c r="C779" t="s">
        <v>12415</v>
      </c>
      <c r="D779" t="s">
        <v>10402</v>
      </c>
      <c r="E779" t="s">
        <v>12527</v>
      </c>
    </row>
    <row r="780" spans="1:5">
      <c r="A780" t="s">
        <v>4177</v>
      </c>
      <c r="B780" t="s">
        <v>12445</v>
      </c>
      <c r="C780" t="s">
        <v>12440</v>
      </c>
      <c r="D780" t="s">
        <v>10388</v>
      </c>
      <c r="E780" t="s">
        <v>13065</v>
      </c>
    </row>
    <row r="781" spans="1:5">
      <c r="A781" t="s">
        <v>4182</v>
      </c>
      <c r="B781" t="s">
        <v>12421</v>
      </c>
      <c r="C781" t="s">
        <v>12419</v>
      </c>
      <c r="D781" t="s">
        <v>12467</v>
      </c>
      <c r="E781" t="s">
        <v>13014</v>
      </c>
    </row>
    <row r="782" spans="1:5">
      <c r="A782" t="s">
        <v>4187</v>
      </c>
      <c r="B782" t="s">
        <v>12396</v>
      </c>
      <c r="C782" t="s">
        <v>12428</v>
      </c>
      <c r="D782" t="s">
        <v>10388</v>
      </c>
      <c r="E782" t="s">
        <v>12685</v>
      </c>
    </row>
    <row r="783" spans="1:5">
      <c r="A783" t="s">
        <v>4192</v>
      </c>
      <c r="B783" t="s">
        <v>12565</v>
      </c>
      <c r="C783" t="s">
        <v>12446</v>
      </c>
      <c r="D783" t="s">
        <v>10388</v>
      </c>
      <c r="E783" t="s">
        <v>13066</v>
      </c>
    </row>
    <row r="784" spans="1:5">
      <c r="A784" t="s">
        <v>4197</v>
      </c>
      <c r="B784" t="s">
        <v>12418</v>
      </c>
      <c r="C784" t="s">
        <v>12409</v>
      </c>
      <c r="D784" t="s">
        <v>10388</v>
      </c>
      <c r="E784" t="s">
        <v>13067</v>
      </c>
    </row>
    <row r="785" spans="1:5">
      <c r="A785" t="s">
        <v>4202</v>
      </c>
      <c r="B785" t="s">
        <v>12430</v>
      </c>
      <c r="C785" t="s">
        <v>12446</v>
      </c>
      <c r="D785" t="s">
        <v>10388</v>
      </c>
      <c r="E785" t="s">
        <v>12727</v>
      </c>
    </row>
    <row r="786" spans="1:5">
      <c r="A786" t="s">
        <v>4207</v>
      </c>
      <c r="B786" t="s">
        <v>12411</v>
      </c>
      <c r="C786" t="s">
        <v>12397</v>
      </c>
      <c r="D786" t="s">
        <v>10381</v>
      </c>
      <c r="E786" t="s">
        <v>13068</v>
      </c>
    </row>
    <row r="787" spans="1:5">
      <c r="A787" t="s">
        <v>4212</v>
      </c>
      <c r="B787" t="s">
        <v>12403</v>
      </c>
      <c r="C787" t="s">
        <v>12392</v>
      </c>
      <c r="D787" t="s">
        <v>12467</v>
      </c>
      <c r="E787" t="s">
        <v>13069</v>
      </c>
    </row>
    <row r="788" spans="1:5">
      <c r="A788" t="s">
        <v>4217</v>
      </c>
      <c r="B788" t="s">
        <v>12403</v>
      </c>
      <c r="C788" t="s">
        <v>12428</v>
      </c>
      <c r="D788" t="s">
        <v>10388</v>
      </c>
      <c r="E788" t="s">
        <v>13070</v>
      </c>
    </row>
    <row r="789" spans="1:5">
      <c r="A789" t="s">
        <v>4222</v>
      </c>
      <c r="B789" t="s">
        <v>12418</v>
      </c>
      <c r="C789" t="s">
        <v>12409</v>
      </c>
      <c r="D789" t="s">
        <v>10388</v>
      </c>
      <c r="E789" t="s">
        <v>13071</v>
      </c>
    </row>
    <row r="790" spans="1:5">
      <c r="A790" t="s">
        <v>4227</v>
      </c>
      <c r="B790" t="s">
        <v>12396</v>
      </c>
      <c r="C790" t="s">
        <v>12409</v>
      </c>
      <c r="D790" t="s">
        <v>10388</v>
      </c>
      <c r="E790" t="s">
        <v>12423</v>
      </c>
    </row>
    <row r="791" spans="1:5">
      <c r="A791" t="s">
        <v>4232</v>
      </c>
      <c r="B791" t="s">
        <v>12565</v>
      </c>
      <c r="C791" t="s">
        <v>12407</v>
      </c>
      <c r="D791" t="s">
        <v>10388</v>
      </c>
      <c r="E791" t="s">
        <v>13072</v>
      </c>
    </row>
    <row r="792" spans="1:5">
      <c r="A792" t="s">
        <v>4237</v>
      </c>
      <c r="B792" t="s">
        <v>12434</v>
      </c>
      <c r="C792" t="s">
        <v>12463</v>
      </c>
      <c r="D792" t="s">
        <v>10381</v>
      </c>
      <c r="E792" t="s">
        <v>12864</v>
      </c>
    </row>
    <row r="793" spans="1:5">
      <c r="A793" t="s">
        <v>4242</v>
      </c>
      <c r="B793" t="s">
        <v>12563</v>
      </c>
      <c r="C793" t="s">
        <v>12412</v>
      </c>
      <c r="D793" t="s">
        <v>10402</v>
      </c>
      <c r="E793" t="s">
        <v>13073</v>
      </c>
    </row>
    <row r="794" spans="1:5">
      <c r="A794" t="s">
        <v>4247</v>
      </c>
      <c r="B794" t="s">
        <v>12411</v>
      </c>
      <c r="C794" t="s">
        <v>12499</v>
      </c>
      <c r="D794" t="s">
        <v>10388</v>
      </c>
      <c r="E794" t="s">
        <v>12744</v>
      </c>
    </row>
    <row r="795" spans="1:5">
      <c r="A795" t="s">
        <v>4253</v>
      </c>
      <c r="B795" t="s">
        <v>12430</v>
      </c>
      <c r="C795" t="s">
        <v>12412</v>
      </c>
      <c r="D795" t="s">
        <v>10381</v>
      </c>
      <c r="E795" t="s">
        <v>13074</v>
      </c>
    </row>
    <row r="796" spans="1:5">
      <c r="A796" t="s">
        <v>4258</v>
      </c>
      <c r="B796" t="s">
        <v>12453</v>
      </c>
      <c r="C796" t="s">
        <v>12400</v>
      </c>
      <c r="D796" t="s">
        <v>12416</v>
      </c>
      <c r="E796" t="s">
        <v>12905</v>
      </c>
    </row>
    <row r="797" spans="1:5">
      <c r="A797" t="s">
        <v>4263</v>
      </c>
      <c r="B797" t="s">
        <v>12391</v>
      </c>
      <c r="C797" t="s">
        <v>12440</v>
      </c>
      <c r="D797" t="s">
        <v>10388</v>
      </c>
      <c r="E797" t="s">
        <v>13075</v>
      </c>
    </row>
    <row r="798" spans="1:5">
      <c r="A798" t="s">
        <v>4268</v>
      </c>
      <c r="B798" t="s">
        <v>12473</v>
      </c>
      <c r="C798" t="s">
        <v>12392</v>
      </c>
      <c r="D798" t="s">
        <v>10402</v>
      </c>
      <c r="E798" t="s">
        <v>13076</v>
      </c>
    </row>
    <row r="799" spans="1:5">
      <c r="A799" t="s">
        <v>4273</v>
      </c>
      <c r="B799" t="s">
        <v>12565</v>
      </c>
      <c r="C799" t="s">
        <v>12440</v>
      </c>
      <c r="D799" t="s">
        <v>10388</v>
      </c>
      <c r="E799" t="s">
        <v>13077</v>
      </c>
    </row>
    <row r="800" spans="1:5">
      <c r="A800" t="s">
        <v>4278</v>
      </c>
      <c r="B800" t="s">
        <v>12552</v>
      </c>
      <c r="C800" t="s">
        <v>12412</v>
      </c>
      <c r="D800" t="s">
        <v>10402</v>
      </c>
      <c r="E800" t="s">
        <v>13078</v>
      </c>
    </row>
    <row r="801" spans="1:5">
      <c r="A801" t="s">
        <v>4283</v>
      </c>
      <c r="B801" t="s">
        <v>12383</v>
      </c>
      <c r="C801" t="s">
        <v>12400</v>
      </c>
      <c r="D801" t="s">
        <v>10381</v>
      </c>
      <c r="E801" t="s">
        <v>12891</v>
      </c>
    </row>
    <row r="802" spans="1:5">
      <c r="A802" t="s">
        <v>4288</v>
      </c>
      <c r="B802" t="s">
        <v>12453</v>
      </c>
      <c r="C802" t="s">
        <v>12412</v>
      </c>
      <c r="D802" t="s">
        <v>10402</v>
      </c>
      <c r="E802" t="s">
        <v>13079</v>
      </c>
    </row>
    <row r="803" spans="1:5">
      <c r="A803" t="s">
        <v>4293</v>
      </c>
      <c r="B803" t="s">
        <v>12383</v>
      </c>
      <c r="C803" t="s">
        <v>12428</v>
      </c>
      <c r="D803" t="s">
        <v>10388</v>
      </c>
      <c r="E803" t="s">
        <v>13080</v>
      </c>
    </row>
    <row r="804" spans="1:5">
      <c r="A804" t="s">
        <v>4298</v>
      </c>
      <c r="B804" t="s">
        <v>12380</v>
      </c>
      <c r="C804" t="s">
        <v>12392</v>
      </c>
      <c r="D804" t="s">
        <v>10381</v>
      </c>
      <c r="E804" t="s">
        <v>12886</v>
      </c>
    </row>
    <row r="805" spans="1:5">
      <c r="A805" t="s">
        <v>4303</v>
      </c>
      <c r="B805" t="s">
        <v>12512</v>
      </c>
      <c r="C805" t="s">
        <v>12493</v>
      </c>
      <c r="D805" t="s">
        <v>10388</v>
      </c>
      <c r="E805" t="s">
        <v>12624</v>
      </c>
    </row>
    <row r="806" spans="1:5">
      <c r="A806" t="s">
        <v>4308</v>
      </c>
      <c r="B806" t="s">
        <v>12508</v>
      </c>
      <c r="C806" t="s">
        <v>12400</v>
      </c>
      <c r="D806" t="s">
        <v>12381</v>
      </c>
      <c r="E806" t="s">
        <v>13081</v>
      </c>
    </row>
    <row r="807" spans="1:5">
      <c r="A807" t="s">
        <v>4313</v>
      </c>
      <c r="B807" t="s">
        <v>12421</v>
      </c>
      <c r="C807" t="s">
        <v>12392</v>
      </c>
      <c r="D807" t="s">
        <v>12381</v>
      </c>
      <c r="E807" t="s">
        <v>13082</v>
      </c>
    </row>
    <row r="808" spans="1:5">
      <c r="A808" t="s">
        <v>4318</v>
      </c>
      <c r="B808" t="s">
        <v>12426</v>
      </c>
      <c r="C808" t="s">
        <v>12412</v>
      </c>
      <c r="D808" t="s">
        <v>12413</v>
      </c>
      <c r="E808" t="s">
        <v>13083</v>
      </c>
    </row>
    <row r="809" spans="1:5">
      <c r="A809" t="s">
        <v>4323</v>
      </c>
      <c r="B809" t="s">
        <v>12386</v>
      </c>
      <c r="C809" t="s">
        <v>12440</v>
      </c>
      <c r="D809" t="s">
        <v>10388</v>
      </c>
      <c r="E809" t="s">
        <v>13084</v>
      </c>
    </row>
    <row r="810" spans="1:5">
      <c r="A810" t="s">
        <v>4329</v>
      </c>
      <c r="B810" t="s">
        <v>12453</v>
      </c>
      <c r="C810" t="s">
        <v>12499</v>
      </c>
      <c r="D810" t="s">
        <v>10388</v>
      </c>
      <c r="E810" t="s">
        <v>12632</v>
      </c>
    </row>
    <row r="811" spans="1:5">
      <c r="A811" t="s">
        <v>4334</v>
      </c>
      <c r="B811" t="s">
        <v>12386</v>
      </c>
      <c r="C811" t="s">
        <v>12384</v>
      </c>
      <c r="D811" t="s">
        <v>10376</v>
      </c>
      <c r="E811" t="s">
        <v>13085</v>
      </c>
    </row>
    <row r="812" spans="1:5">
      <c r="A812" t="s">
        <v>4339</v>
      </c>
      <c r="B812" t="s">
        <v>12380</v>
      </c>
      <c r="C812" t="s">
        <v>12499</v>
      </c>
      <c r="D812" t="s">
        <v>10388</v>
      </c>
      <c r="E812" t="s">
        <v>13086</v>
      </c>
    </row>
    <row r="813" spans="1:5">
      <c r="A813" t="s">
        <v>4344</v>
      </c>
      <c r="B813" t="s">
        <v>12403</v>
      </c>
      <c r="C813" t="s">
        <v>12493</v>
      </c>
      <c r="D813" t="s">
        <v>10388</v>
      </c>
      <c r="E813" t="s">
        <v>13008</v>
      </c>
    </row>
    <row r="814" spans="1:5">
      <c r="A814" t="s">
        <v>4349</v>
      </c>
      <c r="B814" t="s">
        <v>12439</v>
      </c>
      <c r="C814" t="s">
        <v>12392</v>
      </c>
      <c r="D814" t="s">
        <v>10376</v>
      </c>
      <c r="E814" t="s">
        <v>13087</v>
      </c>
    </row>
    <row r="815" spans="1:5">
      <c r="A815" t="s">
        <v>4354</v>
      </c>
      <c r="B815" t="s">
        <v>12491</v>
      </c>
      <c r="C815" t="s">
        <v>12400</v>
      </c>
      <c r="D815" t="s">
        <v>12437</v>
      </c>
      <c r="E815" t="s">
        <v>13088</v>
      </c>
    </row>
    <row r="816" spans="1:5">
      <c r="A816" t="s">
        <v>4360</v>
      </c>
      <c r="B816" t="s">
        <v>12498</v>
      </c>
      <c r="C816" t="s">
        <v>12446</v>
      </c>
      <c r="D816" t="s">
        <v>10388</v>
      </c>
      <c r="E816" t="s">
        <v>12479</v>
      </c>
    </row>
    <row r="817" spans="1:5">
      <c r="A817" t="s">
        <v>4365</v>
      </c>
      <c r="B817" t="s">
        <v>12445</v>
      </c>
      <c r="C817" t="s">
        <v>10369</v>
      </c>
      <c r="D817" t="s">
        <v>10381</v>
      </c>
      <c r="E817" t="s">
        <v>13089</v>
      </c>
    </row>
    <row r="818" spans="1:5">
      <c r="A818" t="s">
        <v>4371</v>
      </c>
      <c r="B818" t="s">
        <v>12396</v>
      </c>
      <c r="C818" t="s">
        <v>12499</v>
      </c>
      <c r="D818" t="s">
        <v>10388</v>
      </c>
      <c r="E818" t="s">
        <v>13090</v>
      </c>
    </row>
    <row r="819" spans="1:5">
      <c r="A819" t="s">
        <v>4376</v>
      </c>
      <c r="B819" t="s">
        <v>12552</v>
      </c>
      <c r="C819" t="s">
        <v>12440</v>
      </c>
      <c r="D819" t="s">
        <v>10388</v>
      </c>
      <c r="E819" t="s">
        <v>13091</v>
      </c>
    </row>
    <row r="820" spans="1:5">
      <c r="A820" t="s">
        <v>4381</v>
      </c>
      <c r="B820" t="s">
        <v>12525</v>
      </c>
      <c r="C820" t="s">
        <v>12392</v>
      </c>
      <c r="D820" t="s">
        <v>12401</v>
      </c>
      <c r="E820" t="s">
        <v>13092</v>
      </c>
    </row>
    <row r="821" spans="1:5">
      <c r="A821" t="s">
        <v>4386</v>
      </c>
      <c r="B821" t="s">
        <v>12483</v>
      </c>
      <c r="C821" t="s">
        <v>12432</v>
      </c>
      <c r="D821" t="s">
        <v>12416</v>
      </c>
      <c r="E821" t="s">
        <v>13093</v>
      </c>
    </row>
    <row r="822" spans="1:5">
      <c r="A822" t="s">
        <v>4391</v>
      </c>
      <c r="B822" t="s">
        <v>12424</v>
      </c>
      <c r="C822" t="s">
        <v>12400</v>
      </c>
      <c r="D822" t="s">
        <v>10381</v>
      </c>
      <c r="E822" t="s">
        <v>13094</v>
      </c>
    </row>
    <row r="823" spans="1:5">
      <c r="A823" t="s">
        <v>4396</v>
      </c>
      <c r="B823" t="s">
        <v>12455</v>
      </c>
      <c r="C823" t="s">
        <v>12493</v>
      </c>
      <c r="D823" t="s">
        <v>10388</v>
      </c>
      <c r="E823" t="s">
        <v>13095</v>
      </c>
    </row>
    <row r="824" spans="1:5">
      <c r="A824" t="s">
        <v>4401</v>
      </c>
      <c r="B824" t="s">
        <v>12525</v>
      </c>
      <c r="C824" t="s">
        <v>12400</v>
      </c>
      <c r="D824" t="s">
        <v>12381</v>
      </c>
      <c r="E824" t="s">
        <v>13096</v>
      </c>
    </row>
    <row r="825" spans="1:5">
      <c r="A825" t="s">
        <v>4406</v>
      </c>
      <c r="B825" t="s">
        <v>12459</v>
      </c>
      <c r="C825" t="s">
        <v>12474</v>
      </c>
      <c r="D825" t="s">
        <v>10388</v>
      </c>
      <c r="E825" t="s">
        <v>13097</v>
      </c>
    </row>
    <row r="826" spans="1:5">
      <c r="A826" t="s">
        <v>4411</v>
      </c>
      <c r="B826" t="s">
        <v>12525</v>
      </c>
      <c r="C826" t="s">
        <v>10369</v>
      </c>
      <c r="D826" t="s">
        <v>12467</v>
      </c>
      <c r="E826" t="s">
        <v>13086</v>
      </c>
    </row>
    <row r="827" spans="1:5">
      <c r="A827" t="s">
        <v>4416</v>
      </c>
      <c r="B827" t="s">
        <v>12383</v>
      </c>
      <c r="C827" t="s">
        <v>12392</v>
      </c>
      <c r="D827" t="s">
        <v>10381</v>
      </c>
      <c r="E827" t="s">
        <v>12586</v>
      </c>
    </row>
    <row r="828" spans="1:5">
      <c r="A828" t="s">
        <v>4421</v>
      </c>
      <c r="B828" t="s">
        <v>12470</v>
      </c>
      <c r="C828" t="s">
        <v>12412</v>
      </c>
      <c r="D828" t="s">
        <v>12413</v>
      </c>
      <c r="E828" t="s">
        <v>13019</v>
      </c>
    </row>
    <row r="829" spans="1:5">
      <c r="A829" t="s">
        <v>4426</v>
      </c>
      <c r="B829" t="s">
        <v>12459</v>
      </c>
      <c r="C829" t="s">
        <v>12409</v>
      </c>
      <c r="D829" t="s">
        <v>10388</v>
      </c>
      <c r="E829" t="s">
        <v>13098</v>
      </c>
    </row>
    <row r="830" spans="1:5">
      <c r="A830" t="s">
        <v>4431</v>
      </c>
      <c r="B830" t="s">
        <v>12498</v>
      </c>
      <c r="C830" t="s">
        <v>12407</v>
      </c>
      <c r="D830" t="s">
        <v>10388</v>
      </c>
      <c r="E830" t="s">
        <v>12852</v>
      </c>
    </row>
    <row r="831" spans="1:5">
      <c r="A831" t="s">
        <v>4437</v>
      </c>
      <c r="B831" t="s">
        <v>12563</v>
      </c>
      <c r="C831" t="s">
        <v>10369</v>
      </c>
      <c r="D831" t="s">
        <v>10376</v>
      </c>
      <c r="E831" t="s">
        <v>13099</v>
      </c>
    </row>
    <row r="832" spans="1:5">
      <c r="A832" t="s">
        <v>4442</v>
      </c>
      <c r="B832" t="s">
        <v>12450</v>
      </c>
      <c r="C832" t="s">
        <v>12446</v>
      </c>
      <c r="D832" t="s">
        <v>10388</v>
      </c>
      <c r="E832" t="s">
        <v>13100</v>
      </c>
    </row>
    <row r="833" spans="1:5">
      <c r="A833" t="s">
        <v>4447</v>
      </c>
      <c r="B833" t="s">
        <v>12418</v>
      </c>
      <c r="C833" t="s">
        <v>12415</v>
      </c>
      <c r="D833" t="s">
        <v>12401</v>
      </c>
      <c r="E833" t="s">
        <v>12963</v>
      </c>
    </row>
    <row r="834" spans="1:5">
      <c r="A834" t="s">
        <v>4452</v>
      </c>
      <c r="B834" t="s">
        <v>12406</v>
      </c>
      <c r="C834" t="s">
        <v>12493</v>
      </c>
      <c r="D834" t="s">
        <v>10388</v>
      </c>
      <c r="E834" t="s">
        <v>13101</v>
      </c>
    </row>
    <row r="835" spans="1:5">
      <c r="A835" t="s">
        <v>4457</v>
      </c>
      <c r="B835" t="s">
        <v>12459</v>
      </c>
      <c r="C835" t="s">
        <v>10369</v>
      </c>
      <c r="D835" t="s">
        <v>12381</v>
      </c>
      <c r="E835" t="s">
        <v>12845</v>
      </c>
    </row>
    <row r="836" spans="1:5">
      <c r="A836" t="s">
        <v>4462</v>
      </c>
      <c r="B836" t="s">
        <v>12391</v>
      </c>
      <c r="C836" t="s">
        <v>12407</v>
      </c>
      <c r="D836" t="s">
        <v>10388</v>
      </c>
      <c r="E836" t="s">
        <v>13102</v>
      </c>
    </row>
    <row r="837" spans="1:5">
      <c r="A837" t="s">
        <v>4467</v>
      </c>
      <c r="B837" t="s">
        <v>12391</v>
      </c>
      <c r="C837" t="s">
        <v>12415</v>
      </c>
      <c r="D837" t="s">
        <v>12437</v>
      </c>
      <c r="E837" t="s">
        <v>13103</v>
      </c>
    </row>
    <row r="838" spans="1:5">
      <c r="A838" t="s">
        <v>4472</v>
      </c>
      <c r="B838" t="s">
        <v>12563</v>
      </c>
      <c r="C838" t="s">
        <v>12474</v>
      </c>
      <c r="D838" t="s">
        <v>10388</v>
      </c>
      <c r="E838" t="s">
        <v>12631</v>
      </c>
    </row>
    <row r="839" spans="1:5">
      <c r="A839" t="s">
        <v>4477</v>
      </c>
      <c r="B839" t="s">
        <v>12388</v>
      </c>
      <c r="C839" t="s">
        <v>12428</v>
      </c>
      <c r="D839" t="s">
        <v>10388</v>
      </c>
      <c r="E839" t="s">
        <v>12851</v>
      </c>
    </row>
    <row r="840" spans="1:5">
      <c r="A840" t="s">
        <v>4482</v>
      </c>
      <c r="B840" t="s">
        <v>12421</v>
      </c>
      <c r="C840" t="s">
        <v>12392</v>
      </c>
      <c r="D840" t="s">
        <v>12416</v>
      </c>
      <c r="E840" t="s">
        <v>12867</v>
      </c>
    </row>
    <row r="841" spans="1:5">
      <c r="A841" t="s">
        <v>4487</v>
      </c>
      <c r="B841" t="s">
        <v>12391</v>
      </c>
      <c r="C841" t="s">
        <v>12400</v>
      </c>
      <c r="D841" t="s">
        <v>10376</v>
      </c>
      <c r="E841" t="s">
        <v>13104</v>
      </c>
    </row>
    <row r="842" spans="1:5">
      <c r="A842" t="s">
        <v>4492</v>
      </c>
      <c r="B842" t="s">
        <v>12403</v>
      </c>
      <c r="C842" t="s">
        <v>12389</v>
      </c>
      <c r="D842" t="s">
        <v>10388</v>
      </c>
      <c r="E842" t="s">
        <v>12796</v>
      </c>
    </row>
    <row r="843" spans="1:5">
      <c r="A843" t="s">
        <v>4497</v>
      </c>
      <c r="B843" t="s">
        <v>12394</v>
      </c>
      <c r="C843" t="s">
        <v>10369</v>
      </c>
      <c r="D843" t="s">
        <v>12416</v>
      </c>
      <c r="E843" t="s">
        <v>13105</v>
      </c>
    </row>
    <row r="844" spans="1:5">
      <c r="A844" t="s">
        <v>4502</v>
      </c>
      <c r="B844" t="s">
        <v>12396</v>
      </c>
      <c r="C844" t="s">
        <v>12397</v>
      </c>
      <c r="D844" t="s">
        <v>10381</v>
      </c>
      <c r="E844" t="s">
        <v>12864</v>
      </c>
    </row>
    <row r="845" spans="1:5">
      <c r="A845" t="s">
        <v>4507</v>
      </c>
      <c r="B845" t="s">
        <v>12483</v>
      </c>
      <c r="C845" t="s">
        <v>12412</v>
      </c>
      <c r="D845" t="s">
        <v>12413</v>
      </c>
      <c r="E845" t="s">
        <v>13031</v>
      </c>
    </row>
    <row r="846" spans="1:5">
      <c r="A846" t="s">
        <v>4513</v>
      </c>
      <c r="B846" t="s">
        <v>12430</v>
      </c>
      <c r="C846" t="s">
        <v>12446</v>
      </c>
      <c r="D846" t="s">
        <v>10388</v>
      </c>
      <c r="E846" t="s">
        <v>12507</v>
      </c>
    </row>
    <row r="847" spans="1:5">
      <c r="A847" t="s">
        <v>4518</v>
      </c>
      <c r="B847" t="s">
        <v>12512</v>
      </c>
      <c r="C847" t="s">
        <v>12397</v>
      </c>
      <c r="D847" t="s">
        <v>12467</v>
      </c>
      <c r="E847" t="s">
        <v>13106</v>
      </c>
    </row>
    <row r="848" spans="1:5">
      <c r="A848" t="s">
        <v>4523</v>
      </c>
      <c r="B848" t="s">
        <v>12383</v>
      </c>
      <c r="C848" t="s">
        <v>12440</v>
      </c>
      <c r="D848" t="s">
        <v>10388</v>
      </c>
      <c r="E848" t="s">
        <v>12736</v>
      </c>
    </row>
    <row r="849" spans="1:5">
      <c r="A849" t="s">
        <v>4528</v>
      </c>
      <c r="B849" t="s">
        <v>12491</v>
      </c>
      <c r="C849" t="s">
        <v>10369</v>
      </c>
      <c r="D849" t="s">
        <v>12416</v>
      </c>
      <c r="E849" t="s">
        <v>12924</v>
      </c>
    </row>
    <row r="850" spans="1:5">
      <c r="A850" t="s">
        <v>4533</v>
      </c>
      <c r="B850" t="s">
        <v>12434</v>
      </c>
      <c r="C850" t="s">
        <v>12392</v>
      </c>
      <c r="D850" t="s">
        <v>12456</v>
      </c>
      <c r="E850" t="s">
        <v>12984</v>
      </c>
    </row>
    <row r="851" spans="1:5">
      <c r="A851" t="s">
        <v>4538</v>
      </c>
      <c r="B851" t="s">
        <v>12439</v>
      </c>
      <c r="C851" t="s">
        <v>12419</v>
      </c>
      <c r="D851" t="s">
        <v>12413</v>
      </c>
      <c r="E851" t="s">
        <v>13107</v>
      </c>
    </row>
    <row r="852" spans="1:5">
      <c r="A852" t="s">
        <v>4543</v>
      </c>
      <c r="B852" t="s">
        <v>12421</v>
      </c>
      <c r="C852" t="s">
        <v>12412</v>
      </c>
      <c r="D852" t="s">
        <v>10376</v>
      </c>
      <c r="E852" t="s">
        <v>12901</v>
      </c>
    </row>
    <row r="853" spans="1:5">
      <c r="A853" t="s">
        <v>4548</v>
      </c>
      <c r="B853" t="s">
        <v>12386</v>
      </c>
      <c r="C853" t="s">
        <v>12499</v>
      </c>
      <c r="D853" t="s">
        <v>10388</v>
      </c>
      <c r="E853" t="s">
        <v>13108</v>
      </c>
    </row>
    <row r="854" spans="1:5">
      <c r="A854" t="s">
        <v>4553</v>
      </c>
      <c r="B854" t="s">
        <v>12503</v>
      </c>
      <c r="C854" t="s">
        <v>12493</v>
      </c>
      <c r="D854" t="s">
        <v>10388</v>
      </c>
      <c r="E854" t="s">
        <v>13109</v>
      </c>
    </row>
    <row r="855" spans="1:5">
      <c r="A855" t="s">
        <v>4558</v>
      </c>
      <c r="B855" t="s">
        <v>12436</v>
      </c>
      <c r="C855" t="s">
        <v>12432</v>
      </c>
      <c r="D855" t="s">
        <v>12437</v>
      </c>
      <c r="E855" t="s">
        <v>13110</v>
      </c>
    </row>
    <row r="856" spans="1:5">
      <c r="A856" t="s">
        <v>4563</v>
      </c>
      <c r="B856" t="s">
        <v>12394</v>
      </c>
      <c r="C856" t="s">
        <v>12440</v>
      </c>
      <c r="D856" t="s">
        <v>10388</v>
      </c>
      <c r="E856" t="s">
        <v>13111</v>
      </c>
    </row>
    <row r="857" spans="1:5">
      <c r="A857" t="s">
        <v>4568</v>
      </c>
      <c r="B857" t="s">
        <v>12434</v>
      </c>
      <c r="C857" t="s">
        <v>12463</v>
      </c>
      <c r="D857" t="s">
        <v>12413</v>
      </c>
      <c r="E857" t="s">
        <v>13112</v>
      </c>
    </row>
    <row r="858" spans="1:5">
      <c r="A858" t="s">
        <v>4573</v>
      </c>
      <c r="B858" t="s">
        <v>12563</v>
      </c>
      <c r="C858" t="s">
        <v>12378</v>
      </c>
      <c r="D858" t="s">
        <v>10388</v>
      </c>
      <c r="E858" t="s">
        <v>13113</v>
      </c>
    </row>
    <row r="859" spans="1:5">
      <c r="A859" t="s">
        <v>4578</v>
      </c>
      <c r="B859" t="s">
        <v>12386</v>
      </c>
      <c r="C859" t="s">
        <v>12474</v>
      </c>
      <c r="D859" t="s">
        <v>10388</v>
      </c>
      <c r="E859" t="s">
        <v>13114</v>
      </c>
    </row>
    <row r="860" spans="1:5">
      <c r="A860" t="s">
        <v>4583</v>
      </c>
      <c r="B860" t="s">
        <v>12380</v>
      </c>
      <c r="C860" t="s">
        <v>12432</v>
      </c>
      <c r="D860" t="s">
        <v>12416</v>
      </c>
      <c r="E860" t="s">
        <v>13115</v>
      </c>
    </row>
    <row r="861" spans="1:5">
      <c r="A861" t="s">
        <v>4588</v>
      </c>
      <c r="B861" t="s">
        <v>12450</v>
      </c>
      <c r="C861" t="s">
        <v>12378</v>
      </c>
      <c r="D861" t="s">
        <v>10388</v>
      </c>
      <c r="E861" t="s">
        <v>12402</v>
      </c>
    </row>
    <row r="862" spans="1:5">
      <c r="A862" t="s">
        <v>4593</v>
      </c>
      <c r="B862" t="s">
        <v>12455</v>
      </c>
      <c r="C862" t="s">
        <v>12474</v>
      </c>
      <c r="D862" t="s">
        <v>10388</v>
      </c>
      <c r="E862" t="s">
        <v>12793</v>
      </c>
    </row>
    <row r="863" spans="1:5">
      <c r="A863" t="s">
        <v>4598</v>
      </c>
      <c r="B863" t="s">
        <v>12436</v>
      </c>
      <c r="C863" t="s">
        <v>12409</v>
      </c>
      <c r="D863" t="s">
        <v>10388</v>
      </c>
      <c r="E863" t="s">
        <v>13116</v>
      </c>
    </row>
    <row r="864" spans="1:5">
      <c r="A864" t="s">
        <v>4603</v>
      </c>
      <c r="B864" t="s">
        <v>12394</v>
      </c>
      <c r="C864" t="s">
        <v>12432</v>
      </c>
      <c r="D864" t="s">
        <v>10376</v>
      </c>
      <c r="E864" t="s">
        <v>13117</v>
      </c>
    </row>
    <row r="865" spans="1:5">
      <c r="A865" t="s">
        <v>4608</v>
      </c>
      <c r="B865" t="s">
        <v>12450</v>
      </c>
      <c r="C865" t="s">
        <v>12378</v>
      </c>
      <c r="D865" t="s">
        <v>10388</v>
      </c>
      <c r="E865" t="s">
        <v>13118</v>
      </c>
    </row>
    <row r="866" spans="1:5">
      <c r="A866" t="s">
        <v>4613</v>
      </c>
      <c r="B866" t="s">
        <v>12470</v>
      </c>
      <c r="C866" t="s">
        <v>12400</v>
      </c>
      <c r="D866" t="s">
        <v>12413</v>
      </c>
      <c r="E866" t="s">
        <v>12925</v>
      </c>
    </row>
    <row r="867" spans="1:5">
      <c r="A867" t="s">
        <v>4618</v>
      </c>
      <c r="B867" t="s">
        <v>12430</v>
      </c>
      <c r="C867" t="s">
        <v>12392</v>
      </c>
      <c r="D867" t="s">
        <v>12416</v>
      </c>
      <c r="E867" t="s">
        <v>13119</v>
      </c>
    </row>
    <row r="868" spans="1:5">
      <c r="A868" t="s">
        <v>4623</v>
      </c>
      <c r="B868" t="s">
        <v>12406</v>
      </c>
      <c r="C868" t="s">
        <v>12499</v>
      </c>
      <c r="D868" t="s">
        <v>10388</v>
      </c>
      <c r="E868" t="s">
        <v>13120</v>
      </c>
    </row>
    <row r="869" spans="1:5">
      <c r="A869" t="s">
        <v>4628</v>
      </c>
      <c r="B869" t="s">
        <v>12473</v>
      </c>
      <c r="C869" t="s">
        <v>12493</v>
      </c>
      <c r="D869" t="s">
        <v>10388</v>
      </c>
      <c r="E869" t="s">
        <v>13121</v>
      </c>
    </row>
    <row r="870" spans="1:5">
      <c r="A870" t="s">
        <v>4633</v>
      </c>
      <c r="B870" t="s">
        <v>12406</v>
      </c>
      <c r="C870" t="s">
        <v>12389</v>
      </c>
      <c r="D870" t="s">
        <v>10388</v>
      </c>
      <c r="E870" t="s">
        <v>13122</v>
      </c>
    </row>
    <row r="871" spans="1:5">
      <c r="A871" t="s">
        <v>4638</v>
      </c>
      <c r="B871" t="s">
        <v>12503</v>
      </c>
      <c r="C871" t="s">
        <v>12415</v>
      </c>
      <c r="D871" t="s">
        <v>12467</v>
      </c>
      <c r="E871" t="s">
        <v>13123</v>
      </c>
    </row>
    <row r="872" spans="1:5">
      <c r="A872" t="s">
        <v>4643</v>
      </c>
      <c r="B872" t="s">
        <v>12396</v>
      </c>
      <c r="C872" t="s">
        <v>12400</v>
      </c>
      <c r="D872" t="s">
        <v>10402</v>
      </c>
      <c r="E872" t="s">
        <v>13124</v>
      </c>
    </row>
    <row r="873" spans="1:5">
      <c r="A873" t="s">
        <v>4649</v>
      </c>
      <c r="B873" t="s">
        <v>12406</v>
      </c>
      <c r="C873" t="s">
        <v>12419</v>
      </c>
      <c r="D873" t="s">
        <v>12381</v>
      </c>
      <c r="E873" t="s">
        <v>13125</v>
      </c>
    </row>
    <row r="874" spans="1:5">
      <c r="A874" t="s">
        <v>4654</v>
      </c>
      <c r="B874" t="s">
        <v>12434</v>
      </c>
      <c r="C874" t="s">
        <v>12428</v>
      </c>
      <c r="D874" t="s">
        <v>10388</v>
      </c>
      <c r="E874" t="s">
        <v>13126</v>
      </c>
    </row>
    <row r="875" spans="1:5">
      <c r="A875" t="s">
        <v>4659</v>
      </c>
      <c r="B875" t="s">
        <v>12453</v>
      </c>
      <c r="C875" t="s">
        <v>12378</v>
      </c>
      <c r="D875" t="s">
        <v>10388</v>
      </c>
      <c r="E875" t="s">
        <v>13127</v>
      </c>
    </row>
    <row r="876" spans="1:5">
      <c r="A876" t="s">
        <v>4664</v>
      </c>
      <c r="B876" t="s">
        <v>12383</v>
      </c>
      <c r="C876" t="s">
        <v>12389</v>
      </c>
      <c r="D876" t="s">
        <v>10388</v>
      </c>
      <c r="E876" t="s">
        <v>13128</v>
      </c>
    </row>
    <row r="877" spans="1:5">
      <c r="A877" t="s">
        <v>4670</v>
      </c>
      <c r="B877" t="s">
        <v>12411</v>
      </c>
      <c r="C877" t="s">
        <v>12378</v>
      </c>
      <c r="D877" t="s">
        <v>10388</v>
      </c>
      <c r="E877" t="s">
        <v>12934</v>
      </c>
    </row>
    <row r="878" spans="1:5">
      <c r="A878" t="s">
        <v>4675</v>
      </c>
      <c r="B878" t="s">
        <v>12388</v>
      </c>
      <c r="C878" t="s">
        <v>12463</v>
      </c>
      <c r="D878" t="s">
        <v>12381</v>
      </c>
      <c r="E878" t="s">
        <v>13129</v>
      </c>
    </row>
    <row r="879" spans="1:5">
      <c r="A879" t="s">
        <v>4680</v>
      </c>
      <c r="B879" t="s">
        <v>12439</v>
      </c>
      <c r="C879" t="s">
        <v>12415</v>
      </c>
      <c r="D879" t="s">
        <v>12413</v>
      </c>
      <c r="E879" t="s">
        <v>12444</v>
      </c>
    </row>
    <row r="880" spans="1:5">
      <c r="A880" t="s">
        <v>4685</v>
      </c>
      <c r="B880" t="s">
        <v>12421</v>
      </c>
      <c r="C880" t="s">
        <v>10369</v>
      </c>
      <c r="D880" t="s">
        <v>12416</v>
      </c>
      <c r="E880" t="s">
        <v>13130</v>
      </c>
    </row>
    <row r="881" spans="1:5">
      <c r="A881" t="s">
        <v>4690</v>
      </c>
      <c r="B881" t="s">
        <v>12383</v>
      </c>
      <c r="C881" t="s">
        <v>12428</v>
      </c>
      <c r="D881" t="s">
        <v>10388</v>
      </c>
      <c r="E881" t="s">
        <v>13131</v>
      </c>
    </row>
    <row r="882" spans="1:5">
      <c r="A882" t="s">
        <v>4695</v>
      </c>
      <c r="B882" t="s">
        <v>12491</v>
      </c>
      <c r="C882" t="s">
        <v>12392</v>
      </c>
      <c r="D882" t="s">
        <v>10381</v>
      </c>
      <c r="E882" t="s">
        <v>13035</v>
      </c>
    </row>
    <row r="883" spans="1:5">
      <c r="A883" t="s">
        <v>4700</v>
      </c>
      <c r="B883" t="s">
        <v>12383</v>
      </c>
      <c r="C883" t="s">
        <v>12400</v>
      </c>
      <c r="D883" t="s">
        <v>12467</v>
      </c>
      <c r="E883" t="s">
        <v>13132</v>
      </c>
    </row>
    <row r="884" spans="1:5">
      <c r="A884" t="s">
        <v>4705</v>
      </c>
      <c r="B884" t="s">
        <v>12445</v>
      </c>
      <c r="C884" t="s">
        <v>12392</v>
      </c>
      <c r="D884" t="s">
        <v>10402</v>
      </c>
      <c r="E884" t="s">
        <v>13133</v>
      </c>
    </row>
    <row r="885" spans="1:5">
      <c r="A885" t="s">
        <v>4710</v>
      </c>
      <c r="B885" t="s">
        <v>12470</v>
      </c>
      <c r="C885" t="s">
        <v>12493</v>
      </c>
      <c r="D885" t="s">
        <v>10388</v>
      </c>
      <c r="E885" t="s">
        <v>13134</v>
      </c>
    </row>
    <row r="886" spans="1:5">
      <c r="A886" t="s">
        <v>4715</v>
      </c>
      <c r="B886" t="s">
        <v>12396</v>
      </c>
      <c r="C886" t="s">
        <v>12432</v>
      </c>
      <c r="D886" t="s">
        <v>12381</v>
      </c>
      <c r="E886" t="s">
        <v>13135</v>
      </c>
    </row>
    <row r="887" spans="1:5">
      <c r="A887" t="s">
        <v>4720</v>
      </c>
      <c r="B887" t="s">
        <v>12439</v>
      </c>
      <c r="C887" t="s">
        <v>12499</v>
      </c>
      <c r="D887" t="s">
        <v>10388</v>
      </c>
      <c r="E887" t="s">
        <v>13136</v>
      </c>
    </row>
    <row r="888" spans="1:5">
      <c r="A888" t="s">
        <v>4725</v>
      </c>
      <c r="B888" t="s">
        <v>12394</v>
      </c>
      <c r="C888" t="s">
        <v>12446</v>
      </c>
      <c r="D888" t="s">
        <v>10388</v>
      </c>
      <c r="E888" t="s">
        <v>13137</v>
      </c>
    </row>
    <row r="889" spans="1:5">
      <c r="A889" t="s">
        <v>4730</v>
      </c>
      <c r="B889" t="s">
        <v>12434</v>
      </c>
      <c r="C889" t="s">
        <v>12428</v>
      </c>
      <c r="D889" t="s">
        <v>10388</v>
      </c>
      <c r="E889" t="s">
        <v>12719</v>
      </c>
    </row>
    <row r="890" spans="1:5">
      <c r="A890" t="s">
        <v>4735</v>
      </c>
      <c r="B890" t="s">
        <v>12445</v>
      </c>
      <c r="C890" t="s">
        <v>10369</v>
      </c>
      <c r="D890" t="s">
        <v>12413</v>
      </c>
      <c r="E890" t="s">
        <v>12554</v>
      </c>
    </row>
    <row r="891" spans="1:5">
      <c r="A891" t="s">
        <v>4741</v>
      </c>
      <c r="B891" t="s">
        <v>12396</v>
      </c>
      <c r="C891" t="s">
        <v>12440</v>
      </c>
      <c r="D891" t="s">
        <v>10388</v>
      </c>
      <c r="E891" t="s">
        <v>12795</v>
      </c>
    </row>
    <row r="892" spans="1:5">
      <c r="A892" t="s">
        <v>4746</v>
      </c>
      <c r="B892" t="s">
        <v>12450</v>
      </c>
      <c r="C892" t="s">
        <v>12397</v>
      </c>
      <c r="D892" t="s">
        <v>12413</v>
      </c>
      <c r="E892" t="s">
        <v>13138</v>
      </c>
    </row>
    <row r="893" spans="1:5">
      <c r="A893" t="s">
        <v>4752</v>
      </c>
      <c r="B893" t="s">
        <v>12453</v>
      </c>
      <c r="C893" t="s">
        <v>12384</v>
      </c>
      <c r="D893" t="s">
        <v>12381</v>
      </c>
      <c r="E893" t="s">
        <v>12387</v>
      </c>
    </row>
    <row r="894" spans="1:5">
      <c r="A894" t="s">
        <v>4757</v>
      </c>
      <c r="B894" t="s">
        <v>12450</v>
      </c>
      <c r="C894" t="s">
        <v>12378</v>
      </c>
      <c r="D894" t="s">
        <v>10388</v>
      </c>
      <c r="E894" t="s">
        <v>13117</v>
      </c>
    </row>
    <row r="895" spans="1:5">
      <c r="A895" t="s">
        <v>4762</v>
      </c>
      <c r="B895" t="s">
        <v>12399</v>
      </c>
      <c r="C895" t="s">
        <v>12499</v>
      </c>
      <c r="D895" t="s">
        <v>10388</v>
      </c>
      <c r="E895" t="s">
        <v>12814</v>
      </c>
    </row>
    <row r="896" spans="1:5">
      <c r="A896" t="s">
        <v>4767</v>
      </c>
      <c r="B896" t="s">
        <v>12512</v>
      </c>
      <c r="C896" t="s">
        <v>12384</v>
      </c>
      <c r="D896" t="s">
        <v>12381</v>
      </c>
      <c r="E896" t="s">
        <v>13139</v>
      </c>
    </row>
    <row r="897" spans="1:5">
      <c r="A897" t="s">
        <v>4772</v>
      </c>
      <c r="B897" t="s">
        <v>12418</v>
      </c>
      <c r="C897" t="s">
        <v>12400</v>
      </c>
      <c r="D897" t="s">
        <v>10402</v>
      </c>
      <c r="E897" t="s">
        <v>13140</v>
      </c>
    </row>
    <row r="898" spans="1:5">
      <c r="A898" t="s">
        <v>4777</v>
      </c>
      <c r="B898" t="s">
        <v>12406</v>
      </c>
      <c r="C898" t="s">
        <v>12378</v>
      </c>
      <c r="D898" t="s">
        <v>10388</v>
      </c>
      <c r="E898" t="s">
        <v>13141</v>
      </c>
    </row>
    <row r="899" spans="1:5">
      <c r="A899" t="s">
        <v>4782</v>
      </c>
      <c r="B899" t="s">
        <v>12399</v>
      </c>
      <c r="C899" t="s">
        <v>12378</v>
      </c>
      <c r="D899" t="s">
        <v>10388</v>
      </c>
      <c r="E899" t="s">
        <v>13142</v>
      </c>
    </row>
    <row r="900" spans="1:5">
      <c r="A900" t="s">
        <v>4787</v>
      </c>
      <c r="B900" t="s">
        <v>12512</v>
      </c>
      <c r="C900" t="s">
        <v>12428</v>
      </c>
      <c r="D900" t="s">
        <v>10388</v>
      </c>
      <c r="E900" t="s">
        <v>13143</v>
      </c>
    </row>
    <row r="901" spans="1:5">
      <c r="A901" t="s">
        <v>4792</v>
      </c>
      <c r="B901" t="s">
        <v>12512</v>
      </c>
      <c r="C901" t="s">
        <v>12389</v>
      </c>
      <c r="D901" t="s">
        <v>10388</v>
      </c>
      <c r="E901" t="s">
        <v>13144</v>
      </c>
    </row>
    <row r="902" spans="1:5">
      <c r="A902" t="s">
        <v>4797</v>
      </c>
      <c r="B902" t="s">
        <v>12421</v>
      </c>
      <c r="C902" t="s">
        <v>12392</v>
      </c>
      <c r="D902" t="s">
        <v>12437</v>
      </c>
      <c r="E902" t="s">
        <v>13145</v>
      </c>
    </row>
    <row r="903" spans="1:5">
      <c r="A903" t="s">
        <v>4802</v>
      </c>
      <c r="B903" t="s">
        <v>12498</v>
      </c>
      <c r="C903" t="s">
        <v>12463</v>
      </c>
      <c r="D903" t="s">
        <v>10381</v>
      </c>
      <c r="E903" t="s">
        <v>13146</v>
      </c>
    </row>
    <row r="904" spans="1:5">
      <c r="A904" t="s">
        <v>4807</v>
      </c>
      <c r="B904" t="s">
        <v>12483</v>
      </c>
      <c r="C904" t="s">
        <v>12378</v>
      </c>
      <c r="D904" t="s">
        <v>10388</v>
      </c>
      <c r="E904" t="s">
        <v>13147</v>
      </c>
    </row>
    <row r="905" spans="1:5">
      <c r="A905" t="s">
        <v>4812</v>
      </c>
      <c r="B905" t="s">
        <v>12503</v>
      </c>
      <c r="C905" t="s">
        <v>12440</v>
      </c>
      <c r="D905" t="s">
        <v>10388</v>
      </c>
      <c r="E905" t="s">
        <v>13148</v>
      </c>
    </row>
    <row r="906" spans="1:5">
      <c r="A906" t="s">
        <v>4817</v>
      </c>
      <c r="B906" t="s">
        <v>12483</v>
      </c>
      <c r="C906" t="s">
        <v>12428</v>
      </c>
      <c r="D906" t="s">
        <v>10388</v>
      </c>
      <c r="E906" t="s">
        <v>13149</v>
      </c>
    </row>
    <row r="907" spans="1:5">
      <c r="A907" t="s">
        <v>4822</v>
      </c>
      <c r="B907" t="s">
        <v>12399</v>
      </c>
      <c r="C907" t="s">
        <v>12415</v>
      </c>
      <c r="D907" t="s">
        <v>12381</v>
      </c>
      <c r="E907" t="s">
        <v>13150</v>
      </c>
    </row>
    <row r="908" spans="1:5">
      <c r="A908" t="s">
        <v>4827</v>
      </c>
      <c r="B908" t="s">
        <v>12421</v>
      </c>
      <c r="C908" t="s">
        <v>12463</v>
      </c>
      <c r="D908" t="s">
        <v>10381</v>
      </c>
      <c r="E908" t="s">
        <v>13151</v>
      </c>
    </row>
    <row r="909" spans="1:5">
      <c r="A909" t="s">
        <v>4832</v>
      </c>
      <c r="B909" t="s">
        <v>12459</v>
      </c>
      <c r="C909" t="s">
        <v>12446</v>
      </c>
      <c r="D909" t="s">
        <v>10388</v>
      </c>
      <c r="E909" t="s">
        <v>13152</v>
      </c>
    </row>
    <row r="910" spans="1:5">
      <c r="A910" t="s">
        <v>4837</v>
      </c>
      <c r="B910" t="s">
        <v>12525</v>
      </c>
      <c r="C910" t="s">
        <v>12415</v>
      </c>
      <c r="D910" t="s">
        <v>12401</v>
      </c>
      <c r="E910" t="s">
        <v>13153</v>
      </c>
    </row>
    <row r="911" spans="1:5">
      <c r="A911" t="s">
        <v>4842</v>
      </c>
      <c r="B911" t="s">
        <v>12436</v>
      </c>
      <c r="C911" t="s">
        <v>12499</v>
      </c>
      <c r="D911" t="s">
        <v>10388</v>
      </c>
      <c r="E911" t="s">
        <v>13154</v>
      </c>
    </row>
    <row r="912" spans="1:5">
      <c r="A912" t="s">
        <v>4847</v>
      </c>
      <c r="B912" t="s">
        <v>12388</v>
      </c>
      <c r="C912" t="s">
        <v>12415</v>
      </c>
      <c r="D912" t="s">
        <v>12467</v>
      </c>
      <c r="E912" t="s">
        <v>13155</v>
      </c>
    </row>
    <row r="913" spans="1:5">
      <c r="A913" t="s">
        <v>4852</v>
      </c>
      <c r="B913" t="s">
        <v>12418</v>
      </c>
      <c r="C913" t="s">
        <v>12499</v>
      </c>
      <c r="D913" t="s">
        <v>10388</v>
      </c>
      <c r="E913" t="s">
        <v>13156</v>
      </c>
    </row>
    <row r="914" spans="1:5">
      <c r="A914" t="s">
        <v>4857</v>
      </c>
      <c r="B914" t="s">
        <v>12430</v>
      </c>
      <c r="C914" t="s">
        <v>12384</v>
      </c>
      <c r="D914" t="s">
        <v>10381</v>
      </c>
      <c r="E914" t="s">
        <v>13157</v>
      </c>
    </row>
    <row r="915" spans="1:5">
      <c r="A915" t="s">
        <v>4862</v>
      </c>
      <c r="B915" t="s">
        <v>12418</v>
      </c>
      <c r="C915" t="s">
        <v>12378</v>
      </c>
      <c r="D915" t="s">
        <v>10388</v>
      </c>
      <c r="E915" t="s">
        <v>12538</v>
      </c>
    </row>
    <row r="916" spans="1:5">
      <c r="A916" t="s">
        <v>4867</v>
      </c>
      <c r="B916" t="s">
        <v>12439</v>
      </c>
      <c r="C916" t="s">
        <v>12474</v>
      </c>
      <c r="D916" t="s">
        <v>10388</v>
      </c>
      <c r="E916" t="s">
        <v>13158</v>
      </c>
    </row>
    <row r="917" spans="1:5">
      <c r="A917" t="s">
        <v>4872</v>
      </c>
      <c r="B917" t="s">
        <v>12388</v>
      </c>
      <c r="C917" t="s">
        <v>12389</v>
      </c>
      <c r="D917" t="s">
        <v>10388</v>
      </c>
      <c r="E917" t="s">
        <v>13061</v>
      </c>
    </row>
    <row r="918" spans="1:5">
      <c r="A918" t="s">
        <v>4877</v>
      </c>
      <c r="B918" t="s">
        <v>12565</v>
      </c>
      <c r="C918" t="s">
        <v>12392</v>
      </c>
      <c r="D918" t="s">
        <v>10402</v>
      </c>
      <c r="E918" t="s">
        <v>13159</v>
      </c>
    </row>
    <row r="919" spans="1:5">
      <c r="A919" t="s">
        <v>4882</v>
      </c>
      <c r="B919" t="s">
        <v>12421</v>
      </c>
      <c r="C919" t="s">
        <v>12428</v>
      </c>
      <c r="D919" t="s">
        <v>10388</v>
      </c>
      <c r="E919" t="s">
        <v>13159</v>
      </c>
    </row>
    <row r="920" spans="1:5">
      <c r="A920" t="s">
        <v>4887</v>
      </c>
      <c r="B920" t="s">
        <v>12525</v>
      </c>
      <c r="C920" t="s">
        <v>12389</v>
      </c>
      <c r="D920" t="s">
        <v>10388</v>
      </c>
      <c r="E920" t="s">
        <v>13160</v>
      </c>
    </row>
    <row r="921" spans="1:5">
      <c r="A921" t="s">
        <v>4893</v>
      </c>
      <c r="B921" t="s">
        <v>12503</v>
      </c>
      <c r="C921" t="s">
        <v>12412</v>
      </c>
      <c r="D921" t="s">
        <v>10402</v>
      </c>
      <c r="E921" t="s">
        <v>13161</v>
      </c>
    </row>
    <row r="922" spans="1:5">
      <c r="A922" t="s">
        <v>4898</v>
      </c>
      <c r="B922" t="s">
        <v>12406</v>
      </c>
      <c r="C922" t="s">
        <v>12463</v>
      </c>
      <c r="D922" t="s">
        <v>12381</v>
      </c>
      <c r="E922" t="s">
        <v>13162</v>
      </c>
    </row>
    <row r="923" spans="1:5">
      <c r="A923" t="s">
        <v>4903</v>
      </c>
      <c r="B923" t="s">
        <v>12434</v>
      </c>
      <c r="C923" t="s">
        <v>12419</v>
      </c>
      <c r="D923" t="s">
        <v>12437</v>
      </c>
      <c r="E923" t="s">
        <v>13095</v>
      </c>
    </row>
    <row r="924" spans="1:5">
      <c r="A924" t="s">
        <v>4908</v>
      </c>
      <c r="B924" t="s">
        <v>12436</v>
      </c>
      <c r="C924" t="s">
        <v>12499</v>
      </c>
      <c r="D924" t="s">
        <v>10388</v>
      </c>
      <c r="E924" t="s">
        <v>13163</v>
      </c>
    </row>
    <row r="925" spans="1:5">
      <c r="A925" t="s">
        <v>4913</v>
      </c>
      <c r="B925" t="s">
        <v>12470</v>
      </c>
      <c r="C925" t="s">
        <v>12428</v>
      </c>
      <c r="D925" t="s">
        <v>10388</v>
      </c>
      <c r="E925" t="s">
        <v>13164</v>
      </c>
    </row>
    <row r="926" spans="1:5">
      <c r="A926" t="s">
        <v>4918</v>
      </c>
      <c r="B926" t="s">
        <v>12483</v>
      </c>
      <c r="C926" t="s">
        <v>12392</v>
      </c>
      <c r="D926" t="s">
        <v>10381</v>
      </c>
      <c r="E926" t="s">
        <v>13165</v>
      </c>
    </row>
    <row r="927" spans="1:5">
      <c r="A927" t="s">
        <v>4923</v>
      </c>
      <c r="B927" t="s">
        <v>12399</v>
      </c>
      <c r="C927" t="s">
        <v>12378</v>
      </c>
      <c r="D927" t="s">
        <v>10388</v>
      </c>
      <c r="E927" t="s">
        <v>12476</v>
      </c>
    </row>
    <row r="928" spans="1:5">
      <c r="A928" t="s">
        <v>4928</v>
      </c>
      <c r="B928" t="s">
        <v>12563</v>
      </c>
      <c r="C928" t="s">
        <v>12440</v>
      </c>
      <c r="D928" t="s">
        <v>10388</v>
      </c>
      <c r="E928" t="s">
        <v>12733</v>
      </c>
    </row>
    <row r="929" spans="1:5">
      <c r="A929" t="s">
        <v>4933</v>
      </c>
      <c r="B929" t="s">
        <v>12383</v>
      </c>
      <c r="C929" t="s">
        <v>12409</v>
      </c>
      <c r="D929" t="s">
        <v>10388</v>
      </c>
      <c r="E929" t="s">
        <v>13166</v>
      </c>
    </row>
    <row r="930" spans="1:5">
      <c r="A930" t="s">
        <v>4938</v>
      </c>
      <c r="B930" t="s">
        <v>12483</v>
      </c>
      <c r="C930" t="s">
        <v>10369</v>
      </c>
      <c r="D930" t="s">
        <v>10402</v>
      </c>
      <c r="E930" t="s">
        <v>13167</v>
      </c>
    </row>
    <row r="931" spans="1:5">
      <c r="A931" t="s">
        <v>4943</v>
      </c>
      <c r="B931" t="s">
        <v>12411</v>
      </c>
      <c r="C931" t="s">
        <v>12400</v>
      </c>
      <c r="D931" t="s">
        <v>10381</v>
      </c>
      <c r="E931" t="s">
        <v>12721</v>
      </c>
    </row>
    <row r="932" spans="1:5">
      <c r="A932" t="s">
        <v>4948</v>
      </c>
      <c r="B932" t="s">
        <v>12461</v>
      </c>
      <c r="C932" t="s">
        <v>12392</v>
      </c>
      <c r="D932" t="s">
        <v>12437</v>
      </c>
      <c r="E932" t="s">
        <v>12625</v>
      </c>
    </row>
    <row r="933" spans="1:5">
      <c r="A933" t="s">
        <v>4953</v>
      </c>
      <c r="B933" t="s">
        <v>12411</v>
      </c>
      <c r="C933" t="s">
        <v>12499</v>
      </c>
      <c r="D933" t="s">
        <v>10388</v>
      </c>
      <c r="E933" t="s">
        <v>13168</v>
      </c>
    </row>
    <row r="934" spans="1:5">
      <c r="A934" t="s">
        <v>4958</v>
      </c>
      <c r="B934" t="s">
        <v>12563</v>
      </c>
      <c r="C934" t="s">
        <v>12384</v>
      </c>
      <c r="D934" t="s">
        <v>10376</v>
      </c>
      <c r="E934" t="s">
        <v>13169</v>
      </c>
    </row>
    <row r="935" spans="1:5">
      <c r="A935" t="s">
        <v>4963</v>
      </c>
      <c r="B935" t="s">
        <v>12439</v>
      </c>
      <c r="C935" t="s">
        <v>12463</v>
      </c>
      <c r="D935" t="s">
        <v>12437</v>
      </c>
      <c r="E935" t="s">
        <v>12862</v>
      </c>
    </row>
    <row r="936" spans="1:5">
      <c r="A936" t="s">
        <v>4968</v>
      </c>
      <c r="B936" t="s">
        <v>12483</v>
      </c>
      <c r="C936" t="s">
        <v>12463</v>
      </c>
      <c r="D936" t="s">
        <v>10381</v>
      </c>
      <c r="E936" t="s">
        <v>13170</v>
      </c>
    </row>
    <row r="937" spans="1:5">
      <c r="A937" t="s">
        <v>4973</v>
      </c>
      <c r="B937" t="s">
        <v>12394</v>
      </c>
      <c r="C937" t="s">
        <v>12412</v>
      </c>
      <c r="D937" t="s">
        <v>10402</v>
      </c>
      <c r="E937" t="s">
        <v>13171</v>
      </c>
    </row>
    <row r="938" spans="1:5">
      <c r="A938" t="s">
        <v>4978</v>
      </c>
      <c r="B938" t="s">
        <v>12426</v>
      </c>
      <c r="C938" t="s">
        <v>12407</v>
      </c>
      <c r="D938" t="s">
        <v>10388</v>
      </c>
      <c r="E938" t="s">
        <v>13172</v>
      </c>
    </row>
    <row r="939" spans="1:5">
      <c r="A939" t="s">
        <v>4984</v>
      </c>
      <c r="B939" t="s">
        <v>12491</v>
      </c>
      <c r="C939" t="s">
        <v>12389</v>
      </c>
      <c r="D939" t="s">
        <v>10388</v>
      </c>
      <c r="E939" t="s">
        <v>12451</v>
      </c>
    </row>
    <row r="940" spans="1:5">
      <c r="A940" t="s">
        <v>4989</v>
      </c>
      <c r="B940" t="s">
        <v>12399</v>
      </c>
      <c r="C940" t="s">
        <v>12493</v>
      </c>
      <c r="D940" t="s">
        <v>10388</v>
      </c>
      <c r="E940" t="s">
        <v>13173</v>
      </c>
    </row>
    <row r="941" spans="1:5">
      <c r="A941" t="s">
        <v>4994</v>
      </c>
      <c r="B941" t="s">
        <v>12563</v>
      </c>
      <c r="C941" t="s">
        <v>12463</v>
      </c>
      <c r="D941" t="s">
        <v>12456</v>
      </c>
      <c r="E941" t="s">
        <v>13174</v>
      </c>
    </row>
    <row r="942" spans="1:5">
      <c r="A942" t="s">
        <v>4999</v>
      </c>
      <c r="B942" t="s">
        <v>12383</v>
      </c>
      <c r="C942" t="s">
        <v>12493</v>
      </c>
      <c r="D942" t="s">
        <v>10388</v>
      </c>
      <c r="E942" t="s">
        <v>13175</v>
      </c>
    </row>
    <row r="943" spans="1:5">
      <c r="A943" t="s">
        <v>5004</v>
      </c>
      <c r="B943" t="s">
        <v>12426</v>
      </c>
      <c r="C943" t="s">
        <v>12463</v>
      </c>
      <c r="D943" t="s">
        <v>10402</v>
      </c>
      <c r="E943" t="s">
        <v>12773</v>
      </c>
    </row>
    <row r="944" spans="1:5">
      <c r="A944" t="s">
        <v>5009</v>
      </c>
      <c r="B944" t="s">
        <v>12459</v>
      </c>
      <c r="C944" t="s">
        <v>12392</v>
      </c>
      <c r="D944" t="s">
        <v>12456</v>
      </c>
      <c r="E944" t="s">
        <v>13176</v>
      </c>
    </row>
    <row r="945" spans="1:5">
      <c r="A945" t="s">
        <v>5014</v>
      </c>
      <c r="B945" t="s">
        <v>12445</v>
      </c>
      <c r="C945" t="s">
        <v>10369</v>
      </c>
      <c r="D945" t="s">
        <v>12467</v>
      </c>
      <c r="E945" t="s">
        <v>13177</v>
      </c>
    </row>
    <row r="946" spans="1:5">
      <c r="A946" t="s">
        <v>5019</v>
      </c>
      <c r="B946" t="s">
        <v>12459</v>
      </c>
      <c r="C946" t="s">
        <v>12409</v>
      </c>
      <c r="D946" t="s">
        <v>10388</v>
      </c>
      <c r="E946" t="s">
        <v>12554</v>
      </c>
    </row>
    <row r="947" spans="1:5">
      <c r="A947" t="s">
        <v>5024</v>
      </c>
      <c r="B947" t="s">
        <v>12388</v>
      </c>
      <c r="C947" t="s">
        <v>12419</v>
      </c>
      <c r="D947" t="s">
        <v>10402</v>
      </c>
      <c r="E947" t="s">
        <v>13178</v>
      </c>
    </row>
    <row r="948" spans="1:5">
      <c r="A948" t="s">
        <v>5029</v>
      </c>
      <c r="B948" t="s">
        <v>12430</v>
      </c>
      <c r="C948" t="s">
        <v>12389</v>
      </c>
      <c r="D948" t="s">
        <v>10388</v>
      </c>
      <c r="E948" t="s">
        <v>12744</v>
      </c>
    </row>
    <row r="949" spans="1:5">
      <c r="A949" t="s">
        <v>5034</v>
      </c>
      <c r="B949" t="s">
        <v>12388</v>
      </c>
      <c r="C949" t="s">
        <v>12432</v>
      </c>
      <c r="D949" t="s">
        <v>10402</v>
      </c>
      <c r="E949" t="s">
        <v>13035</v>
      </c>
    </row>
    <row r="950" spans="1:5">
      <c r="A950" t="s">
        <v>5039</v>
      </c>
      <c r="B950" t="s">
        <v>12477</v>
      </c>
      <c r="C950" t="s">
        <v>12397</v>
      </c>
      <c r="D950" t="s">
        <v>12467</v>
      </c>
      <c r="E950" t="s">
        <v>13179</v>
      </c>
    </row>
    <row r="951" spans="1:5">
      <c r="A951" t="s">
        <v>5044</v>
      </c>
      <c r="B951" t="s">
        <v>12383</v>
      </c>
      <c r="C951" t="s">
        <v>12446</v>
      </c>
      <c r="D951" t="s">
        <v>10388</v>
      </c>
      <c r="E951" t="s">
        <v>13180</v>
      </c>
    </row>
    <row r="952" spans="1:5">
      <c r="A952" t="s">
        <v>5049</v>
      </c>
      <c r="B952" t="s">
        <v>12450</v>
      </c>
      <c r="C952" t="s">
        <v>12392</v>
      </c>
      <c r="D952" t="s">
        <v>12467</v>
      </c>
      <c r="E952" t="s">
        <v>13181</v>
      </c>
    </row>
    <row r="953" spans="1:5">
      <c r="A953" t="s">
        <v>5054</v>
      </c>
      <c r="B953" t="s">
        <v>12477</v>
      </c>
      <c r="C953" t="s">
        <v>12407</v>
      </c>
      <c r="D953" t="s">
        <v>10388</v>
      </c>
      <c r="E953" t="s">
        <v>13182</v>
      </c>
    </row>
    <row r="954" spans="1:5">
      <c r="A954" t="s">
        <v>5059</v>
      </c>
      <c r="B954" t="s">
        <v>12470</v>
      </c>
      <c r="C954" t="s">
        <v>12474</v>
      </c>
      <c r="D954" t="s">
        <v>10388</v>
      </c>
      <c r="E954" t="s">
        <v>13183</v>
      </c>
    </row>
    <row r="955" spans="1:5">
      <c r="A955" t="s">
        <v>5064</v>
      </c>
      <c r="B955" t="s">
        <v>12439</v>
      </c>
      <c r="C955" t="s">
        <v>10369</v>
      </c>
      <c r="D955" t="s">
        <v>12413</v>
      </c>
      <c r="E955" t="s">
        <v>12840</v>
      </c>
    </row>
    <row r="956" spans="1:5">
      <c r="A956" t="s">
        <v>5069</v>
      </c>
      <c r="B956" t="s">
        <v>12426</v>
      </c>
      <c r="C956" t="s">
        <v>12378</v>
      </c>
      <c r="D956" t="s">
        <v>10388</v>
      </c>
      <c r="E956" t="s">
        <v>12458</v>
      </c>
    </row>
    <row r="957" spans="1:5">
      <c r="A957" t="s">
        <v>5075</v>
      </c>
      <c r="B957" t="s">
        <v>12552</v>
      </c>
      <c r="C957" t="s">
        <v>12474</v>
      </c>
      <c r="D957" t="s">
        <v>10388</v>
      </c>
      <c r="E957" t="s">
        <v>13184</v>
      </c>
    </row>
    <row r="958" spans="1:5">
      <c r="A958" t="s">
        <v>5080</v>
      </c>
      <c r="B958" t="s">
        <v>12380</v>
      </c>
      <c r="C958" t="s">
        <v>12378</v>
      </c>
      <c r="D958" t="s">
        <v>10388</v>
      </c>
      <c r="E958" t="s">
        <v>13185</v>
      </c>
    </row>
    <row r="959" spans="1:5">
      <c r="A959" t="s">
        <v>5085</v>
      </c>
      <c r="B959" t="s">
        <v>12411</v>
      </c>
      <c r="C959" t="s">
        <v>12407</v>
      </c>
      <c r="D959" t="s">
        <v>10388</v>
      </c>
      <c r="E959" t="s">
        <v>12905</v>
      </c>
    </row>
    <row r="960" spans="1:5">
      <c r="A960" t="s">
        <v>5090</v>
      </c>
      <c r="B960" t="s">
        <v>12565</v>
      </c>
      <c r="C960" t="s">
        <v>12409</v>
      </c>
      <c r="D960" t="s">
        <v>10388</v>
      </c>
      <c r="E960" t="s">
        <v>13186</v>
      </c>
    </row>
    <row r="961" spans="1:5">
      <c r="A961" t="s">
        <v>5095</v>
      </c>
      <c r="B961" t="s">
        <v>12565</v>
      </c>
      <c r="C961" t="s">
        <v>12392</v>
      </c>
      <c r="D961" t="s">
        <v>10381</v>
      </c>
      <c r="E961" t="s">
        <v>12457</v>
      </c>
    </row>
    <row r="962" spans="1:5">
      <c r="A962" t="s">
        <v>5100</v>
      </c>
      <c r="B962" t="s">
        <v>12508</v>
      </c>
      <c r="C962" t="s">
        <v>10369</v>
      </c>
      <c r="D962" t="s">
        <v>12413</v>
      </c>
      <c r="E962" t="s">
        <v>12480</v>
      </c>
    </row>
    <row r="963" spans="1:5">
      <c r="A963" t="s">
        <v>5105</v>
      </c>
      <c r="B963" t="s">
        <v>12455</v>
      </c>
      <c r="C963" t="s">
        <v>12499</v>
      </c>
      <c r="D963" t="s">
        <v>10388</v>
      </c>
      <c r="E963" t="s">
        <v>13187</v>
      </c>
    </row>
    <row r="964" spans="1:5">
      <c r="A964" t="s">
        <v>5110</v>
      </c>
      <c r="B964" t="s">
        <v>12396</v>
      </c>
      <c r="C964" t="s">
        <v>12463</v>
      </c>
      <c r="D964" t="s">
        <v>12456</v>
      </c>
      <c r="E964" t="s">
        <v>13188</v>
      </c>
    </row>
    <row r="965" spans="1:5">
      <c r="A965" t="s">
        <v>5115</v>
      </c>
      <c r="B965" t="s">
        <v>12503</v>
      </c>
      <c r="C965" t="s">
        <v>12499</v>
      </c>
      <c r="D965" t="s">
        <v>10388</v>
      </c>
      <c r="E965" t="s">
        <v>13189</v>
      </c>
    </row>
    <row r="966" spans="1:5">
      <c r="A966" t="s">
        <v>5120</v>
      </c>
      <c r="B966" t="s">
        <v>12388</v>
      </c>
      <c r="C966" t="s">
        <v>10369</v>
      </c>
      <c r="D966" t="s">
        <v>12467</v>
      </c>
      <c r="E966" t="s">
        <v>13190</v>
      </c>
    </row>
    <row r="967" spans="1:5">
      <c r="A967" t="s">
        <v>5125</v>
      </c>
      <c r="B967" t="s">
        <v>12459</v>
      </c>
      <c r="C967" t="s">
        <v>12400</v>
      </c>
      <c r="D967" t="s">
        <v>12437</v>
      </c>
      <c r="E967" t="s">
        <v>13191</v>
      </c>
    </row>
    <row r="968" spans="1:5">
      <c r="A968" t="s">
        <v>5130</v>
      </c>
      <c r="B968" t="s">
        <v>12383</v>
      </c>
      <c r="C968" t="s">
        <v>12432</v>
      </c>
      <c r="D968" t="s">
        <v>10402</v>
      </c>
      <c r="E968" t="s">
        <v>13192</v>
      </c>
    </row>
    <row r="969" spans="1:5">
      <c r="A969" t="s">
        <v>5135</v>
      </c>
      <c r="B969" t="s">
        <v>12470</v>
      </c>
      <c r="C969" t="s">
        <v>12409</v>
      </c>
      <c r="D969" t="s">
        <v>10388</v>
      </c>
      <c r="E969" t="s">
        <v>13193</v>
      </c>
    </row>
    <row r="970" spans="1:5">
      <c r="A970" t="s">
        <v>5140</v>
      </c>
      <c r="B970" t="s">
        <v>12430</v>
      </c>
      <c r="C970" t="s">
        <v>12493</v>
      </c>
      <c r="D970" t="s">
        <v>10388</v>
      </c>
      <c r="E970" t="s">
        <v>13194</v>
      </c>
    </row>
    <row r="971" spans="1:5">
      <c r="A971" t="s">
        <v>5145</v>
      </c>
      <c r="B971" t="s">
        <v>12380</v>
      </c>
      <c r="C971" t="s">
        <v>12409</v>
      </c>
      <c r="D971" t="s">
        <v>10388</v>
      </c>
      <c r="E971" t="s">
        <v>13195</v>
      </c>
    </row>
    <row r="972" spans="1:5">
      <c r="A972" t="s">
        <v>5150</v>
      </c>
      <c r="B972" t="s">
        <v>12453</v>
      </c>
      <c r="C972" t="s">
        <v>12384</v>
      </c>
      <c r="D972" t="s">
        <v>12467</v>
      </c>
      <c r="E972" t="s">
        <v>12898</v>
      </c>
    </row>
    <row r="973" spans="1:5">
      <c r="A973" t="s">
        <v>5156</v>
      </c>
      <c r="B973" t="s">
        <v>12426</v>
      </c>
      <c r="C973" t="s">
        <v>12378</v>
      </c>
      <c r="D973" t="s">
        <v>10388</v>
      </c>
      <c r="E973" t="s">
        <v>12938</v>
      </c>
    </row>
    <row r="974" spans="1:5">
      <c r="A974" t="s">
        <v>5161</v>
      </c>
      <c r="B974" t="s">
        <v>12512</v>
      </c>
      <c r="C974" t="s">
        <v>12400</v>
      </c>
      <c r="D974" t="s">
        <v>12413</v>
      </c>
      <c r="E974" t="s">
        <v>13155</v>
      </c>
    </row>
    <row r="975" spans="1:5">
      <c r="A975" t="s">
        <v>5166</v>
      </c>
      <c r="B975" t="s">
        <v>12418</v>
      </c>
      <c r="C975" t="s">
        <v>12392</v>
      </c>
      <c r="D975" t="s">
        <v>12437</v>
      </c>
      <c r="E975" t="s">
        <v>13196</v>
      </c>
    </row>
    <row r="976" spans="1:5">
      <c r="A976" t="s">
        <v>5171</v>
      </c>
      <c r="B976" t="s">
        <v>12525</v>
      </c>
      <c r="C976" t="s">
        <v>12409</v>
      </c>
      <c r="D976" t="s">
        <v>10388</v>
      </c>
      <c r="E976" t="s">
        <v>13169</v>
      </c>
    </row>
    <row r="977" spans="1:5">
      <c r="A977" t="s">
        <v>5176</v>
      </c>
      <c r="B977" t="s">
        <v>12477</v>
      </c>
      <c r="C977" t="s">
        <v>12384</v>
      </c>
      <c r="D977" t="s">
        <v>12413</v>
      </c>
      <c r="E977" t="s">
        <v>12520</v>
      </c>
    </row>
    <row r="978" spans="1:5">
      <c r="A978" t="s">
        <v>5181</v>
      </c>
      <c r="B978" t="s">
        <v>12380</v>
      </c>
      <c r="C978" t="s">
        <v>12400</v>
      </c>
      <c r="D978" t="s">
        <v>10376</v>
      </c>
      <c r="E978" t="s">
        <v>13197</v>
      </c>
    </row>
    <row r="979" spans="1:5">
      <c r="A979" t="s">
        <v>5186</v>
      </c>
      <c r="B979" t="s">
        <v>12445</v>
      </c>
      <c r="C979" t="s">
        <v>12463</v>
      </c>
      <c r="D979" t="s">
        <v>10402</v>
      </c>
      <c r="E979" t="s">
        <v>13198</v>
      </c>
    </row>
    <row r="980" spans="1:5">
      <c r="A980" t="s">
        <v>5191</v>
      </c>
      <c r="B980" t="s">
        <v>12450</v>
      </c>
      <c r="C980" t="s">
        <v>10369</v>
      </c>
      <c r="D980" t="s">
        <v>12413</v>
      </c>
      <c r="E980" t="s">
        <v>13000</v>
      </c>
    </row>
    <row r="981" spans="1:5">
      <c r="A981" t="s">
        <v>5196</v>
      </c>
      <c r="B981" t="s">
        <v>12386</v>
      </c>
      <c r="C981" t="s">
        <v>12446</v>
      </c>
      <c r="D981" t="s">
        <v>10388</v>
      </c>
      <c r="E981" t="s">
        <v>13199</v>
      </c>
    </row>
    <row r="982" spans="1:5">
      <c r="A982" t="s">
        <v>5201</v>
      </c>
      <c r="B982" t="s">
        <v>12418</v>
      </c>
      <c r="C982" t="s">
        <v>12432</v>
      </c>
      <c r="D982" t="s">
        <v>10376</v>
      </c>
      <c r="E982" t="s">
        <v>13200</v>
      </c>
    </row>
    <row r="983" spans="1:5">
      <c r="A983" t="s">
        <v>5206</v>
      </c>
      <c r="B983" t="s">
        <v>12442</v>
      </c>
      <c r="C983" t="s">
        <v>12493</v>
      </c>
      <c r="D983" t="s">
        <v>10388</v>
      </c>
      <c r="E983" t="s">
        <v>12965</v>
      </c>
    </row>
    <row r="984" spans="1:5">
      <c r="A984" t="s">
        <v>5211</v>
      </c>
      <c r="B984" t="s">
        <v>12442</v>
      </c>
      <c r="C984" t="s">
        <v>12400</v>
      </c>
      <c r="D984" t="s">
        <v>12467</v>
      </c>
      <c r="E984" t="s">
        <v>12622</v>
      </c>
    </row>
    <row r="985" spans="1:5">
      <c r="A985" t="s">
        <v>5216</v>
      </c>
      <c r="B985" t="s">
        <v>12391</v>
      </c>
      <c r="C985" t="s">
        <v>12419</v>
      </c>
      <c r="D985" t="s">
        <v>12437</v>
      </c>
      <c r="E985" t="s">
        <v>13201</v>
      </c>
    </row>
    <row r="986" spans="1:5">
      <c r="A986" t="s">
        <v>5221</v>
      </c>
      <c r="B986" t="s">
        <v>12399</v>
      </c>
      <c r="C986" t="s">
        <v>12463</v>
      </c>
      <c r="D986" t="s">
        <v>10402</v>
      </c>
      <c r="E986" t="s">
        <v>13058</v>
      </c>
    </row>
    <row r="987" spans="1:5">
      <c r="A987" t="s">
        <v>5226</v>
      </c>
      <c r="B987" t="s">
        <v>12411</v>
      </c>
      <c r="C987" t="s">
        <v>12392</v>
      </c>
      <c r="D987" t="s">
        <v>10402</v>
      </c>
      <c r="E987" t="s">
        <v>13202</v>
      </c>
    </row>
    <row r="988" spans="1:5">
      <c r="A988" t="s">
        <v>5232</v>
      </c>
      <c r="B988" t="s">
        <v>12459</v>
      </c>
      <c r="C988" t="s">
        <v>12378</v>
      </c>
      <c r="D988" t="s">
        <v>10388</v>
      </c>
      <c r="E988" t="s">
        <v>13059</v>
      </c>
    </row>
    <row r="989" spans="1:5">
      <c r="A989" t="s">
        <v>5237</v>
      </c>
      <c r="B989" t="s">
        <v>12388</v>
      </c>
      <c r="C989" t="s">
        <v>12419</v>
      </c>
      <c r="D989" t="s">
        <v>12467</v>
      </c>
      <c r="E989" t="s">
        <v>13203</v>
      </c>
    </row>
    <row r="990" spans="1:5">
      <c r="A990" t="s">
        <v>5242</v>
      </c>
      <c r="B990" t="s">
        <v>12552</v>
      </c>
      <c r="C990" t="s">
        <v>12446</v>
      </c>
      <c r="D990" t="s">
        <v>10388</v>
      </c>
      <c r="E990" t="s">
        <v>12555</v>
      </c>
    </row>
    <row r="991" spans="1:5">
      <c r="A991" t="s">
        <v>5247</v>
      </c>
      <c r="B991" t="s">
        <v>12445</v>
      </c>
      <c r="C991" t="s">
        <v>12474</v>
      </c>
      <c r="D991" t="s">
        <v>10388</v>
      </c>
      <c r="E991" t="s">
        <v>13204</v>
      </c>
    </row>
    <row r="992" spans="1:5">
      <c r="A992" t="s">
        <v>5252</v>
      </c>
      <c r="B992" t="s">
        <v>12403</v>
      </c>
      <c r="C992" t="s">
        <v>12493</v>
      </c>
      <c r="D992" t="s">
        <v>10388</v>
      </c>
      <c r="E992" t="s">
        <v>13205</v>
      </c>
    </row>
    <row r="993" spans="1:5">
      <c r="A993" t="s">
        <v>5257</v>
      </c>
      <c r="B993" t="s">
        <v>12388</v>
      </c>
      <c r="C993" t="s">
        <v>12412</v>
      </c>
      <c r="D993" t="s">
        <v>12437</v>
      </c>
      <c r="E993" t="s">
        <v>12959</v>
      </c>
    </row>
    <row r="994" spans="1:5">
      <c r="A994" t="s">
        <v>5262</v>
      </c>
      <c r="B994" t="s">
        <v>12483</v>
      </c>
      <c r="C994" t="s">
        <v>12397</v>
      </c>
      <c r="D994" t="s">
        <v>12467</v>
      </c>
      <c r="E994" t="s">
        <v>13206</v>
      </c>
    </row>
    <row r="995" spans="1:5">
      <c r="A995" t="s">
        <v>5268</v>
      </c>
      <c r="B995" t="s">
        <v>12483</v>
      </c>
      <c r="C995" t="s">
        <v>12409</v>
      </c>
      <c r="D995" t="s">
        <v>10388</v>
      </c>
      <c r="E995" t="s">
        <v>13207</v>
      </c>
    </row>
    <row r="996" spans="1:5">
      <c r="A996" t="s">
        <v>5273</v>
      </c>
      <c r="B996" t="s">
        <v>12439</v>
      </c>
      <c r="C996" t="s">
        <v>12432</v>
      </c>
      <c r="D996" t="s">
        <v>10376</v>
      </c>
      <c r="E996" t="s">
        <v>13208</v>
      </c>
    </row>
    <row r="997" spans="1:5">
      <c r="A997" t="s">
        <v>5278</v>
      </c>
      <c r="B997" t="s">
        <v>12386</v>
      </c>
      <c r="C997" t="s">
        <v>12446</v>
      </c>
      <c r="D997" t="s">
        <v>10388</v>
      </c>
      <c r="E997" t="s">
        <v>13209</v>
      </c>
    </row>
    <row r="998" spans="1:5">
      <c r="A998" t="s">
        <v>5283</v>
      </c>
      <c r="B998" t="s">
        <v>12470</v>
      </c>
      <c r="C998" t="s">
        <v>12389</v>
      </c>
      <c r="D998" t="s">
        <v>10388</v>
      </c>
      <c r="E998" t="s">
        <v>13210</v>
      </c>
    </row>
    <row r="999" spans="1:5">
      <c r="A999" t="s">
        <v>5288</v>
      </c>
      <c r="B999" t="s">
        <v>12388</v>
      </c>
      <c r="C999" t="s">
        <v>12409</v>
      </c>
      <c r="D999" t="s">
        <v>10388</v>
      </c>
      <c r="E999" t="s">
        <v>13211</v>
      </c>
    </row>
    <row r="1000" spans="1:5">
      <c r="A1000" t="s">
        <v>5294</v>
      </c>
      <c r="B1000" t="s">
        <v>12436</v>
      </c>
      <c r="C1000" t="s">
        <v>12409</v>
      </c>
      <c r="D1000" t="s">
        <v>10388</v>
      </c>
      <c r="E1000" t="s">
        <v>12968</v>
      </c>
    </row>
    <row r="1001" spans="1:5">
      <c r="A1001" t="s">
        <v>5299</v>
      </c>
      <c r="B1001" t="s">
        <v>12491</v>
      </c>
      <c r="C1001" t="s">
        <v>12409</v>
      </c>
      <c r="D1001" t="s">
        <v>10388</v>
      </c>
      <c r="E1001" t="s">
        <v>12454</v>
      </c>
    </row>
    <row r="1002" spans="1:5">
      <c r="A1002" t="s">
        <v>5304</v>
      </c>
      <c r="B1002" t="s">
        <v>12386</v>
      </c>
      <c r="C1002" t="s">
        <v>12392</v>
      </c>
      <c r="D1002" t="s">
        <v>10376</v>
      </c>
      <c r="E1002" t="s">
        <v>13212</v>
      </c>
    </row>
    <row r="1003" spans="1:5">
      <c r="A1003" t="s">
        <v>5309</v>
      </c>
      <c r="B1003" t="s">
        <v>12403</v>
      </c>
      <c r="C1003" t="s">
        <v>12440</v>
      </c>
      <c r="D1003" t="s">
        <v>10388</v>
      </c>
      <c r="E1003" t="s">
        <v>12791</v>
      </c>
    </row>
    <row r="1004" spans="1:5">
      <c r="A1004" t="s">
        <v>5314</v>
      </c>
      <c r="B1004" t="s">
        <v>12565</v>
      </c>
      <c r="C1004" t="s">
        <v>12392</v>
      </c>
      <c r="D1004" t="s">
        <v>12416</v>
      </c>
      <c r="E1004" t="s">
        <v>12934</v>
      </c>
    </row>
    <row r="1005" spans="1:5">
      <c r="A1005" t="s">
        <v>5319</v>
      </c>
      <c r="B1005" t="s">
        <v>12377</v>
      </c>
      <c r="C1005" t="s">
        <v>12392</v>
      </c>
      <c r="D1005" t="s">
        <v>10381</v>
      </c>
      <c r="E1005" t="s">
        <v>12967</v>
      </c>
    </row>
    <row r="1006" spans="1:5">
      <c r="A1006" t="s">
        <v>5324</v>
      </c>
      <c r="B1006" t="s">
        <v>12563</v>
      </c>
      <c r="C1006" t="s">
        <v>12392</v>
      </c>
      <c r="D1006" t="s">
        <v>10402</v>
      </c>
      <c r="E1006" t="s">
        <v>13213</v>
      </c>
    </row>
    <row r="1007" spans="1:5">
      <c r="A1007" t="s">
        <v>5329</v>
      </c>
      <c r="B1007" t="s">
        <v>12525</v>
      </c>
      <c r="C1007" t="s">
        <v>12378</v>
      </c>
      <c r="D1007" t="s">
        <v>10388</v>
      </c>
      <c r="E1007" t="s">
        <v>12941</v>
      </c>
    </row>
    <row r="1008" spans="1:5">
      <c r="A1008" t="s">
        <v>5334</v>
      </c>
      <c r="B1008" t="s">
        <v>12491</v>
      </c>
      <c r="C1008" t="s">
        <v>12463</v>
      </c>
      <c r="D1008" t="s">
        <v>12467</v>
      </c>
      <c r="E1008" t="s">
        <v>13214</v>
      </c>
    </row>
    <row r="1009" spans="1:5">
      <c r="A1009" t="s">
        <v>5339</v>
      </c>
      <c r="B1009" t="s">
        <v>12436</v>
      </c>
      <c r="C1009" t="s">
        <v>12389</v>
      </c>
      <c r="D1009" t="s">
        <v>10388</v>
      </c>
      <c r="E1009" t="s">
        <v>12546</v>
      </c>
    </row>
    <row r="1010" spans="1:5">
      <c r="A1010" t="s">
        <v>5344</v>
      </c>
      <c r="B1010" t="s">
        <v>12473</v>
      </c>
      <c r="C1010" t="s">
        <v>12493</v>
      </c>
      <c r="D1010" t="s">
        <v>10388</v>
      </c>
      <c r="E1010" t="s">
        <v>12659</v>
      </c>
    </row>
    <row r="1011" spans="1:5">
      <c r="A1011" t="s">
        <v>5349</v>
      </c>
      <c r="B1011" t="s">
        <v>12418</v>
      </c>
      <c r="C1011" t="s">
        <v>12432</v>
      </c>
      <c r="D1011" t="s">
        <v>12381</v>
      </c>
      <c r="E1011" t="s">
        <v>12841</v>
      </c>
    </row>
    <row r="1012" spans="1:5">
      <c r="A1012" t="s">
        <v>5354</v>
      </c>
      <c r="B1012" t="s">
        <v>12483</v>
      </c>
      <c r="C1012" t="s">
        <v>12400</v>
      </c>
      <c r="D1012" t="s">
        <v>12401</v>
      </c>
      <c r="E1012" t="s">
        <v>12520</v>
      </c>
    </row>
    <row r="1013" spans="1:5">
      <c r="A1013" t="s">
        <v>5359</v>
      </c>
      <c r="B1013" t="s">
        <v>12394</v>
      </c>
      <c r="C1013" t="s">
        <v>12407</v>
      </c>
      <c r="D1013" t="s">
        <v>10388</v>
      </c>
      <c r="E1013" t="s">
        <v>12689</v>
      </c>
    </row>
    <row r="1014" spans="1:5">
      <c r="A1014" t="s">
        <v>5364</v>
      </c>
      <c r="B1014" t="s">
        <v>12455</v>
      </c>
      <c r="C1014" t="s">
        <v>12407</v>
      </c>
      <c r="D1014" t="s">
        <v>10388</v>
      </c>
      <c r="E1014" t="s">
        <v>12937</v>
      </c>
    </row>
    <row r="1015" spans="1:5">
      <c r="A1015" t="s">
        <v>5370</v>
      </c>
      <c r="B1015" t="s">
        <v>12396</v>
      </c>
      <c r="C1015" t="s">
        <v>12419</v>
      </c>
      <c r="D1015" t="s">
        <v>12437</v>
      </c>
      <c r="E1015" t="s">
        <v>12643</v>
      </c>
    </row>
    <row r="1016" spans="1:5">
      <c r="A1016" t="s">
        <v>5375</v>
      </c>
      <c r="B1016" t="s">
        <v>12455</v>
      </c>
      <c r="C1016" t="s">
        <v>12412</v>
      </c>
      <c r="D1016" t="s">
        <v>10402</v>
      </c>
      <c r="E1016" t="s">
        <v>13215</v>
      </c>
    </row>
    <row r="1017" spans="1:5">
      <c r="A1017" t="s">
        <v>5380</v>
      </c>
      <c r="B1017" t="s">
        <v>12411</v>
      </c>
      <c r="C1017" t="s">
        <v>12378</v>
      </c>
      <c r="D1017" t="s">
        <v>10388</v>
      </c>
      <c r="E1017" t="s">
        <v>12732</v>
      </c>
    </row>
    <row r="1018" spans="1:5">
      <c r="A1018" t="s">
        <v>5385</v>
      </c>
      <c r="B1018" t="s">
        <v>12563</v>
      </c>
      <c r="C1018" t="s">
        <v>12378</v>
      </c>
      <c r="D1018" t="s">
        <v>10388</v>
      </c>
      <c r="E1018" t="s">
        <v>12975</v>
      </c>
    </row>
    <row r="1019" spans="1:5">
      <c r="A1019" t="s">
        <v>5390</v>
      </c>
      <c r="B1019" t="s">
        <v>12473</v>
      </c>
      <c r="C1019" t="s">
        <v>12415</v>
      </c>
      <c r="D1019" t="s">
        <v>12467</v>
      </c>
      <c r="E1019" t="s">
        <v>13216</v>
      </c>
    </row>
    <row r="1020" spans="1:5">
      <c r="A1020" t="s">
        <v>5395</v>
      </c>
      <c r="B1020" t="s">
        <v>12406</v>
      </c>
      <c r="C1020" t="s">
        <v>12463</v>
      </c>
      <c r="D1020" t="s">
        <v>12381</v>
      </c>
      <c r="E1020" t="s">
        <v>12816</v>
      </c>
    </row>
    <row r="1021" spans="1:5">
      <c r="A1021" t="s">
        <v>5400</v>
      </c>
      <c r="B1021" t="s">
        <v>12424</v>
      </c>
      <c r="C1021" t="s">
        <v>12446</v>
      </c>
      <c r="D1021" t="s">
        <v>10388</v>
      </c>
      <c r="E1021" t="s">
        <v>13043</v>
      </c>
    </row>
    <row r="1022" spans="1:5">
      <c r="A1022" t="s">
        <v>5405</v>
      </c>
      <c r="B1022" t="s">
        <v>12421</v>
      </c>
      <c r="C1022" t="s">
        <v>12415</v>
      </c>
      <c r="D1022" t="s">
        <v>12413</v>
      </c>
      <c r="E1022" t="s">
        <v>12611</v>
      </c>
    </row>
    <row r="1023" spans="1:5">
      <c r="A1023" t="s">
        <v>5410</v>
      </c>
      <c r="B1023" t="s">
        <v>12436</v>
      </c>
      <c r="C1023" t="s">
        <v>12415</v>
      </c>
      <c r="D1023" t="s">
        <v>12456</v>
      </c>
      <c r="E1023" t="s">
        <v>13157</v>
      </c>
    </row>
    <row r="1024" spans="1:5">
      <c r="A1024" t="s">
        <v>5415</v>
      </c>
      <c r="B1024" t="s">
        <v>12377</v>
      </c>
      <c r="C1024" t="s">
        <v>12392</v>
      </c>
      <c r="D1024" t="s">
        <v>12416</v>
      </c>
      <c r="E1024" t="s">
        <v>12677</v>
      </c>
    </row>
    <row r="1025" spans="1:5">
      <c r="A1025" t="s">
        <v>5420</v>
      </c>
      <c r="B1025" t="s">
        <v>12461</v>
      </c>
      <c r="C1025" t="s">
        <v>12415</v>
      </c>
      <c r="D1025" t="s">
        <v>12437</v>
      </c>
      <c r="E1025" t="s">
        <v>13217</v>
      </c>
    </row>
    <row r="1026" spans="1:5">
      <c r="A1026" t="s">
        <v>5426</v>
      </c>
      <c r="B1026" t="s">
        <v>12421</v>
      </c>
      <c r="C1026" t="s">
        <v>12415</v>
      </c>
      <c r="D1026" t="s">
        <v>10402</v>
      </c>
      <c r="E1026" t="s">
        <v>12537</v>
      </c>
    </row>
    <row r="1027" spans="1:5">
      <c r="A1027" t="s">
        <v>5431</v>
      </c>
      <c r="B1027" t="s">
        <v>12418</v>
      </c>
      <c r="C1027" t="s">
        <v>12463</v>
      </c>
      <c r="D1027" t="s">
        <v>12416</v>
      </c>
      <c r="E1027" t="s">
        <v>13218</v>
      </c>
    </row>
    <row r="1028" spans="1:5">
      <c r="A1028" t="s">
        <v>5436</v>
      </c>
      <c r="B1028" t="s">
        <v>12396</v>
      </c>
      <c r="C1028" t="s">
        <v>12493</v>
      </c>
      <c r="D1028" t="s">
        <v>10388</v>
      </c>
      <c r="E1028" t="s">
        <v>12831</v>
      </c>
    </row>
    <row r="1029" spans="1:5">
      <c r="A1029" t="s">
        <v>5441</v>
      </c>
      <c r="B1029" t="s">
        <v>12470</v>
      </c>
      <c r="C1029" t="s">
        <v>12446</v>
      </c>
      <c r="D1029" t="s">
        <v>10388</v>
      </c>
      <c r="E1029" t="s">
        <v>12688</v>
      </c>
    </row>
    <row r="1030" spans="1:5">
      <c r="A1030" t="s">
        <v>5446</v>
      </c>
      <c r="B1030" t="s">
        <v>12426</v>
      </c>
      <c r="C1030" t="s">
        <v>12397</v>
      </c>
      <c r="D1030" t="s">
        <v>12381</v>
      </c>
      <c r="E1030" t="s">
        <v>12520</v>
      </c>
    </row>
    <row r="1031" spans="1:5">
      <c r="A1031" t="s">
        <v>5451</v>
      </c>
      <c r="B1031" t="s">
        <v>12445</v>
      </c>
      <c r="C1031" t="s">
        <v>12446</v>
      </c>
      <c r="D1031" t="s">
        <v>10388</v>
      </c>
      <c r="E1031" t="s">
        <v>13219</v>
      </c>
    </row>
    <row r="1032" spans="1:5">
      <c r="A1032" t="s">
        <v>5456</v>
      </c>
      <c r="B1032" t="s">
        <v>12508</v>
      </c>
      <c r="C1032" t="s">
        <v>10369</v>
      </c>
      <c r="D1032" t="s">
        <v>12456</v>
      </c>
      <c r="E1032" t="s">
        <v>13220</v>
      </c>
    </row>
    <row r="1033" spans="1:5">
      <c r="A1033" t="s">
        <v>5461</v>
      </c>
      <c r="B1033" t="s">
        <v>12421</v>
      </c>
      <c r="C1033" t="s">
        <v>12446</v>
      </c>
      <c r="D1033" t="s">
        <v>10388</v>
      </c>
      <c r="E1033" t="s">
        <v>12774</v>
      </c>
    </row>
    <row r="1034" spans="1:5">
      <c r="A1034" t="s">
        <v>5466</v>
      </c>
      <c r="B1034" t="s">
        <v>12477</v>
      </c>
      <c r="C1034" t="s">
        <v>12392</v>
      </c>
      <c r="D1034" t="s">
        <v>12416</v>
      </c>
      <c r="E1034" t="s">
        <v>13221</v>
      </c>
    </row>
    <row r="1035" spans="1:5">
      <c r="A1035" t="s">
        <v>5471</v>
      </c>
      <c r="B1035" t="s">
        <v>12426</v>
      </c>
      <c r="C1035" t="s">
        <v>12389</v>
      </c>
      <c r="D1035" t="s">
        <v>10388</v>
      </c>
      <c r="E1035" t="s">
        <v>13222</v>
      </c>
    </row>
    <row r="1036" spans="1:5">
      <c r="A1036" t="s">
        <v>5476</v>
      </c>
      <c r="B1036" t="s">
        <v>12442</v>
      </c>
      <c r="C1036" t="s">
        <v>12493</v>
      </c>
      <c r="D1036" t="s">
        <v>10388</v>
      </c>
      <c r="E1036" t="s">
        <v>13223</v>
      </c>
    </row>
    <row r="1037" spans="1:5">
      <c r="A1037" t="s">
        <v>5481</v>
      </c>
      <c r="B1037" t="s">
        <v>12470</v>
      </c>
      <c r="C1037" t="s">
        <v>12474</v>
      </c>
      <c r="D1037" t="s">
        <v>10388</v>
      </c>
      <c r="E1037" t="s">
        <v>12718</v>
      </c>
    </row>
    <row r="1038" spans="1:5">
      <c r="A1038" t="s">
        <v>5486</v>
      </c>
      <c r="B1038" t="s">
        <v>12442</v>
      </c>
      <c r="C1038" t="s">
        <v>12378</v>
      </c>
      <c r="D1038" t="s">
        <v>10388</v>
      </c>
      <c r="E1038" t="s">
        <v>13224</v>
      </c>
    </row>
    <row r="1039" spans="1:5">
      <c r="A1039" t="s">
        <v>5491</v>
      </c>
      <c r="B1039" t="s">
        <v>12377</v>
      </c>
      <c r="C1039" t="s">
        <v>12499</v>
      </c>
      <c r="D1039" t="s">
        <v>10388</v>
      </c>
      <c r="E1039" t="s">
        <v>12741</v>
      </c>
    </row>
    <row r="1040" spans="1:5">
      <c r="A1040" t="s">
        <v>5496</v>
      </c>
      <c r="B1040" t="s">
        <v>12563</v>
      </c>
      <c r="C1040" t="s">
        <v>12392</v>
      </c>
      <c r="D1040" t="s">
        <v>10381</v>
      </c>
      <c r="E1040" t="s">
        <v>13225</v>
      </c>
    </row>
    <row r="1041" spans="1:5">
      <c r="A1041" t="s">
        <v>5501</v>
      </c>
      <c r="B1041" t="s">
        <v>12459</v>
      </c>
      <c r="C1041" t="s">
        <v>12463</v>
      </c>
      <c r="D1041" t="s">
        <v>12437</v>
      </c>
      <c r="E1041" t="s">
        <v>13226</v>
      </c>
    </row>
    <row r="1042" spans="1:5">
      <c r="A1042" t="s">
        <v>5506</v>
      </c>
      <c r="B1042" t="s">
        <v>12418</v>
      </c>
      <c r="C1042" t="s">
        <v>10369</v>
      </c>
      <c r="D1042" t="s">
        <v>12401</v>
      </c>
      <c r="E1042" t="s">
        <v>13227</v>
      </c>
    </row>
    <row r="1043" spans="1:5">
      <c r="A1043" t="s">
        <v>5511</v>
      </c>
      <c r="B1043" t="s">
        <v>12508</v>
      </c>
      <c r="C1043" t="s">
        <v>12392</v>
      </c>
      <c r="D1043" t="s">
        <v>12437</v>
      </c>
      <c r="E1043" t="s">
        <v>13095</v>
      </c>
    </row>
    <row r="1044" spans="1:5">
      <c r="A1044" t="s">
        <v>5516</v>
      </c>
      <c r="B1044" t="s">
        <v>12470</v>
      </c>
      <c r="C1044" t="s">
        <v>12407</v>
      </c>
      <c r="D1044" t="s">
        <v>10388</v>
      </c>
      <c r="E1044" t="s">
        <v>12581</v>
      </c>
    </row>
    <row r="1045" spans="1:5">
      <c r="A1045" t="s">
        <v>5521</v>
      </c>
      <c r="B1045" t="s">
        <v>12424</v>
      </c>
      <c r="C1045" t="s">
        <v>12389</v>
      </c>
      <c r="D1045" t="s">
        <v>10388</v>
      </c>
      <c r="E1045" t="s">
        <v>12672</v>
      </c>
    </row>
    <row r="1046" spans="1:5">
      <c r="A1046" t="s">
        <v>5526</v>
      </c>
      <c r="B1046" t="s">
        <v>12403</v>
      </c>
      <c r="C1046" t="s">
        <v>12392</v>
      </c>
      <c r="D1046" t="s">
        <v>12381</v>
      </c>
      <c r="E1046" t="s">
        <v>12928</v>
      </c>
    </row>
    <row r="1047" spans="1:5">
      <c r="A1047" t="s">
        <v>5531</v>
      </c>
      <c r="B1047" t="s">
        <v>12377</v>
      </c>
      <c r="C1047" t="s">
        <v>12446</v>
      </c>
      <c r="D1047" t="s">
        <v>10388</v>
      </c>
      <c r="E1047" t="s">
        <v>12506</v>
      </c>
    </row>
    <row r="1048" spans="1:5">
      <c r="A1048" t="s">
        <v>5536</v>
      </c>
      <c r="B1048" t="s">
        <v>12406</v>
      </c>
      <c r="C1048" t="s">
        <v>12400</v>
      </c>
      <c r="D1048" t="s">
        <v>12467</v>
      </c>
      <c r="E1048" t="s">
        <v>13228</v>
      </c>
    </row>
    <row r="1049" spans="1:5">
      <c r="A1049" t="s">
        <v>5541</v>
      </c>
      <c r="B1049" t="s">
        <v>12424</v>
      </c>
      <c r="C1049" t="s">
        <v>12400</v>
      </c>
      <c r="D1049" t="s">
        <v>10376</v>
      </c>
      <c r="E1049" t="s">
        <v>12733</v>
      </c>
    </row>
    <row r="1050" spans="1:5">
      <c r="A1050" t="s">
        <v>5546</v>
      </c>
      <c r="B1050" t="s">
        <v>12411</v>
      </c>
      <c r="C1050" t="s">
        <v>12432</v>
      </c>
      <c r="D1050" t="s">
        <v>12401</v>
      </c>
      <c r="E1050" t="s">
        <v>13229</v>
      </c>
    </row>
    <row r="1051" spans="1:5">
      <c r="A1051" t="s">
        <v>5551</v>
      </c>
      <c r="B1051" t="s">
        <v>12508</v>
      </c>
      <c r="C1051" t="s">
        <v>12392</v>
      </c>
      <c r="D1051" t="s">
        <v>10376</v>
      </c>
      <c r="E1051" t="s">
        <v>13230</v>
      </c>
    </row>
    <row r="1052" spans="1:5">
      <c r="A1052" t="s">
        <v>5556</v>
      </c>
      <c r="B1052" t="s">
        <v>12403</v>
      </c>
      <c r="C1052" t="s">
        <v>10369</v>
      </c>
      <c r="D1052" t="s">
        <v>12401</v>
      </c>
      <c r="E1052" t="s">
        <v>13231</v>
      </c>
    </row>
    <row r="1053" spans="1:5">
      <c r="A1053" t="s">
        <v>5561</v>
      </c>
      <c r="B1053" t="s">
        <v>12483</v>
      </c>
      <c r="C1053" t="s">
        <v>12432</v>
      </c>
      <c r="D1053" t="s">
        <v>12416</v>
      </c>
      <c r="E1053" t="s">
        <v>13232</v>
      </c>
    </row>
    <row r="1054" spans="1:5">
      <c r="A1054" t="s">
        <v>5566</v>
      </c>
      <c r="B1054" t="s">
        <v>12450</v>
      </c>
      <c r="C1054" t="s">
        <v>12407</v>
      </c>
      <c r="D1054" t="s">
        <v>10388</v>
      </c>
      <c r="E1054" t="s">
        <v>13233</v>
      </c>
    </row>
    <row r="1055" spans="1:5">
      <c r="A1055" t="s">
        <v>5571</v>
      </c>
      <c r="B1055" t="s">
        <v>12396</v>
      </c>
      <c r="C1055" t="s">
        <v>12474</v>
      </c>
      <c r="D1055" t="s">
        <v>10388</v>
      </c>
      <c r="E1055" t="s">
        <v>12679</v>
      </c>
    </row>
    <row r="1056" spans="1:5">
      <c r="A1056" t="s">
        <v>5576</v>
      </c>
      <c r="B1056" t="s">
        <v>12406</v>
      </c>
      <c r="C1056" t="s">
        <v>12397</v>
      </c>
      <c r="D1056" t="s">
        <v>12413</v>
      </c>
      <c r="E1056" t="s">
        <v>13084</v>
      </c>
    </row>
    <row r="1057" spans="1:5">
      <c r="A1057" t="s">
        <v>5581</v>
      </c>
      <c r="B1057" t="s">
        <v>12450</v>
      </c>
      <c r="C1057" t="s">
        <v>12419</v>
      </c>
      <c r="D1057" t="s">
        <v>10402</v>
      </c>
      <c r="E1057" t="s">
        <v>13234</v>
      </c>
    </row>
    <row r="1058" spans="1:5">
      <c r="A1058" t="s">
        <v>5586</v>
      </c>
      <c r="B1058" t="s">
        <v>12421</v>
      </c>
      <c r="C1058" t="s">
        <v>12419</v>
      </c>
      <c r="D1058" t="s">
        <v>12381</v>
      </c>
      <c r="E1058" t="s">
        <v>13024</v>
      </c>
    </row>
    <row r="1059" spans="1:5">
      <c r="A1059" t="s">
        <v>5591</v>
      </c>
      <c r="B1059" t="s">
        <v>12525</v>
      </c>
      <c r="C1059" t="s">
        <v>12499</v>
      </c>
      <c r="D1059" t="s">
        <v>10388</v>
      </c>
      <c r="E1059" t="s">
        <v>13235</v>
      </c>
    </row>
    <row r="1060" spans="1:5">
      <c r="A1060" t="s">
        <v>5596</v>
      </c>
      <c r="B1060" t="s">
        <v>12439</v>
      </c>
      <c r="C1060" t="s">
        <v>12415</v>
      </c>
      <c r="D1060" t="s">
        <v>12401</v>
      </c>
      <c r="E1060" t="s">
        <v>13236</v>
      </c>
    </row>
    <row r="1061" spans="1:5">
      <c r="A1061" t="s">
        <v>5601</v>
      </c>
      <c r="B1061" t="s">
        <v>12430</v>
      </c>
      <c r="C1061" t="s">
        <v>12428</v>
      </c>
      <c r="D1061" t="s">
        <v>10388</v>
      </c>
      <c r="E1061" t="s">
        <v>13237</v>
      </c>
    </row>
    <row r="1062" spans="1:5">
      <c r="A1062" t="s">
        <v>5606</v>
      </c>
      <c r="B1062" t="s">
        <v>12377</v>
      </c>
      <c r="C1062" t="s">
        <v>12474</v>
      </c>
      <c r="D1062" t="s">
        <v>10388</v>
      </c>
      <c r="E1062" t="s">
        <v>13238</v>
      </c>
    </row>
    <row r="1063" spans="1:5">
      <c r="A1063" t="s">
        <v>5611</v>
      </c>
      <c r="B1063" t="s">
        <v>12565</v>
      </c>
      <c r="C1063" t="s">
        <v>12409</v>
      </c>
      <c r="D1063" t="s">
        <v>10388</v>
      </c>
      <c r="E1063" t="s">
        <v>13239</v>
      </c>
    </row>
    <row r="1064" spans="1:5">
      <c r="A1064" t="s">
        <v>5616</v>
      </c>
      <c r="B1064" t="s">
        <v>12399</v>
      </c>
      <c r="C1064" t="s">
        <v>12428</v>
      </c>
      <c r="D1064" t="s">
        <v>10388</v>
      </c>
      <c r="E1064" t="s">
        <v>13240</v>
      </c>
    </row>
    <row r="1065" spans="1:5">
      <c r="A1065" t="s">
        <v>5621</v>
      </c>
      <c r="B1065" t="s">
        <v>12436</v>
      </c>
      <c r="C1065" t="s">
        <v>10369</v>
      </c>
      <c r="D1065" t="s">
        <v>12437</v>
      </c>
      <c r="E1065" t="s">
        <v>13241</v>
      </c>
    </row>
    <row r="1066" spans="1:5">
      <c r="A1066" t="s">
        <v>5626</v>
      </c>
      <c r="B1066" t="s">
        <v>12453</v>
      </c>
      <c r="C1066" t="s">
        <v>12400</v>
      </c>
      <c r="D1066" t="s">
        <v>10376</v>
      </c>
      <c r="E1066" t="s">
        <v>12857</v>
      </c>
    </row>
    <row r="1067" spans="1:5">
      <c r="A1067" t="s">
        <v>5631</v>
      </c>
      <c r="B1067" t="s">
        <v>12421</v>
      </c>
      <c r="C1067" t="s">
        <v>12397</v>
      </c>
      <c r="D1067" t="s">
        <v>12413</v>
      </c>
      <c r="E1067" t="s">
        <v>13242</v>
      </c>
    </row>
    <row r="1068" spans="1:5">
      <c r="A1068" t="s">
        <v>5636</v>
      </c>
      <c r="B1068" t="s">
        <v>12391</v>
      </c>
      <c r="C1068" t="s">
        <v>12407</v>
      </c>
      <c r="D1068" t="s">
        <v>10388</v>
      </c>
      <c r="E1068" t="s">
        <v>13243</v>
      </c>
    </row>
    <row r="1069" spans="1:5">
      <c r="A1069" t="s">
        <v>5641</v>
      </c>
      <c r="B1069" t="s">
        <v>12439</v>
      </c>
      <c r="C1069" t="s">
        <v>12412</v>
      </c>
      <c r="D1069" t="s">
        <v>12456</v>
      </c>
      <c r="E1069" t="s">
        <v>13244</v>
      </c>
    </row>
    <row r="1070" spans="1:5">
      <c r="A1070" t="s">
        <v>5646</v>
      </c>
      <c r="B1070" t="s">
        <v>12430</v>
      </c>
      <c r="C1070" t="s">
        <v>12493</v>
      </c>
      <c r="D1070" t="s">
        <v>10388</v>
      </c>
      <c r="E1070" t="s">
        <v>12638</v>
      </c>
    </row>
    <row r="1071" spans="1:5">
      <c r="A1071" t="s">
        <v>5651</v>
      </c>
      <c r="B1071" t="s">
        <v>12436</v>
      </c>
      <c r="C1071" t="s">
        <v>12400</v>
      </c>
      <c r="D1071" t="s">
        <v>12467</v>
      </c>
      <c r="E1071" t="s">
        <v>13245</v>
      </c>
    </row>
    <row r="1072" spans="1:5">
      <c r="A1072" t="s">
        <v>5656</v>
      </c>
      <c r="B1072" t="s">
        <v>12406</v>
      </c>
      <c r="C1072" t="s">
        <v>12412</v>
      </c>
      <c r="D1072" t="s">
        <v>12467</v>
      </c>
      <c r="E1072" t="s">
        <v>13246</v>
      </c>
    </row>
    <row r="1073" spans="1:5">
      <c r="A1073" t="s">
        <v>5661</v>
      </c>
      <c r="B1073" t="s">
        <v>12434</v>
      </c>
      <c r="C1073" t="s">
        <v>12428</v>
      </c>
      <c r="D1073" t="s">
        <v>10388</v>
      </c>
      <c r="E1073" t="s">
        <v>12759</v>
      </c>
    </row>
    <row r="1074" spans="1:5">
      <c r="A1074" t="s">
        <v>5666</v>
      </c>
      <c r="B1074" t="s">
        <v>12442</v>
      </c>
      <c r="C1074" t="s">
        <v>12415</v>
      </c>
      <c r="D1074" t="s">
        <v>12456</v>
      </c>
      <c r="E1074" t="s">
        <v>13028</v>
      </c>
    </row>
    <row r="1075" spans="1:5">
      <c r="A1075" t="s">
        <v>5671</v>
      </c>
      <c r="B1075" t="s">
        <v>12565</v>
      </c>
      <c r="C1075" t="s">
        <v>12493</v>
      </c>
      <c r="D1075" t="s">
        <v>10388</v>
      </c>
      <c r="E1075" t="s">
        <v>13052</v>
      </c>
    </row>
    <row r="1076" spans="1:5">
      <c r="A1076" t="s">
        <v>5676</v>
      </c>
      <c r="B1076" t="s">
        <v>12459</v>
      </c>
      <c r="C1076" t="s">
        <v>10369</v>
      </c>
      <c r="D1076" t="s">
        <v>12456</v>
      </c>
      <c r="E1076" t="s">
        <v>13247</v>
      </c>
    </row>
    <row r="1077" spans="1:5">
      <c r="A1077" t="s">
        <v>5681</v>
      </c>
      <c r="B1077" t="s">
        <v>12430</v>
      </c>
      <c r="C1077" t="s">
        <v>12415</v>
      </c>
      <c r="D1077" t="s">
        <v>12413</v>
      </c>
      <c r="E1077" t="s">
        <v>13248</v>
      </c>
    </row>
    <row r="1078" spans="1:5">
      <c r="A1078" t="s">
        <v>5686</v>
      </c>
      <c r="B1078" t="s">
        <v>12418</v>
      </c>
      <c r="C1078" t="s">
        <v>12378</v>
      </c>
      <c r="D1078" t="s">
        <v>10388</v>
      </c>
      <c r="E1078" t="s">
        <v>13119</v>
      </c>
    </row>
    <row r="1079" spans="1:5">
      <c r="A1079" t="s">
        <v>5691</v>
      </c>
      <c r="B1079" t="s">
        <v>12406</v>
      </c>
      <c r="C1079" t="s">
        <v>12474</v>
      </c>
      <c r="D1079" t="s">
        <v>10388</v>
      </c>
      <c r="E1079" t="s">
        <v>13249</v>
      </c>
    </row>
    <row r="1080" spans="1:5">
      <c r="A1080" t="s">
        <v>5696</v>
      </c>
      <c r="B1080" t="s">
        <v>12459</v>
      </c>
      <c r="C1080" t="s">
        <v>12378</v>
      </c>
      <c r="D1080" t="s">
        <v>10388</v>
      </c>
      <c r="E1080" t="s">
        <v>12659</v>
      </c>
    </row>
    <row r="1081" spans="1:5">
      <c r="A1081" t="s">
        <v>5701</v>
      </c>
      <c r="B1081" t="s">
        <v>12436</v>
      </c>
      <c r="C1081" t="s">
        <v>12415</v>
      </c>
      <c r="D1081" t="s">
        <v>12467</v>
      </c>
      <c r="E1081" t="s">
        <v>13250</v>
      </c>
    </row>
    <row r="1082" spans="1:5">
      <c r="A1082" t="s">
        <v>5706</v>
      </c>
      <c r="B1082" t="s">
        <v>12459</v>
      </c>
      <c r="C1082" t="s">
        <v>12400</v>
      </c>
      <c r="D1082" t="s">
        <v>10402</v>
      </c>
      <c r="E1082" t="s">
        <v>12497</v>
      </c>
    </row>
    <row r="1083" spans="1:5">
      <c r="A1083" t="s">
        <v>5711</v>
      </c>
      <c r="B1083" t="s">
        <v>12377</v>
      </c>
      <c r="C1083" t="s">
        <v>12389</v>
      </c>
      <c r="D1083" t="s">
        <v>10388</v>
      </c>
      <c r="E1083" t="s">
        <v>13251</v>
      </c>
    </row>
    <row r="1084" spans="1:5">
      <c r="A1084" t="s">
        <v>5716</v>
      </c>
      <c r="B1084" t="s">
        <v>12470</v>
      </c>
      <c r="C1084" t="s">
        <v>12400</v>
      </c>
      <c r="D1084" t="s">
        <v>10402</v>
      </c>
      <c r="E1084" t="s">
        <v>13252</v>
      </c>
    </row>
    <row r="1085" spans="1:5">
      <c r="A1085" t="s">
        <v>5721</v>
      </c>
      <c r="B1085" t="s">
        <v>12477</v>
      </c>
      <c r="C1085" t="s">
        <v>12384</v>
      </c>
      <c r="D1085" t="s">
        <v>12456</v>
      </c>
      <c r="E1085" t="s">
        <v>12539</v>
      </c>
    </row>
    <row r="1086" spans="1:5">
      <c r="A1086" t="s">
        <v>5726</v>
      </c>
      <c r="B1086" t="s">
        <v>12563</v>
      </c>
      <c r="C1086" t="s">
        <v>12400</v>
      </c>
      <c r="D1086" t="s">
        <v>12401</v>
      </c>
      <c r="E1086" t="s">
        <v>13253</v>
      </c>
    </row>
    <row r="1087" spans="1:5">
      <c r="A1087" t="s">
        <v>5731</v>
      </c>
      <c r="B1087" t="s">
        <v>12436</v>
      </c>
      <c r="C1087" t="s">
        <v>12400</v>
      </c>
      <c r="D1087" t="s">
        <v>10376</v>
      </c>
      <c r="E1087" t="s">
        <v>13254</v>
      </c>
    </row>
    <row r="1088" spans="1:5">
      <c r="A1088" t="s">
        <v>5736</v>
      </c>
      <c r="B1088" t="s">
        <v>12552</v>
      </c>
      <c r="C1088" t="s">
        <v>12392</v>
      </c>
      <c r="D1088" t="s">
        <v>10381</v>
      </c>
      <c r="E1088" t="s">
        <v>13255</v>
      </c>
    </row>
    <row r="1089" spans="1:5">
      <c r="A1089" t="s">
        <v>5741</v>
      </c>
      <c r="B1089" t="s">
        <v>12396</v>
      </c>
      <c r="C1089" t="s">
        <v>10369</v>
      </c>
      <c r="D1089" t="s">
        <v>10402</v>
      </c>
      <c r="E1089" t="s">
        <v>13134</v>
      </c>
    </row>
    <row r="1090" spans="1:5">
      <c r="A1090" t="s">
        <v>5747</v>
      </c>
      <c r="B1090" t="s">
        <v>12508</v>
      </c>
      <c r="C1090" t="s">
        <v>12415</v>
      </c>
      <c r="D1090" t="s">
        <v>10376</v>
      </c>
      <c r="E1090" t="s">
        <v>13256</v>
      </c>
    </row>
    <row r="1091" spans="1:5">
      <c r="A1091" t="s">
        <v>5752</v>
      </c>
      <c r="B1091" t="s">
        <v>12430</v>
      </c>
      <c r="C1091" t="s">
        <v>12378</v>
      </c>
      <c r="D1091" t="s">
        <v>10388</v>
      </c>
      <c r="E1091" t="s">
        <v>13257</v>
      </c>
    </row>
    <row r="1092" spans="1:5">
      <c r="A1092" t="s">
        <v>5757</v>
      </c>
      <c r="B1092" t="s">
        <v>12450</v>
      </c>
      <c r="C1092" t="s">
        <v>10369</v>
      </c>
      <c r="D1092" t="s">
        <v>10381</v>
      </c>
      <c r="E1092" t="s">
        <v>13258</v>
      </c>
    </row>
    <row r="1093" spans="1:5">
      <c r="A1093" t="s">
        <v>5762</v>
      </c>
      <c r="B1093" t="s">
        <v>12436</v>
      </c>
      <c r="C1093" t="s">
        <v>12493</v>
      </c>
      <c r="D1093" t="s">
        <v>10388</v>
      </c>
      <c r="E1093" t="s">
        <v>13259</v>
      </c>
    </row>
    <row r="1094" spans="1:5">
      <c r="A1094" t="s">
        <v>5767</v>
      </c>
      <c r="B1094" t="s">
        <v>12421</v>
      </c>
      <c r="C1094" t="s">
        <v>10369</v>
      </c>
      <c r="D1094" t="s">
        <v>12401</v>
      </c>
      <c r="E1094" t="s">
        <v>13260</v>
      </c>
    </row>
    <row r="1095" spans="1:5">
      <c r="A1095" t="s">
        <v>5772</v>
      </c>
      <c r="B1095" t="s">
        <v>12406</v>
      </c>
      <c r="C1095" t="s">
        <v>12412</v>
      </c>
      <c r="D1095" t="s">
        <v>12401</v>
      </c>
      <c r="E1095" t="s">
        <v>12781</v>
      </c>
    </row>
    <row r="1096" spans="1:5">
      <c r="A1096" t="s">
        <v>5777</v>
      </c>
      <c r="B1096" t="s">
        <v>12563</v>
      </c>
      <c r="C1096" t="s">
        <v>12400</v>
      </c>
      <c r="D1096" t="s">
        <v>10376</v>
      </c>
      <c r="E1096" t="s">
        <v>13261</v>
      </c>
    </row>
    <row r="1097" spans="1:5">
      <c r="A1097" t="s">
        <v>5782</v>
      </c>
      <c r="B1097" t="s">
        <v>12411</v>
      </c>
      <c r="C1097" t="s">
        <v>12474</v>
      </c>
      <c r="D1097" t="s">
        <v>10388</v>
      </c>
      <c r="E1097" t="s">
        <v>12539</v>
      </c>
    </row>
    <row r="1098" spans="1:5">
      <c r="A1098" t="s">
        <v>5787</v>
      </c>
      <c r="B1098" t="s">
        <v>12391</v>
      </c>
      <c r="C1098" t="s">
        <v>12409</v>
      </c>
      <c r="D1098" t="s">
        <v>10388</v>
      </c>
      <c r="E1098" t="s">
        <v>13262</v>
      </c>
    </row>
    <row r="1099" spans="1:5">
      <c r="A1099" t="s">
        <v>5792</v>
      </c>
      <c r="B1099" t="s">
        <v>12498</v>
      </c>
      <c r="C1099" t="s">
        <v>12378</v>
      </c>
      <c r="D1099" t="s">
        <v>10388</v>
      </c>
      <c r="E1099" t="s">
        <v>12760</v>
      </c>
    </row>
    <row r="1100" spans="1:5">
      <c r="A1100" t="s">
        <v>5797</v>
      </c>
      <c r="B1100" t="s">
        <v>12525</v>
      </c>
      <c r="C1100" t="s">
        <v>12419</v>
      </c>
      <c r="D1100" t="s">
        <v>12456</v>
      </c>
      <c r="E1100" t="s">
        <v>13263</v>
      </c>
    </row>
    <row r="1101" spans="1:5">
      <c r="A1101" t="s">
        <v>5802</v>
      </c>
      <c r="B1101" t="s">
        <v>12552</v>
      </c>
      <c r="C1101" t="s">
        <v>12415</v>
      </c>
      <c r="D1101" t="s">
        <v>10381</v>
      </c>
      <c r="E1101" t="s">
        <v>13083</v>
      </c>
    </row>
    <row r="1102" spans="1:5">
      <c r="A1102" t="s">
        <v>5807</v>
      </c>
      <c r="B1102" t="s">
        <v>12565</v>
      </c>
      <c r="C1102" t="s">
        <v>12409</v>
      </c>
      <c r="D1102" t="s">
        <v>10388</v>
      </c>
      <c r="E1102" t="s">
        <v>13087</v>
      </c>
    </row>
    <row r="1103" spans="1:5">
      <c r="A1103" t="s">
        <v>5812</v>
      </c>
      <c r="B1103" t="s">
        <v>12403</v>
      </c>
      <c r="C1103" t="s">
        <v>12384</v>
      </c>
      <c r="D1103" t="s">
        <v>12381</v>
      </c>
      <c r="E1103" t="s">
        <v>13264</v>
      </c>
    </row>
    <row r="1104" spans="1:5">
      <c r="A1104" t="s">
        <v>5817</v>
      </c>
      <c r="B1104" t="s">
        <v>12391</v>
      </c>
      <c r="C1104" t="s">
        <v>12493</v>
      </c>
      <c r="D1104" t="s">
        <v>10388</v>
      </c>
      <c r="E1104" t="s">
        <v>13265</v>
      </c>
    </row>
    <row r="1105" spans="1:5">
      <c r="A1105" t="s">
        <v>5822</v>
      </c>
      <c r="B1105" t="s">
        <v>12377</v>
      </c>
      <c r="C1105" t="s">
        <v>12415</v>
      </c>
      <c r="D1105" t="s">
        <v>12413</v>
      </c>
      <c r="E1105" t="s">
        <v>13266</v>
      </c>
    </row>
    <row r="1106" spans="1:5">
      <c r="A1106" t="s">
        <v>5827</v>
      </c>
      <c r="B1106" t="s">
        <v>12421</v>
      </c>
      <c r="C1106" t="s">
        <v>12384</v>
      </c>
      <c r="D1106" t="s">
        <v>10376</v>
      </c>
      <c r="E1106" t="s">
        <v>13267</v>
      </c>
    </row>
    <row r="1107" spans="1:5">
      <c r="A1107" t="s">
        <v>5832</v>
      </c>
      <c r="B1107" t="s">
        <v>12508</v>
      </c>
      <c r="C1107" t="s">
        <v>12428</v>
      </c>
      <c r="D1107" t="s">
        <v>10388</v>
      </c>
      <c r="E1107" t="s">
        <v>12735</v>
      </c>
    </row>
    <row r="1108" spans="1:5">
      <c r="A1108" t="s">
        <v>5837</v>
      </c>
      <c r="B1108" t="s">
        <v>12565</v>
      </c>
      <c r="C1108" t="s">
        <v>12419</v>
      </c>
      <c r="D1108" t="s">
        <v>12413</v>
      </c>
      <c r="E1108" t="s">
        <v>12706</v>
      </c>
    </row>
    <row r="1109" spans="1:5">
      <c r="A1109" t="s">
        <v>5842</v>
      </c>
      <c r="B1109" t="s">
        <v>12394</v>
      </c>
      <c r="C1109" t="s">
        <v>12412</v>
      </c>
      <c r="D1109" t="s">
        <v>10402</v>
      </c>
      <c r="E1109" t="s">
        <v>13268</v>
      </c>
    </row>
    <row r="1110" spans="1:5">
      <c r="A1110" t="s">
        <v>5847</v>
      </c>
      <c r="B1110" t="s">
        <v>12430</v>
      </c>
      <c r="C1110" t="s">
        <v>12412</v>
      </c>
      <c r="D1110" t="s">
        <v>10402</v>
      </c>
      <c r="E1110" t="s">
        <v>12885</v>
      </c>
    </row>
    <row r="1111" spans="1:5">
      <c r="A1111" t="s">
        <v>5852</v>
      </c>
      <c r="B1111" t="s">
        <v>12552</v>
      </c>
      <c r="C1111" t="s">
        <v>12415</v>
      </c>
      <c r="D1111" t="s">
        <v>12456</v>
      </c>
      <c r="E1111" t="s">
        <v>13269</v>
      </c>
    </row>
    <row r="1112" spans="1:5">
      <c r="A1112" t="s">
        <v>5857</v>
      </c>
      <c r="B1112" t="s">
        <v>12394</v>
      </c>
      <c r="C1112" t="s">
        <v>12400</v>
      </c>
      <c r="D1112" t="s">
        <v>12456</v>
      </c>
      <c r="E1112" t="s">
        <v>13155</v>
      </c>
    </row>
    <row r="1113" spans="1:5">
      <c r="A1113" t="s">
        <v>5862</v>
      </c>
      <c r="B1113" t="s">
        <v>12391</v>
      </c>
      <c r="C1113" t="s">
        <v>12474</v>
      </c>
      <c r="D1113" t="s">
        <v>10388</v>
      </c>
      <c r="E1113" t="s">
        <v>12986</v>
      </c>
    </row>
    <row r="1114" spans="1:5">
      <c r="A1114" t="s">
        <v>5867</v>
      </c>
      <c r="B1114" t="s">
        <v>12525</v>
      </c>
      <c r="C1114" t="s">
        <v>12384</v>
      </c>
      <c r="D1114" t="s">
        <v>10376</v>
      </c>
      <c r="E1114" t="s">
        <v>12804</v>
      </c>
    </row>
    <row r="1115" spans="1:5">
      <c r="A1115" t="s">
        <v>5872</v>
      </c>
      <c r="B1115" t="s">
        <v>12403</v>
      </c>
      <c r="C1115" t="s">
        <v>12415</v>
      </c>
      <c r="D1115" t="s">
        <v>12467</v>
      </c>
      <c r="E1115" t="s">
        <v>12613</v>
      </c>
    </row>
    <row r="1116" spans="1:5">
      <c r="A1116" t="s">
        <v>5877</v>
      </c>
      <c r="B1116" t="s">
        <v>12455</v>
      </c>
      <c r="C1116" t="s">
        <v>12384</v>
      </c>
      <c r="D1116" t="s">
        <v>12437</v>
      </c>
      <c r="E1116" t="s">
        <v>12884</v>
      </c>
    </row>
    <row r="1117" spans="1:5">
      <c r="A1117" t="s">
        <v>5882</v>
      </c>
      <c r="B1117" t="s">
        <v>12391</v>
      </c>
      <c r="C1117" t="s">
        <v>12419</v>
      </c>
      <c r="D1117" t="s">
        <v>12416</v>
      </c>
      <c r="E1117" t="s">
        <v>13270</v>
      </c>
    </row>
    <row r="1118" spans="1:5">
      <c r="A1118" t="s">
        <v>5887</v>
      </c>
      <c r="B1118" t="s">
        <v>12406</v>
      </c>
      <c r="C1118" t="s">
        <v>12419</v>
      </c>
      <c r="D1118" t="s">
        <v>12416</v>
      </c>
      <c r="E1118" t="s">
        <v>12600</v>
      </c>
    </row>
    <row r="1119" spans="1:5">
      <c r="A1119" t="s">
        <v>5892</v>
      </c>
      <c r="B1119" t="s">
        <v>12503</v>
      </c>
      <c r="C1119" t="s">
        <v>12415</v>
      </c>
      <c r="D1119" t="s">
        <v>12416</v>
      </c>
      <c r="E1119" t="s">
        <v>13271</v>
      </c>
    </row>
    <row r="1120" spans="1:5">
      <c r="A1120" t="s">
        <v>5897</v>
      </c>
      <c r="B1120" t="s">
        <v>12473</v>
      </c>
      <c r="C1120" t="s">
        <v>12389</v>
      </c>
      <c r="D1120" t="s">
        <v>10388</v>
      </c>
      <c r="E1120" t="s">
        <v>12650</v>
      </c>
    </row>
    <row r="1121" spans="1:5">
      <c r="A1121" t="s">
        <v>5902</v>
      </c>
      <c r="B1121" t="s">
        <v>12450</v>
      </c>
      <c r="C1121" t="s">
        <v>12409</v>
      </c>
      <c r="D1121" t="s">
        <v>10388</v>
      </c>
      <c r="E1121" t="s">
        <v>13272</v>
      </c>
    </row>
    <row r="1122" spans="1:5">
      <c r="A1122" t="s">
        <v>5908</v>
      </c>
      <c r="B1122" t="s">
        <v>12430</v>
      </c>
      <c r="C1122" t="s">
        <v>12409</v>
      </c>
      <c r="D1122" t="s">
        <v>10388</v>
      </c>
      <c r="E1122" t="s">
        <v>12689</v>
      </c>
    </row>
    <row r="1123" spans="1:5">
      <c r="A1123" t="s">
        <v>5913</v>
      </c>
      <c r="B1123" t="s">
        <v>12430</v>
      </c>
      <c r="C1123" t="s">
        <v>12440</v>
      </c>
      <c r="D1123" t="s">
        <v>10388</v>
      </c>
      <c r="E1123" t="s">
        <v>12899</v>
      </c>
    </row>
    <row r="1124" spans="1:5">
      <c r="A1124" t="s">
        <v>5918</v>
      </c>
      <c r="B1124" t="s">
        <v>12380</v>
      </c>
      <c r="C1124" t="s">
        <v>12493</v>
      </c>
      <c r="D1124" t="s">
        <v>10388</v>
      </c>
      <c r="E1124" t="s">
        <v>13034</v>
      </c>
    </row>
    <row r="1125" spans="1:5">
      <c r="A1125" t="s">
        <v>5923</v>
      </c>
      <c r="B1125" t="s">
        <v>12436</v>
      </c>
      <c r="C1125" t="s">
        <v>12384</v>
      </c>
      <c r="D1125" t="s">
        <v>12401</v>
      </c>
      <c r="E1125" t="s">
        <v>13273</v>
      </c>
    </row>
    <row r="1126" spans="1:5">
      <c r="A1126" t="s">
        <v>5928</v>
      </c>
      <c r="B1126" t="s">
        <v>12396</v>
      </c>
      <c r="C1126" t="s">
        <v>12493</v>
      </c>
      <c r="D1126" t="s">
        <v>10388</v>
      </c>
      <c r="E1126" t="s">
        <v>13110</v>
      </c>
    </row>
    <row r="1127" spans="1:5">
      <c r="A1127" t="s">
        <v>5933</v>
      </c>
      <c r="B1127" t="s">
        <v>12434</v>
      </c>
      <c r="C1127" t="s">
        <v>12419</v>
      </c>
      <c r="D1127" t="s">
        <v>12413</v>
      </c>
      <c r="E1127" t="s">
        <v>13274</v>
      </c>
    </row>
    <row r="1128" spans="1:5">
      <c r="A1128" t="s">
        <v>5938</v>
      </c>
      <c r="B1128" t="s">
        <v>12483</v>
      </c>
      <c r="C1128" t="s">
        <v>12400</v>
      </c>
      <c r="D1128" t="s">
        <v>12413</v>
      </c>
      <c r="E1128" t="s">
        <v>13275</v>
      </c>
    </row>
    <row r="1129" spans="1:5">
      <c r="A1129" t="s">
        <v>5943</v>
      </c>
      <c r="B1129" t="s">
        <v>12442</v>
      </c>
      <c r="C1129" t="s">
        <v>12409</v>
      </c>
      <c r="D1129" t="s">
        <v>10388</v>
      </c>
      <c r="E1129" t="s">
        <v>13276</v>
      </c>
    </row>
    <row r="1130" spans="1:5">
      <c r="A1130" t="s">
        <v>5948</v>
      </c>
      <c r="B1130" t="s">
        <v>12461</v>
      </c>
      <c r="C1130" t="s">
        <v>12474</v>
      </c>
      <c r="D1130" t="s">
        <v>10388</v>
      </c>
      <c r="E1130" t="s">
        <v>13277</v>
      </c>
    </row>
    <row r="1131" spans="1:5">
      <c r="A1131" t="s">
        <v>5953</v>
      </c>
      <c r="B1131" t="s">
        <v>12439</v>
      </c>
      <c r="C1131" t="s">
        <v>12419</v>
      </c>
      <c r="D1131" t="s">
        <v>12467</v>
      </c>
      <c r="E1131" t="s">
        <v>13008</v>
      </c>
    </row>
    <row r="1132" spans="1:5">
      <c r="A1132" t="s">
        <v>5958</v>
      </c>
      <c r="B1132" t="s">
        <v>12377</v>
      </c>
      <c r="C1132" t="s">
        <v>12409</v>
      </c>
      <c r="D1132" t="s">
        <v>10388</v>
      </c>
      <c r="E1132" t="s">
        <v>13278</v>
      </c>
    </row>
    <row r="1133" spans="1:5">
      <c r="A1133" t="s">
        <v>5963</v>
      </c>
      <c r="B1133" t="s">
        <v>12450</v>
      </c>
      <c r="C1133" t="s">
        <v>12440</v>
      </c>
      <c r="D1133" t="s">
        <v>10388</v>
      </c>
      <c r="E1133" t="s">
        <v>13279</v>
      </c>
    </row>
    <row r="1134" spans="1:5">
      <c r="A1134" t="s">
        <v>5968</v>
      </c>
      <c r="B1134" t="s">
        <v>12565</v>
      </c>
      <c r="C1134" t="s">
        <v>12463</v>
      </c>
      <c r="D1134" t="s">
        <v>10376</v>
      </c>
      <c r="E1134" t="s">
        <v>13107</v>
      </c>
    </row>
    <row r="1135" spans="1:5">
      <c r="A1135" t="s">
        <v>5973</v>
      </c>
      <c r="B1135" t="s">
        <v>12503</v>
      </c>
      <c r="C1135" t="s">
        <v>12409</v>
      </c>
      <c r="D1135" t="s">
        <v>10388</v>
      </c>
      <c r="E1135" t="s">
        <v>13280</v>
      </c>
    </row>
    <row r="1136" spans="1:5">
      <c r="A1136" t="s">
        <v>5978</v>
      </c>
      <c r="B1136" t="s">
        <v>12491</v>
      </c>
      <c r="C1136" t="s">
        <v>12400</v>
      </c>
      <c r="D1136" t="s">
        <v>10381</v>
      </c>
      <c r="E1136" t="s">
        <v>13067</v>
      </c>
    </row>
    <row r="1137" spans="1:5">
      <c r="A1137" t="s">
        <v>5983</v>
      </c>
      <c r="B1137" t="s">
        <v>12394</v>
      </c>
      <c r="C1137" t="s">
        <v>10369</v>
      </c>
      <c r="D1137" t="s">
        <v>12437</v>
      </c>
      <c r="E1137" t="s">
        <v>12553</v>
      </c>
    </row>
    <row r="1138" spans="1:5">
      <c r="A1138" t="s">
        <v>5988</v>
      </c>
      <c r="B1138" t="s">
        <v>12563</v>
      </c>
      <c r="C1138" t="s">
        <v>12432</v>
      </c>
      <c r="D1138" t="s">
        <v>12456</v>
      </c>
      <c r="E1138" t="s">
        <v>13023</v>
      </c>
    </row>
    <row r="1139" spans="1:5">
      <c r="A1139" t="s">
        <v>5993</v>
      </c>
      <c r="B1139" t="s">
        <v>12394</v>
      </c>
      <c r="C1139" t="s">
        <v>10369</v>
      </c>
      <c r="D1139" t="s">
        <v>12456</v>
      </c>
      <c r="E1139" t="s">
        <v>13281</v>
      </c>
    </row>
    <row r="1140" spans="1:5">
      <c r="A1140" t="s">
        <v>5998</v>
      </c>
      <c r="B1140" t="s">
        <v>12388</v>
      </c>
      <c r="C1140" t="s">
        <v>12397</v>
      </c>
      <c r="D1140" t="s">
        <v>10402</v>
      </c>
      <c r="E1140" t="s">
        <v>13282</v>
      </c>
    </row>
    <row r="1141" spans="1:5">
      <c r="A1141" t="s">
        <v>6003</v>
      </c>
      <c r="B1141" t="s">
        <v>12552</v>
      </c>
      <c r="C1141" t="s">
        <v>12389</v>
      </c>
      <c r="D1141" t="s">
        <v>10388</v>
      </c>
      <c r="E1141" t="s">
        <v>12776</v>
      </c>
    </row>
    <row r="1142" spans="1:5">
      <c r="A1142" t="s">
        <v>6008</v>
      </c>
      <c r="B1142" t="s">
        <v>12430</v>
      </c>
      <c r="C1142" t="s">
        <v>12389</v>
      </c>
      <c r="D1142" t="s">
        <v>10388</v>
      </c>
      <c r="E1142" t="s">
        <v>12476</v>
      </c>
    </row>
    <row r="1143" spans="1:5">
      <c r="A1143" t="s">
        <v>6013</v>
      </c>
      <c r="B1143" t="s">
        <v>12377</v>
      </c>
      <c r="C1143" t="s">
        <v>12463</v>
      </c>
      <c r="D1143" t="s">
        <v>12413</v>
      </c>
      <c r="E1143" t="s">
        <v>13283</v>
      </c>
    </row>
    <row r="1144" spans="1:5">
      <c r="A1144" t="s">
        <v>6018</v>
      </c>
      <c r="B1144" t="s">
        <v>12470</v>
      </c>
      <c r="C1144" t="s">
        <v>12397</v>
      </c>
      <c r="D1144" t="s">
        <v>10381</v>
      </c>
      <c r="E1144" t="s">
        <v>13284</v>
      </c>
    </row>
    <row r="1145" spans="1:5">
      <c r="A1145" t="s">
        <v>6023</v>
      </c>
      <c r="B1145" t="s">
        <v>12396</v>
      </c>
      <c r="C1145" t="s">
        <v>12419</v>
      </c>
      <c r="D1145" t="s">
        <v>12401</v>
      </c>
      <c r="E1145" t="s">
        <v>13285</v>
      </c>
    </row>
    <row r="1146" spans="1:5">
      <c r="A1146" t="s">
        <v>6029</v>
      </c>
      <c r="B1146" t="s">
        <v>12421</v>
      </c>
      <c r="C1146" t="s">
        <v>12407</v>
      </c>
      <c r="D1146" t="s">
        <v>10388</v>
      </c>
      <c r="E1146" t="s">
        <v>13286</v>
      </c>
    </row>
    <row r="1147" spans="1:5">
      <c r="A1147" t="s">
        <v>6034</v>
      </c>
      <c r="B1147" t="s">
        <v>12525</v>
      </c>
      <c r="C1147" t="s">
        <v>12407</v>
      </c>
      <c r="D1147" t="s">
        <v>10388</v>
      </c>
      <c r="E1147" t="s">
        <v>12536</v>
      </c>
    </row>
    <row r="1148" spans="1:5">
      <c r="A1148" t="s">
        <v>6039</v>
      </c>
      <c r="B1148" t="s">
        <v>12377</v>
      </c>
      <c r="C1148" t="s">
        <v>12499</v>
      </c>
      <c r="D1148" t="s">
        <v>10388</v>
      </c>
      <c r="E1148" t="s">
        <v>13287</v>
      </c>
    </row>
    <row r="1149" spans="1:5">
      <c r="A1149" t="s">
        <v>6045</v>
      </c>
      <c r="B1149" t="s">
        <v>12439</v>
      </c>
      <c r="C1149" t="s">
        <v>12412</v>
      </c>
      <c r="D1149" t="s">
        <v>10402</v>
      </c>
      <c r="E1149" t="s">
        <v>13288</v>
      </c>
    </row>
    <row r="1150" spans="1:5">
      <c r="A1150" t="s">
        <v>6050</v>
      </c>
      <c r="B1150" t="s">
        <v>12391</v>
      </c>
      <c r="C1150" t="s">
        <v>12412</v>
      </c>
      <c r="D1150" t="s">
        <v>12401</v>
      </c>
      <c r="E1150" t="s">
        <v>13289</v>
      </c>
    </row>
    <row r="1151" spans="1:5">
      <c r="A1151" t="s">
        <v>6055</v>
      </c>
      <c r="B1151" t="s">
        <v>12473</v>
      </c>
      <c r="C1151" t="s">
        <v>12493</v>
      </c>
      <c r="D1151" t="s">
        <v>10388</v>
      </c>
      <c r="E1151" t="s">
        <v>13290</v>
      </c>
    </row>
    <row r="1152" spans="1:5">
      <c r="A1152" t="s">
        <v>6060</v>
      </c>
      <c r="B1152" t="s">
        <v>12442</v>
      </c>
      <c r="C1152" t="s">
        <v>12499</v>
      </c>
      <c r="D1152" t="s">
        <v>10388</v>
      </c>
      <c r="E1152" t="s">
        <v>13291</v>
      </c>
    </row>
    <row r="1153" spans="1:5">
      <c r="A1153" t="s">
        <v>6065</v>
      </c>
      <c r="B1153" t="s">
        <v>12396</v>
      </c>
      <c r="C1153" t="s">
        <v>12440</v>
      </c>
      <c r="D1153" t="s">
        <v>10388</v>
      </c>
      <c r="E1153" t="s">
        <v>12869</v>
      </c>
    </row>
    <row r="1154" spans="1:5">
      <c r="A1154" t="s">
        <v>6070</v>
      </c>
      <c r="B1154" t="s">
        <v>12445</v>
      </c>
      <c r="C1154" t="s">
        <v>10369</v>
      </c>
      <c r="D1154" t="s">
        <v>12401</v>
      </c>
      <c r="E1154" t="s">
        <v>13040</v>
      </c>
    </row>
    <row r="1155" spans="1:5">
      <c r="A1155" t="s">
        <v>6075</v>
      </c>
      <c r="B1155" t="s">
        <v>12565</v>
      </c>
      <c r="C1155" t="s">
        <v>12407</v>
      </c>
      <c r="D1155" t="s">
        <v>10388</v>
      </c>
      <c r="E1155" t="s">
        <v>13170</v>
      </c>
    </row>
    <row r="1156" spans="1:5">
      <c r="A1156" t="s">
        <v>6080</v>
      </c>
      <c r="B1156" t="s">
        <v>12477</v>
      </c>
      <c r="C1156" t="s">
        <v>12432</v>
      </c>
      <c r="D1156" t="s">
        <v>12416</v>
      </c>
      <c r="E1156" t="s">
        <v>12698</v>
      </c>
    </row>
    <row r="1157" spans="1:5">
      <c r="A1157" t="s">
        <v>6085</v>
      </c>
      <c r="B1157" t="s">
        <v>12436</v>
      </c>
      <c r="C1157" t="s">
        <v>12378</v>
      </c>
      <c r="D1157" t="s">
        <v>10388</v>
      </c>
      <c r="E1157" t="s">
        <v>13292</v>
      </c>
    </row>
    <row r="1158" spans="1:5">
      <c r="A1158" t="s">
        <v>6090</v>
      </c>
      <c r="B1158" t="s">
        <v>12498</v>
      </c>
      <c r="C1158" t="s">
        <v>12463</v>
      </c>
      <c r="D1158" t="s">
        <v>10376</v>
      </c>
      <c r="E1158" t="s">
        <v>13293</v>
      </c>
    </row>
    <row r="1159" spans="1:5">
      <c r="A1159" t="s">
        <v>6095</v>
      </c>
      <c r="B1159" t="s">
        <v>12391</v>
      </c>
      <c r="C1159" t="s">
        <v>12432</v>
      </c>
      <c r="D1159" t="s">
        <v>12467</v>
      </c>
      <c r="E1159" t="s">
        <v>12985</v>
      </c>
    </row>
    <row r="1160" spans="1:5">
      <c r="A1160" t="s">
        <v>6100</v>
      </c>
      <c r="B1160" t="s">
        <v>12473</v>
      </c>
      <c r="C1160" t="s">
        <v>12440</v>
      </c>
      <c r="D1160" t="s">
        <v>10388</v>
      </c>
      <c r="E1160" t="s">
        <v>13061</v>
      </c>
    </row>
    <row r="1161" spans="1:5">
      <c r="A1161" t="s">
        <v>6105</v>
      </c>
      <c r="B1161" t="s">
        <v>12383</v>
      </c>
      <c r="C1161" t="s">
        <v>12397</v>
      </c>
      <c r="D1161" t="s">
        <v>12381</v>
      </c>
      <c r="E1161" t="s">
        <v>12882</v>
      </c>
    </row>
    <row r="1162" spans="1:5">
      <c r="A1162" t="s">
        <v>6110</v>
      </c>
      <c r="B1162" t="s">
        <v>12439</v>
      </c>
      <c r="C1162" t="s">
        <v>12397</v>
      </c>
      <c r="D1162" t="s">
        <v>10376</v>
      </c>
      <c r="E1162" t="s">
        <v>13294</v>
      </c>
    </row>
    <row r="1163" spans="1:5">
      <c r="A1163" t="s">
        <v>6115</v>
      </c>
      <c r="B1163" t="s">
        <v>12470</v>
      </c>
      <c r="C1163" t="s">
        <v>12493</v>
      </c>
      <c r="D1163" t="s">
        <v>10388</v>
      </c>
      <c r="E1163" t="s">
        <v>13202</v>
      </c>
    </row>
    <row r="1164" spans="1:5">
      <c r="A1164" t="s">
        <v>6120</v>
      </c>
      <c r="B1164" t="s">
        <v>12383</v>
      </c>
      <c r="C1164" t="s">
        <v>12440</v>
      </c>
      <c r="D1164" t="s">
        <v>10388</v>
      </c>
      <c r="E1164" t="s">
        <v>12661</v>
      </c>
    </row>
    <row r="1165" spans="1:5">
      <c r="A1165" t="s">
        <v>6125</v>
      </c>
      <c r="B1165" t="s">
        <v>12434</v>
      </c>
      <c r="C1165" t="s">
        <v>12440</v>
      </c>
      <c r="D1165" t="s">
        <v>10388</v>
      </c>
      <c r="E1165" t="s">
        <v>13295</v>
      </c>
    </row>
    <row r="1166" spans="1:5">
      <c r="A1166" t="s">
        <v>6130</v>
      </c>
      <c r="B1166" t="s">
        <v>12453</v>
      </c>
      <c r="C1166" t="s">
        <v>12389</v>
      </c>
      <c r="D1166" t="s">
        <v>10388</v>
      </c>
      <c r="E1166" t="s">
        <v>12828</v>
      </c>
    </row>
    <row r="1167" spans="1:5">
      <c r="A1167" t="s">
        <v>6136</v>
      </c>
      <c r="B1167" t="s">
        <v>12525</v>
      </c>
      <c r="C1167" t="s">
        <v>12378</v>
      </c>
      <c r="D1167" t="s">
        <v>10388</v>
      </c>
      <c r="E1167" t="s">
        <v>13296</v>
      </c>
    </row>
    <row r="1168" spans="1:5">
      <c r="A1168" t="s">
        <v>6141</v>
      </c>
      <c r="B1168" t="s">
        <v>12453</v>
      </c>
      <c r="C1168" t="s">
        <v>12493</v>
      </c>
      <c r="D1168" t="s">
        <v>10388</v>
      </c>
      <c r="E1168" t="s">
        <v>13297</v>
      </c>
    </row>
    <row r="1169" spans="1:5">
      <c r="A1169" t="s">
        <v>6146</v>
      </c>
      <c r="B1169" t="s">
        <v>12455</v>
      </c>
      <c r="C1169" t="s">
        <v>12409</v>
      </c>
      <c r="D1169" t="s">
        <v>10388</v>
      </c>
      <c r="E1169" t="s">
        <v>12447</v>
      </c>
    </row>
    <row r="1170" spans="1:5">
      <c r="A1170" t="s">
        <v>6151</v>
      </c>
      <c r="B1170" t="s">
        <v>12512</v>
      </c>
      <c r="C1170" t="s">
        <v>12440</v>
      </c>
      <c r="D1170" t="s">
        <v>10388</v>
      </c>
      <c r="E1170" t="s">
        <v>13298</v>
      </c>
    </row>
    <row r="1171" spans="1:5">
      <c r="A1171" t="s">
        <v>6156</v>
      </c>
      <c r="B1171" t="s">
        <v>12421</v>
      </c>
      <c r="C1171" t="s">
        <v>12428</v>
      </c>
      <c r="D1171" t="s">
        <v>10388</v>
      </c>
      <c r="E1171" t="s">
        <v>13299</v>
      </c>
    </row>
    <row r="1172" spans="1:5">
      <c r="A1172" t="s">
        <v>6161</v>
      </c>
      <c r="B1172" t="s">
        <v>12399</v>
      </c>
      <c r="C1172" t="s">
        <v>12378</v>
      </c>
      <c r="D1172" t="s">
        <v>10388</v>
      </c>
      <c r="E1172" t="s">
        <v>13115</v>
      </c>
    </row>
    <row r="1173" spans="1:5">
      <c r="A1173" t="s">
        <v>6166</v>
      </c>
      <c r="B1173" t="s">
        <v>12399</v>
      </c>
      <c r="C1173" t="s">
        <v>12415</v>
      </c>
      <c r="D1173" t="s">
        <v>12381</v>
      </c>
      <c r="E1173" t="s">
        <v>13043</v>
      </c>
    </row>
    <row r="1174" spans="1:5">
      <c r="A1174" t="s">
        <v>6171</v>
      </c>
      <c r="B1174" t="s">
        <v>12525</v>
      </c>
      <c r="C1174" t="s">
        <v>12428</v>
      </c>
      <c r="D1174" t="s">
        <v>10388</v>
      </c>
      <c r="E1174" t="s">
        <v>12964</v>
      </c>
    </row>
    <row r="1175" spans="1:5">
      <c r="A1175" t="s">
        <v>6176</v>
      </c>
      <c r="B1175" t="s">
        <v>12426</v>
      </c>
      <c r="C1175" t="s">
        <v>12397</v>
      </c>
      <c r="D1175" t="s">
        <v>12381</v>
      </c>
      <c r="E1175" t="s">
        <v>13101</v>
      </c>
    </row>
    <row r="1176" spans="1:5">
      <c r="A1176" t="s">
        <v>6182</v>
      </c>
      <c r="B1176" t="s">
        <v>12498</v>
      </c>
      <c r="C1176" t="s">
        <v>12463</v>
      </c>
      <c r="D1176" t="s">
        <v>12467</v>
      </c>
      <c r="E1176" t="s">
        <v>13300</v>
      </c>
    </row>
    <row r="1177" spans="1:5">
      <c r="A1177" t="s">
        <v>6187</v>
      </c>
      <c r="B1177" t="s">
        <v>12399</v>
      </c>
      <c r="C1177" t="s">
        <v>12407</v>
      </c>
      <c r="D1177" t="s">
        <v>10388</v>
      </c>
      <c r="E1177" t="s">
        <v>12852</v>
      </c>
    </row>
    <row r="1178" spans="1:5">
      <c r="A1178" t="s">
        <v>6192</v>
      </c>
      <c r="B1178" t="s">
        <v>12470</v>
      </c>
      <c r="C1178" t="s">
        <v>12389</v>
      </c>
      <c r="D1178" t="s">
        <v>10388</v>
      </c>
      <c r="E1178" t="s">
        <v>12996</v>
      </c>
    </row>
    <row r="1179" spans="1:5">
      <c r="A1179" t="s">
        <v>6197</v>
      </c>
      <c r="B1179" t="s">
        <v>12525</v>
      </c>
      <c r="C1179" t="s">
        <v>12415</v>
      </c>
      <c r="D1179" t="s">
        <v>12437</v>
      </c>
      <c r="E1179" t="s">
        <v>13301</v>
      </c>
    </row>
    <row r="1180" spans="1:5">
      <c r="A1180" t="s">
        <v>6203</v>
      </c>
      <c r="B1180" t="s">
        <v>12470</v>
      </c>
      <c r="C1180" t="s">
        <v>12397</v>
      </c>
      <c r="D1180" t="s">
        <v>12413</v>
      </c>
      <c r="E1180" t="s">
        <v>13302</v>
      </c>
    </row>
    <row r="1181" spans="1:5">
      <c r="A1181" t="s">
        <v>6208</v>
      </c>
      <c r="B1181" t="s">
        <v>12563</v>
      </c>
      <c r="C1181" t="s">
        <v>12409</v>
      </c>
      <c r="D1181" t="s">
        <v>10388</v>
      </c>
      <c r="E1181" t="s">
        <v>12848</v>
      </c>
    </row>
    <row r="1182" spans="1:5">
      <c r="A1182" t="s">
        <v>6213</v>
      </c>
      <c r="B1182" t="s">
        <v>12380</v>
      </c>
      <c r="C1182" t="s">
        <v>12474</v>
      </c>
      <c r="D1182" t="s">
        <v>10388</v>
      </c>
      <c r="E1182" t="s">
        <v>13303</v>
      </c>
    </row>
    <row r="1183" spans="1:5">
      <c r="A1183" t="s">
        <v>6218</v>
      </c>
      <c r="B1183" t="s">
        <v>12388</v>
      </c>
      <c r="C1183" t="s">
        <v>12378</v>
      </c>
      <c r="D1183" t="s">
        <v>10388</v>
      </c>
      <c r="E1183" t="s">
        <v>13304</v>
      </c>
    </row>
    <row r="1184" spans="1:5">
      <c r="A1184" t="s">
        <v>6223</v>
      </c>
      <c r="B1184" t="s">
        <v>12386</v>
      </c>
      <c r="C1184" t="s">
        <v>12409</v>
      </c>
      <c r="D1184" t="s">
        <v>10388</v>
      </c>
      <c r="E1184" t="s">
        <v>13305</v>
      </c>
    </row>
    <row r="1185" spans="1:5">
      <c r="A1185" t="s">
        <v>6228</v>
      </c>
      <c r="B1185" t="s">
        <v>12473</v>
      </c>
      <c r="C1185" t="s">
        <v>12400</v>
      </c>
      <c r="D1185" t="s">
        <v>12456</v>
      </c>
      <c r="E1185" t="s">
        <v>12387</v>
      </c>
    </row>
    <row r="1186" spans="1:5">
      <c r="A1186" t="s">
        <v>6233</v>
      </c>
      <c r="B1186" t="s">
        <v>12391</v>
      </c>
      <c r="C1186" t="s">
        <v>12415</v>
      </c>
      <c r="D1186" t="s">
        <v>12381</v>
      </c>
      <c r="E1186" t="s">
        <v>12779</v>
      </c>
    </row>
    <row r="1187" spans="1:5">
      <c r="A1187" t="s">
        <v>6238</v>
      </c>
      <c r="B1187" t="s">
        <v>12563</v>
      </c>
      <c r="C1187" t="s">
        <v>10369</v>
      </c>
      <c r="D1187" t="s">
        <v>12413</v>
      </c>
      <c r="E1187" t="s">
        <v>13306</v>
      </c>
    </row>
    <row r="1188" spans="1:5">
      <c r="A1188" t="s">
        <v>6243</v>
      </c>
      <c r="B1188" t="s">
        <v>12377</v>
      </c>
      <c r="C1188" t="s">
        <v>12446</v>
      </c>
      <c r="D1188" t="s">
        <v>10388</v>
      </c>
      <c r="E1188" t="s">
        <v>13307</v>
      </c>
    </row>
    <row r="1189" spans="1:5">
      <c r="A1189" t="s">
        <v>6248</v>
      </c>
      <c r="B1189" t="s">
        <v>12473</v>
      </c>
      <c r="C1189" t="s">
        <v>12389</v>
      </c>
      <c r="D1189" t="s">
        <v>10388</v>
      </c>
      <c r="E1189" t="s">
        <v>13308</v>
      </c>
    </row>
    <row r="1190" spans="1:5">
      <c r="A1190" t="s">
        <v>6253</v>
      </c>
      <c r="B1190" t="s">
        <v>12473</v>
      </c>
      <c r="C1190" t="s">
        <v>12474</v>
      </c>
      <c r="D1190" t="s">
        <v>10388</v>
      </c>
      <c r="E1190" t="s">
        <v>12958</v>
      </c>
    </row>
    <row r="1191" spans="1:5">
      <c r="A1191" t="s">
        <v>6258</v>
      </c>
      <c r="B1191" t="s">
        <v>12453</v>
      </c>
      <c r="C1191" t="s">
        <v>12384</v>
      </c>
      <c r="D1191" t="s">
        <v>12467</v>
      </c>
      <c r="E1191" t="s">
        <v>13309</v>
      </c>
    </row>
    <row r="1192" spans="1:5">
      <c r="A1192" t="s">
        <v>6263</v>
      </c>
      <c r="B1192" t="s">
        <v>12430</v>
      </c>
      <c r="C1192" t="s">
        <v>12378</v>
      </c>
      <c r="D1192" t="s">
        <v>10388</v>
      </c>
      <c r="E1192" t="s">
        <v>12632</v>
      </c>
    </row>
    <row r="1193" spans="1:5">
      <c r="A1193" t="s">
        <v>6269</v>
      </c>
      <c r="B1193" t="s">
        <v>12450</v>
      </c>
      <c r="C1193" t="s">
        <v>12409</v>
      </c>
      <c r="D1193" t="s">
        <v>10388</v>
      </c>
      <c r="E1193" t="s">
        <v>12519</v>
      </c>
    </row>
    <row r="1194" spans="1:5">
      <c r="A1194" t="s">
        <v>6274</v>
      </c>
      <c r="B1194" t="s">
        <v>12434</v>
      </c>
      <c r="C1194" t="s">
        <v>12412</v>
      </c>
      <c r="D1194" t="s">
        <v>12381</v>
      </c>
      <c r="E1194" t="s">
        <v>13310</v>
      </c>
    </row>
    <row r="1195" spans="1:5">
      <c r="A1195" t="s">
        <v>6279</v>
      </c>
      <c r="B1195" t="s">
        <v>12436</v>
      </c>
      <c r="C1195" t="s">
        <v>12474</v>
      </c>
      <c r="D1195" t="s">
        <v>10388</v>
      </c>
      <c r="E1195" t="s">
        <v>13311</v>
      </c>
    </row>
    <row r="1196" spans="1:5">
      <c r="A1196" t="s">
        <v>6284</v>
      </c>
      <c r="B1196" t="s">
        <v>12552</v>
      </c>
      <c r="C1196" t="s">
        <v>12474</v>
      </c>
      <c r="D1196" t="s">
        <v>10388</v>
      </c>
      <c r="E1196" t="s">
        <v>13312</v>
      </c>
    </row>
    <row r="1197" spans="1:5">
      <c r="A1197" t="s">
        <v>6289</v>
      </c>
      <c r="B1197" t="s">
        <v>12563</v>
      </c>
      <c r="C1197" t="s">
        <v>12397</v>
      </c>
      <c r="D1197" t="s">
        <v>10402</v>
      </c>
      <c r="E1197" t="s">
        <v>13313</v>
      </c>
    </row>
    <row r="1198" spans="1:5">
      <c r="A1198" t="s">
        <v>6294</v>
      </c>
      <c r="B1198" t="s">
        <v>12388</v>
      </c>
      <c r="C1198" t="s">
        <v>12400</v>
      </c>
      <c r="D1198" t="s">
        <v>12401</v>
      </c>
      <c r="E1198" t="s">
        <v>13314</v>
      </c>
    </row>
    <row r="1199" spans="1:5">
      <c r="A1199" t="s">
        <v>6299</v>
      </c>
      <c r="B1199" t="s">
        <v>12450</v>
      </c>
      <c r="C1199" t="s">
        <v>12428</v>
      </c>
      <c r="D1199" t="s">
        <v>10388</v>
      </c>
      <c r="E1199" t="s">
        <v>13315</v>
      </c>
    </row>
    <row r="1200" spans="1:5">
      <c r="A1200" t="s">
        <v>6304</v>
      </c>
      <c r="B1200" t="s">
        <v>12406</v>
      </c>
      <c r="C1200" t="s">
        <v>12397</v>
      </c>
      <c r="D1200" t="s">
        <v>12467</v>
      </c>
      <c r="E1200" t="s">
        <v>13316</v>
      </c>
    </row>
    <row r="1201" spans="1:5">
      <c r="A1201" t="s">
        <v>6309</v>
      </c>
      <c r="B1201" t="s">
        <v>12477</v>
      </c>
      <c r="C1201" t="s">
        <v>12378</v>
      </c>
      <c r="D1201" t="s">
        <v>10388</v>
      </c>
      <c r="E1201" t="s">
        <v>13317</v>
      </c>
    </row>
    <row r="1202" spans="1:5">
      <c r="A1202" t="s">
        <v>6314</v>
      </c>
      <c r="B1202" t="s">
        <v>12380</v>
      </c>
      <c r="C1202" t="s">
        <v>12428</v>
      </c>
      <c r="D1202" t="s">
        <v>10388</v>
      </c>
      <c r="E1202" t="s">
        <v>13318</v>
      </c>
    </row>
    <row r="1203" spans="1:5">
      <c r="A1203" t="s">
        <v>6319</v>
      </c>
      <c r="B1203" t="s">
        <v>12411</v>
      </c>
      <c r="C1203" t="s">
        <v>12440</v>
      </c>
      <c r="D1203" t="s">
        <v>10388</v>
      </c>
      <c r="E1203" t="s">
        <v>13319</v>
      </c>
    </row>
    <row r="1204" spans="1:5">
      <c r="A1204" t="s">
        <v>6324</v>
      </c>
      <c r="B1204" t="s">
        <v>12388</v>
      </c>
      <c r="C1204" t="s">
        <v>12392</v>
      </c>
      <c r="D1204" t="s">
        <v>10402</v>
      </c>
      <c r="E1204" t="s">
        <v>13320</v>
      </c>
    </row>
    <row r="1205" spans="1:5">
      <c r="A1205" t="s">
        <v>6329</v>
      </c>
      <c r="B1205" t="s">
        <v>12508</v>
      </c>
      <c r="C1205" t="s">
        <v>12446</v>
      </c>
      <c r="D1205" t="s">
        <v>10388</v>
      </c>
      <c r="E1205" t="s">
        <v>13094</v>
      </c>
    </row>
    <row r="1206" spans="1:5">
      <c r="A1206" t="s">
        <v>6334</v>
      </c>
      <c r="B1206" t="s">
        <v>12565</v>
      </c>
      <c r="C1206" t="s">
        <v>12419</v>
      </c>
      <c r="D1206" t="s">
        <v>12401</v>
      </c>
      <c r="E1206" t="s">
        <v>12734</v>
      </c>
    </row>
    <row r="1207" spans="1:5">
      <c r="A1207" t="s">
        <v>6339</v>
      </c>
      <c r="B1207" t="s">
        <v>12418</v>
      </c>
      <c r="C1207" t="s">
        <v>12378</v>
      </c>
      <c r="D1207" t="s">
        <v>10388</v>
      </c>
      <c r="E1207" t="s">
        <v>13087</v>
      </c>
    </row>
    <row r="1208" spans="1:5">
      <c r="A1208" t="s">
        <v>6344</v>
      </c>
      <c r="B1208" t="s">
        <v>12418</v>
      </c>
      <c r="C1208" t="s">
        <v>12407</v>
      </c>
      <c r="D1208" t="s">
        <v>10388</v>
      </c>
      <c r="E1208" t="s">
        <v>12822</v>
      </c>
    </row>
    <row r="1209" spans="1:5">
      <c r="A1209" t="s">
        <v>6349</v>
      </c>
      <c r="B1209" t="s">
        <v>12386</v>
      </c>
      <c r="C1209" t="s">
        <v>10369</v>
      </c>
      <c r="D1209" t="s">
        <v>12437</v>
      </c>
      <c r="E1209" t="s">
        <v>13321</v>
      </c>
    </row>
    <row r="1210" spans="1:5">
      <c r="A1210" t="s">
        <v>6355</v>
      </c>
      <c r="B1210" t="s">
        <v>12411</v>
      </c>
      <c r="C1210" t="s">
        <v>12389</v>
      </c>
      <c r="D1210" t="s">
        <v>10388</v>
      </c>
      <c r="E1210" t="s">
        <v>13322</v>
      </c>
    </row>
    <row r="1211" spans="1:5">
      <c r="A1211" t="s">
        <v>6360</v>
      </c>
      <c r="B1211" t="s">
        <v>12459</v>
      </c>
      <c r="C1211" t="s">
        <v>10369</v>
      </c>
      <c r="D1211" t="s">
        <v>12401</v>
      </c>
      <c r="E1211" t="s">
        <v>13323</v>
      </c>
    </row>
    <row r="1212" spans="1:5">
      <c r="A1212" t="s">
        <v>6365</v>
      </c>
      <c r="B1212" t="s">
        <v>12491</v>
      </c>
      <c r="C1212" t="s">
        <v>12440</v>
      </c>
      <c r="D1212" t="s">
        <v>10388</v>
      </c>
      <c r="E1212" t="s">
        <v>13324</v>
      </c>
    </row>
    <row r="1213" spans="1:5">
      <c r="A1213" t="s">
        <v>6370</v>
      </c>
      <c r="B1213" t="s">
        <v>12406</v>
      </c>
      <c r="C1213" t="s">
        <v>12440</v>
      </c>
      <c r="D1213" t="s">
        <v>10388</v>
      </c>
      <c r="E1213" t="s">
        <v>13008</v>
      </c>
    </row>
    <row r="1214" spans="1:5">
      <c r="A1214" t="s">
        <v>6375</v>
      </c>
      <c r="B1214" t="s">
        <v>12418</v>
      </c>
      <c r="C1214" t="s">
        <v>12419</v>
      </c>
      <c r="D1214" t="s">
        <v>12467</v>
      </c>
      <c r="E1214" t="s">
        <v>12576</v>
      </c>
    </row>
    <row r="1215" spans="1:5">
      <c r="A1215" t="s">
        <v>6380</v>
      </c>
      <c r="B1215" t="s">
        <v>12563</v>
      </c>
      <c r="C1215" t="s">
        <v>12400</v>
      </c>
      <c r="D1215" t="s">
        <v>12381</v>
      </c>
      <c r="E1215" t="s">
        <v>13325</v>
      </c>
    </row>
    <row r="1216" spans="1:5">
      <c r="A1216" t="s">
        <v>6385</v>
      </c>
      <c r="B1216" t="s">
        <v>12439</v>
      </c>
      <c r="C1216" t="s">
        <v>12432</v>
      </c>
      <c r="D1216" t="s">
        <v>12416</v>
      </c>
      <c r="E1216" t="s">
        <v>12623</v>
      </c>
    </row>
    <row r="1217" spans="1:5">
      <c r="A1217" t="s">
        <v>6390</v>
      </c>
      <c r="B1217" t="s">
        <v>12388</v>
      </c>
      <c r="C1217" t="s">
        <v>12446</v>
      </c>
      <c r="D1217" t="s">
        <v>10388</v>
      </c>
      <c r="E1217" t="s">
        <v>13326</v>
      </c>
    </row>
    <row r="1218" spans="1:5">
      <c r="A1218" t="s">
        <v>6395</v>
      </c>
      <c r="B1218" t="s">
        <v>12450</v>
      </c>
      <c r="C1218" t="s">
        <v>12499</v>
      </c>
      <c r="D1218" t="s">
        <v>10388</v>
      </c>
      <c r="E1218" t="s">
        <v>13327</v>
      </c>
    </row>
    <row r="1219" spans="1:5">
      <c r="A1219" t="s">
        <v>6400</v>
      </c>
      <c r="B1219" t="s">
        <v>12512</v>
      </c>
      <c r="C1219" t="s">
        <v>12409</v>
      </c>
      <c r="D1219" t="s">
        <v>10388</v>
      </c>
      <c r="E1219" t="s">
        <v>13173</v>
      </c>
    </row>
    <row r="1220" spans="1:5">
      <c r="A1220" t="s">
        <v>6405</v>
      </c>
      <c r="B1220" t="s">
        <v>12525</v>
      </c>
      <c r="C1220" t="s">
        <v>12392</v>
      </c>
      <c r="D1220" t="s">
        <v>12437</v>
      </c>
      <c r="E1220" t="s">
        <v>12738</v>
      </c>
    </row>
    <row r="1221" spans="1:5">
      <c r="A1221" t="s">
        <v>6410</v>
      </c>
      <c r="B1221" t="s">
        <v>12421</v>
      </c>
      <c r="C1221" t="s">
        <v>12415</v>
      </c>
      <c r="D1221" t="s">
        <v>12413</v>
      </c>
      <c r="E1221" t="s">
        <v>13328</v>
      </c>
    </row>
    <row r="1222" spans="1:5">
      <c r="A1222" t="s">
        <v>6415</v>
      </c>
      <c r="B1222" t="s">
        <v>12461</v>
      </c>
      <c r="C1222" t="s">
        <v>12415</v>
      </c>
      <c r="D1222" t="s">
        <v>10381</v>
      </c>
      <c r="E1222" t="s">
        <v>13329</v>
      </c>
    </row>
    <row r="1223" spans="1:5">
      <c r="A1223" t="s">
        <v>6420</v>
      </c>
      <c r="B1223" t="s">
        <v>12563</v>
      </c>
      <c r="C1223" t="s">
        <v>12397</v>
      </c>
      <c r="D1223" t="s">
        <v>12437</v>
      </c>
      <c r="E1223" t="s">
        <v>12895</v>
      </c>
    </row>
    <row r="1224" spans="1:5">
      <c r="A1224" t="s">
        <v>6425</v>
      </c>
      <c r="B1224" t="s">
        <v>12394</v>
      </c>
      <c r="C1224" t="s">
        <v>12499</v>
      </c>
      <c r="D1224" t="s">
        <v>10388</v>
      </c>
      <c r="E1224" t="s">
        <v>13330</v>
      </c>
    </row>
    <row r="1225" spans="1:5">
      <c r="A1225" t="s">
        <v>6430</v>
      </c>
      <c r="B1225" t="s">
        <v>12563</v>
      </c>
      <c r="C1225" t="s">
        <v>12400</v>
      </c>
      <c r="D1225" t="s">
        <v>10402</v>
      </c>
      <c r="E1225" t="s">
        <v>12631</v>
      </c>
    </row>
    <row r="1226" spans="1:5">
      <c r="A1226" t="s">
        <v>6435</v>
      </c>
      <c r="B1226" t="s">
        <v>12552</v>
      </c>
      <c r="C1226" t="s">
        <v>12428</v>
      </c>
      <c r="D1226" t="s">
        <v>10388</v>
      </c>
      <c r="E1226" t="s">
        <v>13206</v>
      </c>
    </row>
    <row r="1227" spans="1:5">
      <c r="A1227" t="s">
        <v>6440</v>
      </c>
      <c r="B1227" t="s">
        <v>12565</v>
      </c>
      <c r="C1227" t="s">
        <v>12419</v>
      </c>
      <c r="D1227" t="s">
        <v>10402</v>
      </c>
      <c r="E1227" t="s">
        <v>13331</v>
      </c>
    </row>
    <row r="1228" spans="1:5">
      <c r="A1228" t="s">
        <v>6445</v>
      </c>
      <c r="B1228" t="s">
        <v>12388</v>
      </c>
      <c r="C1228" t="s">
        <v>12389</v>
      </c>
      <c r="D1228" t="s">
        <v>10388</v>
      </c>
      <c r="E1228" t="s">
        <v>12857</v>
      </c>
    </row>
    <row r="1229" spans="1:5">
      <c r="A1229" t="s">
        <v>6450</v>
      </c>
      <c r="B1229" t="s">
        <v>12436</v>
      </c>
      <c r="C1229" t="s">
        <v>12432</v>
      </c>
      <c r="D1229" t="s">
        <v>10376</v>
      </c>
      <c r="E1229" t="s">
        <v>13128</v>
      </c>
    </row>
    <row r="1230" spans="1:5">
      <c r="A1230" t="s">
        <v>6455</v>
      </c>
      <c r="B1230" t="s">
        <v>12552</v>
      </c>
      <c r="C1230" t="s">
        <v>12407</v>
      </c>
      <c r="D1230" t="s">
        <v>10388</v>
      </c>
      <c r="E1230" t="s">
        <v>13332</v>
      </c>
    </row>
    <row r="1231" spans="1:5">
      <c r="A1231" t="s">
        <v>6460</v>
      </c>
      <c r="B1231" t="s">
        <v>12418</v>
      </c>
      <c r="C1231" t="s">
        <v>12378</v>
      </c>
      <c r="D1231" t="s">
        <v>10388</v>
      </c>
      <c r="E1231" t="s">
        <v>13333</v>
      </c>
    </row>
    <row r="1232" spans="1:5">
      <c r="A1232" t="s">
        <v>6466</v>
      </c>
      <c r="B1232" t="s">
        <v>12483</v>
      </c>
      <c r="C1232" t="s">
        <v>12412</v>
      </c>
      <c r="D1232" t="s">
        <v>12467</v>
      </c>
      <c r="E1232" t="s">
        <v>12813</v>
      </c>
    </row>
    <row r="1233" spans="1:5">
      <c r="A1233" t="s">
        <v>6471</v>
      </c>
      <c r="B1233" t="s">
        <v>12442</v>
      </c>
      <c r="C1233" t="s">
        <v>12493</v>
      </c>
      <c r="D1233" t="s">
        <v>10388</v>
      </c>
      <c r="E1233" t="s">
        <v>13334</v>
      </c>
    </row>
    <row r="1234" spans="1:5">
      <c r="A1234" t="s">
        <v>6476</v>
      </c>
      <c r="B1234" t="s">
        <v>12399</v>
      </c>
      <c r="C1234" t="s">
        <v>12389</v>
      </c>
      <c r="D1234" t="s">
        <v>10388</v>
      </c>
      <c r="E1234" t="s">
        <v>13082</v>
      </c>
    </row>
    <row r="1235" spans="1:5">
      <c r="A1235" t="s">
        <v>6481</v>
      </c>
      <c r="B1235" t="s">
        <v>12455</v>
      </c>
      <c r="C1235" t="s">
        <v>12407</v>
      </c>
      <c r="D1235" t="s">
        <v>10388</v>
      </c>
      <c r="E1235" t="s">
        <v>13335</v>
      </c>
    </row>
    <row r="1236" spans="1:5">
      <c r="A1236" t="s">
        <v>6486</v>
      </c>
      <c r="B1236" t="s">
        <v>12430</v>
      </c>
      <c r="C1236" t="s">
        <v>12384</v>
      </c>
      <c r="D1236" t="s">
        <v>12467</v>
      </c>
      <c r="E1236" t="s">
        <v>13336</v>
      </c>
    </row>
    <row r="1237" spans="1:5">
      <c r="A1237" t="s">
        <v>6491</v>
      </c>
      <c r="B1237" t="s">
        <v>12377</v>
      </c>
      <c r="C1237" t="s">
        <v>12474</v>
      </c>
      <c r="D1237" t="s">
        <v>10388</v>
      </c>
      <c r="E1237" t="s">
        <v>13337</v>
      </c>
    </row>
    <row r="1238" spans="1:5">
      <c r="A1238" t="s">
        <v>6496</v>
      </c>
      <c r="B1238" t="s">
        <v>12399</v>
      </c>
      <c r="C1238" t="s">
        <v>12493</v>
      </c>
      <c r="D1238" t="s">
        <v>10388</v>
      </c>
      <c r="E1238" t="s">
        <v>13338</v>
      </c>
    </row>
    <row r="1239" spans="1:5">
      <c r="A1239" t="s">
        <v>6501</v>
      </c>
      <c r="B1239" t="s">
        <v>12391</v>
      </c>
      <c r="C1239" t="s">
        <v>12440</v>
      </c>
      <c r="D1239" t="s">
        <v>10388</v>
      </c>
      <c r="E1239" t="s">
        <v>12999</v>
      </c>
    </row>
    <row r="1240" spans="1:5">
      <c r="A1240" t="s">
        <v>6506</v>
      </c>
      <c r="B1240" t="s">
        <v>12491</v>
      </c>
      <c r="C1240" t="s">
        <v>12432</v>
      </c>
      <c r="D1240" t="s">
        <v>10381</v>
      </c>
      <c r="E1240" t="s">
        <v>12429</v>
      </c>
    </row>
    <row r="1241" spans="1:5">
      <c r="A1241" t="s">
        <v>6511</v>
      </c>
      <c r="B1241" t="s">
        <v>12491</v>
      </c>
      <c r="C1241" t="s">
        <v>12392</v>
      </c>
      <c r="D1241" t="s">
        <v>10402</v>
      </c>
      <c r="E1241" t="s">
        <v>13339</v>
      </c>
    </row>
    <row r="1242" spans="1:5">
      <c r="A1242" t="s">
        <v>6516</v>
      </c>
      <c r="B1242" t="s">
        <v>12508</v>
      </c>
      <c r="C1242" t="s">
        <v>12419</v>
      </c>
      <c r="D1242" t="s">
        <v>12413</v>
      </c>
      <c r="E1242" t="s">
        <v>12764</v>
      </c>
    </row>
    <row r="1243" spans="1:5">
      <c r="A1243" t="s">
        <v>6521</v>
      </c>
      <c r="B1243" t="s">
        <v>12386</v>
      </c>
      <c r="C1243" t="s">
        <v>12446</v>
      </c>
      <c r="D1243" t="s">
        <v>10388</v>
      </c>
      <c r="E1243" t="s">
        <v>13210</v>
      </c>
    </row>
    <row r="1244" spans="1:5">
      <c r="A1244" t="s">
        <v>6526</v>
      </c>
      <c r="B1244" t="s">
        <v>12473</v>
      </c>
      <c r="C1244" t="s">
        <v>12493</v>
      </c>
      <c r="D1244" t="s">
        <v>10388</v>
      </c>
      <c r="E1244" t="s">
        <v>13340</v>
      </c>
    </row>
    <row r="1245" spans="1:5">
      <c r="A1245" t="s">
        <v>6531</v>
      </c>
      <c r="B1245" t="s">
        <v>12503</v>
      </c>
      <c r="C1245" t="s">
        <v>12463</v>
      </c>
      <c r="D1245" t="s">
        <v>10381</v>
      </c>
      <c r="E1245" t="s">
        <v>13341</v>
      </c>
    </row>
    <row r="1246" spans="1:5">
      <c r="A1246" t="s">
        <v>6536</v>
      </c>
      <c r="B1246" t="s">
        <v>12473</v>
      </c>
      <c r="C1246" t="s">
        <v>12474</v>
      </c>
      <c r="D1246" t="s">
        <v>10388</v>
      </c>
      <c r="E1246" t="s">
        <v>13342</v>
      </c>
    </row>
    <row r="1247" spans="1:5">
      <c r="A1247" t="s">
        <v>6542</v>
      </c>
      <c r="B1247" t="s">
        <v>12421</v>
      </c>
      <c r="C1247" t="s">
        <v>12428</v>
      </c>
      <c r="D1247" t="s">
        <v>10388</v>
      </c>
      <c r="E1247" t="s">
        <v>12577</v>
      </c>
    </row>
    <row r="1248" spans="1:5">
      <c r="A1248" t="s">
        <v>6547</v>
      </c>
      <c r="B1248" t="s">
        <v>12512</v>
      </c>
      <c r="C1248" t="s">
        <v>12412</v>
      </c>
      <c r="D1248" t="s">
        <v>12467</v>
      </c>
      <c r="E1248" t="s">
        <v>13343</v>
      </c>
    </row>
    <row r="1249" spans="1:5">
      <c r="A1249" t="s">
        <v>6552</v>
      </c>
      <c r="B1249" t="s">
        <v>12406</v>
      </c>
      <c r="C1249" t="s">
        <v>12428</v>
      </c>
      <c r="D1249" t="s">
        <v>10388</v>
      </c>
      <c r="E1249" t="s">
        <v>13057</v>
      </c>
    </row>
    <row r="1250" spans="1:5">
      <c r="A1250" t="s">
        <v>6557</v>
      </c>
      <c r="B1250" t="s">
        <v>12498</v>
      </c>
      <c r="C1250" t="s">
        <v>10369</v>
      </c>
      <c r="D1250" t="s">
        <v>12416</v>
      </c>
      <c r="E1250" t="s">
        <v>13344</v>
      </c>
    </row>
    <row r="1251" spans="1:5">
      <c r="A1251" t="s">
        <v>6562</v>
      </c>
      <c r="B1251" t="s">
        <v>12430</v>
      </c>
      <c r="C1251" t="s">
        <v>12474</v>
      </c>
      <c r="D1251" t="s">
        <v>10388</v>
      </c>
      <c r="E1251" t="s">
        <v>13345</v>
      </c>
    </row>
    <row r="1252" spans="1:5">
      <c r="A1252" t="s">
        <v>6568</v>
      </c>
      <c r="B1252" t="s">
        <v>12512</v>
      </c>
      <c r="C1252" t="s">
        <v>12419</v>
      </c>
      <c r="D1252" t="s">
        <v>12437</v>
      </c>
      <c r="E1252" t="s">
        <v>12888</v>
      </c>
    </row>
    <row r="1253" spans="1:5">
      <c r="A1253" t="s">
        <v>6573</v>
      </c>
      <c r="B1253" t="s">
        <v>12403</v>
      </c>
      <c r="C1253" t="s">
        <v>12389</v>
      </c>
      <c r="D1253" t="s">
        <v>10388</v>
      </c>
      <c r="E1253" t="s">
        <v>13346</v>
      </c>
    </row>
    <row r="1254" spans="1:5">
      <c r="A1254" t="s">
        <v>6578</v>
      </c>
      <c r="B1254" t="s">
        <v>12380</v>
      </c>
      <c r="C1254" t="s">
        <v>12440</v>
      </c>
      <c r="D1254" t="s">
        <v>10388</v>
      </c>
      <c r="E1254" t="s">
        <v>13347</v>
      </c>
    </row>
    <row r="1255" spans="1:5">
      <c r="A1255" t="s">
        <v>6583</v>
      </c>
      <c r="B1255" t="s">
        <v>12512</v>
      </c>
      <c r="C1255" t="s">
        <v>12415</v>
      </c>
      <c r="D1255" t="s">
        <v>10402</v>
      </c>
      <c r="E1255" t="s">
        <v>13067</v>
      </c>
    </row>
    <row r="1256" spans="1:5">
      <c r="A1256" t="s">
        <v>6588</v>
      </c>
      <c r="B1256" t="s">
        <v>12461</v>
      </c>
      <c r="C1256" t="s">
        <v>12440</v>
      </c>
      <c r="D1256" t="s">
        <v>10388</v>
      </c>
      <c r="E1256" t="s">
        <v>13348</v>
      </c>
    </row>
    <row r="1257" spans="1:5">
      <c r="A1257" t="s">
        <v>6593</v>
      </c>
      <c r="B1257" t="s">
        <v>12459</v>
      </c>
      <c r="C1257" t="s">
        <v>12378</v>
      </c>
      <c r="D1257" t="s">
        <v>10388</v>
      </c>
      <c r="E1257" t="s">
        <v>13048</v>
      </c>
    </row>
    <row r="1258" spans="1:5">
      <c r="A1258" t="s">
        <v>6598</v>
      </c>
      <c r="B1258" t="s">
        <v>12459</v>
      </c>
      <c r="C1258" t="s">
        <v>12392</v>
      </c>
      <c r="D1258" t="s">
        <v>10402</v>
      </c>
      <c r="E1258" t="s">
        <v>12968</v>
      </c>
    </row>
    <row r="1259" spans="1:5">
      <c r="A1259" t="s">
        <v>6603</v>
      </c>
      <c r="B1259" t="s">
        <v>12436</v>
      </c>
      <c r="C1259" t="s">
        <v>12400</v>
      </c>
      <c r="D1259" t="s">
        <v>12437</v>
      </c>
      <c r="E1259" t="s">
        <v>13207</v>
      </c>
    </row>
    <row r="1260" spans="1:5">
      <c r="A1260" t="s">
        <v>6608</v>
      </c>
      <c r="B1260" t="s">
        <v>12388</v>
      </c>
      <c r="C1260" t="s">
        <v>12392</v>
      </c>
      <c r="D1260" t="s">
        <v>10381</v>
      </c>
      <c r="E1260" t="s">
        <v>13044</v>
      </c>
    </row>
    <row r="1261" spans="1:5">
      <c r="A1261" t="s">
        <v>6614</v>
      </c>
      <c r="B1261" t="s">
        <v>12491</v>
      </c>
      <c r="C1261" t="s">
        <v>12384</v>
      </c>
      <c r="D1261" t="s">
        <v>10376</v>
      </c>
      <c r="E1261" t="s">
        <v>13349</v>
      </c>
    </row>
    <row r="1262" spans="1:5">
      <c r="A1262" t="s">
        <v>6619</v>
      </c>
      <c r="B1262" t="s">
        <v>12439</v>
      </c>
      <c r="C1262" t="s">
        <v>12400</v>
      </c>
      <c r="D1262" t="s">
        <v>12416</v>
      </c>
      <c r="E1262" t="s">
        <v>13350</v>
      </c>
    </row>
    <row r="1263" spans="1:5">
      <c r="A1263" t="s">
        <v>6624</v>
      </c>
      <c r="B1263" t="s">
        <v>12403</v>
      </c>
      <c r="C1263" t="s">
        <v>12397</v>
      </c>
      <c r="D1263" t="s">
        <v>10376</v>
      </c>
      <c r="E1263" t="s">
        <v>13205</v>
      </c>
    </row>
    <row r="1264" spans="1:5">
      <c r="A1264" t="s">
        <v>6629</v>
      </c>
      <c r="B1264" t="s">
        <v>12442</v>
      </c>
      <c r="C1264" t="s">
        <v>12493</v>
      </c>
      <c r="D1264" t="s">
        <v>10388</v>
      </c>
      <c r="E1264" t="s">
        <v>13351</v>
      </c>
    </row>
    <row r="1265" spans="1:5">
      <c r="A1265" t="s">
        <v>6634</v>
      </c>
      <c r="B1265" t="s">
        <v>12434</v>
      </c>
      <c r="C1265" t="s">
        <v>12412</v>
      </c>
      <c r="D1265" t="s">
        <v>12437</v>
      </c>
      <c r="E1265" t="s">
        <v>12650</v>
      </c>
    </row>
    <row r="1266" spans="1:5">
      <c r="A1266" t="s">
        <v>6639</v>
      </c>
      <c r="B1266" t="s">
        <v>12411</v>
      </c>
      <c r="C1266" t="s">
        <v>12378</v>
      </c>
      <c r="D1266" t="s">
        <v>10388</v>
      </c>
      <c r="E1266" t="s">
        <v>12768</v>
      </c>
    </row>
    <row r="1267" spans="1:5">
      <c r="A1267" t="s">
        <v>6644</v>
      </c>
      <c r="B1267" t="s">
        <v>12418</v>
      </c>
      <c r="C1267" t="s">
        <v>12463</v>
      </c>
      <c r="D1267" t="s">
        <v>10376</v>
      </c>
      <c r="E1267" t="s">
        <v>12895</v>
      </c>
    </row>
    <row r="1268" spans="1:5">
      <c r="A1268" t="s">
        <v>6649</v>
      </c>
      <c r="B1268" t="s">
        <v>12424</v>
      </c>
      <c r="C1268" t="s">
        <v>12392</v>
      </c>
      <c r="D1268" t="s">
        <v>12413</v>
      </c>
      <c r="E1268" t="s">
        <v>13352</v>
      </c>
    </row>
    <row r="1269" spans="1:5">
      <c r="A1269" t="s">
        <v>6654</v>
      </c>
      <c r="B1269" t="s">
        <v>12388</v>
      </c>
      <c r="C1269" t="s">
        <v>12474</v>
      </c>
      <c r="D1269" t="s">
        <v>10388</v>
      </c>
      <c r="E1269" t="s">
        <v>13353</v>
      </c>
    </row>
    <row r="1270" spans="1:5">
      <c r="A1270" t="s">
        <v>6659</v>
      </c>
      <c r="B1270" t="s">
        <v>12380</v>
      </c>
      <c r="C1270" t="s">
        <v>12409</v>
      </c>
      <c r="D1270" t="s">
        <v>10388</v>
      </c>
      <c r="E1270" t="s">
        <v>12927</v>
      </c>
    </row>
    <row r="1271" spans="1:5">
      <c r="A1271" t="s">
        <v>6664</v>
      </c>
      <c r="B1271" t="s">
        <v>12461</v>
      </c>
      <c r="C1271" t="s">
        <v>12419</v>
      </c>
      <c r="D1271" t="s">
        <v>12381</v>
      </c>
      <c r="E1271" t="s">
        <v>12954</v>
      </c>
    </row>
    <row r="1272" spans="1:5">
      <c r="A1272" t="s">
        <v>6669</v>
      </c>
      <c r="B1272" t="s">
        <v>12418</v>
      </c>
      <c r="C1272" t="s">
        <v>12412</v>
      </c>
      <c r="D1272" t="s">
        <v>12381</v>
      </c>
      <c r="E1272" t="s">
        <v>13354</v>
      </c>
    </row>
    <row r="1273" spans="1:5">
      <c r="A1273" t="s">
        <v>6674</v>
      </c>
      <c r="B1273" t="s">
        <v>12388</v>
      </c>
      <c r="C1273" t="s">
        <v>10369</v>
      </c>
      <c r="D1273" t="s">
        <v>12416</v>
      </c>
      <c r="E1273" t="s">
        <v>13035</v>
      </c>
    </row>
    <row r="1274" spans="1:5">
      <c r="A1274" t="s">
        <v>6679</v>
      </c>
      <c r="B1274" t="s">
        <v>12477</v>
      </c>
      <c r="C1274" t="s">
        <v>12378</v>
      </c>
      <c r="D1274" t="s">
        <v>10388</v>
      </c>
      <c r="E1274" t="s">
        <v>13355</v>
      </c>
    </row>
    <row r="1275" spans="1:5">
      <c r="A1275" t="s">
        <v>6684</v>
      </c>
      <c r="B1275" t="s">
        <v>12396</v>
      </c>
      <c r="C1275" t="s">
        <v>12432</v>
      </c>
      <c r="D1275" t="s">
        <v>10376</v>
      </c>
      <c r="E1275" t="s">
        <v>12672</v>
      </c>
    </row>
    <row r="1276" spans="1:5">
      <c r="A1276" t="s">
        <v>6689</v>
      </c>
      <c r="B1276" t="s">
        <v>12426</v>
      </c>
      <c r="C1276" t="s">
        <v>12493</v>
      </c>
      <c r="D1276" t="s">
        <v>10388</v>
      </c>
      <c r="E1276" t="s">
        <v>13356</v>
      </c>
    </row>
    <row r="1277" spans="1:5">
      <c r="A1277" t="s">
        <v>6694</v>
      </c>
      <c r="B1277" t="s">
        <v>12421</v>
      </c>
      <c r="C1277" t="s">
        <v>10369</v>
      </c>
      <c r="D1277" t="s">
        <v>12456</v>
      </c>
      <c r="E1277" t="s">
        <v>12678</v>
      </c>
    </row>
    <row r="1278" spans="1:5">
      <c r="A1278" t="s">
        <v>6699</v>
      </c>
      <c r="B1278" t="s">
        <v>12388</v>
      </c>
      <c r="C1278" t="s">
        <v>12446</v>
      </c>
      <c r="D1278" t="s">
        <v>10388</v>
      </c>
      <c r="E1278" t="s">
        <v>13357</v>
      </c>
    </row>
    <row r="1279" spans="1:5">
      <c r="A1279" t="s">
        <v>6704</v>
      </c>
      <c r="B1279" t="s">
        <v>12455</v>
      </c>
      <c r="C1279" t="s">
        <v>12392</v>
      </c>
      <c r="D1279" t="s">
        <v>10376</v>
      </c>
      <c r="E1279" t="s">
        <v>13358</v>
      </c>
    </row>
    <row r="1280" spans="1:5">
      <c r="A1280" t="s">
        <v>6709</v>
      </c>
      <c r="B1280" t="s">
        <v>12512</v>
      </c>
      <c r="C1280" t="s">
        <v>12440</v>
      </c>
      <c r="D1280" t="s">
        <v>10388</v>
      </c>
      <c r="E1280" t="s">
        <v>13359</v>
      </c>
    </row>
    <row r="1281" spans="1:5">
      <c r="A1281" t="s">
        <v>6714</v>
      </c>
      <c r="B1281" t="s">
        <v>12459</v>
      </c>
      <c r="C1281" t="s">
        <v>10369</v>
      </c>
      <c r="D1281" t="s">
        <v>12401</v>
      </c>
      <c r="E1281" t="s">
        <v>12724</v>
      </c>
    </row>
    <row r="1282" spans="1:5">
      <c r="A1282" t="s">
        <v>6719</v>
      </c>
      <c r="B1282" t="s">
        <v>12473</v>
      </c>
      <c r="C1282" t="s">
        <v>12389</v>
      </c>
      <c r="D1282" t="s">
        <v>10388</v>
      </c>
      <c r="E1282" t="s">
        <v>13360</v>
      </c>
    </row>
    <row r="1283" spans="1:5">
      <c r="A1283" t="s">
        <v>6724</v>
      </c>
      <c r="B1283" t="s">
        <v>12473</v>
      </c>
      <c r="C1283" t="s">
        <v>12493</v>
      </c>
      <c r="D1283" t="s">
        <v>10388</v>
      </c>
      <c r="E1283" t="s">
        <v>13361</v>
      </c>
    </row>
    <row r="1284" spans="1:5">
      <c r="A1284" t="s">
        <v>6729</v>
      </c>
      <c r="B1284" t="s">
        <v>12403</v>
      </c>
      <c r="C1284" t="s">
        <v>12493</v>
      </c>
      <c r="D1284" t="s">
        <v>10388</v>
      </c>
      <c r="E1284" t="s">
        <v>13362</v>
      </c>
    </row>
    <row r="1285" spans="1:5">
      <c r="A1285" t="s">
        <v>6734</v>
      </c>
      <c r="B1285" t="s">
        <v>12483</v>
      </c>
      <c r="C1285" t="s">
        <v>12440</v>
      </c>
      <c r="D1285" t="s">
        <v>10388</v>
      </c>
      <c r="E1285" t="s">
        <v>13363</v>
      </c>
    </row>
    <row r="1286" spans="1:5">
      <c r="A1286" t="s">
        <v>6739</v>
      </c>
      <c r="B1286" t="s">
        <v>12439</v>
      </c>
      <c r="C1286" t="s">
        <v>12392</v>
      </c>
      <c r="D1286" t="s">
        <v>12413</v>
      </c>
      <c r="E1286" t="s">
        <v>13171</v>
      </c>
    </row>
    <row r="1287" spans="1:5">
      <c r="A1287" t="s">
        <v>6744</v>
      </c>
      <c r="B1287" t="s">
        <v>12430</v>
      </c>
      <c r="C1287" t="s">
        <v>12474</v>
      </c>
      <c r="D1287" t="s">
        <v>10388</v>
      </c>
      <c r="E1287" t="s">
        <v>13221</v>
      </c>
    </row>
    <row r="1288" spans="1:5">
      <c r="A1288" t="s">
        <v>6749</v>
      </c>
      <c r="B1288" t="s">
        <v>12477</v>
      </c>
      <c r="C1288" t="s">
        <v>12407</v>
      </c>
      <c r="D1288" t="s">
        <v>10388</v>
      </c>
      <c r="E1288" t="s">
        <v>13030</v>
      </c>
    </row>
    <row r="1289" spans="1:5">
      <c r="A1289" t="s">
        <v>6754</v>
      </c>
      <c r="B1289" t="s">
        <v>12391</v>
      </c>
      <c r="C1289" t="s">
        <v>12412</v>
      </c>
      <c r="D1289" t="s">
        <v>10376</v>
      </c>
      <c r="E1289" t="s">
        <v>12495</v>
      </c>
    </row>
    <row r="1290" spans="1:5">
      <c r="A1290" t="s">
        <v>6759</v>
      </c>
      <c r="B1290" t="s">
        <v>12461</v>
      </c>
      <c r="C1290" t="s">
        <v>12432</v>
      </c>
      <c r="D1290" t="s">
        <v>12401</v>
      </c>
      <c r="E1290" t="s">
        <v>13364</v>
      </c>
    </row>
    <row r="1291" spans="1:5">
      <c r="A1291" t="s">
        <v>6764</v>
      </c>
      <c r="B1291" t="s">
        <v>12442</v>
      </c>
      <c r="C1291" t="s">
        <v>12397</v>
      </c>
      <c r="D1291" t="s">
        <v>10381</v>
      </c>
      <c r="E1291" t="s">
        <v>12674</v>
      </c>
    </row>
    <row r="1292" spans="1:5">
      <c r="A1292" t="s">
        <v>6769</v>
      </c>
      <c r="B1292" t="s">
        <v>12434</v>
      </c>
      <c r="C1292" t="s">
        <v>12474</v>
      </c>
      <c r="D1292" t="s">
        <v>10388</v>
      </c>
      <c r="E1292" t="s">
        <v>13365</v>
      </c>
    </row>
    <row r="1293" spans="1:5">
      <c r="A1293" t="s">
        <v>6775</v>
      </c>
      <c r="B1293" t="s">
        <v>12473</v>
      </c>
      <c r="C1293" t="s">
        <v>10369</v>
      </c>
      <c r="D1293" t="s">
        <v>12401</v>
      </c>
      <c r="E1293" t="s">
        <v>12914</v>
      </c>
    </row>
    <row r="1294" spans="1:5">
      <c r="A1294" t="s">
        <v>6780</v>
      </c>
      <c r="B1294" t="s">
        <v>12491</v>
      </c>
      <c r="C1294" t="s">
        <v>12440</v>
      </c>
      <c r="D1294" t="s">
        <v>10388</v>
      </c>
      <c r="E1294" t="s">
        <v>13366</v>
      </c>
    </row>
    <row r="1295" spans="1:5">
      <c r="A1295" t="s">
        <v>6785</v>
      </c>
      <c r="B1295" t="s">
        <v>12380</v>
      </c>
      <c r="C1295" t="s">
        <v>12392</v>
      </c>
      <c r="D1295" t="s">
        <v>10402</v>
      </c>
      <c r="E1295" t="s">
        <v>13367</v>
      </c>
    </row>
    <row r="1296" spans="1:5">
      <c r="A1296" t="s">
        <v>6790</v>
      </c>
      <c r="B1296" t="s">
        <v>12470</v>
      </c>
      <c r="C1296" t="s">
        <v>12400</v>
      </c>
      <c r="D1296" t="s">
        <v>10402</v>
      </c>
      <c r="E1296" t="s">
        <v>13368</v>
      </c>
    </row>
    <row r="1297" spans="1:5">
      <c r="A1297" t="s">
        <v>6795</v>
      </c>
      <c r="B1297" t="s">
        <v>12512</v>
      </c>
      <c r="C1297" t="s">
        <v>12440</v>
      </c>
      <c r="D1297" t="s">
        <v>10388</v>
      </c>
      <c r="E1297" t="s">
        <v>12464</v>
      </c>
    </row>
    <row r="1298" spans="1:5">
      <c r="A1298" t="s">
        <v>6800</v>
      </c>
      <c r="B1298" t="s">
        <v>12421</v>
      </c>
      <c r="C1298" t="s">
        <v>10369</v>
      </c>
      <c r="D1298" t="s">
        <v>10381</v>
      </c>
      <c r="E1298" t="s">
        <v>12458</v>
      </c>
    </row>
    <row r="1299" spans="1:5">
      <c r="A1299" t="s">
        <v>6805</v>
      </c>
      <c r="B1299" t="s">
        <v>12461</v>
      </c>
      <c r="C1299" t="s">
        <v>12409</v>
      </c>
      <c r="D1299" t="s">
        <v>10388</v>
      </c>
      <c r="E1299" t="s">
        <v>13061</v>
      </c>
    </row>
    <row r="1300" spans="1:5">
      <c r="A1300" t="s">
        <v>6810</v>
      </c>
      <c r="B1300" t="s">
        <v>12450</v>
      </c>
      <c r="C1300" t="s">
        <v>12392</v>
      </c>
      <c r="D1300" t="s">
        <v>10402</v>
      </c>
      <c r="E1300" t="s">
        <v>13309</v>
      </c>
    </row>
    <row r="1301" spans="1:5">
      <c r="A1301" t="s">
        <v>6815</v>
      </c>
      <c r="B1301" t="s">
        <v>12473</v>
      </c>
      <c r="C1301" t="s">
        <v>12412</v>
      </c>
      <c r="D1301" t="s">
        <v>12437</v>
      </c>
      <c r="E1301" t="s">
        <v>12556</v>
      </c>
    </row>
    <row r="1302" spans="1:5">
      <c r="A1302" t="s">
        <v>6820</v>
      </c>
      <c r="B1302" t="s">
        <v>12459</v>
      </c>
      <c r="C1302" t="s">
        <v>12499</v>
      </c>
      <c r="D1302" t="s">
        <v>10388</v>
      </c>
      <c r="E1302" t="s">
        <v>13369</v>
      </c>
    </row>
    <row r="1303" spans="1:5">
      <c r="A1303" t="s">
        <v>6825</v>
      </c>
      <c r="B1303" t="s">
        <v>12473</v>
      </c>
      <c r="C1303" t="s">
        <v>12463</v>
      </c>
      <c r="D1303" t="s">
        <v>12467</v>
      </c>
      <c r="E1303" t="s">
        <v>13370</v>
      </c>
    </row>
    <row r="1304" spans="1:5">
      <c r="A1304" t="s">
        <v>6830</v>
      </c>
      <c r="B1304" t="s">
        <v>12386</v>
      </c>
      <c r="C1304" t="s">
        <v>12412</v>
      </c>
      <c r="D1304" t="s">
        <v>12381</v>
      </c>
      <c r="E1304" t="s">
        <v>12714</v>
      </c>
    </row>
    <row r="1305" spans="1:5">
      <c r="A1305" t="s">
        <v>6835</v>
      </c>
      <c r="B1305" t="s">
        <v>12552</v>
      </c>
      <c r="C1305" t="s">
        <v>10369</v>
      </c>
      <c r="D1305" t="s">
        <v>12413</v>
      </c>
      <c r="E1305" t="s">
        <v>13371</v>
      </c>
    </row>
    <row r="1306" spans="1:5">
      <c r="A1306" t="s">
        <v>6840</v>
      </c>
      <c r="B1306" t="s">
        <v>12442</v>
      </c>
      <c r="C1306" t="s">
        <v>12412</v>
      </c>
      <c r="D1306" t="s">
        <v>10381</v>
      </c>
      <c r="E1306" t="s">
        <v>13372</v>
      </c>
    </row>
    <row r="1307" spans="1:5">
      <c r="A1307" t="s">
        <v>6845</v>
      </c>
      <c r="B1307" t="s">
        <v>12386</v>
      </c>
      <c r="C1307" t="s">
        <v>12474</v>
      </c>
      <c r="D1307" t="s">
        <v>10388</v>
      </c>
      <c r="E1307" t="s">
        <v>13373</v>
      </c>
    </row>
    <row r="1308" spans="1:5">
      <c r="A1308" t="s">
        <v>6850</v>
      </c>
      <c r="B1308" t="s">
        <v>12450</v>
      </c>
      <c r="C1308" t="s">
        <v>12378</v>
      </c>
      <c r="D1308" t="s">
        <v>10388</v>
      </c>
      <c r="E1308" t="s">
        <v>13374</v>
      </c>
    </row>
    <row r="1309" spans="1:5">
      <c r="A1309" t="s">
        <v>6855</v>
      </c>
      <c r="B1309" t="s">
        <v>12498</v>
      </c>
      <c r="C1309" t="s">
        <v>12397</v>
      </c>
      <c r="D1309" t="s">
        <v>12416</v>
      </c>
      <c r="E1309" t="s">
        <v>13324</v>
      </c>
    </row>
    <row r="1310" spans="1:5">
      <c r="A1310" t="s">
        <v>6860</v>
      </c>
      <c r="B1310" t="s">
        <v>12491</v>
      </c>
      <c r="C1310" t="s">
        <v>12392</v>
      </c>
      <c r="D1310" t="s">
        <v>12467</v>
      </c>
      <c r="E1310" t="s">
        <v>13375</v>
      </c>
    </row>
    <row r="1311" spans="1:5">
      <c r="A1311" t="s">
        <v>6866</v>
      </c>
      <c r="B1311" t="s">
        <v>12377</v>
      </c>
      <c r="C1311" t="s">
        <v>12397</v>
      </c>
      <c r="D1311" t="s">
        <v>10376</v>
      </c>
      <c r="E1311" t="s">
        <v>13015</v>
      </c>
    </row>
    <row r="1312" spans="1:5">
      <c r="A1312" t="s">
        <v>6871</v>
      </c>
      <c r="B1312" t="s">
        <v>12380</v>
      </c>
      <c r="C1312" t="s">
        <v>12392</v>
      </c>
      <c r="D1312" t="s">
        <v>12437</v>
      </c>
      <c r="E1312" t="s">
        <v>13075</v>
      </c>
    </row>
    <row r="1313" spans="1:5">
      <c r="A1313" t="s">
        <v>6876</v>
      </c>
      <c r="B1313" t="s">
        <v>12498</v>
      </c>
      <c r="C1313" t="s">
        <v>12412</v>
      </c>
      <c r="D1313" t="s">
        <v>12413</v>
      </c>
      <c r="E1313" t="s">
        <v>13376</v>
      </c>
    </row>
    <row r="1314" spans="1:5">
      <c r="A1314" t="s">
        <v>6881</v>
      </c>
      <c r="B1314" t="s">
        <v>12434</v>
      </c>
      <c r="C1314" t="s">
        <v>12412</v>
      </c>
      <c r="D1314" t="s">
        <v>10402</v>
      </c>
      <c r="E1314" t="s">
        <v>13377</v>
      </c>
    </row>
    <row r="1315" spans="1:5">
      <c r="A1315" t="s">
        <v>6886</v>
      </c>
      <c r="B1315" t="s">
        <v>12461</v>
      </c>
      <c r="C1315" t="s">
        <v>12384</v>
      </c>
      <c r="D1315" t="s">
        <v>12437</v>
      </c>
      <c r="E1315" t="s">
        <v>13378</v>
      </c>
    </row>
    <row r="1316" spans="1:5">
      <c r="A1316" t="s">
        <v>6891</v>
      </c>
      <c r="B1316" t="s">
        <v>12394</v>
      </c>
      <c r="C1316" t="s">
        <v>12400</v>
      </c>
      <c r="D1316" t="s">
        <v>10376</v>
      </c>
      <c r="E1316" t="s">
        <v>13379</v>
      </c>
    </row>
    <row r="1317" spans="1:5">
      <c r="A1317" t="s">
        <v>6896</v>
      </c>
      <c r="B1317" t="s">
        <v>12406</v>
      </c>
      <c r="C1317" t="s">
        <v>12428</v>
      </c>
      <c r="D1317" t="s">
        <v>10388</v>
      </c>
      <c r="E1317" t="s">
        <v>13380</v>
      </c>
    </row>
    <row r="1318" spans="1:5">
      <c r="A1318" t="s">
        <v>6901</v>
      </c>
      <c r="B1318" t="s">
        <v>12442</v>
      </c>
      <c r="C1318" t="s">
        <v>12432</v>
      </c>
      <c r="D1318" t="s">
        <v>12381</v>
      </c>
      <c r="E1318" t="s">
        <v>13381</v>
      </c>
    </row>
    <row r="1319" spans="1:5">
      <c r="A1319" t="s">
        <v>6906</v>
      </c>
      <c r="B1319" t="s">
        <v>12411</v>
      </c>
      <c r="C1319" t="s">
        <v>12446</v>
      </c>
      <c r="D1319" t="s">
        <v>10388</v>
      </c>
      <c r="E1319" t="s">
        <v>12457</v>
      </c>
    </row>
    <row r="1320" spans="1:5">
      <c r="A1320" t="s">
        <v>6911</v>
      </c>
      <c r="B1320" t="s">
        <v>12470</v>
      </c>
      <c r="C1320" t="s">
        <v>12407</v>
      </c>
      <c r="D1320" t="s">
        <v>10388</v>
      </c>
      <c r="E1320" t="s">
        <v>13382</v>
      </c>
    </row>
    <row r="1321" spans="1:5">
      <c r="A1321" t="s">
        <v>6916</v>
      </c>
      <c r="B1321" t="s">
        <v>12424</v>
      </c>
      <c r="C1321" t="s">
        <v>10369</v>
      </c>
      <c r="D1321" t="s">
        <v>10376</v>
      </c>
      <c r="E1321" t="s">
        <v>12746</v>
      </c>
    </row>
    <row r="1322" spans="1:5">
      <c r="A1322" t="s">
        <v>6921</v>
      </c>
      <c r="B1322" t="s">
        <v>12525</v>
      </c>
      <c r="C1322" t="s">
        <v>12412</v>
      </c>
      <c r="D1322" t="s">
        <v>12401</v>
      </c>
      <c r="E1322" t="s">
        <v>13367</v>
      </c>
    </row>
    <row r="1323" spans="1:5">
      <c r="A1323" t="s">
        <v>6926</v>
      </c>
      <c r="B1323" t="s">
        <v>12436</v>
      </c>
      <c r="C1323" t="s">
        <v>12389</v>
      </c>
      <c r="D1323" t="s">
        <v>10388</v>
      </c>
      <c r="E1323" t="s">
        <v>12611</v>
      </c>
    </row>
    <row r="1324" spans="1:5">
      <c r="A1324" t="s">
        <v>6931</v>
      </c>
      <c r="B1324" t="s">
        <v>12439</v>
      </c>
      <c r="C1324" t="s">
        <v>12432</v>
      </c>
      <c r="D1324" t="s">
        <v>10381</v>
      </c>
      <c r="E1324" t="s">
        <v>12906</v>
      </c>
    </row>
    <row r="1325" spans="1:5">
      <c r="A1325" t="s">
        <v>6936</v>
      </c>
      <c r="B1325" t="s">
        <v>12418</v>
      </c>
      <c r="C1325" t="s">
        <v>12415</v>
      </c>
      <c r="D1325" t="s">
        <v>12467</v>
      </c>
      <c r="E1325" t="s">
        <v>13383</v>
      </c>
    </row>
    <row r="1326" spans="1:5">
      <c r="A1326" t="s">
        <v>6941</v>
      </c>
      <c r="B1326" t="s">
        <v>12406</v>
      </c>
      <c r="C1326" t="s">
        <v>12499</v>
      </c>
      <c r="D1326" t="s">
        <v>10388</v>
      </c>
      <c r="E1326" t="s">
        <v>13047</v>
      </c>
    </row>
    <row r="1327" spans="1:5">
      <c r="A1327" t="s">
        <v>6946</v>
      </c>
      <c r="B1327" t="s">
        <v>12426</v>
      </c>
      <c r="C1327" t="s">
        <v>12463</v>
      </c>
      <c r="D1327" t="s">
        <v>10376</v>
      </c>
      <c r="E1327" t="s">
        <v>12987</v>
      </c>
    </row>
    <row r="1328" spans="1:5">
      <c r="A1328" t="s">
        <v>6951</v>
      </c>
      <c r="B1328" t="s">
        <v>12436</v>
      </c>
      <c r="C1328" t="s">
        <v>12493</v>
      </c>
      <c r="D1328" t="s">
        <v>10388</v>
      </c>
      <c r="E1328" t="s">
        <v>13273</v>
      </c>
    </row>
    <row r="1329" spans="1:5">
      <c r="A1329" t="s">
        <v>6956</v>
      </c>
      <c r="B1329" t="s">
        <v>12403</v>
      </c>
      <c r="C1329" t="s">
        <v>12415</v>
      </c>
      <c r="D1329" t="s">
        <v>12381</v>
      </c>
      <c r="E1329" t="s">
        <v>13384</v>
      </c>
    </row>
    <row r="1330" spans="1:5">
      <c r="A1330" t="s">
        <v>6961</v>
      </c>
      <c r="B1330" t="s">
        <v>12525</v>
      </c>
      <c r="C1330" t="s">
        <v>12499</v>
      </c>
      <c r="D1330" t="s">
        <v>10388</v>
      </c>
      <c r="E1330" t="s">
        <v>12966</v>
      </c>
    </row>
    <row r="1331" spans="1:5">
      <c r="A1331" t="s">
        <v>6966</v>
      </c>
      <c r="B1331" t="s">
        <v>12565</v>
      </c>
      <c r="C1331" t="s">
        <v>12384</v>
      </c>
      <c r="D1331" t="s">
        <v>12401</v>
      </c>
      <c r="E1331" t="s">
        <v>13385</v>
      </c>
    </row>
    <row r="1332" spans="1:5">
      <c r="A1332" t="s">
        <v>6971</v>
      </c>
      <c r="B1332" t="s">
        <v>12450</v>
      </c>
      <c r="C1332" t="s">
        <v>12440</v>
      </c>
      <c r="D1332" t="s">
        <v>10388</v>
      </c>
      <c r="E1332" t="s">
        <v>12954</v>
      </c>
    </row>
    <row r="1333" spans="1:5">
      <c r="A1333" t="s">
        <v>6976</v>
      </c>
      <c r="B1333" t="s">
        <v>12508</v>
      </c>
      <c r="C1333" t="s">
        <v>12389</v>
      </c>
      <c r="D1333" t="s">
        <v>10388</v>
      </c>
      <c r="E1333" t="s">
        <v>13386</v>
      </c>
    </row>
    <row r="1334" spans="1:5">
      <c r="A1334" t="s">
        <v>6981</v>
      </c>
      <c r="B1334" t="s">
        <v>12424</v>
      </c>
      <c r="C1334" t="s">
        <v>12446</v>
      </c>
      <c r="D1334" t="s">
        <v>10388</v>
      </c>
      <c r="E1334" t="s">
        <v>13376</v>
      </c>
    </row>
    <row r="1335" spans="1:5">
      <c r="A1335" t="s">
        <v>6986</v>
      </c>
      <c r="B1335" t="s">
        <v>12459</v>
      </c>
      <c r="C1335" t="s">
        <v>12407</v>
      </c>
      <c r="D1335" t="s">
        <v>10388</v>
      </c>
      <c r="E1335" t="s">
        <v>13387</v>
      </c>
    </row>
    <row r="1336" spans="1:5">
      <c r="A1336" t="s">
        <v>6991</v>
      </c>
      <c r="B1336" t="s">
        <v>12470</v>
      </c>
      <c r="C1336" t="s">
        <v>12463</v>
      </c>
      <c r="D1336" t="s">
        <v>12401</v>
      </c>
      <c r="E1336" t="s">
        <v>13388</v>
      </c>
    </row>
    <row r="1337" spans="1:5">
      <c r="A1337" t="s">
        <v>6996</v>
      </c>
      <c r="B1337" t="s">
        <v>12442</v>
      </c>
      <c r="C1337" t="s">
        <v>12407</v>
      </c>
      <c r="D1337" t="s">
        <v>10388</v>
      </c>
      <c r="E1337" t="s">
        <v>12731</v>
      </c>
    </row>
    <row r="1338" spans="1:5">
      <c r="A1338" t="s">
        <v>7001</v>
      </c>
      <c r="B1338" t="s">
        <v>12386</v>
      </c>
      <c r="C1338" t="s">
        <v>12440</v>
      </c>
      <c r="D1338" t="s">
        <v>10388</v>
      </c>
      <c r="E1338" t="s">
        <v>13389</v>
      </c>
    </row>
    <row r="1339" spans="1:5">
      <c r="A1339" t="s">
        <v>7006</v>
      </c>
      <c r="B1339" t="s">
        <v>12503</v>
      </c>
      <c r="C1339" t="s">
        <v>12432</v>
      </c>
      <c r="D1339" t="s">
        <v>12416</v>
      </c>
      <c r="E1339" t="s">
        <v>13390</v>
      </c>
    </row>
    <row r="1340" spans="1:5">
      <c r="A1340" t="s">
        <v>7011</v>
      </c>
      <c r="B1340" t="s">
        <v>12377</v>
      </c>
      <c r="C1340" t="s">
        <v>12384</v>
      </c>
      <c r="D1340" t="s">
        <v>12416</v>
      </c>
      <c r="E1340" t="s">
        <v>13391</v>
      </c>
    </row>
    <row r="1341" spans="1:5">
      <c r="A1341" t="s">
        <v>7016</v>
      </c>
      <c r="B1341" t="s">
        <v>12436</v>
      </c>
      <c r="C1341" t="s">
        <v>12400</v>
      </c>
      <c r="D1341" t="s">
        <v>10402</v>
      </c>
      <c r="E1341" t="s">
        <v>13392</v>
      </c>
    </row>
    <row r="1342" spans="1:5">
      <c r="A1342" t="s">
        <v>7021</v>
      </c>
      <c r="B1342" t="s">
        <v>12450</v>
      </c>
      <c r="C1342" t="s">
        <v>12440</v>
      </c>
      <c r="D1342" t="s">
        <v>10388</v>
      </c>
      <c r="E1342" t="s">
        <v>13393</v>
      </c>
    </row>
    <row r="1343" spans="1:5">
      <c r="A1343" t="s">
        <v>7026</v>
      </c>
      <c r="B1343" t="s">
        <v>12461</v>
      </c>
      <c r="C1343" t="s">
        <v>12432</v>
      </c>
      <c r="D1343" t="s">
        <v>12381</v>
      </c>
      <c r="E1343" t="s">
        <v>12890</v>
      </c>
    </row>
    <row r="1344" spans="1:5">
      <c r="A1344" t="s">
        <v>7031</v>
      </c>
      <c r="B1344" t="s">
        <v>12388</v>
      </c>
      <c r="C1344" t="s">
        <v>12397</v>
      </c>
      <c r="D1344" t="s">
        <v>12437</v>
      </c>
      <c r="E1344" t="s">
        <v>13394</v>
      </c>
    </row>
    <row r="1345" spans="1:5">
      <c r="A1345" t="s">
        <v>7036</v>
      </c>
      <c r="B1345" t="s">
        <v>12442</v>
      </c>
      <c r="C1345" t="s">
        <v>12409</v>
      </c>
      <c r="D1345" t="s">
        <v>10388</v>
      </c>
      <c r="E1345" t="s">
        <v>13386</v>
      </c>
    </row>
    <row r="1346" spans="1:5">
      <c r="A1346" t="s">
        <v>7041</v>
      </c>
      <c r="B1346" t="s">
        <v>12377</v>
      </c>
      <c r="C1346" t="s">
        <v>12397</v>
      </c>
      <c r="D1346" t="s">
        <v>10402</v>
      </c>
      <c r="E1346" t="s">
        <v>13395</v>
      </c>
    </row>
    <row r="1347" spans="1:5">
      <c r="A1347" t="s">
        <v>7046</v>
      </c>
      <c r="B1347" t="s">
        <v>12455</v>
      </c>
      <c r="C1347" t="s">
        <v>12409</v>
      </c>
      <c r="D1347" t="s">
        <v>10388</v>
      </c>
      <c r="E1347" t="s">
        <v>13147</v>
      </c>
    </row>
    <row r="1348" spans="1:5">
      <c r="A1348" t="s">
        <v>7051</v>
      </c>
      <c r="B1348" t="s">
        <v>12552</v>
      </c>
      <c r="C1348" t="s">
        <v>12499</v>
      </c>
      <c r="D1348" t="s">
        <v>10388</v>
      </c>
      <c r="E1348" t="s">
        <v>13396</v>
      </c>
    </row>
    <row r="1349" spans="1:5">
      <c r="A1349" t="s">
        <v>7056</v>
      </c>
      <c r="B1349" t="s">
        <v>12491</v>
      </c>
      <c r="C1349" t="s">
        <v>12392</v>
      </c>
      <c r="D1349" t="s">
        <v>10402</v>
      </c>
      <c r="E1349" t="s">
        <v>13397</v>
      </c>
    </row>
    <row r="1350" spans="1:5">
      <c r="A1350" t="s">
        <v>7061</v>
      </c>
      <c r="B1350" t="s">
        <v>12491</v>
      </c>
      <c r="C1350" t="s">
        <v>12409</v>
      </c>
      <c r="D1350" t="s">
        <v>10388</v>
      </c>
      <c r="E1350" t="s">
        <v>12958</v>
      </c>
    </row>
    <row r="1351" spans="1:5">
      <c r="A1351" t="s">
        <v>7066</v>
      </c>
      <c r="B1351" t="s">
        <v>12434</v>
      </c>
      <c r="C1351" t="s">
        <v>12446</v>
      </c>
      <c r="D1351" t="s">
        <v>10388</v>
      </c>
      <c r="E1351" t="s">
        <v>13398</v>
      </c>
    </row>
    <row r="1352" spans="1:5">
      <c r="A1352" t="s">
        <v>7071</v>
      </c>
      <c r="B1352" t="s">
        <v>12411</v>
      </c>
      <c r="C1352" t="s">
        <v>12463</v>
      </c>
      <c r="D1352" t="s">
        <v>10376</v>
      </c>
      <c r="E1352" t="s">
        <v>13399</v>
      </c>
    </row>
    <row r="1353" spans="1:5">
      <c r="A1353" t="s">
        <v>7076</v>
      </c>
      <c r="B1353" t="s">
        <v>12455</v>
      </c>
      <c r="C1353" t="s">
        <v>12428</v>
      </c>
      <c r="D1353" t="s">
        <v>10388</v>
      </c>
      <c r="E1353" t="s">
        <v>12579</v>
      </c>
    </row>
    <row r="1354" spans="1:5">
      <c r="A1354" t="s">
        <v>7081</v>
      </c>
      <c r="B1354" t="s">
        <v>12508</v>
      </c>
      <c r="C1354" t="s">
        <v>12432</v>
      </c>
      <c r="D1354" t="s">
        <v>12467</v>
      </c>
      <c r="E1354" t="s">
        <v>13400</v>
      </c>
    </row>
    <row r="1355" spans="1:5">
      <c r="A1355" t="s">
        <v>7086</v>
      </c>
      <c r="B1355" t="s">
        <v>12436</v>
      </c>
      <c r="C1355" t="s">
        <v>12432</v>
      </c>
      <c r="D1355" t="s">
        <v>12401</v>
      </c>
      <c r="E1355" t="s">
        <v>12551</v>
      </c>
    </row>
    <row r="1356" spans="1:5">
      <c r="A1356" t="s">
        <v>7091</v>
      </c>
      <c r="B1356" t="s">
        <v>12477</v>
      </c>
      <c r="C1356" t="s">
        <v>12474</v>
      </c>
      <c r="D1356" t="s">
        <v>10388</v>
      </c>
      <c r="E1356" t="s">
        <v>13315</v>
      </c>
    </row>
    <row r="1357" spans="1:5">
      <c r="A1357" t="s">
        <v>7096</v>
      </c>
      <c r="B1357" t="s">
        <v>12439</v>
      </c>
      <c r="C1357" t="s">
        <v>12397</v>
      </c>
      <c r="D1357" t="s">
        <v>10402</v>
      </c>
      <c r="E1357" t="s">
        <v>13401</v>
      </c>
    </row>
    <row r="1358" spans="1:5">
      <c r="A1358" t="s">
        <v>7101</v>
      </c>
      <c r="B1358" t="s">
        <v>12442</v>
      </c>
      <c r="C1358" t="s">
        <v>12446</v>
      </c>
      <c r="D1358" t="s">
        <v>10388</v>
      </c>
      <c r="E1358" t="s">
        <v>12452</v>
      </c>
    </row>
    <row r="1359" spans="1:5">
      <c r="A1359" t="s">
        <v>7106</v>
      </c>
      <c r="B1359" t="s">
        <v>12491</v>
      </c>
      <c r="C1359" t="s">
        <v>12392</v>
      </c>
      <c r="D1359" t="s">
        <v>10381</v>
      </c>
      <c r="E1359" t="s">
        <v>13144</v>
      </c>
    </row>
    <row r="1360" spans="1:5">
      <c r="A1360" t="s">
        <v>7111</v>
      </c>
      <c r="B1360" t="s">
        <v>12436</v>
      </c>
      <c r="C1360" t="s">
        <v>12392</v>
      </c>
      <c r="D1360" t="s">
        <v>12456</v>
      </c>
      <c r="E1360" t="s">
        <v>13402</v>
      </c>
    </row>
    <row r="1361" spans="1:5">
      <c r="A1361" t="s">
        <v>7116</v>
      </c>
      <c r="B1361" t="s">
        <v>12377</v>
      </c>
      <c r="C1361" t="s">
        <v>12419</v>
      </c>
      <c r="D1361" t="s">
        <v>12467</v>
      </c>
      <c r="E1361" t="s">
        <v>13403</v>
      </c>
    </row>
    <row r="1362" spans="1:5">
      <c r="A1362" t="s">
        <v>7121</v>
      </c>
      <c r="B1362" t="s">
        <v>12399</v>
      </c>
      <c r="C1362" t="s">
        <v>12415</v>
      </c>
      <c r="D1362" t="s">
        <v>12381</v>
      </c>
      <c r="E1362" t="s">
        <v>13404</v>
      </c>
    </row>
    <row r="1363" spans="1:5">
      <c r="A1363" t="s">
        <v>7126</v>
      </c>
      <c r="B1363" t="s">
        <v>12450</v>
      </c>
      <c r="C1363" t="s">
        <v>12474</v>
      </c>
      <c r="D1363" t="s">
        <v>10388</v>
      </c>
      <c r="E1363" t="s">
        <v>12695</v>
      </c>
    </row>
    <row r="1364" spans="1:5">
      <c r="A1364" t="s">
        <v>7131</v>
      </c>
      <c r="B1364" t="s">
        <v>12450</v>
      </c>
      <c r="C1364" t="s">
        <v>12432</v>
      </c>
      <c r="D1364" t="s">
        <v>10381</v>
      </c>
      <c r="E1364" t="s">
        <v>13405</v>
      </c>
    </row>
    <row r="1365" spans="1:5">
      <c r="A1365" t="s">
        <v>7136</v>
      </c>
      <c r="B1365" t="s">
        <v>12386</v>
      </c>
      <c r="C1365" t="s">
        <v>12499</v>
      </c>
      <c r="D1365" t="s">
        <v>10388</v>
      </c>
      <c r="E1365" t="s">
        <v>12950</v>
      </c>
    </row>
    <row r="1366" spans="1:5">
      <c r="A1366" t="s">
        <v>7141</v>
      </c>
      <c r="B1366" t="s">
        <v>12473</v>
      </c>
      <c r="C1366" t="s">
        <v>12378</v>
      </c>
      <c r="D1366" t="s">
        <v>10388</v>
      </c>
      <c r="E1366" t="s">
        <v>13114</v>
      </c>
    </row>
    <row r="1367" spans="1:5">
      <c r="A1367" t="s">
        <v>7146</v>
      </c>
      <c r="B1367" t="s">
        <v>12442</v>
      </c>
      <c r="C1367" t="s">
        <v>12463</v>
      </c>
      <c r="D1367" t="s">
        <v>12437</v>
      </c>
      <c r="E1367" t="s">
        <v>13406</v>
      </c>
    </row>
    <row r="1368" spans="1:5">
      <c r="A1368" t="s">
        <v>7151</v>
      </c>
      <c r="B1368" t="s">
        <v>12391</v>
      </c>
      <c r="C1368" t="s">
        <v>12419</v>
      </c>
      <c r="D1368" t="s">
        <v>12401</v>
      </c>
      <c r="E1368" t="s">
        <v>13407</v>
      </c>
    </row>
    <row r="1369" spans="1:5">
      <c r="A1369" t="s">
        <v>7156</v>
      </c>
      <c r="B1369" t="s">
        <v>12406</v>
      </c>
      <c r="C1369" t="s">
        <v>12378</v>
      </c>
      <c r="D1369" t="s">
        <v>10388</v>
      </c>
      <c r="E1369" t="s">
        <v>13408</v>
      </c>
    </row>
    <row r="1370" spans="1:5">
      <c r="A1370" t="s">
        <v>7161</v>
      </c>
      <c r="B1370" t="s">
        <v>12399</v>
      </c>
      <c r="C1370" t="s">
        <v>12412</v>
      </c>
      <c r="D1370" t="s">
        <v>12413</v>
      </c>
      <c r="E1370" t="s">
        <v>12948</v>
      </c>
    </row>
    <row r="1371" spans="1:5">
      <c r="A1371" t="s">
        <v>7166</v>
      </c>
      <c r="B1371" t="s">
        <v>12470</v>
      </c>
      <c r="C1371" t="s">
        <v>12389</v>
      </c>
      <c r="D1371" t="s">
        <v>10388</v>
      </c>
      <c r="E1371" t="s">
        <v>13409</v>
      </c>
    </row>
    <row r="1372" spans="1:5">
      <c r="A1372" t="s">
        <v>7171</v>
      </c>
      <c r="B1372" t="s">
        <v>12377</v>
      </c>
      <c r="C1372" t="s">
        <v>12392</v>
      </c>
      <c r="D1372" t="s">
        <v>10381</v>
      </c>
      <c r="E1372" t="s">
        <v>13410</v>
      </c>
    </row>
    <row r="1373" spans="1:5">
      <c r="A1373" t="s">
        <v>7176</v>
      </c>
      <c r="B1373" t="s">
        <v>12552</v>
      </c>
      <c r="C1373" t="s">
        <v>12412</v>
      </c>
      <c r="D1373" t="s">
        <v>12413</v>
      </c>
      <c r="E1373" t="s">
        <v>12601</v>
      </c>
    </row>
    <row r="1374" spans="1:5">
      <c r="A1374" t="s">
        <v>7181</v>
      </c>
      <c r="B1374" t="s">
        <v>12450</v>
      </c>
      <c r="C1374" t="s">
        <v>12409</v>
      </c>
      <c r="D1374" t="s">
        <v>10388</v>
      </c>
      <c r="E1374" t="s">
        <v>13411</v>
      </c>
    </row>
    <row r="1375" spans="1:5">
      <c r="A1375" t="s">
        <v>7186</v>
      </c>
      <c r="B1375" t="s">
        <v>12470</v>
      </c>
      <c r="C1375" t="s">
        <v>12428</v>
      </c>
      <c r="D1375" t="s">
        <v>10388</v>
      </c>
      <c r="E1375" t="s">
        <v>13412</v>
      </c>
    </row>
    <row r="1376" spans="1:5">
      <c r="A1376" t="s">
        <v>7191</v>
      </c>
      <c r="B1376" t="s">
        <v>12394</v>
      </c>
      <c r="C1376" t="s">
        <v>12440</v>
      </c>
      <c r="D1376" t="s">
        <v>10388</v>
      </c>
      <c r="E1376" t="s">
        <v>13198</v>
      </c>
    </row>
    <row r="1377" spans="1:5">
      <c r="A1377" t="s">
        <v>7196</v>
      </c>
      <c r="B1377" t="s">
        <v>12380</v>
      </c>
      <c r="C1377" t="s">
        <v>12412</v>
      </c>
      <c r="D1377" t="s">
        <v>12437</v>
      </c>
      <c r="E1377" t="s">
        <v>13413</v>
      </c>
    </row>
    <row r="1378" spans="1:5">
      <c r="A1378" t="s">
        <v>7201</v>
      </c>
      <c r="B1378" t="s">
        <v>12552</v>
      </c>
      <c r="C1378" t="s">
        <v>12409</v>
      </c>
      <c r="D1378" t="s">
        <v>10388</v>
      </c>
      <c r="E1378" t="s">
        <v>13414</v>
      </c>
    </row>
    <row r="1379" spans="1:5">
      <c r="A1379" t="s">
        <v>7206</v>
      </c>
      <c r="B1379" t="s">
        <v>12470</v>
      </c>
      <c r="C1379" t="s">
        <v>12397</v>
      </c>
      <c r="D1379" t="s">
        <v>12437</v>
      </c>
      <c r="E1379" t="s">
        <v>13351</v>
      </c>
    </row>
    <row r="1380" spans="1:5">
      <c r="A1380" t="s">
        <v>7211</v>
      </c>
      <c r="B1380" t="s">
        <v>12388</v>
      </c>
      <c r="C1380" t="s">
        <v>12499</v>
      </c>
      <c r="D1380" t="s">
        <v>10388</v>
      </c>
      <c r="E1380" t="s">
        <v>13415</v>
      </c>
    </row>
    <row r="1381" spans="1:5">
      <c r="A1381" t="s">
        <v>7216</v>
      </c>
      <c r="B1381" t="s">
        <v>12386</v>
      </c>
      <c r="C1381" t="s">
        <v>12415</v>
      </c>
      <c r="D1381" t="s">
        <v>10381</v>
      </c>
      <c r="E1381" t="s">
        <v>12731</v>
      </c>
    </row>
    <row r="1382" spans="1:5">
      <c r="A1382" t="s">
        <v>7221</v>
      </c>
      <c r="B1382" t="s">
        <v>12434</v>
      </c>
      <c r="C1382" t="s">
        <v>12419</v>
      </c>
      <c r="D1382" t="s">
        <v>10381</v>
      </c>
      <c r="E1382" t="s">
        <v>13416</v>
      </c>
    </row>
    <row r="1383" spans="1:5">
      <c r="A1383" t="s">
        <v>7226</v>
      </c>
      <c r="B1383" t="s">
        <v>12439</v>
      </c>
      <c r="C1383" t="s">
        <v>12389</v>
      </c>
      <c r="D1383" t="s">
        <v>10388</v>
      </c>
      <c r="E1383" t="s">
        <v>13342</v>
      </c>
    </row>
    <row r="1384" spans="1:5">
      <c r="A1384" t="s">
        <v>7231</v>
      </c>
      <c r="B1384" t="s">
        <v>12450</v>
      </c>
      <c r="C1384" t="s">
        <v>12446</v>
      </c>
      <c r="D1384" t="s">
        <v>10388</v>
      </c>
      <c r="E1384" t="s">
        <v>12813</v>
      </c>
    </row>
    <row r="1385" spans="1:5">
      <c r="A1385" t="s">
        <v>7236</v>
      </c>
      <c r="B1385" t="s">
        <v>12461</v>
      </c>
      <c r="C1385" t="s">
        <v>10369</v>
      </c>
      <c r="D1385" t="s">
        <v>12467</v>
      </c>
      <c r="E1385" t="s">
        <v>12806</v>
      </c>
    </row>
    <row r="1386" spans="1:5">
      <c r="A1386" t="s">
        <v>7241</v>
      </c>
      <c r="B1386" t="s">
        <v>12455</v>
      </c>
      <c r="C1386" t="s">
        <v>12463</v>
      </c>
      <c r="D1386" t="s">
        <v>10376</v>
      </c>
      <c r="E1386" t="s">
        <v>13417</v>
      </c>
    </row>
    <row r="1387" spans="1:5">
      <c r="A1387" t="s">
        <v>7246</v>
      </c>
      <c r="B1387" t="s">
        <v>12377</v>
      </c>
      <c r="C1387" t="s">
        <v>12409</v>
      </c>
      <c r="D1387" t="s">
        <v>10388</v>
      </c>
      <c r="E1387" t="s">
        <v>13418</v>
      </c>
    </row>
    <row r="1388" spans="1:5">
      <c r="A1388" t="s">
        <v>7251</v>
      </c>
      <c r="B1388" t="s">
        <v>12498</v>
      </c>
      <c r="C1388" t="s">
        <v>12440</v>
      </c>
      <c r="D1388" t="s">
        <v>10388</v>
      </c>
      <c r="E1388" t="s">
        <v>12713</v>
      </c>
    </row>
    <row r="1389" spans="1:5">
      <c r="A1389" t="s">
        <v>7256</v>
      </c>
      <c r="B1389" t="s">
        <v>12477</v>
      </c>
      <c r="C1389" t="s">
        <v>12378</v>
      </c>
      <c r="D1389" t="s">
        <v>10388</v>
      </c>
      <c r="E1389" t="s">
        <v>13419</v>
      </c>
    </row>
    <row r="1390" spans="1:5">
      <c r="A1390" t="s">
        <v>7261</v>
      </c>
      <c r="B1390" t="s">
        <v>12411</v>
      </c>
      <c r="C1390" t="s">
        <v>12407</v>
      </c>
      <c r="D1390" t="s">
        <v>10388</v>
      </c>
      <c r="E1390" t="s">
        <v>12537</v>
      </c>
    </row>
    <row r="1391" spans="1:5">
      <c r="A1391" t="s">
        <v>7266</v>
      </c>
      <c r="B1391" t="s">
        <v>12394</v>
      </c>
      <c r="C1391" t="s">
        <v>12499</v>
      </c>
      <c r="D1391" t="s">
        <v>10388</v>
      </c>
      <c r="E1391" t="s">
        <v>12597</v>
      </c>
    </row>
    <row r="1392" spans="1:5">
      <c r="A1392" t="s">
        <v>7271</v>
      </c>
      <c r="B1392" t="s">
        <v>12434</v>
      </c>
      <c r="C1392" t="s">
        <v>12474</v>
      </c>
      <c r="D1392" t="s">
        <v>10388</v>
      </c>
      <c r="E1392" t="s">
        <v>12615</v>
      </c>
    </row>
    <row r="1393" spans="1:5">
      <c r="A1393" t="s">
        <v>7276</v>
      </c>
      <c r="B1393" t="s">
        <v>12483</v>
      </c>
      <c r="C1393" t="s">
        <v>12407</v>
      </c>
      <c r="D1393" t="s">
        <v>10388</v>
      </c>
      <c r="E1393" t="s">
        <v>12641</v>
      </c>
    </row>
    <row r="1394" spans="1:5">
      <c r="A1394" t="s">
        <v>7281</v>
      </c>
      <c r="B1394" t="s">
        <v>12406</v>
      </c>
      <c r="C1394" t="s">
        <v>12419</v>
      </c>
      <c r="D1394" t="s">
        <v>10402</v>
      </c>
      <c r="E1394" t="s">
        <v>13420</v>
      </c>
    </row>
    <row r="1395" spans="1:5">
      <c r="A1395" t="s">
        <v>7286</v>
      </c>
      <c r="B1395" t="s">
        <v>12406</v>
      </c>
      <c r="C1395" t="s">
        <v>12397</v>
      </c>
      <c r="D1395" t="s">
        <v>12416</v>
      </c>
      <c r="E1395" t="s">
        <v>12547</v>
      </c>
    </row>
    <row r="1396" spans="1:5">
      <c r="A1396" t="s">
        <v>7291</v>
      </c>
      <c r="B1396" t="s">
        <v>12498</v>
      </c>
      <c r="C1396" t="s">
        <v>12428</v>
      </c>
      <c r="D1396" t="s">
        <v>10388</v>
      </c>
      <c r="E1396" t="s">
        <v>13018</v>
      </c>
    </row>
    <row r="1397" spans="1:5">
      <c r="A1397" t="s">
        <v>7296</v>
      </c>
      <c r="B1397" t="s">
        <v>12424</v>
      </c>
      <c r="C1397" t="s">
        <v>12415</v>
      </c>
      <c r="D1397" t="s">
        <v>12381</v>
      </c>
      <c r="E1397" t="s">
        <v>13421</v>
      </c>
    </row>
    <row r="1398" spans="1:5">
      <c r="A1398" t="s">
        <v>7301</v>
      </c>
      <c r="B1398" t="s">
        <v>12461</v>
      </c>
      <c r="C1398" t="s">
        <v>12463</v>
      </c>
      <c r="D1398" t="s">
        <v>12437</v>
      </c>
      <c r="E1398" t="s">
        <v>13422</v>
      </c>
    </row>
    <row r="1399" spans="1:5">
      <c r="A1399" t="s">
        <v>7306</v>
      </c>
      <c r="B1399" t="s">
        <v>12421</v>
      </c>
      <c r="C1399" t="s">
        <v>12463</v>
      </c>
      <c r="D1399" t="s">
        <v>12467</v>
      </c>
      <c r="E1399" t="s">
        <v>13280</v>
      </c>
    </row>
    <row r="1400" spans="1:5">
      <c r="A1400" t="s">
        <v>7312</v>
      </c>
      <c r="B1400" t="s">
        <v>12421</v>
      </c>
      <c r="C1400" t="s">
        <v>12384</v>
      </c>
      <c r="D1400" t="s">
        <v>12381</v>
      </c>
      <c r="E1400" t="s">
        <v>13292</v>
      </c>
    </row>
    <row r="1401" spans="1:5">
      <c r="A1401" t="s">
        <v>7317</v>
      </c>
      <c r="B1401" t="s">
        <v>12470</v>
      </c>
      <c r="C1401" t="s">
        <v>12384</v>
      </c>
      <c r="D1401" t="s">
        <v>10376</v>
      </c>
      <c r="E1401" t="s">
        <v>13005</v>
      </c>
    </row>
    <row r="1402" spans="1:5">
      <c r="A1402" t="s">
        <v>7322</v>
      </c>
      <c r="B1402" t="s">
        <v>12477</v>
      </c>
      <c r="C1402" t="s">
        <v>12409</v>
      </c>
      <c r="D1402" t="s">
        <v>10388</v>
      </c>
      <c r="E1402" t="s">
        <v>13423</v>
      </c>
    </row>
    <row r="1403" spans="1:5">
      <c r="A1403" t="s">
        <v>7327</v>
      </c>
      <c r="B1403" t="s">
        <v>12403</v>
      </c>
      <c r="C1403" t="s">
        <v>10369</v>
      </c>
      <c r="D1403" t="s">
        <v>10402</v>
      </c>
      <c r="E1403" t="s">
        <v>13424</v>
      </c>
    </row>
    <row r="1404" spans="1:5">
      <c r="A1404" t="s">
        <v>7332</v>
      </c>
      <c r="B1404" t="s">
        <v>12380</v>
      </c>
      <c r="C1404" t="s">
        <v>12419</v>
      </c>
      <c r="D1404" t="s">
        <v>12416</v>
      </c>
      <c r="E1404" t="s">
        <v>13425</v>
      </c>
    </row>
    <row r="1405" spans="1:5">
      <c r="A1405" t="s">
        <v>7337</v>
      </c>
      <c r="B1405" t="s">
        <v>12380</v>
      </c>
      <c r="C1405" t="s">
        <v>12412</v>
      </c>
      <c r="D1405" t="s">
        <v>12401</v>
      </c>
      <c r="E1405" t="s">
        <v>13426</v>
      </c>
    </row>
    <row r="1406" spans="1:5">
      <c r="A1406" t="s">
        <v>7342</v>
      </c>
      <c r="B1406" t="s">
        <v>12436</v>
      </c>
      <c r="C1406" t="s">
        <v>12415</v>
      </c>
      <c r="D1406" t="s">
        <v>12437</v>
      </c>
      <c r="E1406" t="s">
        <v>12556</v>
      </c>
    </row>
    <row r="1407" spans="1:5">
      <c r="A1407" t="s">
        <v>7347</v>
      </c>
      <c r="B1407" t="s">
        <v>12461</v>
      </c>
      <c r="C1407" t="s">
        <v>12446</v>
      </c>
      <c r="D1407" t="s">
        <v>10388</v>
      </c>
      <c r="E1407" t="s">
        <v>13427</v>
      </c>
    </row>
    <row r="1408" spans="1:5">
      <c r="A1408" t="s">
        <v>7352</v>
      </c>
      <c r="B1408" t="s">
        <v>12503</v>
      </c>
      <c r="C1408" t="s">
        <v>12493</v>
      </c>
      <c r="D1408" t="s">
        <v>10388</v>
      </c>
      <c r="E1408" t="s">
        <v>13124</v>
      </c>
    </row>
    <row r="1409" spans="1:5">
      <c r="A1409" t="s">
        <v>7357</v>
      </c>
      <c r="B1409" t="s">
        <v>12445</v>
      </c>
      <c r="C1409" t="s">
        <v>12474</v>
      </c>
      <c r="D1409" t="s">
        <v>10388</v>
      </c>
      <c r="E1409" t="s">
        <v>13428</v>
      </c>
    </row>
    <row r="1410" spans="1:5">
      <c r="A1410" t="s">
        <v>7362</v>
      </c>
      <c r="B1410" t="s">
        <v>12525</v>
      </c>
      <c r="C1410" t="s">
        <v>12474</v>
      </c>
      <c r="D1410" t="s">
        <v>10388</v>
      </c>
      <c r="E1410" t="s">
        <v>13084</v>
      </c>
    </row>
    <row r="1411" spans="1:5">
      <c r="A1411" t="s">
        <v>7367</v>
      </c>
      <c r="B1411" t="s">
        <v>12508</v>
      </c>
      <c r="C1411" t="s">
        <v>12428</v>
      </c>
      <c r="D1411" t="s">
        <v>10388</v>
      </c>
      <c r="E1411" t="s">
        <v>13123</v>
      </c>
    </row>
    <row r="1412" spans="1:5">
      <c r="A1412" t="s">
        <v>7372</v>
      </c>
      <c r="B1412" t="s">
        <v>12380</v>
      </c>
      <c r="C1412" t="s">
        <v>12440</v>
      </c>
      <c r="D1412" t="s">
        <v>10388</v>
      </c>
      <c r="E1412" t="s">
        <v>12462</v>
      </c>
    </row>
    <row r="1413" spans="1:5">
      <c r="A1413" t="s">
        <v>7377</v>
      </c>
      <c r="B1413" t="s">
        <v>12424</v>
      </c>
      <c r="C1413" t="s">
        <v>12432</v>
      </c>
      <c r="D1413" t="s">
        <v>12413</v>
      </c>
      <c r="E1413" t="s">
        <v>12417</v>
      </c>
    </row>
    <row r="1414" spans="1:5">
      <c r="A1414" t="s">
        <v>7382</v>
      </c>
      <c r="B1414" t="s">
        <v>12461</v>
      </c>
      <c r="C1414" t="s">
        <v>10369</v>
      </c>
      <c r="D1414" t="s">
        <v>12381</v>
      </c>
      <c r="E1414" t="s">
        <v>13429</v>
      </c>
    </row>
    <row r="1415" spans="1:5">
      <c r="A1415" t="s">
        <v>7387</v>
      </c>
      <c r="B1415" t="s">
        <v>12394</v>
      </c>
      <c r="C1415" t="s">
        <v>12474</v>
      </c>
      <c r="D1415" t="s">
        <v>10388</v>
      </c>
      <c r="E1415" t="s">
        <v>12852</v>
      </c>
    </row>
    <row r="1416" spans="1:5">
      <c r="A1416" t="s">
        <v>7392</v>
      </c>
      <c r="B1416" t="s">
        <v>12498</v>
      </c>
      <c r="C1416" t="s">
        <v>12463</v>
      </c>
      <c r="D1416" t="s">
        <v>10402</v>
      </c>
      <c r="E1416" t="s">
        <v>13430</v>
      </c>
    </row>
    <row r="1417" spans="1:5">
      <c r="A1417" t="s">
        <v>7397</v>
      </c>
      <c r="B1417" t="s">
        <v>12552</v>
      </c>
      <c r="C1417" t="s">
        <v>12474</v>
      </c>
      <c r="D1417" t="s">
        <v>10388</v>
      </c>
      <c r="E1417" t="s">
        <v>12911</v>
      </c>
    </row>
    <row r="1418" spans="1:5">
      <c r="A1418" t="s">
        <v>7402</v>
      </c>
      <c r="B1418" t="s">
        <v>12388</v>
      </c>
      <c r="C1418" t="s">
        <v>12400</v>
      </c>
      <c r="D1418" t="s">
        <v>12467</v>
      </c>
      <c r="E1418" t="s">
        <v>13431</v>
      </c>
    </row>
    <row r="1419" spans="1:5">
      <c r="A1419" t="s">
        <v>7407</v>
      </c>
      <c r="B1419" t="s">
        <v>12403</v>
      </c>
      <c r="C1419" t="s">
        <v>12392</v>
      </c>
      <c r="D1419" t="s">
        <v>10376</v>
      </c>
      <c r="E1419" t="s">
        <v>12568</v>
      </c>
    </row>
    <row r="1420" spans="1:5">
      <c r="A1420" t="s">
        <v>7412</v>
      </c>
      <c r="B1420" t="s">
        <v>12503</v>
      </c>
      <c r="C1420" t="s">
        <v>12392</v>
      </c>
      <c r="D1420" t="s">
        <v>10376</v>
      </c>
      <c r="E1420" t="s">
        <v>13432</v>
      </c>
    </row>
    <row r="1421" spans="1:5">
      <c r="A1421" t="s">
        <v>7417</v>
      </c>
      <c r="B1421" t="s">
        <v>12455</v>
      </c>
      <c r="C1421" t="s">
        <v>12412</v>
      </c>
      <c r="D1421" t="s">
        <v>12381</v>
      </c>
      <c r="E1421" t="s">
        <v>13223</v>
      </c>
    </row>
    <row r="1422" spans="1:5">
      <c r="A1422" t="s">
        <v>7422</v>
      </c>
      <c r="B1422" t="s">
        <v>12418</v>
      </c>
      <c r="C1422" t="s">
        <v>12474</v>
      </c>
      <c r="D1422" t="s">
        <v>10388</v>
      </c>
      <c r="E1422" t="s">
        <v>12520</v>
      </c>
    </row>
    <row r="1423" spans="1:5">
      <c r="A1423" t="s">
        <v>7427</v>
      </c>
      <c r="B1423" t="s">
        <v>12396</v>
      </c>
      <c r="C1423" t="s">
        <v>12428</v>
      </c>
      <c r="D1423" t="s">
        <v>10388</v>
      </c>
      <c r="E1423" t="s">
        <v>13291</v>
      </c>
    </row>
    <row r="1424" spans="1:5">
      <c r="A1424" t="s">
        <v>7432</v>
      </c>
      <c r="B1424" t="s">
        <v>12411</v>
      </c>
      <c r="C1424" t="s">
        <v>12493</v>
      </c>
      <c r="D1424" t="s">
        <v>10388</v>
      </c>
      <c r="E1424" t="s">
        <v>12957</v>
      </c>
    </row>
    <row r="1425" spans="1:5">
      <c r="A1425" t="s">
        <v>7437</v>
      </c>
      <c r="B1425" t="s">
        <v>12380</v>
      </c>
      <c r="C1425" t="s">
        <v>12474</v>
      </c>
      <c r="D1425" t="s">
        <v>10388</v>
      </c>
      <c r="E1425" t="s">
        <v>13157</v>
      </c>
    </row>
    <row r="1426" spans="1:5">
      <c r="A1426" t="s">
        <v>7442</v>
      </c>
      <c r="B1426" t="s">
        <v>12483</v>
      </c>
      <c r="C1426" t="s">
        <v>12499</v>
      </c>
      <c r="D1426" t="s">
        <v>10388</v>
      </c>
      <c r="E1426" t="s">
        <v>12952</v>
      </c>
    </row>
    <row r="1427" spans="1:5">
      <c r="A1427" t="s">
        <v>7447</v>
      </c>
      <c r="B1427" t="s">
        <v>12525</v>
      </c>
      <c r="C1427" t="s">
        <v>12428</v>
      </c>
      <c r="D1427" t="s">
        <v>10388</v>
      </c>
      <c r="E1427" t="s">
        <v>12815</v>
      </c>
    </row>
    <row r="1428" spans="1:5">
      <c r="A1428" t="s">
        <v>7452</v>
      </c>
      <c r="B1428" t="s">
        <v>12386</v>
      </c>
      <c r="C1428" t="s">
        <v>12397</v>
      </c>
      <c r="D1428" t="s">
        <v>12401</v>
      </c>
      <c r="E1428" t="s">
        <v>13433</v>
      </c>
    </row>
    <row r="1429" spans="1:5">
      <c r="A1429" t="s">
        <v>7457</v>
      </c>
      <c r="B1429" t="s">
        <v>12491</v>
      </c>
      <c r="C1429" t="s">
        <v>12499</v>
      </c>
      <c r="D1429" t="s">
        <v>10388</v>
      </c>
      <c r="E1429" t="s">
        <v>13434</v>
      </c>
    </row>
    <row r="1430" spans="1:5">
      <c r="A1430" t="s">
        <v>7462</v>
      </c>
      <c r="B1430" t="s">
        <v>12508</v>
      </c>
      <c r="C1430" t="s">
        <v>12415</v>
      </c>
      <c r="D1430" t="s">
        <v>12437</v>
      </c>
      <c r="E1430" t="s">
        <v>12844</v>
      </c>
    </row>
    <row r="1431" spans="1:5">
      <c r="A1431" t="s">
        <v>7467</v>
      </c>
      <c r="B1431" t="s">
        <v>12380</v>
      </c>
      <c r="C1431" t="s">
        <v>10369</v>
      </c>
      <c r="D1431" t="s">
        <v>12437</v>
      </c>
      <c r="E1431" t="s">
        <v>13435</v>
      </c>
    </row>
    <row r="1432" spans="1:5">
      <c r="A1432" t="s">
        <v>7472</v>
      </c>
      <c r="B1432" t="s">
        <v>12461</v>
      </c>
      <c r="C1432" t="s">
        <v>12412</v>
      </c>
      <c r="D1432" t="s">
        <v>10402</v>
      </c>
      <c r="E1432" t="s">
        <v>13436</v>
      </c>
    </row>
    <row r="1433" spans="1:5">
      <c r="A1433" t="s">
        <v>7477</v>
      </c>
      <c r="B1433" t="s">
        <v>12442</v>
      </c>
      <c r="C1433" t="s">
        <v>12378</v>
      </c>
      <c r="D1433" t="s">
        <v>10388</v>
      </c>
      <c r="E1433" t="s">
        <v>13437</v>
      </c>
    </row>
    <row r="1434" spans="1:5">
      <c r="A1434" t="s">
        <v>7482</v>
      </c>
      <c r="B1434" t="s">
        <v>12453</v>
      </c>
      <c r="C1434" t="s">
        <v>12432</v>
      </c>
      <c r="D1434" t="s">
        <v>10402</v>
      </c>
      <c r="E1434" t="s">
        <v>13438</v>
      </c>
    </row>
    <row r="1435" spans="1:5">
      <c r="A1435" t="s">
        <v>7487</v>
      </c>
      <c r="B1435" t="s">
        <v>12436</v>
      </c>
      <c r="C1435" t="s">
        <v>12415</v>
      </c>
      <c r="D1435" t="s">
        <v>12413</v>
      </c>
      <c r="E1435" t="s">
        <v>13439</v>
      </c>
    </row>
    <row r="1436" spans="1:5">
      <c r="A1436" t="s">
        <v>7492</v>
      </c>
      <c r="B1436" t="s">
        <v>12386</v>
      </c>
      <c r="C1436" t="s">
        <v>12419</v>
      </c>
      <c r="D1436" t="s">
        <v>12416</v>
      </c>
      <c r="E1436" t="s">
        <v>13440</v>
      </c>
    </row>
    <row r="1437" spans="1:5">
      <c r="A1437" t="s">
        <v>7497</v>
      </c>
      <c r="B1437" t="s">
        <v>12406</v>
      </c>
      <c r="C1437" t="s">
        <v>12409</v>
      </c>
      <c r="D1437" t="s">
        <v>10388</v>
      </c>
      <c r="E1437" t="s">
        <v>13441</v>
      </c>
    </row>
    <row r="1438" spans="1:5">
      <c r="A1438" t="s">
        <v>7502</v>
      </c>
      <c r="B1438" t="s">
        <v>12386</v>
      </c>
      <c r="C1438" t="s">
        <v>12428</v>
      </c>
      <c r="D1438" t="s">
        <v>10388</v>
      </c>
      <c r="E1438" t="s">
        <v>13442</v>
      </c>
    </row>
    <row r="1439" spans="1:5">
      <c r="A1439" t="s">
        <v>7507</v>
      </c>
      <c r="B1439" t="s">
        <v>12403</v>
      </c>
      <c r="C1439" t="s">
        <v>12499</v>
      </c>
      <c r="D1439" t="s">
        <v>10388</v>
      </c>
      <c r="E1439" t="s">
        <v>13048</v>
      </c>
    </row>
    <row r="1440" spans="1:5">
      <c r="A1440" t="s">
        <v>7512</v>
      </c>
      <c r="B1440" t="s">
        <v>12461</v>
      </c>
      <c r="C1440" t="s">
        <v>12389</v>
      </c>
      <c r="D1440" t="s">
        <v>10388</v>
      </c>
      <c r="E1440" t="s">
        <v>12944</v>
      </c>
    </row>
    <row r="1441" spans="1:5">
      <c r="A1441" t="s">
        <v>7517</v>
      </c>
      <c r="B1441" t="s">
        <v>12426</v>
      </c>
      <c r="C1441" t="s">
        <v>12397</v>
      </c>
      <c r="D1441" t="s">
        <v>12401</v>
      </c>
      <c r="E1441" t="s">
        <v>13304</v>
      </c>
    </row>
    <row r="1442" spans="1:5">
      <c r="A1442" t="s">
        <v>7522</v>
      </c>
      <c r="B1442" t="s">
        <v>12477</v>
      </c>
      <c r="C1442" t="s">
        <v>12397</v>
      </c>
      <c r="D1442" t="s">
        <v>10376</v>
      </c>
      <c r="E1442" t="s">
        <v>13348</v>
      </c>
    </row>
    <row r="1443" spans="1:5">
      <c r="A1443" t="s">
        <v>7527</v>
      </c>
      <c r="B1443" t="s">
        <v>12383</v>
      </c>
      <c r="C1443" t="s">
        <v>12384</v>
      </c>
      <c r="D1443" t="s">
        <v>12401</v>
      </c>
      <c r="E1443" t="s">
        <v>13426</v>
      </c>
    </row>
    <row r="1444" spans="1:5">
      <c r="A1444" t="s">
        <v>7532</v>
      </c>
      <c r="B1444" t="s">
        <v>12377</v>
      </c>
      <c r="C1444" t="s">
        <v>12463</v>
      </c>
      <c r="D1444" t="s">
        <v>12437</v>
      </c>
      <c r="E1444" t="s">
        <v>13139</v>
      </c>
    </row>
    <row r="1445" spans="1:5">
      <c r="A1445" t="s">
        <v>7537</v>
      </c>
      <c r="B1445" t="s">
        <v>12442</v>
      </c>
      <c r="C1445" t="s">
        <v>12474</v>
      </c>
      <c r="D1445" t="s">
        <v>10388</v>
      </c>
      <c r="E1445" t="s">
        <v>12534</v>
      </c>
    </row>
    <row r="1446" spans="1:5">
      <c r="A1446" t="s">
        <v>7542</v>
      </c>
      <c r="B1446" t="s">
        <v>12394</v>
      </c>
      <c r="C1446" t="s">
        <v>12384</v>
      </c>
      <c r="D1446" t="s">
        <v>12401</v>
      </c>
      <c r="E1446" t="s">
        <v>13443</v>
      </c>
    </row>
    <row r="1447" spans="1:5">
      <c r="A1447" t="s">
        <v>7547</v>
      </c>
      <c r="B1447" t="s">
        <v>12430</v>
      </c>
      <c r="C1447" t="s">
        <v>12428</v>
      </c>
      <c r="D1447" t="s">
        <v>10388</v>
      </c>
      <c r="E1447" t="s">
        <v>13109</v>
      </c>
    </row>
    <row r="1448" spans="1:5">
      <c r="A1448" t="s">
        <v>7552</v>
      </c>
      <c r="B1448" t="s">
        <v>12388</v>
      </c>
      <c r="C1448" t="s">
        <v>12440</v>
      </c>
      <c r="D1448" t="s">
        <v>10388</v>
      </c>
      <c r="E1448" t="s">
        <v>13444</v>
      </c>
    </row>
    <row r="1449" spans="1:5">
      <c r="A1449" t="s">
        <v>7557</v>
      </c>
      <c r="B1449" t="s">
        <v>12565</v>
      </c>
      <c r="C1449" t="s">
        <v>12428</v>
      </c>
      <c r="D1449" t="s">
        <v>10388</v>
      </c>
      <c r="E1449" t="s">
        <v>13445</v>
      </c>
    </row>
    <row r="1450" spans="1:5">
      <c r="A1450" t="s">
        <v>7562</v>
      </c>
      <c r="B1450" t="s">
        <v>12426</v>
      </c>
      <c r="C1450" t="s">
        <v>12407</v>
      </c>
      <c r="D1450" t="s">
        <v>10388</v>
      </c>
      <c r="E1450" t="s">
        <v>13446</v>
      </c>
    </row>
    <row r="1451" spans="1:5">
      <c r="A1451" t="s">
        <v>7567</v>
      </c>
      <c r="B1451" t="s">
        <v>12418</v>
      </c>
      <c r="C1451" t="s">
        <v>12419</v>
      </c>
      <c r="D1451" t="s">
        <v>10376</v>
      </c>
      <c r="E1451" t="s">
        <v>12427</v>
      </c>
    </row>
    <row r="1452" spans="1:5">
      <c r="A1452" t="s">
        <v>7572</v>
      </c>
      <c r="B1452" t="s">
        <v>12565</v>
      </c>
      <c r="C1452" t="s">
        <v>12474</v>
      </c>
      <c r="D1452" t="s">
        <v>10388</v>
      </c>
      <c r="E1452" t="s">
        <v>13441</v>
      </c>
    </row>
    <row r="1453" spans="1:5">
      <c r="A1453" t="s">
        <v>7578</v>
      </c>
      <c r="B1453" t="s">
        <v>12388</v>
      </c>
      <c r="C1453" t="s">
        <v>12446</v>
      </c>
      <c r="D1453" t="s">
        <v>10388</v>
      </c>
      <c r="E1453" t="s">
        <v>12996</v>
      </c>
    </row>
    <row r="1454" spans="1:5">
      <c r="A1454" t="s">
        <v>7583</v>
      </c>
      <c r="B1454" t="s">
        <v>12439</v>
      </c>
      <c r="C1454" t="s">
        <v>10369</v>
      </c>
      <c r="D1454" t="s">
        <v>12413</v>
      </c>
      <c r="E1454" t="s">
        <v>13110</v>
      </c>
    </row>
    <row r="1455" spans="1:5">
      <c r="A1455" t="s">
        <v>7588</v>
      </c>
      <c r="B1455" t="s">
        <v>12394</v>
      </c>
      <c r="C1455" t="s">
        <v>12499</v>
      </c>
      <c r="D1455" t="s">
        <v>10388</v>
      </c>
      <c r="E1455" t="s">
        <v>12925</v>
      </c>
    </row>
    <row r="1456" spans="1:5">
      <c r="A1456" t="s">
        <v>7594</v>
      </c>
      <c r="B1456" t="s">
        <v>12498</v>
      </c>
      <c r="C1456" t="s">
        <v>12446</v>
      </c>
      <c r="D1456" t="s">
        <v>10388</v>
      </c>
      <c r="E1456" t="s">
        <v>13447</v>
      </c>
    </row>
    <row r="1457" spans="1:5">
      <c r="A1457" t="s">
        <v>7599</v>
      </c>
      <c r="B1457" t="s">
        <v>12411</v>
      </c>
      <c r="C1457" t="s">
        <v>12400</v>
      </c>
      <c r="D1457" t="s">
        <v>12456</v>
      </c>
      <c r="E1457" t="s">
        <v>12983</v>
      </c>
    </row>
    <row r="1458" spans="1:5">
      <c r="A1458" t="s">
        <v>7604</v>
      </c>
      <c r="B1458" t="s">
        <v>12461</v>
      </c>
      <c r="C1458" t="s">
        <v>10369</v>
      </c>
      <c r="D1458" t="s">
        <v>10376</v>
      </c>
      <c r="E1458" t="s">
        <v>13448</v>
      </c>
    </row>
    <row r="1459" spans="1:5">
      <c r="A1459" t="s">
        <v>7609</v>
      </c>
      <c r="B1459" t="s">
        <v>12388</v>
      </c>
      <c r="C1459" t="s">
        <v>12440</v>
      </c>
      <c r="D1459" t="s">
        <v>10388</v>
      </c>
      <c r="E1459" t="s">
        <v>13121</v>
      </c>
    </row>
    <row r="1460" spans="1:5">
      <c r="A1460" t="s">
        <v>7614</v>
      </c>
      <c r="B1460" t="s">
        <v>12552</v>
      </c>
      <c r="C1460" t="s">
        <v>12446</v>
      </c>
      <c r="D1460" t="s">
        <v>10388</v>
      </c>
      <c r="E1460" t="s">
        <v>12894</v>
      </c>
    </row>
    <row r="1461" spans="1:5">
      <c r="A1461" t="s">
        <v>7619</v>
      </c>
      <c r="B1461" t="s">
        <v>12563</v>
      </c>
      <c r="C1461" t="s">
        <v>12397</v>
      </c>
      <c r="D1461" t="s">
        <v>12437</v>
      </c>
      <c r="E1461" t="s">
        <v>13449</v>
      </c>
    </row>
    <row r="1462" spans="1:5">
      <c r="A1462" t="s">
        <v>7624</v>
      </c>
      <c r="B1462" t="s">
        <v>12434</v>
      </c>
      <c r="C1462" t="s">
        <v>12440</v>
      </c>
      <c r="D1462" t="s">
        <v>10388</v>
      </c>
      <c r="E1462" t="s">
        <v>13450</v>
      </c>
    </row>
    <row r="1463" spans="1:5">
      <c r="A1463" t="s">
        <v>7629</v>
      </c>
      <c r="B1463" t="s">
        <v>12473</v>
      </c>
      <c r="C1463" t="s">
        <v>12419</v>
      </c>
      <c r="D1463" t="s">
        <v>12413</v>
      </c>
      <c r="E1463" t="s">
        <v>12751</v>
      </c>
    </row>
    <row r="1464" spans="1:5">
      <c r="A1464" t="s">
        <v>7634</v>
      </c>
      <c r="B1464" t="s">
        <v>12450</v>
      </c>
      <c r="C1464" t="s">
        <v>12499</v>
      </c>
      <c r="D1464" t="s">
        <v>10388</v>
      </c>
      <c r="E1464" t="s">
        <v>13107</v>
      </c>
    </row>
    <row r="1465" spans="1:5">
      <c r="A1465" t="s">
        <v>7639</v>
      </c>
      <c r="B1465" t="s">
        <v>12394</v>
      </c>
      <c r="C1465" t="s">
        <v>12440</v>
      </c>
      <c r="D1465" t="s">
        <v>10388</v>
      </c>
      <c r="E1465" t="s">
        <v>12617</v>
      </c>
    </row>
    <row r="1466" spans="1:5">
      <c r="A1466" t="s">
        <v>7644</v>
      </c>
      <c r="B1466" t="s">
        <v>12380</v>
      </c>
      <c r="C1466" t="s">
        <v>12409</v>
      </c>
      <c r="D1466" t="s">
        <v>10388</v>
      </c>
      <c r="E1466" t="s">
        <v>12589</v>
      </c>
    </row>
    <row r="1467" spans="1:5">
      <c r="A1467" t="s">
        <v>7649</v>
      </c>
      <c r="B1467" t="s">
        <v>12498</v>
      </c>
      <c r="C1467" t="s">
        <v>12392</v>
      </c>
      <c r="D1467" t="s">
        <v>10381</v>
      </c>
      <c r="E1467" t="s">
        <v>12554</v>
      </c>
    </row>
    <row r="1468" spans="1:5">
      <c r="A1468" t="s">
        <v>7654</v>
      </c>
      <c r="B1468" t="s">
        <v>12508</v>
      </c>
      <c r="C1468" t="s">
        <v>12432</v>
      </c>
      <c r="D1468" t="s">
        <v>12416</v>
      </c>
      <c r="E1468" t="s">
        <v>13451</v>
      </c>
    </row>
    <row r="1469" spans="1:5">
      <c r="A1469" t="s">
        <v>7659</v>
      </c>
      <c r="B1469" t="s">
        <v>12434</v>
      </c>
      <c r="C1469" t="s">
        <v>12432</v>
      </c>
      <c r="D1469" t="s">
        <v>10376</v>
      </c>
      <c r="E1469" t="s">
        <v>13452</v>
      </c>
    </row>
    <row r="1470" spans="1:5">
      <c r="A1470" t="s">
        <v>7664</v>
      </c>
      <c r="B1470" t="s">
        <v>12396</v>
      </c>
      <c r="C1470" t="s">
        <v>12428</v>
      </c>
      <c r="D1470" t="s">
        <v>10388</v>
      </c>
      <c r="E1470" t="s">
        <v>13453</v>
      </c>
    </row>
    <row r="1471" spans="1:5">
      <c r="A1471" t="s">
        <v>7669</v>
      </c>
      <c r="B1471" t="s">
        <v>12383</v>
      </c>
      <c r="C1471" t="s">
        <v>12407</v>
      </c>
      <c r="D1471" t="s">
        <v>10388</v>
      </c>
      <c r="E1471" t="s">
        <v>13454</v>
      </c>
    </row>
    <row r="1472" spans="1:5">
      <c r="A1472" t="s">
        <v>7674</v>
      </c>
      <c r="B1472" t="s">
        <v>12403</v>
      </c>
      <c r="C1472" t="s">
        <v>12389</v>
      </c>
      <c r="D1472" t="s">
        <v>10388</v>
      </c>
      <c r="E1472" t="s">
        <v>13419</v>
      </c>
    </row>
    <row r="1473" spans="1:5">
      <c r="A1473" t="s">
        <v>7679</v>
      </c>
      <c r="B1473" t="s">
        <v>12455</v>
      </c>
      <c r="C1473" t="s">
        <v>12415</v>
      </c>
      <c r="D1473" t="s">
        <v>12456</v>
      </c>
      <c r="E1473" t="s">
        <v>13455</v>
      </c>
    </row>
    <row r="1474" spans="1:5">
      <c r="A1474" t="s">
        <v>7684</v>
      </c>
      <c r="B1474" t="s">
        <v>12386</v>
      </c>
      <c r="C1474" t="s">
        <v>12378</v>
      </c>
      <c r="D1474" t="s">
        <v>10388</v>
      </c>
      <c r="E1474" t="s">
        <v>12961</v>
      </c>
    </row>
    <row r="1475" spans="1:5">
      <c r="A1475" t="s">
        <v>7689</v>
      </c>
      <c r="B1475" t="s">
        <v>12391</v>
      </c>
      <c r="C1475" t="s">
        <v>12474</v>
      </c>
      <c r="D1475" t="s">
        <v>10388</v>
      </c>
      <c r="E1475" t="s">
        <v>13336</v>
      </c>
    </row>
    <row r="1476" spans="1:5">
      <c r="A1476" t="s">
        <v>7694</v>
      </c>
      <c r="B1476" t="s">
        <v>12525</v>
      </c>
      <c r="C1476" t="s">
        <v>12463</v>
      </c>
      <c r="D1476" t="s">
        <v>12401</v>
      </c>
      <c r="E1476" t="s">
        <v>12476</v>
      </c>
    </row>
    <row r="1477" spans="1:5">
      <c r="A1477" t="s">
        <v>7699</v>
      </c>
      <c r="B1477" t="s">
        <v>12491</v>
      </c>
      <c r="C1477" t="s">
        <v>12389</v>
      </c>
      <c r="D1477" t="s">
        <v>10388</v>
      </c>
      <c r="E1477" t="s">
        <v>13456</v>
      </c>
    </row>
    <row r="1478" spans="1:5">
      <c r="A1478" t="s">
        <v>7704</v>
      </c>
      <c r="B1478" t="s">
        <v>12399</v>
      </c>
      <c r="C1478" t="s">
        <v>12378</v>
      </c>
      <c r="D1478" t="s">
        <v>10388</v>
      </c>
      <c r="E1478" t="s">
        <v>12954</v>
      </c>
    </row>
    <row r="1479" spans="1:5">
      <c r="A1479" t="s">
        <v>7709</v>
      </c>
      <c r="B1479" t="s">
        <v>12430</v>
      </c>
      <c r="C1479" t="s">
        <v>12389</v>
      </c>
      <c r="D1479" t="s">
        <v>10388</v>
      </c>
      <c r="E1479" t="s">
        <v>13457</v>
      </c>
    </row>
    <row r="1480" spans="1:5">
      <c r="A1480" t="s">
        <v>7714</v>
      </c>
      <c r="B1480" t="s">
        <v>12406</v>
      </c>
      <c r="C1480" t="s">
        <v>12392</v>
      </c>
      <c r="D1480" t="s">
        <v>12416</v>
      </c>
      <c r="E1480" t="s">
        <v>13458</v>
      </c>
    </row>
    <row r="1481" spans="1:5">
      <c r="A1481" t="s">
        <v>7719</v>
      </c>
      <c r="B1481" t="s">
        <v>12396</v>
      </c>
      <c r="C1481" t="s">
        <v>12392</v>
      </c>
      <c r="D1481" t="s">
        <v>10381</v>
      </c>
      <c r="E1481" t="s">
        <v>13459</v>
      </c>
    </row>
    <row r="1482" spans="1:5">
      <c r="A1482" t="s">
        <v>7724</v>
      </c>
      <c r="B1482" t="s">
        <v>12477</v>
      </c>
      <c r="C1482" t="s">
        <v>12428</v>
      </c>
      <c r="D1482" t="s">
        <v>10388</v>
      </c>
      <c r="E1482" t="s">
        <v>13460</v>
      </c>
    </row>
    <row r="1483" spans="1:5">
      <c r="A1483" t="s">
        <v>7729</v>
      </c>
      <c r="B1483" t="s">
        <v>12430</v>
      </c>
      <c r="C1483" t="s">
        <v>12389</v>
      </c>
      <c r="D1483" t="s">
        <v>10388</v>
      </c>
      <c r="E1483" t="s">
        <v>12883</v>
      </c>
    </row>
    <row r="1484" spans="1:5">
      <c r="A1484" t="s">
        <v>7734</v>
      </c>
      <c r="B1484" t="s">
        <v>12508</v>
      </c>
      <c r="C1484" t="s">
        <v>12419</v>
      </c>
      <c r="D1484" t="s">
        <v>10381</v>
      </c>
      <c r="E1484" t="s">
        <v>12702</v>
      </c>
    </row>
    <row r="1485" spans="1:5">
      <c r="A1485" t="s">
        <v>7739</v>
      </c>
      <c r="B1485" t="s">
        <v>12380</v>
      </c>
      <c r="C1485" t="s">
        <v>12499</v>
      </c>
      <c r="D1485" t="s">
        <v>10388</v>
      </c>
      <c r="E1485" t="s">
        <v>13461</v>
      </c>
    </row>
    <row r="1486" spans="1:5">
      <c r="A1486" t="s">
        <v>7744</v>
      </c>
      <c r="B1486" t="s">
        <v>12377</v>
      </c>
      <c r="C1486" t="s">
        <v>12474</v>
      </c>
      <c r="D1486" t="s">
        <v>10388</v>
      </c>
      <c r="E1486" t="s">
        <v>13462</v>
      </c>
    </row>
    <row r="1487" spans="1:5">
      <c r="A1487" t="s">
        <v>7749</v>
      </c>
      <c r="B1487" t="s">
        <v>12473</v>
      </c>
      <c r="C1487" t="s">
        <v>12400</v>
      </c>
      <c r="D1487" t="s">
        <v>12401</v>
      </c>
      <c r="E1487" t="s">
        <v>12645</v>
      </c>
    </row>
    <row r="1488" spans="1:5">
      <c r="A1488" t="s">
        <v>7754</v>
      </c>
      <c r="B1488" t="s">
        <v>12525</v>
      </c>
      <c r="C1488" t="s">
        <v>12499</v>
      </c>
      <c r="D1488" t="s">
        <v>10388</v>
      </c>
      <c r="E1488" t="s">
        <v>13463</v>
      </c>
    </row>
    <row r="1489" spans="1:5">
      <c r="A1489" t="s">
        <v>7759</v>
      </c>
      <c r="B1489" t="s">
        <v>12426</v>
      </c>
      <c r="C1489" t="s">
        <v>12389</v>
      </c>
      <c r="D1489" t="s">
        <v>10388</v>
      </c>
      <c r="E1489" t="s">
        <v>13464</v>
      </c>
    </row>
    <row r="1490" spans="1:5">
      <c r="A1490" t="s">
        <v>7764</v>
      </c>
      <c r="B1490" t="s">
        <v>12470</v>
      </c>
      <c r="C1490" t="s">
        <v>12392</v>
      </c>
      <c r="D1490" t="s">
        <v>10402</v>
      </c>
      <c r="E1490" t="s">
        <v>13465</v>
      </c>
    </row>
    <row r="1491" spans="1:5">
      <c r="A1491" t="s">
        <v>7769</v>
      </c>
      <c r="B1491" t="s">
        <v>12436</v>
      </c>
      <c r="C1491" t="s">
        <v>12428</v>
      </c>
      <c r="D1491" t="s">
        <v>10388</v>
      </c>
      <c r="E1491" t="s">
        <v>13466</v>
      </c>
    </row>
    <row r="1492" spans="1:5">
      <c r="A1492" t="s">
        <v>7774</v>
      </c>
      <c r="B1492" t="s">
        <v>12498</v>
      </c>
      <c r="C1492" t="s">
        <v>12412</v>
      </c>
      <c r="D1492" t="s">
        <v>10381</v>
      </c>
      <c r="E1492" t="s">
        <v>13467</v>
      </c>
    </row>
    <row r="1493" spans="1:5">
      <c r="A1493" t="s">
        <v>7779</v>
      </c>
      <c r="B1493" t="s">
        <v>12442</v>
      </c>
      <c r="C1493" t="s">
        <v>12440</v>
      </c>
      <c r="D1493" t="s">
        <v>10388</v>
      </c>
      <c r="E1493" t="s">
        <v>13468</v>
      </c>
    </row>
    <row r="1494" spans="1:5">
      <c r="A1494" t="s">
        <v>7784</v>
      </c>
      <c r="B1494" t="s">
        <v>12445</v>
      </c>
      <c r="C1494" t="s">
        <v>12446</v>
      </c>
      <c r="D1494" t="s">
        <v>10388</v>
      </c>
      <c r="E1494" t="s">
        <v>13469</v>
      </c>
    </row>
    <row r="1495" spans="1:5">
      <c r="A1495" t="s">
        <v>7789</v>
      </c>
      <c r="B1495" t="s">
        <v>12439</v>
      </c>
      <c r="C1495" t="s">
        <v>12389</v>
      </c>
      <c r="D1495" t="s">
        <v>10388</v>
      </c>
      <c r="E1495" t="s">
        <v>13470</v>
      </c>
    </row>
    <row r="1496" spans="1:5">
      <c r="A1496" t="s">
        <v>7794</v>
      </c>
      <c r="B1496" t="s">
        <v>12477</v>
      </c>
      <c r="C1496" t="s">
        <v>12440</v>
      </c>
      <c r="D1496" t="s">
        <v>10388</v>
      </c>
      <c r="E1496" t="s">
        <v>13471</v>
      </c>
    </row>
    <row r="1497" spans="1:5">
      <c r="A1497" t="s">
        <v>7799</v>
      </c>
      <c r="B1497" t="s">
        <v>12418</v>
      </c>
      <c r="C1497" t="s">
        <v>12397</v>
      </c>
      <c r="D1497" t="s">
        <v>12416</v>
      </c>
      <c r="E1497" t="s">
        <v>13472</v>
      </c>
    </row>
    <row r="1498" spans="1:5">
      <c r="A1498" t="s">
        <v>7804</v>
      </c>
      <c r="B1498" t="s">
        <v>12411</v>
      </c>
      <c r="C1498" t="s">
        <v>12392</v>
      </c>
      <c r="D1498" t="s">
        <v>12456</v>
      </c>
      <c r="E1498" t="s">
        <v>12867</v>
      </c>
    </row>
    <row r="1499" spans="1:5">
      <c r="A1499" t="s">
        <v>7809</v>
      </c>
      <c r="B1499" t="s">
        <v>12424</v>
      </c>
      <c r="C1499" t="s">
        <v>12412</v>
      </c>
      <c r="D1499" t="s">
        <v>10381</v>
      </c>
      <c r="E1499" t="s">
        <v>13473</v>
      </c>
    </row>
    <row r="1500" spans="1:5">
      <c r="A1500" t="s">
        <v>7814</v>
      </c>
      <c r="B1500" t="s">
        <v>12396</v>
      </c>
      <c r="C1500" t="s">
        <v>12419</v>
      </c>
      <c r="D1500" t="s">
        <v>10376</v>
      </c>
      <c r="E1500" t="s">
        <v>13474</v>
      </c>
    </row>
    <row r="1501" spans="1:5">
      <c r="A1501" t="s">
        <v>7819</v>
      </c>
      <c r="B1501" t="s">
        <v>12453</v>
      </c>
      <c r="C1501" t="s">
        <v>12428</v>
      </c>
      <c r="D1501" t="s">
        <v>10388</v>
      </c>
      <c r="E1501" t="s">
        <v>12999</v>
      </c>
    </row>
    <row r="1502" spans="1:5">
      <c r="A1502" t="s">
        <v>7824</v>
      </c>
      <c r="B1502" t="s">
        <v>12453</v>
      </c>
      <c r="C1502" t="s">
        <v>10369</v>
      </c>
      <c r="D1502" t="s">
        <v>12416</v>
      </c>
      <c r="E1502" t="s">
        <v>13475</v>
      </c>
    </row>
    <row r="1503" spans="1:5">
      <c r="A1503" t="s">
        <v>7829</v>
      </c>
      <c r="B1503" t="s">
        <v>12470</v>
      </c>
      <c r="C1503" t="s">
        <v>12400</v>
      </c>
      <c r="D1503" t="s">
        <v>12381</v>
      </c>
      <c r="E1503" t="s">
        <v>12476</v>
      </c>
    </row>
    <row r="1504" spans="1:5">
      <c r="A1504" t="s">
        <v>7834</v>
      </c>
      <c r="B1504" t="s">
        <v>12552</v>
      </c>
      <c r="C1504" t="s">
        <v>12384</v>
      </c>
      <c r="D1504" t="s">
        <v>10376</v>
      </c>
      <c r="E1504" t="s">
        <v>13476</v>
      </c>
    </row>
    <row r="1505" spans="1:5">
      <c r="A1505" t="s">
        <v>7840</v>
      </c>
      <c r="B1505" t="s">
        <v>12512</v>
      </c>
      <c r="C1505" t="s">
        <v>12463</v>
      </c>
      <c r="D1505" t="s">
        <v>10381</v>
      </c>
      <c r="E1505" t="s">
        <v>13477</v>
      </c>
    </row>
    <row r="1506" spans="1:5">
      <c r="A1506" t="s">
        <v>7845</v>
      </c>
      <c r="B1506" t="s">
        <v>12445</v>
      </c>
      <c r="C1506" t="s">
        <v>12415</v>
      </c>
      <c r="D1506" t="s">
        <v>10402</v>
      </c>
      <c r="E1506" t="s">
        <v>13373</v>
      </c>
    </row>
    <row r="1507" spans="1:5">
      <c r="A1507" t="s">
        <v>7850</v>
      </c>
      <c r="B1507" t="s">
        <v>12411</v>
      </c>
      <c r="C1507" t="s">
        <v>12432</v>
      </c>
      <c r="D1507" t="s">
        <v>12413</v>
      </c>
      <c r="E1507" t="s">
        <v>13478</v>
      </c>
    </row>
    <row r="1508" spans="1:5">
      <c r="A1508" t="s">
        <v>7855</v>
      </c>
      <c r="B1508" t="s">
        <v>12453</v>
      </c>
      <c r="C1508" t="s">
        <v>12446</v>
      </c>
      <c r="D1508" t="s">
        <v>10388</v>
      </c>
      <c r="E1508" t="s">
        <v>13479</v>
      </c>
    </row>
    <row r="1509" spans="1:5">
      <c r="A1509" t="s">
        <v>7860</v>
      </c>
      <c r="B1509" t="s">
        <v>12450</v>
      </c>
      <c r="C1509" t="s">
        <v>12419</v>
      </c>
      <c r="D1509" t="s">
        <v>10376</v>
      </c>
      <c r="E1509" t="s">
        <v>13478</v>
      </c>
    </row>
    <row r="1510" spans="1:5">
      <c r="A1510" t="s">
        <v>7865</v>
      </c>
      <c r="B1510" t="s">
        <v>12439</v>
      </c>
      <c r="C1510" t="s">
        <v>12378</v>
      </c>
      <c r="D1510" t="s">
        <v>10388</v>
      </c>
      <c r="E1510" t="s">
        <v>12958</v>
      </c>
    </row>
    <row r="1511" spans="1:5">
      <c r="A1511" t="s">
        <v>7870</v>
      </c>
      <c r="B1511" t="s">
        <v>12421</v>
      </c>
      <c r="C1511" t="s">
        <v>12419</v>
      </c>
      <c r="D1511" t="s">
        <v>12437</v>
      </c>
      <c r="E1511" t="s">
        <v>13294</v>
      </c>
    </row>
    <row r="1512" spans="1:5">
      <c r="A1512" t="s">
        <v>7875</v>
      </c>
      <c r="B1512" t="s">
        <v>12418</v>
      </c>
      <c r="C1512" t="s">
        <v>12415</v>
      </c>
      <c r="D1512" t="s">
        <v>12381</v>
      </c>
      <c r="E1512" t="s">
        <v>13480</v>
      </c>
    </row>
    <row r="1513" spans="1:5">
      <c r="A1513" t="s">
        <v>7880</v>
      </c>
      <c r="B1513" t="s">
        <v>12388</v>
      </c>
      <c r="C1513" t="s">
        <v>12474</v>
      </c>
      <c r="D1513" t="s">
        <v>10388</v>
      </c>
      <c r="E1513" t="s">
        <v>13290</v>
      </c>
    </row>
    <row r="1514" spans="1:5">
      <c r="A1514" t="s">
        <v>7885</v>
      </c>
      <c r="B1514" t="s">
        <v>12525</v>
      </c>
      <c r="C1514" t="s">
        <v>12392</v>
      </c>
      <c r="D1514" t="s">
        <v>10402</v>
      </c>
      <c r="E1514" t="s">
        <v>13481</v>
      </c>
    </row>
    <row r="1515" spans="1:5">
      <c r="A1515" t="s">
        <v>7890</v>
      </c>
      <c r="B1515" t="s">
        <v>12377</v>
      </c>
      <c r="C1515" t="s">
        <v>12432</v>
      </c>
      <c r="D1515" t="s">
        <v>12467</v>
      </c>
      <c r="E1515" t="s">
        <v>13482</v>
      </c>
    </row>
    <row r="1516" spans="1:5">
      <c r="A1516" t="s">
        <v>7895</v>
      </c>
      <c r="B1516" t="s">
        <v>12445</v>
      </c>
      <c r="C1516" t="s">
        <v>10369</v>
      </c>
      <c r="D1516" t="s">
        <v>12467</v>
      </c>
      <c r="E1516" t="s">
        <v>12772</v>
      </c>
    </row>
    <row r="1517" spans="1:5">
      <c r="A1517" t="s">
        <v>7900</v>
      </c>
      <c r="B1517" t="s">
        <v>12483</v>
      </c>
      <c r="C1517" t="s">
        <v>12428</v>
      </c>
      <c r="D1517" t="s">
        <v>10388</v>
      </c>
      <c r="E1517" t="s">
        <v>13136</v>
      </c>
    </row>
    <row r="1518" spans="1:5">
      <c r="A1518" t="s">
        <v>7905</v>
      </c>
      <c r="B1518" t="s">
        <v>12430</v>
      </c>
      <c r="C1518" t="s">
        <v>12446</v>
      </c>
      <c r="D1518" t="s">
        <v>10388</v>
      </c>
      <c r="E1518" t="s">
        <v>13483</v>
      </c>
    </row>
    <row r="1519" spans="1:5">
      <c r="A1519" t="s">
        <v>7910</v>
      </c>
      <c r="B1519" t="s">
        <v>12388</v>
      </c>
      <c r="C1519" t="s">
        <v>12419</v>
      </c>
      <c r="D1519" t="s">
        <v>12437</v>
      </c>
      <c r="E1519" t="s">
        <v>12496</v>
      </c>
    </row>
    <row r="1520" spans="1:5">
      <c r="A1520" t="s">
        <v>7915</v>
      </c>
      <c r="B1520" t="s">
        <v>12436</v>
      </c>
      <c r="C1520" t="s">
        <v>12446</v>
      </c>
      <c r="D1520" t="s">
        <v>10388</v>
      </c>
      <c r="E1520" t="s">
        <v>13484</v>
      </c>
    </row>
    <row r="1521" spans="1:5">
      <c r="A1521" t="s">
        <v>7920</v>
      </c>
      <c r="B1521" t="s">
        <v>12436</v>
      </c>
      <c r="C1521" t="s">
        <v>12474</v>
      </c>
      <c r="D1521" t="s">
        <v>10388</v>
      </c>
      <c r="E1521" t="s">
        <v>13485</v>
      </c>
    </row>
    <row r="1522" spans="1:5">
      <c r="A1522" t="s">
        <v>7925</v>
      </c>
      <c r="B1522" t="s">
        <v>12396</v>
      </c>
      <c r="C1522" t="s">
        <v>12412</v>
      </c>
      <c r="D1522" t="s">
        <v>12416</v>
      </c>
      <c r="E1522" t="s">
        <v>13486</v>
      </c>
    </row>
    <row r="1523" spans="1:5">
      <c r="A1523" t="s">
        <v>7930</v>
      </c>
      <c r="B1523" t="s">
        <v>12442</v>
      </c>
      <c r="C1523" t="s">
        <v>12389</v>
      </c>
      <c r="D1523" t="s">
        <v>10388</v>
      </c>
      <c r="E1523" t="s">
        <v>13487</v>
      </c>
    </row>
    <row r="1524" spans="1:5">
      <c r="A1524" t="s">
        <v>7935</v>
      </c>
      <c r="B1524" t="s">
        <v>12565</v>
      </c>
      <c r="C1524" t="s">
        <v>12419</v>
      </c>
      <c r="D1524" t="s">
        <v>12456</v>
      </c>
      <c r="E1524" t="s">
        <v>12585</v>
      </c>
    </row>
    <row r="1525" spans="1:5">
      <c r="A1525" t="s">
        <v>7940</v>
      </c>
      <c r="B1525" t="s">
        <v>12380</v>
      </c>
      <c r="C1525" t="s">
        <v>12400</v>
      </c>
      <c r="D1525" t="s">
        <v>12413</v>
      </c>
      <c r="E1525" t="s">
        <v>13488</v>
      </c>
    </row>
    <row r="1526" spans="1:5">
      <c r="A1526" t="s">
        <v>7945</v>
      </c>
      <c r="B1526" t="s">
        <v>12459</v>
      </c>
      <c r="C1526" t="s">
        <v>12440</v>
      </c>
      <c r="D1526" t="s">
        <v>10388</v>
      </c>
      <c r="E1526" t="s">
        <v>12621</v>
      </c>
    </row>
    <row r="1527" spans="1:5">
      <c r="A1527" t="s">
        <v>7950</v>
      </c>
      <c r="B1527" t="s">
        <v>12426</v>
      </c>
      <c r="C1527" t="s">
        <v>12407</v>
      </c>
      <c r="D1527" t="s">
        <v>10388</v>
      </c>
      <c r="E1527" t="s">
        <v>12553</v>
      </c>
    </row>
    <row r="1528" spans="1:5">
      <c r="A1528" t="s">
        <v>7955</v>
      </c>
      <c r="B1528" t="s">
        <v>12498</v>
      </c>
      <c r="C1528" t="s">
        <v>12499</v>
      </c>
      <c r="D1528" t="s">
        <v>10388</v>
      </c>
      <c r="E1528" t="s">
        <v>13489</v>
      </c>
    </row>
    <row r="1529" spans="1:5">
      <c r="A1529" t="s">
        <v>7960</v>
      </c>
      <c r="B1529" t="s">
        <v>12421</v>
      </c>
      <c r="C1529" t="s">
        <v>12428</v>
      </c>
      <c r="D1529" t="s">
        <v>10388</v>
      </c>
      <c r="E1529" t="s">
        <v>12937</v>
      </c>
    </row>
    <row r="1530" spans="1:5">
      <c r="A1530" t="s">
        <v>7965</v>
      </c>
      <c r="B1530" t="s">
        <v>12421</v>
      </c>
      <c r="C1530" t="s">
        <v>12392</v>
      </c>
      <c r="D1530" t="s">
        <v>12413</v>
      </c>
      <c r="E1530" t="s">
        <v>13490</v>
      </c>
    </row>
    <row r="1531" spans="1:5">
      <c r="A1531" t="s">
        <v>7970</v>
      </c>
      <c r="B1531" t="s">
        <v>12403</v>
      </c>
      <c r="C1531" t="s">
        <v>10369</v>
      </c>
      <c r="D1531" t="s">
        <v>10402</v>
      </c>
      <c r="E1531" t="s">
        <v>12971</v>
      </c>
    </row>
    <row r="1532" spans="1:5">
      <c r="A1532" t="s">
        <v>7975</v>
      </c>
      <c r="B1532" t="s">
        <v>12552</v>
      </c>
      <c r="C1532" t="s">
        <v>12412</v>
      </c>
      <c r="D1532" t="s">
        <v>12413</v>
      </c>
      <c r="E1532" t="s">
        <v>13204</v>
      </c>
    </row>
    <row r="1533" spans="1:5">
      <c r="A1533" t="s">
        <v>7980</v>
      </c>
      <c r="B1533" t="s">
        <v>12508</v>
      </c>
      <c r="C1533" t="s">
        <v>12446</v>
      </c>
      <c r="D1533" t="s">
        <v>10388</v>
      </c>
      <c r="E1533" t="s">
        <v>13491</v>
      </c>
    </row>
    <row r="1534" spans="1:5">
      <c r="A1534" t="s">
        <v>7985</v>
      </c>
      <c r="B1534" t="s">
        <v>12483</v>
      </c>
      <c r="C1534" t="s">
        <v>12397</v>
      </c>
      <c r="D1534" t="s">
        <v>12413</v>
      </c>
      <c r="E1534" t="s">
        <v>13492</v>
      </c>
    </row>
    <row r="1535" spans="1:5">
      <c r="A1535" t="s">
        <v>7990</v>
      </c>
      <c r="B1535" t="s">
        <v>12380</v>
      </c>
      <c r="C1535" t="s">
        <v>12415</v>
      </c>
      <c r="D1535" t="s">
        <v>12416</v>
      </c>
      <c r="E1535" t="s">
        <v>13237</v>
      </c>
    </row>
    <row r="1536" spans="1:5">
      <c r="A1536" t="s">
        <v>7995</v>
      </c>
      <c r="B1536" t="s">
        <v>12498</v>
      </c>
      <c r="C1536" t="s">
        <v>12493</v>
      </c>
      <c r="D1536" t="s">
        <v>10388</v>
      </c>
      <c r="E1536" t="s">
        <v>13493</v>
      </c>
    </row>
    <row r="1537" spans="1:5">
      <c r="A1537" t="s">
        <v>8000</v>
      </c>
      <c r="B1537" t="s">
        <v>12459</v>
      </c>
      <c r="C1537" t="s">
        <v>12499</v>
      </c>
      <c r="D1537" t="s">
        <v>10388</v>
      </c>
      <c r="E1537" t="s">
        <v>12946</v>
      </c>
    </row>
    <row r="1538" spans="1:5">
      <c r="A1538" t="s">
        <v>8005</v>
      </c>
      <c r="B1538" t="s">
        <v>12455</v>
      </c>
      <c r="C1538" t="s">
        <v>12389</v>
      </c>
      <c r="D1538" t="s">
        <v>10388</v>
      </c>
      <c r="E1538" t="s">
        <v>13494</v>
      </c>
    </row>
    <row r="1539" spans="1:5">
      <c r="A1539" t="s">
        <v>8010</v>
      </c>
      <c r="B1539" t="s">
        <v>12470</v>
      </c>
      <c r="C1539" t="s">
        <v>12389</v>
      </c>
      <c r="D1539" t="s">
        <v>10388</v>
      </c>
      <c r="E1539" t="s">
        <v>13495</v>
      </c>
    </row>
    <row r="1540" spans="1:5">
      <c r="A1540" t="s">
        <v>8015</v>
      </c>
      <c r="B1540" t="s">
        <v>12439</v>
      </c>
      <c r="C1540" t="s">
        <v>12392</v>
      </c>
      <c r="D1540" t="s">
        <v>12437</v>
      </c>
      <c r="E1540" t="s">
        <v>13124</v>
      </c>
    </row>
    <row r="1541" spans="1:5">
      <c r="A1541" t="s">
        <v>8020</v>
      </c>
      <c r="B1541" t="s">
        <v>12461</v>
      </c>
      <c r="C1541" t="s">
        <v>12440</v>
      </c>
      <c r="D1541" t="s">
        <v>10388</v>
      </c>
      <c r="E1541" t="s">
        <v>12913</v>
      </c>
    </row>
    <row r="1542" spans="1:5">
      <c r="A1542" t="s">
        <v>8025</v>
      </c>
      <c r="B1542" t="s">
        <v>12461</v>
      </c>
      <c r="C1542" t="s">
        <v>12440</v>
      </c>
      <c r="D1542" t="s">
        <v>10388</v>
      </c>
      <c r="E1542" t="s">
        <v>13496</v>
      </c>
    </row>
    <row r="1543" spans="1:5">
      <c r="A1543" t="s">
        <v>8030</v>
      </c>
      <c r="B1543" t="s">
        <v>12477</v>
      </c>
      <c r="C1543" t="s">
        <v>12409</v>
      </c>
      <c r="D1543" t="s">
        <v>10388</v>
      </c>
      <c r="E1543" t="s">
        <v>13497</v>
      </c>
    </row>
    <row r="1544" spans="1:5">
      <c r="A1544" t="s">
        <v>8035</v>
      </c>
      <c r="B1544" t="s">
        <v>12411</v>
      </c>
      <c r="C1544" t="s">
        <v>12440</v>
      </c>
      <c r="D1544" t="s">
        <v>10388</v>
      </c>
      <c r="E1544" t="s">
        <v>13498</v>
      </c>
    </row>
    <row r="1545" spans="1:5">
      <c r="A1545" t="s">
        <v>8040</v>
      </c>
      <c r="B1545" t="s">
        <v>12418</v>
      </c>
      <c r="C1545" t="s">
        <v>12446</v>
      </c>
      <c r="D1545" t="s">
        <v>10388</v>
      </c>
      <c r="E1545" t="s">
        <v>13499</v>
      </c>
    </row>
    <row r="1546" spans="1:5">
      <c r="A1546" t="s">
        <v>8045</v>
      </c>
      <c r="B1546" t="s">
        <v>12426</v>
      </c>
      <c r="C1546" t="s">
        <v>12419</v>
      </c>
      <c r="D1546" t="s">
        <v>12456</v>
      </c>
      <c r="E1546" t="s">
        <v>13500</v>
      </c>
    </row>
    <row r="1547" spans="1:5">
      <c r="A1547" t="s">
        <v>8050</v>
      </c>
      <c r="B1547" t="s">
        <v>12525</v>
      </c>
      <c r="C1547" t="s">
        <v>12397</v>
      </c>
      <c r="D1547" t="s">
        <v>12437</v>
      </c>
      <c r="E1547" t="s">
        <v>12629</v>
      </c>
    </row>
    <row r="1548" spans="1:5">
      <c r="A1548" t="s">
        <v>8055</v>
      </c>
      <c r="B1548" t="s">
        <v>12525</v>
      </c>
      <c r="C1548" t="s">
        <v>12432</v>
      </c>
      <c r="D1548" t="s">
        <v>12413</v>
      </c>
      <c r="E1548" t="s">
        <v>13193</v>
      </c>
    </row>
    <row r="1549" spans="1:5">
      <c r="A1549" t="s">
        <v>8060</v>
      </c>
      <c r="B1549" t="s">
        <v>12394</v>
      </c>
      <c r="C1549" t="s">
        <v>12493</v>
      </c>
      <c r="D1549" t="s">
        <v>10388</v>
      </c>
      <c r="E1549" t="s">
        <v>13501</v>
      </c>
    </row>
    <row r="1550" spans="1:5">
      <c r="A1550" t="s">
        <v>8065</v>
      </c>
      <c r="B1550" t="s">
        <v>12399</v>
      </c>
      <c r="C1550" t="s">
        <v>12384</v>
      </c>
      <c r="D1550" t="s">
        <v>10402</v>
      </c>
      <c r="E1550" t="s">
        <v>12833</v>
      </c>
    </row>
    <row r="1551" spans="1:5">
      <c r="A1551" t="s">
        <v>8070</v>
      </c>
      <c r="B1551" t="s">
        <v>12503</v>
      </c>
      <c r="C1551" t="s">
        <v>12440</v>
      </c>
      <c r="D1551" t="s">
        <v>10388</v>
      </c>
      <c r="E1551" t="s">
        <v>13024</v>
      </c>
    </row>
    <row r="1552" spans="1:5">
      <c r="A1552" t="s">
        <v>8075</v>
      </c>
      <c r="B1552" t="s">
        <v>12396</v>
      </c>
      <c r="C1552" t="s">
        <v>10369</v>
      </c>
      <c r="D1552" t="s">
        <v>12437</v>
      </c>
      <c r="E1552" t="s">
        <v>13464</v>
      </c>
    </row>
    <row r="1553" spans="1:5">
      <c r="A1553" t="s">
        <v>8080</v>
      </c>
      <c r="B1553" t="s">
        <v>12442</v>
      </c>
      <c r="C1553" t="s">
        <v>12392</v>
      </c>
      <c r="D1553" t="s">
        <v>12401</v>
      </c>
      <c r="E1553" t="s">
        <v>12778</v>
      </c>
    </row>
    <row r="1554" spans="1:5">
      <c r="A1554" t="s">
        <v>8085</v>
      </c>
      <c r="B1554" t="s">
        <v>12421</v>
      </c>
      <c r="C1554" t="s">
        <v>12400</v>
      </c>
      <c r="D1554" t="s">
        <v>10376</v>
      </c>
      <c r="E1554" t="s">
        <v>12644</v>
      </c>
    </row>
    <row r="1555" spans="1:5">
      <c r="A1555" t="s">
        <v>8090</v>
      </c>
      <c r="B1555" t="s">
        <v>12503</v>
      </c>
      <c r="C1555" t="s">
        <v>12493</v>
      </c>
      <c r="D1555" t="s">
        <v>10388</v>
      </c>
      <c r="E1555" t="s">
        <v>12754</v>
      </c>
    </row>
    <row r="1556" spans="1:5">
      <c r="A1556" t="s">
        <v>8095</v>
      </c>
      <c r="B1556" t="s">
        <v>12391</v>
      </c>
      <c r="C1556" t="s">
        <v>12378</v>
      </c>
      <c r="D1556" t="s">
        <v>10388</v>
      </c>
      <c r="E1556" t="s">
        <v>13502</v>
      </c>
    </row>
    <row r="1557" spans="1:5">
      <c r="A1557" t="s">
        <v>8100</v>
      </c>
      <c r="B1557" t="s">
        <v>12394</v>
      </c>
      <c r="C1557" t="s">
        <v>12493</v>
      </c>
      <c r="D1557" t="s">
        <v>10388</v>
      </c>
      <c r="E1557" t="s">
        <v>12541</v>
      </c>
    </row>
    <row r="1558" spans="1:5">
      <c r="A1558" t="s">
        <v>8105</v>
      </c>
      <c r="B1558" t="s">
        <v>12426</v>
      </c>
      <c r="C1558" t="s">
        <v>12409</v>
      </c>
      <c r="D1558" t="s">
        <v>10388</v>
      </c>
      <c r="E1558" t="s">
        <v>13464</v>
      </c>
    </row>
    <row r="1559" spans="1:5">
      <c r="A1559" t="s">
        <v>8110</v>
      </c>
      <c r="B1559" t="s">
        <v>12396</v>
      </c>
      <c r="C1559" t="s">
        <v>12397</v>
      </c>
      <c r="D1559" t="s">
        <v>12401</v>
      </c>
      <c r="E1559" t="s">
        <v>12820</v>
      </c>
    </row>
    <row r="1560" spans="1:5">
      <c r="A1560" t="s">
        <v>8115</v>
      </c>
      <c r="B1560" t="s">
        <v>12563</v>
      </c>
      <c r="C1560" t="s">
        <v>12499</v>
      </c>
      <c r="D1560" t="s">
        <v>10388</v>
      </c>
      <c r="E1560" t="s">
        <v>13136</v>
      </c>
    </row>
    <row r="1561" spans="1:5">
      <c r="A1561" t="s">
        <v>8120</v>
      </c>
      <c r="B1561" t="s">
        <v>12380</v>
      </c>
      <c r="C1561" t="s">
        <v>12407</v>
      </c>
      <c r="D1561" t="s">
        <v>10388</v>
      </c>
      <c r="E1561" t="s">
        <v>12889</v>
      </c>
    </row>
    <row r="1562" spans="1:5">
      <c r="A1562" t="s">
        <v>8125</v>
      </c>
      <c r="B1562" t="s">
        <v>12434</v>
      </c>
      <c r="C1562" t="s">
        <v>12474</v>
      </c>
      <c r="D1562" t="s">
        <v>10388</v>
      </c>
      <c r="E1562" t="s">
        <v>13503</v>
      </c>
    </row>
    <row r="1563" spans="1:5">
      <c r="A1563" t="s">
        <v>8130</v>
      </c>
      <c r="B1563" t="s">
        <v>12424</v>
      </c>
      <c r="C1563" t="s">
        <v>12493</v>
      </c>
      <c r="D1563" t="s">
        <v>10388</v>
      </c>
      <c r="E1563" t="s">
        <v>13226</v>
      </c>
    </row>
    <row r="1564" spans="1:5">
      <c r="A1564" t="s">
        <v>8135</v>
      </c>
      <c r="B1564" t="s">
        <v>12421</v>
      </c>
      <c r="C1564" t="s">
        <v>12378</v>
      </c>
      <c r="D1564" t="s">
        <v>10388</v>
      </c>
      <c r="E1564" t="s">
        <v>13504</v>
      </c>
    </row>
    <row r="1565" spans="1:5">
      <c r="A1565" t="s">
        <v>8140</v>
      </c>
      <c r="B1565" t="s">
        <v>12426</v>
      </c>
      <c r="C1565" t="s">
        <v>12446</v>
      </c>
      <c r="D1565" t="s">
        <v>10388</v>
      </c>
      <c r="E1565" t="s">
        <v>12627</v>
      </c>
    </row>
    <row r="1566" spans="1:5">
      <c r="A1566" t="s">
        <v>8145</v>
      </c>
      <c r="B1566" t="s">
        <v>12525</v>
      </c>
      <c r="C1566" t="s">
        <v>12397</v>
      </c>
      <c r="D1566" t="s">
        <v>10376</v>
      </c>
      <c r="E1566" t="s">
        <v>13340</v>
      </c>
    </row>
    <row r="1567" spans="1:5">
      <c r="A1567" t="s">
        <v>8150</v>
      </c>
      <c r="B1567" t="s">
        <v>12403</v>
      </c>
      <c r="C1567" t="s">
        <v>12415</v>
      </c>
      <c r="D1567" t="s">
        <v>12456</v>
      </c>
      <c r="E1567" t="s">
        <v>13150</v>
      </c>
    </row>
    <row r="1568" spans="1:5">
      <c r="A1568" t="s">
        <v>8155</v>
      </c>
      <c r="B1568" t="s">
        <v>12406</v>
      </c>
      <c r="C1568" t="s">
        <v>12397</v>
      </c>
      <c r="D1568" t="s">
        <v>12401</v>
      </c>
      <c r="E1568" t="s">
        <v>13505</v>
      </c>
    </row>
    <row r="1569" spans="1:5">
      <c r="A1569" t="s">
        <v>8160</v>
      </c>
      <c r="B1569" t="s">
        <v>12508</v>
      </c>
      <c r="C1569" t="s">
        <v>12432</v>
      </c>
      <c r="D1569" t="s">
        <v>12456</v>
      </c>
      <c r="E1569" t="s">
        <v>13506</v>
      </c>
    </row>
    <row r="1570" spans="1:5">
      <c r="A1570" t="s">
        <v>8165</v>
      </c>
      <c r="B1570" t="s">
        <v>12442</v>
      </c>
      <c r="C1570" t="s">
        <v>12389</v>
      </c>
      <c r="D1570" t="s">
        <v>10388</v>
      </c>
      <c r="E1570" t="s">
        <v>13507</v>
      </c>
    </row>
    <row r="1571" spans="1:5">
      <c r="A1571" t="s">
        <v>8170</v>
      </c>
      <c r="B1571" t="s">
        <v>12380</v>
      </c>
      <c r="C1571" t="s">
        <v>12400</v>
      </c>
      <c r="D1571" t="s">
        <v>12437</v>
      </c>
      <c r="E1571" t="s">
        <v>12933</v>
      </c>
    </row>
    <row r="1572" spans="1:5">
      <c r="A1572" t="s">
        <v>8175</v>
      </c>
      <c r="B1572" t="s">
        <v>12399</v>
      </c>
      <c r="C1572" t="s">
        <v>12463</v>
      </c>
      <c r="D1572" t="s">
        <v>12456</v>
      </c>
      <c r="E1572" t="s">
        <v>13508</v>
      </c>
    </row>
    <row r="1573" spans="1:5">
      <c r="A1573" t="s">
        <v>8180</v>
      </c>
      <c r="B1573" t="s">
        <v>12470</v>
      </c>
      <c r="C1573" t="s">
        <v>12415</v>
      </c>
      <c r="D1573" t="s">
        <v>10402</v>
      </c>
      <c r="E1573" t="s">
        <v>12976</v>
      </c>
    </row>
    <row r="1574" spans="1:5">
      <c r="A1574" t="s">
        <v>8185</v>
      </c>
      <c r="B1574" t="s">
        <v>12411</v>
      </c>
      <c r="C1574" t="s">
        <v>12419</v>
      </c>
      <c r="D1574" t="s">
        <v>12456</v>
      </c>
      <c r="E1574" t="s">
        <v>13303</v>
      </c>
    </row>
    <row r="1575" spans="1:5">
      <c r="A1575" t="s">
        <v>8190</v>
      </c>
      <c r="B1575" t="s">
        <v>12473</v>
      </c>
      <c r="C1575" t="s">
        <v>10369</v>
      </c>
      <c r="D1575" t="s">
        <v>10376</v>
      </c>
      <c r="E1575" t="s">
        <v>13509</v>
      </c>
    </row>
    <row r="1576" spans="1:5">
      <c r="A1576" t="s">
        <v>8195</v>
      </c>
      <c r="B1576" t="s">
        <v>12525</v>
      </c>
      <c r="C1576" t="s">
        <v>12400</v>
      </c>
      <c r="D1576" t="s">
        <v>10402</v>
      </c>
      <c r="E1576" t="s">
        <v>13198</v>
      </c>
    </row>
    <row r="1577" spans="1:5">
      <c r="A1577" t="s">
        <v>8200</v>
      </c>
      <c r="B1577" t="s">
        <v>12470</v>
      </c>
      <c r="C1577" t="s">
        <v>12409</v>
      </c>
      <c r="D1577" t="s">
        <v>10388</v>
      </c>
      <c r="E1577" t="s">
        <v>13029</v>
      </c>
    </row>
    <row r="1578" spans="1:5">
      <c r="A1578" t="s">
        <v>8205</v>
      </c>
      <c r="B1578" t="s">
        <v>12406</v>
      </c>
      <c r="C1578" t="s">
        <v>12409</v>
      </c>
      <c r="D1578" t="s">
        <v>10388</v>
      </c>
      <c r="E1578" t="s">
        <v>13382</v>
      </c>
    </row>
    <row r="1579" spans="1:5">
      <c r="A1579" t="s">
        <v>8211</v>
      </c>
      <c r="B1579" t="s">
        <v>12434</v>
      </c>
      <c r="C1579" t="s">
        <v>12440</v>
      </c>
      <c r="D1579" t="s">
        <v>10388</v>
      </c>
      <c r="E1579" t="s">
        <v>12657</v>
      </c>
    </row>
    <row r="1580" spans="1:5">
      <c r="A1580" t="s">
        <v>8216</v>
      </c>
      <c r="B1580" t="s">
        <v>12477</v>
      </c>
      <c r="C1580" t="s">
        <v>12397</v>
      </c>
      <c r="D1580" t="s">
        <v>10381</v>
      </c>
      <c r="E1580" t="s">
        <v>13460</v>
      </c>
    </row>
    <row r="1581" spans="1:5">
      <c r="A1581" t="s">
        <v>8221</v>
      </c>
      <c r="B1581" t="s">
        <v>12421</v>
      </c>
      <c r="C1581" t="s">
        <v>12412</v>
      </c>
      <c r="D1581" t="s">
        <v>12437</v>
      </c>
      <c r="E1581" t="s">
        <v>13510</v>
      </c>
    </row>
    <row r="1582" spans="1:5">
      <c r="A1582" t="s">
        <v>8226</v>
      </c>
      <c r="B1582" t="s">
        <v>12388</v>
      </c>
      <c r="C1582" t="s">
        <v>12419</v>
      </c>
      <c r="D1582" t="s">
        <v>12416</v>
      </c>
      <c r="E1582" t="s">
        <v>12656</v>
      </c>
    </row>
    <row r="1583" spans="1:5">
      <c r="A1583" t="s">
        <v>8231</v>
      </c>
      <c r="B1583" t="s">
        <v>12377</v>
      </c>
      <c r="C1583" t="s">
        <v>12407</v>
      </c>
      <c r="D1583" t="s">
        <v>10388</v>
      </c>
      <c r="E1583" t="s">
        <v>12435</v>
      </c>
    </row>
    <row r="1584" spans="1:5">
      <c r="A1584" t="s">
        <v>8236</v>
      </c>
      <c r="B1584" t="s">
        <v>12421</v>
      </c>
      <c r="C1584" t="s">
        <v>12407</v>
      </c>
      <c r="D1584" t="s">
        <v>10388</v>
      </c>
      <c r="E1584" t="s">
        <v>12908</v>
      </c>
    </row>
    <row r="1585" spans="1:5">
      <c r="A1585" t="s">
        <v>8241</v>
      </c>
      <c r="B1585" t="s">
        <v>12396</v>
      </c>
      <c r="C1585" t="s">
        <v>12499</v>
      </c>
      <c r="D1585" t="s">
        <v>10388</v>
      </c>
      <c r="E1585" t="s">
        <v>13511</v>
      </c>
    </row>
    <row r="1586" spans="1:5">
      <c r="A1586" t="s">
        <v>8246</v>
      </c>
      <c r="B1586" t="s">
        <v>12411</v>
      </c>
      <c r="C1586" t="s">
        <v>12412</v>
      </c>
      <c r="D1586" t="s">
        <v>10402</v>
      </c>
      <c r="E1586" t="s">
        <v>13512</v>
      </c>
    </row>
    <row r="1587" spans="1:5">
      <c r="A1587" t="s">
        <v>8251</v>
      </c>
      <c r="B1587" t="s">
        <v>12439</v>
      </c>
      <c r="C1587" t="s">
        <v>12440</v>
      </c>
      <c r="D1587" t="s">
        <v>10388</v>
      </c>
      <c r="E1587" t="s">
        <v>13513</v>
      </c>
    </row>
    <row r="1588" spans="1:5">
      <c r="A1588" t="s">
        <v>8256</v>
      </c>
      <c r="B1588" t="s">
        <v>12491</v>
      </c>
      <c r="C1588" t="s">
        <v>12378</v>
      </c>
      <c r="D1588" t="s">
        <v>10388</v>
      </c>
      <c r="E1588" t="s">
        <v>12790</v>
      </c>
    </row>
    <row r="1589" spans="1:5">
      <c r="A1589" t="s">
        <v>8261</v>
      </c>
      <c r="B1589" t="s">
        <v>12406</v>
      </c>
      <c r="C1589" t="s">
        <v>12474</v>
      </c>
      <c r="D1589" t="s">
        <v>10388</v>
      </c>
      <c r="E1589" t="s">
        <v>13514</v>
      </c>
    </row>
    <row r="1590" spans="1:5">
      <c r="A1590" t="s">
        <v>8267</v>
      </c>
      <c r="B1590" t="s">
        <v>12525</v>
      </c>
      <c r="C1590" t="s">
        <v>12446</v>
      </c>
      <c r="D1590" t="s">
        <v>10388</v>
      </c>
      <c r="E1590" t="s">
        <v>13515</v>
      </c>
    </row>
    <row r="1591" spans="1:5">
      <c r="A1591" t="s">
        <v>8272</v>
      </c>
      <c r="B1591" t="s">
        <v>12391</v>
      </c>
      <c r="C1591" t="s">
        <v>10369</v>
      </c>
      <c r="D1591" t="s">
        <v>12413</v>
      </c>
      <c r="E1591" t="s">
        <v>13215</v>
      </c>
    </row>
    <row r="1592" spans="1:5">
      <c r="A1592" t="s">
        <v>8277</v>
      </c>
      <c r="B1592" t="s">
        <v>12525</v>
      </c>
      <c r="C1592" t="s">
        <v>12493</v>
      </c>
      <c r="D1592" t="s">
        <v>10388</v>
      </c>
      <c r="E1592" t="s">
        <v>13500</v>
      </c>
    </row>
    <row r="1593" spans="1:5">
      <c r="A1593" t="s">
        <v>8282</v>
      </c>
      <c r="B1593" t="s">
        <v>12391</v>
      </c>
      <c r="C1593" t="s">
        <v>12474</v>
      </c>
      <c r="D1593" t="s">
        <v>10388</v>
      </c>
      <c r="E1593" t="s">
        <v>12664</v>
      </c>
    </row>
    <row r="1594" spans="1:5">
      <c r="A1594" t="s">
        <v>8287</v>
      </c>
      <c r="B1594" t="s">
        <v>12498</v>
      </c>
      <c r="C1594" t="s">
        <v>12378</v>
      </c>
      <c r="D1594" t="s">
        <v>10388</v>
      </c>
      <c r="E1594" t="s">
        <v>13516</v>
      </c>
    </row>
    <row r="1595" spans="1:5">
      <c r="A1595" t="s">
        <v>8292</v>
      </c>
      <c r="B1595" t="s">
        <v>12455</v>
      </c>
      <c r="C1595" t="s">
        <v>12499</v>
      </c>
      <c r="D1595" t="s">
        <v>10388</v>
      </c>
      <c r="E1595" t="s">
        <v>12717</v>
      </c>
    </row>
    <row r="1596" spans="1:5">
      <c r="A1596" t="s">
        <v>8297</v>
      </c>
      <c r="B1596" t="s">
        <v>12434</v>
      </c>
      <c r="C1596" t="s">
        <v>12392</v>
      </c>
      <c r="D1596" t="s">
        <v>12413</v>
      </c>
      <c r="E1596" t="s">
        <v>12420</v>
      </c>
    </row>
    <row r="1597" spans="1:5">
      <c r="A1597" t="s">
        <v>8302</v>
      </c>
      <c r="B1597" t="s">
        <v>12406</v>
      </c>
      <c r="C1597" t="s">
        <v>12432</v>
      </c>
      <c r="D1597" t="s">
        <v>12401</v>
      </c>
      <c r="E1597" t="s">
        <v>13517</v>
      </c>
    </row>
    <row r="1598" spans="1:5">
      <c r="A1598" t="s">
        <v>8307</v>
      </c>
      <c r="B1598" t="s">
        <v>12424</v>
      </c>
      <c r="C1598" t="s">
        <v>12419</v>
      </c>
      <c r="D1598" t="s">
        <v>12401</v>
      </c>
      <c r="E1598" t="s">
        <v>13518</v>
      </c>
    </row>
    <row r="1599" spans="1:5">
      <c r="A1599" t="s">
        <v>8312</v>
      </c>
      <c r="B1599" t="s">
        <v>12380</v>
      </c>
      <c r="C1599" t="s">
        <v>10369</v>
      </c>
      <c r="D1599" t="s">
        <v>12467</v>
      </c>
      <c r="E1599" t="s">
        <v>12613</v>
      </c>
    </row>
    <row r="1600" spans="1:5">
      <c r="A1600" t="s">
        <v>8317</v>
      </c>
      <c r="B1600" t="s">
        <v>12380</v>
      </c>
      <c r="C1600" t="s">
        <v>12463</v>
      </c>
      <c r="D1600" t="s">
        <v>12437</v>
      </c>
      <c r="E1600" t="s">
        <v>12850</v>
      </c>
    </row>
    <row r="1601" spans="1:5">
      <c r="A1601" t="s">
        <v>8322</v>
      </c>
      <c r="B1601" t="s">
        <v>12525</v>
      </c>
      <c r="C1601" t="s">
        <v>12412</v>
      </c>
      <c r="D1601" t="s">
        <v>10402</v>
      </c>
      <c r="E1601" t="s">
        <v>13519</v>
      </c>
    </row>
    <row r="1602" spans="1:5">
      <c r="A1602" t="s">
        <v>8327</v>
      </c>
      <c r="B1602" t="s">
        <v>12383</v>
      </c>
      <c r="C1602" t="s">
        <v>12446</v>
      </c>
      <c r="D1602" t="s">
        <v>10388</v>
      </c>
      <c r="E1602" t="s">
        <v>12484</v>
      </c>
    </row>
    <row r="1603" spans="1:5">
      <c r="A1603" t="s">
        <v>8332</v>
      </c>
      <c r="B1603" t="s">
        <v>12434</v>
      </c>
      <c r="C1603" t="s">
        <v>12463</v>
      </c>
      <c r="D1603" t="s">
        <v>12437</v>
      </c>
      <c r="E1603" t="s">
        <v>13520</v>
      </c>
    </row>
    <row r="1604" spans="1:5">
      <c r="A1604" t="s">
        <v>8337</v>
      </c>
      <c r="B1604" t="s">
        <v>12498</v>
      </c>
      <c r="C1604" t="s">
        <v>12415</v>
      </c>
      <c r="D1604" t="s">
        <v>12413</v>
      </c>
      <c r="E1604" t="s">
        <v>13521</v>
      </c>
    </row>
    <row r="1605" spans="1:5">
      <c r="A1605" t="s">
        <v>8342</v>
      </c>
      <c r="B1605" t="s">
        <v>12430</v>
      </c>
      <c r="C1605" t="s">
        <v>12499</v>
      </c>
      <c r="D1605" t="s">
        <v>10388</v>
      </c>
      <c r="E1605" t="s">
        <v>13522</v>
      </c>
    </row>
    <row r="1606" spans="1:5">
      <c r="A1606" t="s">
        <v>8347</v>
      </c>
      <c r="B1606" t="s">
        <v>12436</v>
      </c>
      <c r="C1606" t="s">
        <v>12428</v>
      </c>
      <c r="D1606" t="s">
        <v>10388</v>
      </c>
      <c r="E1606" t="s">
        <v>13455</v>
      </c>
    </row>
    <row r="1607" spans="1:5">
      <c r="A1607" t="s">
        <v>8352</v>
      </c>
      <c r="B1607" t="s">
        <v>12386</v>
      </c>
      <c r="C1607" t="s">
        <v>12392</v>
      </c>
      <c r="D1607" t="s">
        <v>12416</v>
      </c>
      <c r="E1607" t="s">
        <v>12451</v>
      </c>
    </row>
    <row r="1608" spans="1:5">
      <c r="A1608" t="s">
        <v>8357</v>
      </c>
      <c r="B1608" t="s">
        <v>12403</v>
      </c>
      <c r="C1608" t="s">
        <v>12440</v>
      </c>
      <c r="D1608" t="s">
        <v>10388</v>
      </c>
      <c r="E1608" t="s">
        <v>13523</v>
      </c>
    </row>
    <row r="1609" spans="1:5">
      <c r="A1609" t="s">
        <v>8362</v>
      </c>
      <c r="B1609" t="s">
        <v>12391</v>
      </c>
      <c r="C1609" t="s">
        <v>12378</v>
      </c>
      <c r="D1609" t="s">
        <v>10388</v>
      </c>
      <c r="E1609" t="s">
        <v>12772</v>
      </c>
    </row>
    <row r="1610" spans="1:5">
      <c r="A1610" t="s">
        <v>8367</v>
      </c>
      <c r="B1610" t="s">
        <v>12483</v>
      </c>
      <c r="C1610" t="s">
        <v>12409</v>
      </c>
      <c r="D1610" t="s">
        <v>10388</v>
      </c>
      <c r="E1610" t="s">
        <v>12992</v>
      </c>
    </row>
    <row r="1611" spans="1:5">
      <c r="A1611" t="s">
        <v>8372</v>
      </c>
      <c r="B1611" t="s">
        <v>12565</v>
      </c>
      <c r="C1611" t="s">
        <v>12409</v>
      </c>
      <c r="D1611" t="s">
        <v>10388</v>
      </c>
      <c r="E1611" t="s">
        <v>13524</v>
      </c>
    </row>
    <row r="1612" spans="1:5">
      <c r="A1612" t="s">
        <v>8377</v>
      </c>
      <c r="B1612" t="s">
        <v>12477</v>
      </c>
      <c r="C1612" t="s">
        <v>12389</v>
      </c>
      <c r="D1612" t="s">
        <v>10388</v>
      </c>
      <c r="E1612" t="s">
        <v>13454</v>
      </c>
    </row>
    <row r="1613" spans="1:5">
      <c r="A1613" t="s">
        <v>8382</v>
      </c>
      <c r="B1613" t="s">
        <v>12406</v>
      </c>
      <c r="C1613" t="s">
        <v>12474</v>
      </c>
      <c r="D1613" t="s">
        <v>10388</v>
      </c>
      <c r="E1613" t="s">
        <v>13525</v>
      </c>
    </row>
    <row r="1614" spans="1:5">
      <c r="A1614" t="s">
        <v>8387</v>
      </c>
      <c r="B1614" t="s">
        <v>12473</v>
      </c>
      <c r="C1614" t="s">
        <v>12378</v>
      </c>
      <c r="D1614" t="s">
        <v>10388</v>
      </c>
      <c r="E1614" t="s">
        <v>13526</v>
      </c>
    </row>
    <row r="1615" spans="1:5">
      <c r="A1615" t="s">
        <v>8392</v>
      </c>
      <c r="B1615" t="s">
        <v>12426</v>
      </c>
      <c r="C1615" t="s">
        <v>12463</v>
      </c>
      <c r="D1615" t="s">
        <v>10376</v>
      </c>
      <c r="E1615" t="s">
        <v>13527</v>
      </c>
    </row>
    <row r="1616" spans="1:5">
      <c r="A1616" t="s">
        <v>8397</v>
      </c>
      <c r="B1616" t="s">
        <v>12477</v>
      </c>
      <c r="C1616" t="s">
        <v>12440</v>
      </c>
      <c r="D1616" t="s">
        <v>10388</v>
      </c>
      <c r="E1616" t="s">
        <v>13138</v>
      </c>
    </row>
    <row r="1617" spans="1:5">
      <c r="A1617" t="s">
        <v>8402</v>
      </c>
      <c r="B1617" t="s">
        <v>12491</v>
      </c>
      <c r="C1617" t="s">
        <v>12400</v>
      </c>
      <c r="D1617" t="s">
        <v>12456</v>
      </c>
      <c r="E1617" t="s">
        <v>13528</v>
      </c>
    </row>
    <row r="1618" spans="1:5">
      <c r="A1618" t="s">
        <v>8407</v>
      </c>
      <c r="B1618" t="s">
        <v>12525</v>
      </c>
      <c r="C1618" t="s">
        <v>12415</v>
      </c>
      <c r="D1618" t="s">
        <v>12401</v>
      </c>
      <c r="E1618" t="s">
        <v>13388</v>
      </c>
    </row>
    <row r="1619" spans="1:5">
      <c r="A1619" t="s">
        <v>8412</v>
      </c>
      <c r="B1619" t="s">
        <v>12434</v>
      </c>
      <c r="C1619" t="s">
        <v>12432</v>
      </c>
      <c r="D1619" t="s">
        <v>12437</v>
      </c>
      <c r="E1619" t="s">
        <v>13529</v>
      </c>
    </row>
    <row r="1620" spans="1:5">
      <c r="A1620" t="s">
        <v>8417</v>
      </c>
      <c r="B1620" t="s">
        <v>12403</v>
      </c>
      <c r="C1620" t="s">
        <v>12384</v>
      </c>
      <c r="D1620" t="s">
        <v>10381</v>
      </c>
      <c r="E1620" t="s">
        <v>13334</v>
      </c>
    </row>
    <row r="1621" spans="1:5">
      <c r="A1621" t="s">
        <v>8422</v>
      </c>
      <c r="B1621" t="s">
        <v>12461</v>
      </c>
      <c r="C1621" t="s">
        <v>12463</v>
      </c>
      <c r="D1621" t="s">
        <v>12456</v>
      </c>
      <c r="E1621" t="s">
        <v>13357</v>
      </c>
    </row>
    <row r="1622" spans="1:5">
      <c r="A1622" t="s">
        <v>8427</v>
      </c>
      <c r="B1622" t="s">
        <v>12508</v>
      </c>
      <c r="C1622" t="s">
        <v>12412</v>
      </c>
      <c r="D1622" t="s">
        <v>10376</v>
      </c>
      <c r="E1622" t="s">
        <v>13530</v>
      </c>
    </row>
    <row r="1623" spans="1:5">
      <c r="A1623" t="s">
        <v>8432</v>
      </c>
      <c r="B1623" t="s">
        <v>12383</v>
      </c>
      <c r="C1623" t="s">
        <v>12400</v>
      </c>
      <c r="D1623" t="s">
        <v>10381</v>
      </c>
      <c r="E1623" t="s">
        <v>12982</v>
      </c>
    </row>
    <row r="1624" spans="1:5">
      <c r="A1624" t="s">
        <v>8437</v>
      </c>
      <c r="B1624" t="s">
        <v>12473</v>
      </c>
      <c r="C1624" t="s">
        <v>12419</v>
      </c>
      <c r="D1624" t="s">
        <v>10402</v>
      </c>
      <c r="E1624" t="s">
        <v>12639</v>
      </c>
    </row>
    <row r="1625" spans="1:5">
      <c r="A1625" t="s">
        <v>8442</v>
      </c>
      <c r="B1625" t="s">
        <v>12453</v>
      </c>
      <c r="C1625" t="s">
        <v>12499</v>
      </c>
      <c r="D1625" t="s">
        <v>10388</v>
      </c>
      <c r="E1625" t="s">
        <v>13531</v>
      </c>
    </row>
    <row r="1626" spans="1:5">
      <c r="A1626" t="s">
        <v>8447</v>
      </c>
      <c r="B1626" t="s">
        <v>12380</v>
      </c>
      <c r="C1626" t="s">
        <v>12415</v>
      </c>
      <c r="D1626" t="s">
        <v>10376</v>
      </c>
      <c r="E1626" t="s">
        <v>12760</v>
      </c>
    </row>
    <row r="1627" spans="1:5">
      <c r="A1627" t="s">
        <v>8452</v>
      </c>
      <c r="B1627" t="s">
        <v>12455</v>
      </c>
      <c r="C1627" t="s">
        <v>12428</v>
      </c>
      <c r="D1627" t="s">
        <v>10388</v>
      </c>
      <c r="E1627" t="s">
        <v>13367</v>
      </c>
    </row>
    <row r="1628" spans="1:5">
      <c r="A1628" t="s">
        <v>8457</v>
      </c>
      <c r="B1628" t="s">
        <v>12391</v>
      </c>
      <c r="C1628" t="s">
        <v>12419</v>
      </c>
      <c r="D1628" t="s">
        <v>12467</v>
      </c>
      <c r="E1628" t="s">
        <v>13532</v>
      </c>
    </row>
    <row r="1629" spans="1:5">
      <c r="A1629" t="s">
        <v>8462</v>
      </c>
      <c r="B1629" t="s">
        <v>12450</v>
      </c>
      <c r="C1629" t="s">
        <v>12499</v>
      </c>
      <c r="D1629" t="s">
        <v>10388</v>
      </c>
      <c r="E1629" t="s">
        <v>12880</v>
      </c>
    </row>
    <row r="1630" spans="1:5">
      <c r="A1630" t="s">
        <v>8467</v>
      </c>
      <c r="B1630" t="s">
        <v>12442</v>
      </c>
      <c r="C1630" t="s">
        <v>12392</v>
      </c>
      <c r="D1630" t="s">
        <v>10381</v>
      </c>
      <c r="E1630" t="s">
        <v>12572</v>
      </c>
    </row>
    <row r="1631" spans="1:5">
      <c r="A1631" t="s">
        <v>8472</v>
      </c>
      <c r="B1631" t="s">
        <v>12483</v>
      </c>
      <c r="C1631" t="s">
        <v>12378</v>
      </c>
      <c r="D1631" t="s">
        <v>10388</v>
      </c>
      <c r="E1631" t="s">
        <v>13533</v>
      </c>
    </row>
    <row r="1632" spans="1:5">
      <c r="A1632" t="s">
        <v>8477</v>
      </c>
      <c r="B1632" t="s">
        <v>12503</v>
      </c>
      <c r="C1632" t="s">
        <v>12409</v>
      </c>
      <c r="D1632" t="s">
        <v>10388</v>
      </c>
      <c r="E1632" t="s">
        <v>13076</v>
      </c>
    </row>
    <row r="1633" spans="1:5">
      <c r="A1633" t="s">
        <v>8482</v>
      </c>
      <c r="B1633" t="s">
        <v>12418</v>
      </c>
      <c r="C1633" t="s">
        <v>12428</v>
      </c>
      <c r="D1633" t="s">
        <v>10388</v>
      </c>
      <c r="E1633" t="s">
        <v>13298</v>
      </c>
    </row>
    <row r="1634" spans="1:5">
      <c r="A1634" t="s">
        <v>8487</v>
      </c>
      <c r="B1634" t="s">
        <v>12512</v>
      </c>
      <c r="C1634" t="s">
        <v>12415</v>
      </c>
      <c r="D1634" t="s">
        <v>12456</v>
      </c>
      <c r="E1634" t="s">
        <v>13534</v>
      </c>
    </row>
    <row r="1635" spans="1:5">
      <c r="A1635" t="s">
        <v>8492</v>
      </c>
      <c r="B1635" t="s">
        <v>12445</v>
      </c>
      <c r="C1635" t="s">
        <v>12499</v>
      </c>
      <c r="D1635" t="s">
        <v>10388</v>
      </c>
      <c r="E1635" t="s">
        <v>13277</v>
      </c>
    </row>
    <row r="1636" spans="1:5">
      <c r="A1636" t="s">
        <v>8497</v>
      </c>
      <c r="B1636" t="s">
        <v>12439</v>
      </c>
      <c r="C1636" t="s">
        <v>12412</v>
      </c>
      <c r="D1636" t="s">
        <v>10402</v>
      </c>
      <c r="E1636" t="s">
        <v>13185</v>
      </c>
    </row>
    <row r="1637" spans="1:5">
      <c r="A1637" t="s">
        <v>8502</v>
      </c>
      <c r="B1637" t="s">
        <v>12565</v>
      </c>
      <c r="C1637" t="s">
        <v>12378</v>
      </c>
      <c r="D1637" t="s">
        <v>10388</v>
      </c>
      <c r="E1637" t="s">
        <v>12382</v>
      </c>
    </row>
    <row r="1638" spans="1:5">
      <c r="A1638" t="s">
        <v>8507</v>
      </c>
      <c r="B1638" t="s">
        <v>12377</v>
      </c>
      <c r="C1638" t="s">
        <v>12463</v>
      </c>
      <c r="D1638" t="s">
        <v>12416</v>
      </c>
      <c r="E1638" t="s">
        <v>13194</v>
      </c>
    </row>
    <row r="1639" spans="1:5">
      <c r="A1639" t="s">
        <v>8512</v>
      </c>
      <c r="B1639" t="s">
        <v>12403</v>
      </c>
      <c r="C1639" t="s">
        <v>12432</v>
      </c>
      <c r="D1639" t="s">
        <v>10376</v>
      </c>
      <c r="E1639" t="s">
        <v>13535</v>
      </c>
    </row>
    <row r="1640" spans="1:5">
      <c r="A1640" t="s">
        <v>8517</v>
      </c>
      <c r="B1640" t="s">
        <v>12508</v>
      </c>
      <c r="C1640" t="s">
        <v>12446</v>
      </c>
      <c r="D1640" t="s">
        <v>10388</v>
      </c>
      <c r="E1640" t="s">
        <v>12797</v>
      </c>
    </row>
    <row r="1641" spans="1:5">
      <c r="A1641" t="s">
        <v>8522</v>
      </c>
      <c r="B1641" t="s">
        <v>12459</v>
      </c>
      <c r="C1641" t="s">
        <v>12415</v>
      </c>
      <c r="D1641" t="s">
        <v>12437</v>
      </c>
      <c r="E1641" t="s">
        <v>13536</v>
      </c>
    </row>
    <row r="1642" spans="1:5">
      <c r="A1642" t="s">
        <v>8527</v>
      </c>
      <c r="B1642" t="s">
        <v>12386</v>
      </c>
      <c r="C1642" t="s">
        <v>12463</v>
      </c>
      <c r="D1642" t="s">
        <v>12413</v>
      </c>
      <c r="E1642" t="s">
        <v>12943</v>
      </c>
    </row>
    <row r="1643" spans="1:5">
      <c r="A1643" t="s">
        <v>8532</v>
      </c>
      <c r="B1643" t="s">
        <v>12445</v>
      </c>
      <c r="C1643" t="s">
        <v>12412</v>
      </c>
      <c r="D1643" t="s">
        <v>10402</v>
      </c>
      <c r="E1643" t="s">
        <v>13424</v>
      </c>
    </row>
    <row r="1644" spans="1:5">
      <c r="A1644" t="s">
        <v>8537</v>
      </c>
      <c r="B1644" t="s">
        <v>12450</v>
      </c>
      <c r="C1644" t="s">
        <v>12415</v>
      </c>
      <c r="D1644" t="s">
        <v>12456</v>
      </c>
      <c r="E1644" t="s">
        <v>13471</v>
      </c>
    </row>
    <row r="1645" spans="1:5">
      <c r="A1645" t="s">
        <v>8542</v>
      </c>
      <c r="B1645" t="s">
        <v>12424</v>
      </c>
      <c r="C1645" t="s">
        <v>12463</v>
      </c>
      <c r="D1645" t="s">
        <v>12413</v>
      </c>
      <c r="E1645" t="s">
        <v>13537</v>
      </c>
    </row>
    <row r="1646" spans="1:5">
      <c r="A1646" t="s">
        <v>8547</v>
      </c>
      <c r="B1646" t="s">
        <v>12421</v>
      </c>
      <c r="C1646" t="s">
        <v>12493</v>
      </c>
      <c r="D1646" t="s">
        <v>10388</v>
      </c>
      <c r="E1646" t="s">
        <v>13538</v>
      </c>
    </row>
    <row r="1647" spans="1:5">
      <c r="A1647" t="s">
        <v>8552</v>
      </c>
      <c r="B1647" t="s">
        <v>12418</v>
      </c>
      <c r="C1647" t="s">
        <v>12392</v>
      </c>
      <c r="D1647" t="s">
        <v>12413</v>
      </c>
      <c r="E1647" t="s">
        <v>13539</v>
      </c>
    </row>
    <row r="1648" spans="1:5">
      <c r="A1648" t="s">
        <v>8557</v>
      </c>
      <c r="B1648" t="s">
        <v>12525</v>
      </c>
      <c r="C1648" t="s">
        <v>12412</v>
      </c>
      <c r="D1648" t="s">
        <v>12437</v>
      </c>
      <c r="E1648" t="s">
        <v>13111</v>
      </c>
    </row>
    <row r="1649" spans="1:5">
      <c r="A1649" t="s">
        <v>8562</v>
      </c>
      <c r="B1649" t="s">
        <v>12508</v>
      </c>
      <c r="C1649" t="s">
        <v>12407</v>
      </c>
      <c r="D1649" t="s">
        <v>10388</v>
      </c>
      <c r="E1649" t="s">
        <v>12443</v>
      </c>
    </row>
    <row r="1650" spans="1:5">
      <c r="A1650" t="s">
        <v>8567</v>
      </c>
      <c r="B1650" t="s">
        <v>12380</v>
      </c>
      <c r="C1650" t="s">
        <v>12397</v>
      </c>
      <c r="D1650" t="s">
        <v>10402</v>
      </c>
      <c r="E1650" t="s">
        <v>12811</v>
      </c>
    </row>
    <row r="1651" spans="1:5">
      <c r="A1651" t="s">
        <v>8572</v>
      </c>
      <c r="B1651" t="s">
        <v>12512</v>
      </c>
      <c r="C1651" t="s">
        <v>12409</v>
      </c>
      <c r="D1651" t="s">
        <v>10388</v>
      </c>
      <c r="E1651" t="s">
        <v>13540</v>
      </c>
    </row>
    <row r="1652" spans="1:5">
      <c r="A1652" t="s">
        <v>8577</v>
      </c>
      <c r="B1652" t="s">
        <v>12461</v>
      </c>
      <c r="C1652" t="s">
        <v>12440</v>
      </c>
      <c r="D1652" t="s">
        <v>10388</v>
      </c>
      <c r="E1652" t="s">
        <v>13541</v>
      </c>
    </row>
    <row r="1653" spans="1:5">
      <c r="A1653" t="s">
        <v>8582</v>
      </c>
      <c r="B1653" t="s">
        <v>12442</v>
      </c>
      <c r="C1653" t="s">
        <v>12463</v>
      </c>
      <c r="D1653" t="s">
        <v>10381</v>
      </c>
      <c r="E1653" t="s">
        <v>13378</v>
      </c>
    </row>
    <row r="1654" spans="1:5">
      <c r="A1654" t="s">
        <v>8587</v>
      </c>
      <c r="B1654" t="s">
        <v>12565</v>
      </c>
      <c r="C1654" t="s">
        <v>12432</v>
      </c>
      <c r="D1654" t="s">
        <v>12437</v>
      </c>
      <c r="E1654" t="s">
        <v>12744</v>
      </c>
    </row>
    <row r="1655" spans="1:5">
      <c r="A1655" t="s">
        <v>8592</v>
      </c>
      <c r="B1655" t="s">
        <v>12399</v>
      </c>
      <c r="C1655" t="s">
        <v>12415</v>
      </c>
      <c r="D1655" t="s">
        <v>12401</v>
      </c>
      <c r="E1655" t="s">
        <v>12964</v>
      </c>
    </row>
    <row r="1656" spans="1:5">
      <c r="A1656" t="s">
        <v>8597</v>
      </c>
      <c r="B1656" t="s">
        <v>12383</v>
      </c>
      <c r="C1656" t="s">
        <v>12432</v>
      </c>
      <c r="D1656" t="s">
        <v>12413</v>
      </c>
      <c r="E1656" t="s">
        <v>13542</v>
      </c>
    </row>
    <row r="1657" spans="1:5">
      <c r="A1657" t="s">
        <v>8602</v>
      </c>
      <c r="B1657" t="s">
        <v>12563</v>
      </c>
      <c r="C1657" t="s">
        <v>12412</v>
      </c>
      <c r="D1657" t="s">
        <v>10402</v>
      </c>
      <c r="E1657" t="s">
        <v>13543</v>
      </c>
    </row>
    <row r="1658" spans="1:5">
      <c r="A1658" t="s">
        <v>8607</v>
      </c>
      <c r="B1658" t="s">
        <v>12508</v>
      </c>
      <c r="C1658" t="s">
        <v>12499</v>
      </c>
      <c r="D1658" t="s">
        <v>10388</v>
      </c>
      <c r="E1658" t="s">
        <v>13544</v>
      </c>
    </row>
    <row r="1659" spans="1:5">
      <c r="A1659" t="s">
        <v>8612</v>
      </c>
      <c r="B1659" t="s">
        <v>12453</v>
      </c>
      <c r="C1659" t="s">
        <v>12474</v>
      </c>
      <c r="D1659" t="s">
        <v>10388</v>
      </c>
      <c r="E1659" t="s">
        <v>13545</v>
      </c>
    </row>
    <row r="1660" spans="1:5">
      <c r="A1660" t="s">
        <v>8617</v>
      </c>
      <c r="B1660" t="s">
        <v>12453</v>
      </c>
      <c r="C1660" t="s">
        <v>12446</v>
      </c>
      <c r="D1660" t="s">
        <v>10388</v>
      </c>
      <c r="E1660" t="s">
        <v>12901</v>
      </c>
    </row>
    <row r="1661" spans="1:5">
      <c r="A1661" t="s">
        <v>8622</v>
      </c>
      <c r="B1661" t="s">
        <v>12503</v>
      </c>
      <c r="C1661" t="s">
        <v>12419</v>
      </c>
      <c r="D1661" t="s">
        <v>12456</v>
      </c>
      <c r="E1661" t="s">
        <v>12939</v>
      </c>
    </row>
    <row r="1662" spans="1:5">
      <c r="A1662" t="s">
        <v>8627</v>
      </c>
      <c r="B1662" t="s">
        <v>12498</v>
      </c>
      <c r="C1662" t="s">
        <v>12499</v>
      </c>
      <c r="D1662" t="s">
        <v>10388</v>
      </c>
      <c r="E1662" t="s">
        <v>13546</v>
      </c>
    </row>
    <row r="1663" spans="1:5">
      <c r="A1663" t="s">
        <v>8632</v>
      </c>
      <c r="B1663" t="s">
        <v>12483</v>
      </c>
      <c r="C1663" t="s">
        <v>12397</v>
      </c>
      <c r="D1663" t="s">
        <v>12437</v>
      </c>
      <c r="E1663" t="s">
        <v>13201</v>
      </c>
    </row>
    <row r="1664" spans="1:5">
      <c r="A1664" t="s">
        <v>8637</v>
      </c>
      <c r="B1664" t="s">
        <v>12380</v>
      </c>
      <c r="C1664" t="s">
        <v>12440</v>
      </c>
      <c r="D1664" t="s">
        <v>10388</v>
      </c>
      <c r="E1664" t="s">
        <v>13547</v>
      </c>
    </row>
    <row r="1665" spans="1:5">
      <c r="A1665" t="s">
        <v>8642</v>
      </c>
      <c r="B1665" t="s">
        <v>12380</v>
      </c>
      <c r="C1665" t="s">
        <v>12392</v>
      </c>
      <c r="D1665" t="s">
        <v>10402</v>
      </c>
      <c r="E1665" t="s">
        <v>13548</v>
      </c>
    </row>
    <row r="1666" spans="1:5">
      <c r="A1666" t="s">
        <v>8647</v>
      </c>
      <c r="B1666" t="s">
        <v>12394</v>
      </c>
      <c r="C1666" t="s">
        <v>12389</v>
      </c>
      <c r="D1666" t="s">
        <v>10388</v>
      </c>
      <c r="E1666" t="s">
        <v>12749</v>
      </c>
    </row>
    <row r="1667" spans="1:5">
      <c r="A1667" t="s">
        <v>8652</v>
      </c>
      <c r="B1667" t="s">
        <v>12396</v>
      </c>
      <c r="C1667" t="s">
        <v>12392</v>
      </c>
      <c r="D1667" t="s">
        <v>10376</v>
      </c>
      <c r="E1667" t="s">
        <v>13549</v>
      </c>
    </row>
    <row r="1668" spans="1:5">
      <c r="A1668" t="s">
        <v>8658</v>
      </c>
      <c r="B1668" t="s">
        <v>12421</v>
      </c>
      <c r="C1668" t="s">
        <v>12392</v>
      </c>
      <c r="D1668" t="s">
        <v>12456</v>
      </c>
      <c r="E1668" t="s">
        <v>13550</v>
      </c>
    </row>
    <row r="1669" spans="1:5">
      <c r="A1669" t="s">
        <v>8663</v>
      </c>
      <c r="B1669" t="s">
        <v>12411</v>
      </c>
      <c r="C1669" t="s">
        <v>12378</v>
      </c>
      <c r="D1669" t="s">
        <v>10388</v>
      </c>
      <c r="E1669" t="s">
        <v>13551</v>
      </c>
    </row>
    <row r="1670" spans="1:5">
      <c r="A1670" t="s">
        <v>8668</v>
      </c>
      <c r="B1670" t="s">
        <v>12380</v>
      </c>
      <c r="C1670" t="s">
        <v>12384</v>
      </c>
      <c r="D1670" t="s">
        <v>12381</v>
      </c>
      <c r="E1670" t="s">
        <v>13299</v>
      </c>
    </row>
    <row r="1671" spans="1:5">
      <c r="A1671" t="s">
        <v>8673</v>
      </c>
      <c r="B1671" t="s">
        <v>12498</v>
      </c>
      <c r="C1671" t="s">
        <v>12392</v>
      </c>
      <c r="D1671" t="s">
        <v>10381</v>
      </c>
      <c r="E1671" t="s">
        <v>13462</v>
      </c>
    </row>
    <row r="1672" spans="1:5">
      <c r="A1672" t="s">
        <v>8678</v>
      </c>
      <c r="B1672" t="s">
        <v>12436</v>
      </c>
      <c r="C1672" t="s">
        <v>10369</v>
      </c>
      <c r="D1672" t="s">
        <v>12456</v>
      </c>
      <c r="E1672" t="s">
        <v>12511</v>
      </c>
    </row>
    <row r="1673" spans="1:5">
      <c r="A1673" t="s">
        <v>8683</v>
      </c>
      <c r="B1673" t="s">
        <v>12396</v>
      </c>
      <c r="C1673" t="s">
        <v>12432</v>
      </c>
      <c r="D1673" t="s">
        <v>12413</v>
      </c>
      <c r="E1673" t="s">
        <v>13510</v>
      </c>
    </row>
    <row r="1674" spans="1:5">
      <c r="A1674" t="s">
        <v>8688</v>
      </c>
      <c r="B1674" t="s">
        <v>12380</v>
      </c>
      <c r="C1674" t="s">
        <v>12474</v>
      </c>
      <c r="D1674" t="s">
        <v>10388</v>
      </c>
      <c r="E1674" t="s">
        <v>13552</v>
      </c>
    </row>
    <row r="1675" spans="1:5">
      <c r="A1675" t="s">
        <v>8693</v>
      </c>
      <c r="B1675" t="s">
        <v>12552</v>
      </c>
      <c r="C1675" t="s">
        <v>12384</v>
      </c>
      <c r="D1675" t="s">
        <v>12381</v>
      </c>
      <c r="E1675" t="s">
        <v>12488</v>
      </c>
    </row>
    <row r="1676" spans="1:5">
      <c r="A1676" t="s">
        <v>8698</v>
      </c>
      <c r="B1676" t="s">
        <v>12442</v>
      </c>
      <c r="C1676" t="s">
        <v>12389</v>
      </c>
      <c r="D1676" t="s">
        <v>10388</v>
      </c>
      <c r="E1676" t="s">
        <v>13293</v>
      </c>
    </row>
    <row r="1677" spans="1:5">
      <c r="A1677" t="s">
        <v>8703</v>
      </c>
      <c r="B1677" t="s">
        <v>12386</v>
      </c>
      <c r="C1677" t="s">
        <v>12407</v>
      </c>
      <c r="D1677" t="s">
        <v>10388</v>
      </c>
      <c r="E1677" t="s">
        <v>13189</v>
      </c>
    </row>
    <row r="1678" spans="1:5">
      <c r="A1678" t="s">
        <v>8708</v>
      </c>
      <c r="B1678" t="s">
        <v>12459</v>
      </c>
      <c r="C1678" t="s">
        <v>12428</v>
      </c>
      <c r="D1678" t="s">
        <v>10388</v>
      </c>
      <c r="E1678" t="s">
        <v>13463</v>
      </c>
    </row>
    <row r="1679" spans="1:5">
      <c r="A1679" t="s">
        <v>8713</v>
      </c>
      <c r="B1679" t="s">
        <v>12421</v>
      </c>
      <c r="C1679" t="s">
        <v>12389</v>
      </c>
      <c r="D1679" t="s">
        <v>10388</v>
      </c>
      <c r="E1679" t="s">
        <v>13553</v>
      </c>
    </row>
    <row r="1680" spans="1:5">
      <c r="A1680" t="s">
        <v>8718</v>
      </c>
      <c r="B1680" t="s">
        <v>12406</v>
      </c>
      <c r="C1680" t="s">
        <v>12474</v>
      </c>
      <c r="D1680" t="s">
        <v>10388</v>
      </c>
      <c r="E1680" t="s">
        <v>13110</v>
      </c>
    </row>
    <row r="1681" spans="1:5">
      <c r="A1681" t="s">
        <v>8723</v>
      </c>
      <c r="B1681" t="s">
        <v>12424</v>
      </c>
      <c r="C1681" t="s">
        <v>12378</v>
      </c>
      <c r="D1681" t="s">
        <v>10388</v>
      </c>
      <c r="E1681" t="s">
        <v>13554</v>
      </c>
    </row>
    <row r="1682" spans="1:5">
      <c r="A1682" t="s">
        <v>8728</v>
      </c>
      <c r="B1682" t="s">
        <v>12424</v>
      </c>
      <c r="C1682" t="s">
        <v>12415</v>
      </c>
      <c r="D1682" t="s">
        <v>10402</v>
      </c>
      <c r="E1682" t="s">
        <v>13555</v>
      </c>
    </row>
    <row r="1683" spans="1:5">
      <c r="A1683" t="s">
        <v>8733</v>
      </c>
      <c r="B1683" t="s">
        <v>12406</v>
      </c>
      <c r="C1683" t="s">
        <v>12389</v>
      </c>
      <c r="D1683" t="s">
        <v>10388</v>
      </c>
      <c r="E1683" t="s">
        <v>13556</v>
      </c>
    </row>
    <row r="1684" spans="1:5">
      <c r="A1684" t="s">
        <v>8738</v>
      </c>
      <c r="B1684" t="s">
        <v>12459</v>
      </c>
      <c r="C1684" t="s">
        <v>12384</v>
      </c>
      <c r="D1684" t="s">
        <v>12467</v>
      </c>
      <c r="E1684" t="s">
        <v>13163</v>
      </c>
    </row>
    <row r="1685" spans="1:5">
      <c r="A1685" t="s">
        <v>8743</v>
      </c>
      <c r="B1685" t="s">
        <v>12565</v>
      </c>
      <c r="C1685" t="s">
        <v>12474</v>
      </c>
      <c r="D1685" t="s">
        <v>10388</v>
      </c>
      <c r="E1685" t="s">
        <v>13557</v>
      </c>
    </row>
    <row r="1686" spans="1:5">
      <c r="A1686" t="s">
        <v>8748</v>
      </c>
      <c r="B1686" t="s">
        <v>12421</v>
      </c>
      <c r="C1686" t="s">
        <v>12392</v>
      </c>
      <c r="D1686" t="s">
        <v>10381</v>
      </c>
      <c r="E1686" t="s">
        <v>13558</v>
      </c>
    </row>
    <row r="1687" spans="1:5">
      <c r="A1687" t="s">
        <v>8753</v>
      </c>
      <c r="B1687" t="s">
        <v>12426</v>
      </c>
      <c r="C1687" t="s">
        <v>12389</v>
      </c>
      <c r="D1687" t="s">
        <v>10388</v>
      </c>
      <c r="E1687" t="s">
        <v>13559</v>
      </c>
    </row>
    <row r="1688" spans="1:5">
      <c r="A1688" t="s">
        <v>8758</v>
      </c>
      <c r="B1688" t="s">
        <v>12411</v>
      </c>
      <c r="C1688" t="s">
        <v>12493</v>
      </c>
      <c r="D1688" t="s">
        <v>10388</v>
      </c>
      <c r="E1688" t="s">
        <v>13044</v>
      </c>
    </row>
    <row r="1689" spans="1:5">
      <c r="A1689" t="s">
        <v>8763</v>
      </c>
      <c r="B1689" t="s">
        <v>12380</v>
      </c>
      <c r="C1689" t="s">
        <v>12440</v>
      </c>
      <c r="D1689" t="s">
        <v>10388</v>
      </c>
      <c r="E1689" t="s">
        <v>13449</v>
      </c>
    </row>
    <row r="1690" spans="1:5">
      <c r="A1690" t="s">
        <v>8768</v>
      </c>
      <c r="B1690" t="s">
        <v>12477</v>
      </c>
      <c r="C1690" t="s">
        <v>12407</v>
      </c>
      <c r="D1690" t="s">
        <v>10388</v>
      </c>
      <c r="E1690" t="s">
        <v>13560</v>
      </c>
    </row>
    <row r="1691" spans="1:5">
      <c r="A1691" t="s">
        <v>8773</v>
      </c>
      <c r="B1691" t="s">
        <v>12453</v>
      </c>
      <c r="C1691" t="s">
        <v>12419</v>
      </c>
      <c r="D1691" t="s">
        <v>12413</v>
      </c>
      <c r="E1691" t="s">
        <v>12861</v>
      </c>
    </row>
    <row r="1692" spans="1:5">
      <c r="A1692" t="s">
        <v>8778</v>
      </c>
      <c r="B1692" t="s">
        <v>12394</v>
      </c>
      <c r="C1692" t="s">
        <v>12419</v>
      </c>
      <c r="D1692" t="s">
        <v>12437</v>
      </c>
      <c r="E1692" t="s">
        <v>13067</v>
      </c>
    </row>
    <row r="1693" spans="1:5">
      <c r="A1693" t="s">
        <v>8783</v>
      </c>
      <c r="B1693" t="s">
        <v>12483</v>
      </c>
      <c r="C1693" t="s">
        <v>12384</v>
      </c>
      <c r="D1693" t="s">
        <v>12437</v>
      </c>
      <c r="E1693" t="s">
        <v>13561</v>
      </c>
    </row>
    <row r="1694" spans="1:5">
      <c r="A1694" t="s">
        <v>8788</v>
      </c>
      <c r="B1694" t="s">
        <v>12477</v>
      </c>
      <c r="C1694" t="s">
        <v>12463</v>
      </c>
      <c r="D1694" t="s">
        <v>12456</v>
      </c>
      <c r="E1694" t="s">
        <v>13201</v>
      </c>
    </row>
    <row r="1695" spans="1:5">
      <c r="A1695" t="s">
        <v>8793</v>
      </c>
      <c r="B1695" t="s">
        <v>12470</v>
      </c>
      <c r="C1695" t="s">
        <v>12428</v>
      </c>
      <c r="D1695" t="s">
        <v>10388</v>
      </c>
      <c r="E1695" t="s">
        <v>13562</v>
      </c>
    </row>
    <row r="1696" spans="1:5">
      <c r="A1696" t="s">
        <v>8798</v>
      </c>
      <c r="B1696" t="s">
        <v>12508</v>
      </c>
      <c r="C1696" t="s">
        <v>12474</v>
      </c>
      <c r="D1696" t="s">
        <v>10388</v>
      </c>
      <c r="E1696" t="s">
        <v>13166</v>
      </c>
    </row>
    <row r="1697" spans="1:5">
      <c r="A1697" t="s">
        <v>8803</v>
      </c>
      <c r="B1697" t="s">
        <v>12377</v>
      </c>
      <c r="C1697" t="s">
        <v>12419</v>
      </c>
      <c r="D1697" t="s">
        <v>12416</v>
      </c>
      <c r="E1697" t="s">
        <v>13395</v>
      </c>
    </row>
    <row r="1698" spans="1:5">
      <c r="A1698" t="s">
        <v>8809</v>
      </c>
      <c r="B1698" t="s">
        <v>12491</v>
      </c>
      <c r="C1698" t="s">
        <v>12493</v>
      </c>
      <c r="D1698" t="s">
        <v>10388</v>
      </c>
      <c r="E1698" t="s">
        <v>12410</v>
      </c>
    </row>
    <row r="1699" spans="1:5">
      <c r="A1699" t="s">
        <v>8814</v>
      </c>
      <c r="B1699" t="s">
        <v>12430</v>
      </c>
      <c r="C1699" t="s">
        <v>12446</v>
      </c>
      <c r="D1699" t="s">
        <v>10388</v>
      </c>
      <c r="E1699" t="s">
        <v>13563</v>
      </c>
    </row>
    <row r="1700" spans="1:5">
      <c r="A1700" t="s">
        <v>8819</v>
      </c>
      <c r="B1700" t="s">
        <v>12403</v>
      </c>
      <c r="C1700" t="s">
        <v>12400</v>
      </c>
      <c r="D1700" t="s">
        <v>10381</v>
      </c>
      <c r="E1700" t="s">
        <v>13564</v>
      </c>
    </row>
    <row r="1701" spans="1:5">
      <c r="A1701" t="s">
        <v>8824</v>
      </c>
      <c r="B1701" t="s">
        <v>12552</v>
      </c>
      <c r="C1701" t="s">
        <v>12407</v>
      </c>
      <c r="D1701" t="s">
        <v>10388</v>
      </c>
      <c r="E1701" t="s">
        <v>13178</v>
      </c>
    </row>
    <row r="1702" spans="1:5">
      <c r="A1702" t="s">
        <v>8829</v>
      </c>
      <c r="B1702" t="s">
        <v>12453</v>
      </c>
      <c r="C1702" t="s">
        <v>12400</v>
      </c>
      <c r="D1702" t="s">
        <v>10376</v>
      </c>
      <c r="E1702" t="s">
        <v>13068</v>
      </c>
    </row>
    <row r="1703" spans="1:5">
      <c r="A1703" t="s">
        <v>8834</v>
      </c>
      <c r="B1703" t="s">
        <v>12470</v>
      </c>
      <c r="C1703" t="s">
        <v>12474</v>
      </c>
      <c r="D1703" t="s">
        <v>10388</v>
      </c>
      <c r="E1703" t="s">
        <v>13565</v>
      </c>
    </row>
    <row r="1704" spans="1:5">
      <c r="A1704" t="s">
        <v>8839</v>
      </c>
      <c r="B1704" t="s">
        <v>12380</v>
      </c>
      <c r="C1704" t="s">
        <v>12499</v>
      </c>
      <c r="D1704" t="s">
        <v>10388</v>
      </c>
      <c r="E1704" t="s">
        <v>13343</v>
      </c>
    </row>
    <row r="1705" spans="1:5">
      <c r="A1705" t="s">
        <v>8844</v>
      </c>
      <c r="B1705" t="s">
        <v>12383</v>
      </c>
      <c r="C1705" t="s">
        <v>12397</v>
      </c>
      <c r="D1705" t="s">
        <v>10381</v>
      </c>
      <c r="E1705" t="s">
        <v>13349</v>
      </c>
    </row>
    <row r="1706" spans="1:5">
      <c r="A1706" t="s">
        <v>8849</v>
      </c>
      <c r="B1706" t="s">
        <v>12394</v>
      </c>
      <c r="C1706" t="s">
        <v>12409</v>
      </c>
      <c r="D1706" t="s">
        <v>10388</v>
      </c>
      <c r="E1706" t="s">
        <v>13566</v>
      </c>
    </row>
    <row r="1707" spans="1:5">
      <c r="A1707" t="s">
        <v>8854</v>
      </c>
      <c r="B1707" t="s">
        <v>12498</v>
      </c>
      <c r="C1707" t="s">
        <v>12474</v>
      </c>
      <c r="D1707" t="s">
        <v>10388</v>
      </c>
      <c r="E1707" t="s">
        <v>13567</v>
      </c>
    </row>
    <row r="1708" spans="1:5">
      <c r="A1708" t="s">
        <v>8859</v>
      </c>
      <c r="B1708" t="s">
        <v>12403</v>
      </c>
      <c r="C1708" t="s">
        <v>12415</v>
      </c>
      <c r="D1708" t="s">
        <v>10402</v>
      </c>
      <c r="E1708" t="s">
        <v>12637</v>
      </c>
    </row>
    <row r="1709" spans="1:5">
      <c r="A1709" t="s">
        <v>8864</v>
      </c>
      <c r="B1709" t="s">
        <v>12434</v>
      </c>
      <c r="C1709" t="s">
        <v>12389</v>
      </c>
      <c r="D1709" t="s">
        <v>10388</v>
      </c>
      <c r="E1709" t="s">
        <v>13126</v>
      </c>
    </row>
    <row r="1710" spans="1:5">
      <c r="A1710" t="s">
        <v>8869</v>
      </c>
      <c r="B1710" t="s">
        <v>12394</v>
      </c>
      <c r="C1710" t="s">
        <v>12419</v>
      </c>
      <c r="D1710" t="s">
        <v>12413</v>
      </c>
      <c r="E1710" t="s">
        <v>13568</v>
      </c>
    </row>
    <row r="1711" spans="1:5">
      <c r="A1711" t="s">
        <v>8874</v>
      </c>
      <c r="B1711" t="s">
        <v>12434</v>
      </c>
      <c r="C1711" t="s">
        <v>12378</v>
      </c>
      <c r="D1711" t="s">
        <v>10388</v>
      </c>
      <c r="E1711" t="s">
        <v>12427</v>
      </c>
    </row>
    <row r="1712" spans="1:5">
      <c r="A1712" t="s">
        <v>8879</v>
      </c>
      <c r="B1712" t="s">
        <v>12394</v>
      </c>
      <c r="C1712" t="s">
        <v>12428</v>
      </c>
      <c r="D1712" t="s">
        <v>10388</v>
      </c>
      <c r="E1712" t="s">
        <v>13132</v>
      </c>
    </row>
    <row r="1713" spans="1:5">
      <c r="A1713" t="s">
        <v>8884</v>
      </c>
      <c r="B1713" t="s">
        <v>12459</v>
      </c>
      <c r="C1713" t="s">
        <v>12415</v>
      </c>
      <c r="D1713" t="s">
        <v>12456</v>
      </c>
      <c r="E1713" t="s">
        <v>13569</v>
      </c>
    </row>
    <row r="1714" spans="1:5">
      <c r="A1714" t="s">
        <v>8889</v>
      </c>
      <c r="B1714" t="s">
        <v>12552</v>
      </c>
      <c r="C1714" t="s">
        <v>12463</v>
      </c>
      <c r="D1714" t="s">
        <v>10381</v>
      </c>
      <c r="E1714" t="s">
        <v>13570</v>
      </c>
    </row>
    <row r="1715" spans="1:5">
      <c r="A1715" t="s">
        <v>8894</v>
      </c>
      <c r="B1715" t="s">
        <v>12421</v>
      </c>
      <c r="C1715" t="s">
        <v>12474</v>
      </c>
      <c r="D1715" t="s">
        <v>10388</v>
      </c>
      <c r="E1715" t="s">
        <v>12849</v>
      </c>
    </row>
    <row r="1716" spans="1:5">
      <c r="A1716" t="s">
        <v>8899</v>
      </c>
      <c r="B1716" t="s">
        <v>12477</v>
      </c>
      <c r="C1716" t="s">
        <v>12499</v>
      </c>
      <c r="D1716" t="s">
        <v>10388</v>
      </c>
      <c r="E1716" t="s">
        <v>12581</v>
      </c>
    </row>
    <row r="1717" spans="1:5">
      <c r="A1717" t="s">
        <v>8904</v>
      </c>
      <c r="B1717" t="s">
        <v>12383</v>
      </c>
      <c r="C1717" t="s">
        <v>12415</v>
      </c>
      <c r="D1717" t="s">
        <v>12401</v>
      </c>
      <c r="E1717" t="s">
        <v>13464</v>
      </c>
    </row>
    <row r="1718" spans="1:5">
      <c r="A1718" t="s">
        <v>8909</v>
      </c>
      <c r="B1718" t="s">
        <v>12461</v>
      </c>
      <c r="C1718" t="s">
        <v>12397</v>
      </c>
      <c r="D1718" t="s">
        <v>12467</v>
      </c>
      <c r="E1718" t="s">
        <v>13141</v>
      </c>
    </row>
    <row r="1719" spans="1:5">
      <c r="A1719" t="s">
        <v>8915</v>
      </c>
      <c r="B1719" t="s">
        <v>12453</v>
      </c>
      <c r="C1719" t="s">
        <v>12474</v>
      </c>
      <c r="D1719" t="s">
        <v>10388</v>
      </c>
      <c r="E1719" t="s">
        <v>13110</v>
      </c>
    </row>
    <row r="1720" spans="1:5">
      <c r="A1720" t="s">
        <v>8920</v>
      </c>
      <c r="B1720" t="s">
        <v>12453</v>
      </c>
      <c r="C1720" t="s">
        <v>12432</v>
      </c>
      <c r="D1720" t="s">
        <v>12456</v>
      </c>
      <c r="E1720" t="s">
        <v>12974</v>
      </c>
    </row>
    <row r="1721" spans="1:5">
      <c r="A1721" t="s">
        <v>8925</v>
      </c>
      <c r="B1721" t="s">
        <v>12383</v>
      </c>
      <c r="C1721" t="s">
        <v>12474</v>
      </c>
      <c r="D1721" t="s">
        <v>10388</v>
      </c>
      <c r="E1721" t="s">
        <v>13063</v>
      </c>
    </row>
    <row r="1722" spans="1:5">
      <c r="A1722" t="s">
        <v>8930</v>
      </c>
      <c r="B1722" t="s">
        <v>12450</v>
      </c>
      <c r="C1722" t="s">
        <v>12474</v>
      </c>
      <c r="D1722" t="s">
        <v>10388</v>
      </c>
      <c r="E1722" t="s">
        <v>12750</v>
      </c>
    </row>
    <row r="1723" spans="1:5">
      <c r="A1723" t="s">
        <v>8935</v>
      </c>
      <c r="B1723" t="s">
        <v>12450</v>
      </c>
      <c r="C1723" t="s">
        <v>12409</v>
      </c>
      <c r="D1723" t="s">
        <v>10388</v>
      </c>
      <c r="E1723" t="s">
        <v>13571</v>
      </c>
    </row>
    <row r="1724" spans="1:5">
      <c r="A1724" t="s">
        <v>8940</v>
      </c>
      <c r="B1724" t="s">
        <v>12421</v>
      </c>
      <c r="C1724" t="s">
        <v>10369</v>
      </c>
      <c r="D1724" t="s">
        <v>12437</v>
      </c>
      <c r="E1724" t="s">
        <v>13572</v>
      </c>
    </row>
    <row r="1725" spans="1:5">
      <c r="A1725" t="s">
        <v>8945</v>
      </c>
      <c r="B1725" t="s">
        <v>12470</v>
      </c>
      <c r="C1725" t="s">
        <v>12446</v>
      </c>
      <c r="D1725" t="s">
        <v>10388</v>
      </c>
      <c r="E1725" t="s">
        <v>13004</v>
      </c>
    </row>
    <row r="1726" spans="1:5">
      <c r="A1726" t="s">
        <v>8950</v>
      </c>
      <c r="B1726" t="s">
        <v>12418</v>
      </c>
      <c r="C1726" t="s">
        <v>12409</v>
      </c>
      <c r="D1726" t="s">
        <v>10388</v>
      </c>
      <c r="E1726" t="s">
        <v>13349</v>
      </c>
    </row>
    <row r="1727" spans="1:5">
      <c r="A1727" t="s">
        <v>8955</v>
      </c>
      <c r="B1727" t="s">
        <v>12525</v>
      </c>
      <c r="C1727" t="s">
        <v>12407</v>
      </c>
      <c r="D1727" t="s">
        <v>10388</v>
      </c>
      <c r="E1727" t="s">
        <v>12609</v>
      </c>
    </row>
    <row r="1728" spans="1:5">
      <c r="A1728" t="s">
        <v>8960</v>
      </c>
      <c r="B1728" t="s">
        <v>12565</v>
      </c>
      <c r="C1728" t="s">
        <v>12428</v>
      </c>
      <c r="D1728" t="s">
        <v>10388</v>
      </c>
      <c r="E1728" t="s">
        <v>12385</v>
      </c>
    </row>
    <row r="1729" spans="1:5">
      <c r="A1729" t="s">
        <v>8965</v>
      </c>
      <c r="B1729" t="s">
        <v>12426</v>
      </c>
      <c r="C1729" t="s">
        <v>12428</v>
      </c>
      <c r="D1729" t="s">
        <v>10388</v>
      </c>
      <c r="E1729" t="s">
        <v>13338</v>
      </c>
    </row>
    <row r="1730" spans="1:5">
      <c r="A1730" t="s">
        <v>8970</v>
      </c>
      <c r="B1730" t="s">
        <v>12459</v>
      </c>
      <c r="C1730" t="s">
        <v>12499</v>
      </c>
      <c r="D1730" t="s">
        <v>10388</v>
      </c>
      <c r="E1730" t="s">
        <v>12747</v>
      </c>
    </row>
    <row r="1731" spans="1:5">
      <c r="A1731" t="s">
        <v>8975</v>
      </c>
      <c r="B1731" t="s">
        <v>12421</v>
      </c>
      <c r="C1731" t="s">
        <v>12389</v>
      </c>
      <c r="D1731" t="s">
        <v>10388</v>
      </c>
      <c r="E1731" t="s">
        <v>13573</v>
      </c>
    </row>
    <row r="1732" spans="1:5">
      <c r="A1732" t="s">
        <v>8980</v>
      </c>
      <c r="B1732" t="s">
        <v>12563</v>
      </c>
      <c r="C1732" t="s">
        <v>12378</v>
      </c>
      <c r="D1732" t="s">
        <v>10388</v>
      </c>
      <c r="E1732" t="s">
        <v>13574</v>
      </c>
    </row>
    <row r="1733" spans="1:5">
      <c r="A1733" t="s">
        <v>8985</v>
      </c>
      <c r="B1733" t="s">
        <v>12450</v>
      </c>
      <c r="C1733" t="s">
        <v>12415</v>
      </c>
      <c r="D1733" t="s">
        <v>10402</v>
      </c>
      <c r="E1733" t="s">
        <v>12936</v>
      </c>
    </row>
    <row r="1734" spans="1:5">
      <c r="A1734" t="s">
        <v>8990</v>
      </c>
      <c r="B1734" t="s">
        <v>12434</v>
      </c>
      <c r="C1734" t="s">
        <v>12412</v>
      </c>
      <c r="D1734" t="s">
        <v>12413</v>
      </c>
      <c r="E1734" t="s">
        <v>13085</v>
      </c>
    </row>
    <row r="1735" spans="1:5">
      <c r="A1735" t="s">
        <v>8995</v>
      </c>
      <c r="B1735" t="s">
        <v>12508</v>
      </c>
      <c r="C1735" t="s">
        <v>12474</v>
      </c>
      <c r="D1735" t="s">
        <v>10388</v>
      </c>
      <c r="E1735" t="s">
        <v>13575</v>
      </c>
    </row>
    <row r="1736" spans="1:5">
      <c r="A1736" t="s">
        <v>9000</v>
      </c>
      <c r="B1736" t="s">
        <v>12498</v>
      </c>
      <c r="C1736" t="s">
        <v>12415</v>
      </c>
      <c r="D1736" t="s">
        <v>12456</v>
      </c>
      <c r="E1736" t="s">
        <v>13227</v>
      </c>
    </row>
    <row r="1737" spans="1:5">
      <c r="A1737" t="s">
        <v>9005</v>
      </c>
      <c r="B1737" t="s">
        <v>12445</v>
      </c>
      <c r="C1737" t="s">
        <v>12412</v>
      </c>
      <c r="D1737" t="s">
        <v>12413</v>
      </c>
      <c r="E1737" t="s">
        <v>13576</v>
      </c>
    </row>
    <row r="1738" spans="1:5">
      <c r="A1738" t="s">
        <v>9010</v>
      </c>
      <c r="B1738" t="s">
        <v>12552</v>
      </c>
      <c r="C1738" t="s">
        <v>12415</v>
      </c>
      <c r="D1738" t="s">
        <v>12416</v>
      </c>
      <c r="E1738" t="s">
        <v>13577</v>
      </c>
    </row>
    <row r="1739" spans="1:5">
      <c r="A1739" t="s">
        <v>9015</v>
      </c>
      <c r="B1739" t="s">
        <v>12473</v>
      </c>
      <c r="C1739" t="s">
        <v>12378</v>
      </c>
      <c r="D1739" t="s">
        <v>10388</v>
      </c>
      <c r="E1739" t="s">
        <v>13578</v>
      </c>
    </row>
    <row r="1740" spans="1:5">
      <c r="A1740" t="s">
        <v>9020</v>
      </c>
      <c r="B1740" t="s">
        <v>12439</v>
      </c>
      <c r="C1740" t="s">
        <v>12400</v>
      </c>
      <c r="D1740" t="s">
        <v>12467</v>
      </c>
      <c r="E1740" t="s">
        <v>13579</v>
      </c>
    </row>
    <row r="1741" spans="1:5">
      <c r="A1741" t="s">
        <v>9025</v>
      </c>
      <c r="B1741" t="s">
        <v>12525</v>
      </c>
      <c r="C1741" t="s">
        <v>12409</v>
      </c>
      <c r="D1741" t="s">
        <v>10388</v>
      </c>
      <c r="E1741" t="s">
        <v>12844</v>
      </c>
    </row>
    <row r="1742" spans="1:5">
      <c r="A1742" t="s">
        <v>9030</v>
      </c>
      <c r="B1742" t="s">
        <v>12565</v>
      </c>
      <c r="C1742" t="s">
        <v>12419</v>
      </c>
      <c r="D1742" t="s">
        <v>10381</v>
      </c>
      <c r="E1742" t="s">
        <v>13052</v>
      </c>
    </row>
    <row r="1743" spans="1:5">
      <c r="A1743" t="s">
        <v>9035</v>
      </c>
      <c r="B1743" t="s">
        <v>12391</v>
      </c>
      <c r="C1743" t="s">
        <v>12493</v>
      </c>
      <c r="D1743" t="s">
        <v>10388</v>
      </c>
      <c r="E1743" t="s">
        <v>13116</v>
      </c>
    </row>
    <row r="1744" spans="1:5">
      <c r="A1744" t="s">
        <v>9040</v>
      </c>
      <c r="B1744" t="s">
        <v>12411</v>
      </c>
      <c r="C1744" t="s">
        <v>12415</v>
      </c>
      <c r="D1744" t="s">
        <v>10376</v>
      </c>
      <c r="E1744" t="s">
        <v>13350</v>
      </c>
    </row>
    <row r="1745" spans="1:5">
      <c r="A1745" t="s">
        <v>9045</v>
      </c>
      <c r="B1745" t="s">
        <v>12418</v>
      </c>
      <c r="C1745" t="s">
        <v>10369</v>
      </c>
      <c r="D1745" t="s">
        <v>12401</v>
      </c>
      <c r="E1745" t="s">
        <v>12935</v>
      </c>
    </row>
    <row r="1746" spans="1:5">
      <c r="A1746" t="s">
        <v>9050</v>
      </c>
      <c r="B1746" t="s">
        <v>12508</v>
      </c>
      <c r="C1746" t="s">
        <v>12432</v>
      </c>
      <c r="D1746" t="s">
        <v>10402</v>
      </c>
      <c r="E1746" t="s">
        <v>12755</v>
      </c>
    </row>
    <row r="1747" spans="1:5">
      <c r="A1747" t="s">
        <v>9055</v>
      </c>
      <c r="B1747" t="s">
        <v>12399</v>
      </c>
      <c r="C1747" t="s">
        <v>12415</v>
      </c>
      <c r="D1747" t="s">
        <v>12413</v>
      </c>
      <c r="E1747" t="s">
        <v>12892</v>
      </c>
    </row>
    <row r="1748" spans="1:5">
      <c r="A1748" t="s">
        <v>9060</v>
      </c>
      <c r="B1748" t="s">
        <v>12473</v>
      </c>
      <c r="C1748" t="s">
        <v>12407</v>
      </c>
      <c r="D1748" t="s">
        <v>10388</v>
      </c>
      <c r="E1748" t="s">
        <v>13580</v>
      </c>
    </row>
    <row r="1749" spans="1:5">
      <c r="A1749" t="s">
        <v>9065</v>
      </c>
      <c r="B1749" t="s">
        <v>12399</v>
      </c>
      <c r="C1749" t="s">
        <v>12384</v>
      </c>
      <c r="D1749" t="s">
        <v>10381</v>
      </c>
      <c r="E1749" t="s">
        <v>12757</v>
      </c>
    </row>
    <row r="1750" spans="1:5">
      <c r="A1750" t="s">
        <v>9070</v>
      </c>
      <c r="B1750" t="s">
        <v>12388</v>
      </c>
      <c r="C1750" t="s">
        <v>12440</v>
      </c>
      <c r="D1750" t="s">
        <v>10388</v>
      </c>
      <c r="E1750" t="s">
        <v>13581</v>
      </c>
    </row>
    <row r="1751" spans="1:5">
      <c r="A1751" t="s">
        <v>9075</v>
      </c>
      <c r="B1751" t="s">
        <v>12470</v>
      </c>
      <c r="C1751" t="s">
        <v>12392</v>
      </c>
      <c r="D1751" t="s">
        <v>12416</v>
      </c>
      <c r="E1751" t="s">
        <v>12781</v>
      </c>
    </row>
    <row r="1752" spans="1:5">
      <c r="A1752" t="s">
        <v>9080</v>
      </c>
      <c r="B1752" t="s">
        <v>12396</v>
      </c>
      <c r="C1752" t="s">
        <v>12440</v>
      </c>
      <c r="D1752" t="s">
        <v>10388</v>
      </c>
      <c r="E1752" t="s">
        <v>13197</v>
      </c>
    </row>
    <row r="1753" spans="1:5">
      <c r="A1753" t="s">
        <v>9085</v>
      </c>
      <c r="B1753" t="s">
        <v>12383</v>
      </c>
      <c r="C1753" t="s">
        <v>12419</v>
      </c>
      <c r="D1753" t="s">
        <v>12467</v>
      </c>
      <c r="E1753" t="s">
        <v>12575</v>
      </c>
    </row>
    <row r="1754" spans="1:5">
      <c r="A1754" t="s">
        <v>9090</v>
      </c>
      <c r="B1754" t="s">
        <v>12491</v>
      </c>
      <c r="C1754" t="s">
        <v>12412</v>
      </c>
      <c r="D1754" t="s">
        <v>12381</v>
      </c>
      <c r="E1754" t="s">
        <v>12904</v>
      </c>
    </row>
    <row r="1755" spans="1:5">
      <c r="A1755" t="s">
        <v>9095</v>
      </c>
      <c r="B1755" t="s">
        <v>12383</v>
      </c>
      <c r="C1755" t="s">
        <v>12446</v>
      </c>
      <c r="D1755" t="s">
        <v>10388</v>
      </c>
      <c r="E1755" t="s">
        <v>12655</v>
      </c>
    </row>
    <row r="1756" spans="1:5">
      <c r="A1756" t="s">
        <v>9100</v>
      </c>
      <c r="B1756" t="s">
        <v>12563</v>
      </c>
      <c r="C1756" t="s">
        <v>12412</v>
      </c>
      <c r="D1756" t="s">
        <v>12381</v>
      </c>
      <c r="E1756" t="s">
        <v>12588</v>
      </c>
    </row>
    <row r="1757" spans="1:5">
      <c r="A1757" t="s">
        <v>9105</v>
      </c>
      <c r="B1757" t="s">
        <v>12508</v>
      </c>
      <c r="C1757" t="s">
        <v>12474</v>
      </c>
      <c r="D1757" t="s">
        <v>10388</v>
      </c>
      <c r="E1757" t="s">
        <v>13518</v>
      </c>
    </row>
    <row r="1758" spans="1:5">
      <c r="A1758" t="s">
        <v>9110</v>
      </c>
      <c r="B1758" t="s">
        <v>12406</v>
      </c>
      <c r="C1758" t="s">
        <v>12474</v>
      </c>
      <c r="D1758" t="s">
        <v>10388</v>
      </c>
      <c r="E1758" t="s">
        <v>12635</v>
      </c>
    </row>
    <row r="1759" spans="1:5">
      <c r="A1759" t="s">
        <v>9115</v>
      </c>
      <c r="B1759" t="s">
        <v>12406</v>
      </c>
      <c r="C1759" t="s">
        <v>12499</v>
      </c>
      <c r="D1759" t="s">
        <v>10388</v>
      </c>
      <c r="E1759" t="s">
        <v>13582</v>
      </c>
    </row>
    <row r="1760" spans="1:5">
      <c r="A1760" t="s">
        <v>9120</v>
      </c>
      <c r="B1760" t="s">
        <v>12436</v>
      </c>
      <c r="C1760" t="s">
        <v>12392</v>
      </c>
      <c r="D1760" t="s">
        <v>12381</v>
      </c>
      <c r="E1760" t="s">
        <v>13355</v>
      </c>
    </row>
    <row r="1761" spans="1:5">
      <c r="A1761" t="s">
        <v>9125</v>
      </c>
      <c r="B1761" t="s">
        <v>12394</v>
      </c>
      <c r="C1761" t="s">
        <v>12409</v>
      </c>
      <c r="D1761" t="s">
        <v>10388</v>
      </c>
      <c r="E1761" t="s">
        <v>13228</v>
      </c>
    </row>
    <row r="1762" spans="1:5">
      <c r="A1762" t="s">
        <v>9130</v>
      </c>
      <c r="B1762" t="s">
        <v>12498</v>
      </c>
      <c r="C1762" t="s">
        <v>12397</v>
      </c>
      <c r="D1762" t="s">
        <v>12416</v>
      </c>
      <c r="E1762" t="s">
        <v>13175</v>
      </c>
    </row>
    <row r="1763" spans="1:5">
      <c r="A1763" t="s">
        <v>9135</v>
      </c>
      <c r="B1763" t="s">
        <v>12563</v>
      </c>
      <c r="C1763" t="s">
        <v>12412</v>
      </c>
      <c r="D1763" t="s">
        <v>12416</v>
      </c>
      <c r="E1763" t="s">
        <v>13555</v>
      </c>
    </row>
    <row r="1764" spans="1:5">
      <c r="A1764" t="s">
        <v>9140</v>
      </c>
      <c r="B1764" t="s">
        <v>12459</v>
      </c>
      <c r="C1764" t="s">
        <v>12407</v>
      </c>
      <c r="D1764" t="s">
        <v>10388</v>
      </c>
      <c r="E1764" t="s">
        <v>12735</v>
      </c>
    </row>
    <row r="1765" spans="1:5">
      <c r="A1765" t="s">
        <v>9145</v>
      </c>
      <c r="B1765" t="s">
        <v>12503</v>
      </c>
      <c r="C1765" t="s">
        <v>12446</v>
      </c>
      <c r="D1765" t="s">
        <v>10388</v>
      </c>
      <c r="E1765" t="s">
        <v>12621</v>
      </c>
    </row>
    <row r="1766" spans="1:5">
      <c r="A1766" t="s">
        <v>9150</v>
      </c>
      <c r="B1766" t="s">
        <v>12396</v>
      </c>
      <c r="C1766" t="s">
        <v>12419</v>
      </c>
      <c r="D1766" t="s">
        <v>12413</v>
      </c>
      <c r="E1766" t="s">
        <v>13583</v>
      </c>
    </row>
    <row r="1767" spans="1:5">
      <c r="A1767" t="s">
        <v>9155</v>
      </c>
      <c r="B1767" t="s">
        <v>12483</v>
      </c>
      <c r="C1767" t="s">
        <v>12412</v>
      </c>
      <c r="D1767" t="s">
        <v>10402</v>
      </c>
      <c r="E1767" t="s">
        <v>12560</v>
      </c>
    </row>
    <row r="1768" spans="1:5">
      <c r="A1768" t="s">
        <v>9160</v>
      </c>
      <c r="B1768" t="s">
        <v>12421</v>
      </c>
      <c r="C1768" t="s">
        <v>12415</v>
      </c>
      <c r="D1768" t="s">
        <v>12467</v>
      </c>
      <c r="E1768" t="s">
        <v>13090</v>
      </c>
    </row>
    <row r="1769" spans="1:5">
      <c r="A1769" t="s">
        <v>9165</v>
      </c>
      <c r="B1769" t="s">
        <v>12450</v>
      </c>
      <c r="C1769" t="s">
        <v>12412</v>
      </c>
      <c r="D1769" t="s">
        <v>12467</v>
      </c>
      <c r="E1769" t="s">
        <v>13454</v>
      </c>
    </row>
    <row r="1770" spans="1:5">
      <c r="A1770" t="s">
        <v>9170</v>
      </c>
      <c r="B1770" t="s">
        <v>12434</v>
      </c>
      <c r="C1770" t="s">
        <v>12440</v>
      </c>
      <c r="D1770" t="s">
        <v>10388</v>
      </c>
      <c r="E1770" t="s">
        <v>13349</v>
      </c>
    </row>
    <row r="1771" spans="1:5">
      <c r="A1771" t="s">
        <v>9175</v>
      </c>
      <c r="B1771" t="s">
        <v>12483</v>
      </c>
      <c r="C1771" t="s">
        <v>12493</v>
      </c>
      <c r="D1771" t="s">
        <v>10388</v>
      </c>
      <c r="E1771" t="s">
        <v>12984</v>
      </c>
    </row>
    <row r="1772" spans="1:5">
      <c r="A1772" t="s">
        <v>9180</v>
      </c>
      <c r="B1772" t="s">
        <v>12411</v>
      </c>
      <c r="C1772" t="s">
        <v>12407</v>
      </c>
      <c r="D1772" t="s">
        <v>10388</v>
      </c>
      <c r="E1772" t="s">
        <v>12865</v>
      </c>
    </row>
    <row r="1773" spans="1:5">
      <c r="A1773" t="s">
        <v>9185</v>
      </c>
      <c r="B1773" t="s">
        <v>12380</v>
      </c>
      <c r="C1773" t="s">
        <v>12474</v>
      </c>
      <c r="D1773" t="s">
        <v>10388</v>
      </c>
      <c r="E1773" t="s">
        <v>12726</v>
      </c>
    </row>
    <row r="1774" spans="1:5">
      <c r="A1774" t="s">
        <v>9190</v>
      </c>
      <c r="B1774" t="s">
        <v>12418</v>
      </c>
      <c r="C1774" t="s">
        <v>12412</v>
      </c>
      <c r="D1774" t="s">
        <v>10376</v>
      </c>
      <c r="E1774" t="s">
        <v>13450</v>
      </c>
    </row>
    <row r="1775" spans="1:5">
      <c r="A1775" t="s">
        <v>9195</v>
      </c>
      <c r="B1775" t="s">
        <v>12396</v>
      </c>
      <c r="C1775" t="s">
        <v>10369</v>
      </c>
      <c r="D1775" t="s">
        <v>10381</v>
      </c>
      <c r="E1775" t="s">
        <v>13058</v>
      </c>
    </row>
    <row r="1776" spans="1:5">
      <c r="A1776" t="s">
        <v>9200</v>
      </c>
      <c r="B1776" t="s">
        <v>12565</v>
      </c>
      <c r="C1776" t="s">
        <v>12463</v>
      </c>
      <c r="D1776" t="s">
        <v>12437</v>
      </c>
      <c r="E1776" t="s">
        <v>13584</v>
      </c>
    </row>
    <row r="1777" spans="1:5">
      <c r="A1777" t="s">
        <v>9205</v>
      </c>
      <c r="B1777" t="s">
        <v>12434</v>
      </c>
      <c r="C1777" t="s">
        <v>12415</v>
      </c>
      <c r="D1777" t="s">
        <v>10381</v>
      </c>
      <c r="E1777" t="s">
        <v>13138</v>
      </c>
    </row>
    <row r="1778" spans="1:5">
      <c r="A1778" t="s">
        <v>9210</v>
      </c>
      <c r="B1778" t="s">
        <v>12442</v>
      </c>
      <c r="C1778" t="s">
        <v>12409</v>
      </c>
      <c r="D1778" t="s">
        <v>10388</v>
      </c>
      <c r="E1778" t="s">
        <v>13048</v>
      </c>
    </row>
    <row r="1779" spans="1:5">
      <c r="A1779" t="s">
        <v>9215</v>
      </c>
      <c r="B1779" t="s">
        <v>12439</v>
      </c>
      <c r="C1779" t="s">
        <v>12389</v>
      </c>
      <c r="D1779" t="s">
        <v>10388</v>
      </c>
      <c r="E1779" t="s">
        <v>13585</v>
      </c>
    </row>
    <row r="1780" spans="1:5">
      <c r="A1780" t="s">
        <v>9220</v>
      </c>
      <c r="B1780" t="s">
        <v>12439</v>
      </c>
      <c r="C1780" t="s">
        <v>12378</v>
      </c>
      <c r="D1780" t="s">
        <v>10388</v>
      </c>
      <c r="E1780" t="s">
        <v>12782</v>
      </c>
    </row>
    <row r="1781" spans="1:5">
      <c r="A1781" t="s">
        <v>9226</v>
      </c>
      <c r="B1781" t="s">
        <v>12377</v>
      </c>
      <c r="C1781" t="s">
        <v>12392</v>
      </c>
      <c r="D1781" t="s">
        <v>12437</v>
      </c>
      <c r="E1781" t="s">
        <v>13586</v>
      </c>
    </row>
    <row r="1782" spans="1:5">
      <c r="A1782" t="s">
        <v>9231</v>
      </c>
      <c r="B1782" t="s">
        <v>12418</v>
      </c>
      <c r="C1782" t="s">
        <v>12474</v>
      </c>
      <c r="D1782" t="s">
        <v>10388</v>
      </c>
      <c r="E1782" t="s">
        <v>13263</v>
      </c>
    </row>
    <row r="1783" spans="1:5">
      <c r="A1783" t="s">
        <v>9236</v>
      </c>
      <c r="B1783" t="s">
        <v>12552</v>
      </c>
      <c r="C1783" t="s">
        <v>12432</v>
      </c>
      <c r="D1783" t="s">
        <v>12401</v>
      </c>
      <c r="E1783" t="s">
        <v>13587</v>
      </c>
    </row>
    <row r="1784" spans="1:5">
      <c r="A1784" t="s">
        <v>9241</v>
      </c>
      <c r="B1784" t="s">
        <v>12445</v>
      </c>
      <c r="C1784" t="s">
        <v>12428</v>
      </c>
      <c r="D1784" t="s">
        <v>10388</v>
      </c>
      <c r="E1784" t="s">
        <v>13588</v>
      </c>
    </row>
    <row r="1785" spans="1:5">
      <c r="A1785" t="s">
        <v>9246</v>
      </c>
      <c r="B1785" t="s">
        <v>12455</v>
      </c>
      <c r="C1785" t="s">
        <v>12392</v>
      </c>
      <c r="D1785" t="s">
        <v>12381</v>
      </c>
      <c r="E1785" t="s">
        <v>12435</v>
      </c>
    </row>
    <row r="1786" spans="1:5">
      <c r="A1786" t="s">
        <v>9251</v>
      </c>
      <c r="B1786" t="s">
        <v>12477</v>
      </c>
      <c r="C1786" t="s">
        <v>12392</v>
      </c>
      <c r="D1786" t="s">
        <v>12456</v>
      </c>
      <c r="E1786" t="s">
        <v>13113</v>
      </c>
    </row>
    <row r="1787" spans="1:5">
      <c r="A1787" t="s">
        <v>9256</v>
      </c>
      <c r="B1787" t="s">
        <v>12406</v>
      </c>
      <c r="C1787" t="s">
        <v>10369</v>
      </c>
      <c r="D1787" t="s">
        <v>12416</v>
      </c>
      <c r="E1787" t="s">
        <v>13589</v>
      </c>
    </row>
    <row r="1788" spans="1:5">
      <c r="A1788" t="s">
        <v>9261</v>
      </c>
      <c r="B1788" t="s">
        <v>12424</v>
      </c>
      <c r="C1788" t="s">
        <v>12419</v>
      </c>
      <c r="D1788" t="s">
        <v>12437</v>
      </c>
      <c r="E1788" t="s">
        <v>12826</v>
      </c>
    </row>
    <row r="1789" spans="1:5">
      <c r="A1789" t="s">
        <v>9266</v>
      </c>
      <c r="B1789" t="s">
        <v>12503</v>
      </c>
      <c r="C1789" t="s">
        <v>12392</v>
      </c>
      <c r="D1789" t="s">
        <v>12456</v>
      </c>
      <c r="E1789" t="s">
        <v>13590</v>
      </c>
    </row>
    <row r="1790" spans="1:5">
      <c r="A1790" t="s">
        <v>9271</v>
      </c>
      <c r="B1790" t="s">
        <v>12459</v>
      </c>
      <c r="C1790" t="s">
        <v>12400</v>
      </c>
      <c r="D1790" t="s">
        <v>12401</v>
      </c>
      <c r="E1790" t="s">
        <v>12385</v>
      </c>
    </row>
    <row r="1791" spans="1:5">
      <c r="A1791" t="s">
        <v>9276</v>
      </c>
      <c r="B1791" t="s">
        <v>12421</v>
      </c>
      <c r="C1791" t="s">
        <v>10369</v>
      </c>
      <c r="D1791" t="s">
        <v>10402</v>
      </c>
      <c r="E1791" t="s">
        <v>13086</v>
      </c>
    </row>
    <row r="1792" spans="1:5">
      <c r="A1792" t="s">
        <v>9281</v>
      </c>
      <c r="B1792" t="s">
        <v>12450</v>
      </c>
      <c r="C1792" t="s">
        <v>12499</v>
      </c>
      <c r="D1792" t="s">
        <v>10388</v>
      </c>
      <c r="E1792" t="s">
        <v>12741</v>
      </c>
    </row>
    <row r="1793" spans="1:5">
      <c r="A1793" t="s">
        <v>9286</v>
      </c>
      <c r="B1793" t="s">
        <v>12421</v>
      </c>
      <c r="C1793" t="s">
        <v>10369</v>
      </c>
      <c r="D1793" t="s">
        <v>12401</v>
      </c>
      <c r="E1793" t="s">
        <v>12464</v>
      </c>
    </row>
    <row r="1794" spans="1:5">
      <c r="A1794" t="s">
        <v>9291</v>
      </c>
      <c r="B1794" t="s">
        <v>12470</v>
      </c>
      <c r="C1794" t="s">
        <v>12384</v>
      </c>
      <c r="D1794" t="s">
        <v>12437</v>
      </c>
      <c r="E1794" t="s">
        <v>13591</v>
      </c>
    </row>
    <row r="1795" spans="1:5">
      <c r="A1795" t="s">
        <v>9296</v>
      </c>
      <c r="B1795" t="s">
        <v>12418</v>
      </c>
      <c r="C1795" t="s">
        <v>12378</v>
      </c>
      <c r="D1795" t="s">
        <v>10388</v>
      </c>
      <c r="E1795" t="s">
        <v>13592</v>
      </c>
    </row>
    <row r="1796" spans="1:5">
      <c r="A1796" t="s">
        <v>9301</v>
      </c>
      <c r="B1796" t="s">
        <v>12424</v>
      </c>
      <c r="C1796" t="s">
        <v>12446</v>
      </c>
      <c r="D1796" t="s">
        <v>10388</v>
      </c>
      <c r="E1796" t="s">
        <v>12613</v>
      </c>
    </row>
    <row r="1797" spans="1:5">
      <c r="A1797" t="s">
        <v>9306</v>
      </c>
      <c r="B1797" t="s">
        <v>12503</v>
      </c>
      <c r="C1797" t="s">
        <v>12432</v>
      </c>
      <c r="D1797" t="s">
        <v>12456</v>
      </c>
      <c r="E1797" t="s">
        <v>13188</v>
      </c>
    </row>
    <row r="1798" spans="1:5">
      <c r="A1798" t="s">
        <v>9311</v>
      </c>
      <c r="B1798" t="s">
        <v>12459</v>
      </c>
      <c r="C1798" t="s">
        <v>12428</v>
      </c>
      <c r="D1798" t="s">
        <v>10388</v>
      </c>
      <c r="E1798" t="s">
        <v>13593</v>
      </c>
    </row>
    <row r="1799" spans="1:5">
      <c r="A1799" t="s">
        <v>9316</v>
      </c>
      <c r="B1799" t="s">
        <v>12403</v>
      </c>
      <c r="C1799" t="s">
        <v>12397</v>
      </c>
      <c r="D1799" t="s">
        <v>12437</v>
      </c>
      <c r="E1799" t="s">
        <v>13576</v>
      </c>
    </row>
    <row r="1800" spans="1:5">
      <c r="A1800" t="s">
        <v>9321</v>
      </c>
      <c r="B1800" t="s">
        <v>12421</v>
      </c>
      <c r="C1800" t="s">
        <v>12378</v>
      </c>
      <c r="D1800" t="s">
        <v>10388</v>
      </c>
      <c r="E1800" t="s">
        <v>12780</v>
      </c>
    </row>
    <row r="1801" spans="1:5">
      <c r="A1801" t="s">
        <v>9326</v>
      </c>
      <c r="B1801" t="s">
        <v>12396</v>
      </c>
      <c r="C1801" t="s">
        <v>12400</v>
      </c>
      <c r="D1801" t="s">
        <v>12413</v>
      </c>
      <c r="E1801" t="s">
        <v>12651</v>
      </c>
    </row>
    <row r="1802" spans="1:5">
      <c r="A1802" t="s">
        <v>9331</v>
      </c>
      <c r="B1802" t="s">
        <v>12383</v>
      </c>
      <c r="C1802" t="s">
        <v>12446</v>
      </c>
      <c r="D1802" t="s">
        <v>10388</v>
      </c>
      <c r="E1802" t="s">
        <v>13594</v>
      </c>
    </row>
    <row r="1803" spans="1:5">
      <c r="A1803" t="s">
        <v>9336</v>
      </c>
      <c r="B1803" t="s">
        <v>12459</v>
      </c>
      <c r="C1803" t="s">
        <v>12493</v>
      </c>
      <c r="D1803" t="s">
        <v>10388</v>
      </c>
      <c r="E1803" t="s">
        <v>12834</v>
      </c>
    </row>
    <row r="1804" spans="1:5">
      <c r="A1804" t="s">
        <v>9341</v>
      </c>
      <c r="B1804" t="s">
        <v>12477</v>
      </c>
      <c r="C1804" t="s">
        <v>12378</v>
      </c>
      <c r="D1804" t="s">
        <v>10388</v>
      </c>
      <c r="E1804" t="s">
        <v>12822</v>
      </c>
    </row>
    <row r="1805" spans="1:5">
      <c r="A1805" t="s">
        <v>9346</v>
      </c>
      <c r="B1805" t="s">
        <v>12491</v>
      </c>
      <c r="C1805" t="s">
        <v>12384</v>
      </c>
      <c r="D1805" t="s">
        <v>12467</v>
      </c>
      <c r="E1805" t="s">
        <v>12433</v>
      </c>
    </row>
    <row r="1806" spans="1:5">
      <c r="A1806" t="s">
        <v>9351</v>
      </c>
      <c r="B1806" t="s">
        <v>12525</v>
      </c>
      <c r="C1806" t="s">
        <v>12409</v>
      </c>
      <c r="D1806" t="s">
        <v>10388</v>
      </c>
      <c r="E1806" t="s">
        <v>12582</v>
      </c>
    </row>
    <row r="1807" spans="1:5">
      <c r="A1807" t="s">
        <v>9356</v>
      </c>
      <c r="B1807" t="s">
        <v>12525</v>
      </c>
      <c r="C1807" t="s">
        <v>12415</v>
      </c>
      <c r="D1807" t="s">
        <v>12381</v>
      </c>
      <c r="E1807" t="s">
        <v>13595</v>
      </c>
    </row>
    <row r="1808" spans="1:5">
      <c r="A1808" t="s">
        <v>9361</v>
      </c>
      <c r="B1808" t="s">
        <v>12491</v>
      </c>
      <c r="C1808" t="s">
        <v>12392</v>
      </c>
      <c r="D1808" t="s">
        <v>12467</v>
      </c>
      <c r="E1808" t="s">
        <v>13596</v>
      </c>
    </row>
    <row r="1809" spans="1:5">
      <c r="A1809" t="s">
        <v>9366</v>
      </c>
      <c r="B1809" t="s">
        <v>12442</v>
      </c>
      <c r="C1809" t="s">
        <v>12419</v>
      </c>
      <c r="D1809" t="s">
        <v>10376</v>
      </c>
      <c r="E1809" t="s">
        <v>13597</v>
      </c>
    </row>
    <row r="1810" spans="1:5">
      <c r="A1810" t="s">
        <v>9371</v>
      </c>
      <c r="B1810" t="s">
        <v>12394</v>
      </c>
      <c r="C1810" t="s">
        <v>12389</v>
      </c>
      <c r="D1810" t="s">
        <v>10388</v>
      </c>
      <c r="E1810" t="s">
        <v>12885</v>
      </c>
    </row>
    <row r="1811" spans="1:5">
      <c r="A1811" t="s">
        <v>9376</v>
      </c>
      <c r="B1811" t="s">
        <v>12563</v>
      </c>
      <c r="C1811" t="s">
        <v>12392</v>
      </c>
      <c r="D1811" t="s">
        <v>12413</v>
      </c>
      <c r="E1811" t="s">
        <v>13035</v>
      </c>
    </row>
    <row r="1812" spans="1:5">
      <c r="A1812" t="s">
        <v>9381</v>
      </c>
      <c r="B1812" t="s">
        <v>12503</v>
      </c>
      <c r="C1812" t="s">
        <v>12412</v>
      </c>
      <c r="D1812" t="s">
        <v>12437</v>
      </c>
      <c r="E1812" t="s">
        <v>12796</v>
      </c>
    </row>
    <row r="1813" spans="1:5">
      <c r="A1813" t="s">
        <v>9386</v>
      </c>
      <c r="B1813" t="s">
        <v>12430</v>
      </c>
      <c r="C1813" t="s">
        <v>12415</v>
      </c>
      <c r="D1813" t="s">
        <v>12413</v>
      </c>
      <c r="E1813" t="s">
        <v>13598</v>
      </c>
    </row>
    <row r="1814" spans="1:5">
      <c r="A1814" t="s">
        <v>9391</v>
      </c>
      <c r="B1814" t="s">
        <v>12512</v>
      </c>
      <c r="C1814" t="s">
        <v>12409</v>
      </c>
      <c r="D1814" t="s">
        <v>10388</v>
      </c>
      <c r="E1814" t="s">
        <v>13599</v>
      </c>
    </row>
    <row r="1815" spans="1:5">
      <c r="A1815" t="s">
        <v>9396</v>
      </c>
      <c r="B1815" t="s">
        <v>12563</v>
      </c>
      <c r="C1815" t="s">
        <v>12409</v>
      </c>
      <c r="D1815" t="s">
        <v>10388</v>
      </c>
      <c r="E1815" t="s">
        <v>12679</v>
      </c>
    </row>
    <row r="1816" spans="1:5">
      <c r="A1816" t="s">
        <v>9401</v>
      </c>
      <c r="B1816" t="s">
        <v>12399</v>
      </c>
      <c r="C1816" t="s">
        <v>12493</v>
      </c>
      <c r="D1816" t="s">
        <v>10388</v>
      </c>
      <c r="E1816" t="s">
        <v>12929</v>
      </c>
    </row>
    <row r="1817" spans="1:5">
      <c r="A1817" t="s">
        <v>9406</v>
      </c>
      <c r="B1817" t="s">
        <v>12434</v>
      </c>
      <c r="C1817" t="s">
        <v>12440</v>
      </c>
      <c r="D1817" t="s">
        <v>10388</v>
      </c>
      <c r="E1817" t="s">
        <v>13542</v>
      </c>
    </row>
    <row r="1818" spans="1:5">
      <c r="A1818" t="s">
        <v>9411</v>
      </c>
      <c r="B1818" t="s">
        <v>12399</v>
      </c>
      <c r="C1818" t="s">
        <v>12493</v>
      </c>
      <c r="D1818" t="s">
        <v>10388</v>
      </c>
      <c r="E1818" t="s">
        <v>13600</v>
      </c>
    </row>
    <row r="1819" spans="1:5">
      <c r="A1819" t="s">
        <v>9416</v>
      </c>
      <c r="B1819" t="s">
        <v>12442</v>
      </c>
      <c r="C1819" t="s">
        <v>12463</v>
      </c>
      <c r="D1819" t="s">
        <v>12416</v>
      </c>
      <c r="E1819" t="s">
        <v>13601</v>
      </c>
    </row>
    <row r="1820" spans="1:5">
      <c r="A1820" t="s">
        <v>9421</v>
      </c>
      <c r="B1820" t="s">
        <v>12491</v>
      </c>
      <c r="C1820" t="s">
        <v>12493</v>
      </c>
      <c r="D1820" t="s">
        <v>10388</v>
      </c>
      <c r="E1820" t="s">
        <v>13448</v>
      </c>
    </row>
    <row r="1821" spans="1:5">
      <c r="A1821" t="s">
        <v>9426</v>
      </c>
      <c r="B1821" t="s">
        <v>12439</v>
      </c>
      <c r="C1821" t="s">
        <v>12412</v>
      </c>
      <c r="D1821" t="s">
        <v>10381</v>
      </c>
      <c r="E1821" t="s">
        <v>13066</v>
      </c>
    </row>
    <row r="1822" spans="1:5">
      <c r="A1822" t="s">
        <v>9431</v>
      </c>
      <c r="B1822" t="s">
        <v>12498</v>
      </c>
      <c r="C1822" t="s">
        <v>12493</v>
      </c>
      <c r="D1822" t="s">
        <v>10388</v>
      </c>
      <c r="E1822" t="s">
        <v>12886</v>
      </c>
    </row>
    <row r="1823" spans="1:5">
      <c r="A1823" t="s">
        <v>9436</v>
      </c>
      <c r="B1823" t="s">
        <v>12563</v>
      </c>
      <c r="C1823" t="s">
        <v>12446</v>
      </c>
      <c r="D1823" t="s">
        <v>10388</v>
      </c>
      <c r="E1823" t="s">
        <v>12806</v>
      </c>
    </row>
    <row r="1824" spans="1:5">
      <c r="A1824" t="s">
        <v>9441</v>
      </c>
      <c r="B1824" t="s">
        <v>12421</v>
      </c>
      <c r="C1824" t="s">
        <v>12432</v>
      </c>
      <c r="D1824" t="s">
        <v>10381</v>
      </c>
      <c r="E1824" t="s">
        <v>13602</v>
      </c>
    </row>
    <row r="1825" spans="1:5">
      <c r="A1825" t="s">
        <v>9446</v>
      </c>
      <c r="B1825" t="s">
        <v>12455</v>
      </c>
      <c r="C1825" t="s">
        <v>12389</v>
      </c>
      <c r="D1825" t="s">
        <v>10388</v>
      </c>
      <c r="E1825" t="s">
        <v>13603</v>
      </c>
    </row>
    <row r="1826" spans="1:5">
      <c r="A1826" t="s">
        <v>9451</v>
      </c>
      <c r="B1826" t="s">
        <v>12403</v>
      </c>
      <c r="C1826" t="s">
        <v>12397</v>
      </c>
      <c r="D1826" t="s">
        <v>10402</v>
      </c>
      <c r="E1826" t="s">
        <v>12953</v>
      </c>
    </row>
    <row r="1827" spans="1:5">
      <c r="A1827" t="s">
        <v>9456</v>
      </c>
      <c r="B1827" t="s">
        <v>12394</v>
      </c>
      <c r="C1827" t="s">
        <v>12397</v>
      </c>
      <c r="D1827" t="s">
        <v>10376</v>
      </c>
      <c r="E1827" t="s">
        <v>13604</v>
      </c>
    </row>
    <row r="1828" spans="1:5">
      <c r="A1828" t="s">
        <v>9461</v>
      </c>
      <c r="B1828" t="s">
        <v>12411</v>
      </c>
      <c r="C1828" t="s">
        <v>12407</v>
      </c>
      <c r="D1828" t="s">
        <v>10388</v>
      </c>
      <c r="E1828" t="s">
        <v>13107</v>
      </c>
    </row>
    <row r="1829" spans="1:5">
      <c r="A1829" t="s">
        <v>9466</v>
      </c>
      <c r="B1829" t="s">
        <v>12386</v>
      </c>
      <c r="C1829" t="s">
        <v>12389</v>
      </c>
      <c r="D1829" t="s">
        <v>10388</v>
      </c>
      <c r="E1829" t="s">
        <v>13605</v>
      </c>
    </row>
    <row r="1830" spans="1:5">
      <c r="A1830" t="s">
        <v>9471</v>
      </c>
      <c r="B1830" t="s">
        <v>12491</v>
      </c>
      <c r="C1830" t="s">
        <v>12440</v>
      </c>
      <c r="D1830" t="s">
        <v>10388</v>
      </c>
      <c r="E1830" t="s">
        <v>12572</v>
      </c>
    </row>
    <row r="1831" spans="1:5">
      <c r="A1831" t="s">
        <v>9476</v>
      </c>
      <c r="B1831" t="s">
        <v>12394</v>
      </c>
      <c r="C1831" t="s">
        <v>12409</v>
      </c>
      <c r="D1831" t="s">
        <v>10388</v>
      </c>
      <c r="E1831" t="s">
        <v>13606</v>
      </c>
    </row>
    <row r="1832" spans="1:5">
      <c r="A1832" t="s">
        <v>9481</v>
      </c>
      <c r="B1832" t="s">
        <v>12434</v>
      </c>
      <c r="C1832" t="s">
        <v>12463</v>
      </c>
      <c r="D1832" t="s">
        <v>10402</v>
      </c>
      <c r="E1832" t="s">
        <v>13607</v>
      </c>
    </row>
    <row r="1833" spans="1:5">
      <c r="A1833" t="s">
        <v>9486</v>
      </c>
      <c r="B1833" t="s">
        <v>12421</v>
      </c>
      <c r="C1833" t="s">
        <v>12446</v>
      </c>
      <c r="D1833" t="s">
        <v>10388</v>
      </c>
      <c r="E1833" t="s">
        <v>13129</v>
      </c>
    </row>
    <row r="1834" spans="1:5">
      <c r="A1834" t="s">
        <v>9491</v>
      </c>
      <c r="B1834" t="s">
        <v>12380</v>
      </c>
      <c r="C1834" t="s">
        <v>12493</v>
      </c>
      <c r="D1834" t="s">
        <v>10388</v>
      </c>
      <c r="E1834" t="s">
        <v>13608</v>
      </c>
    </row>
    <row r="1835" spans="1:5">
      <c r="A1835" t="s">
        <v>9496</v>
      </c>
      <c r="B1835" t="s">
        <v>12403</v>
      </c>
      <c r="C1835" t="s">
        <v>12474</v>
      </c>
      <c r="D1835" t="s">
        <v>10388</v>
      </c>
      <c r="E1835" t="s">
        <v>13020</v>
      </c>
    </row>
    <row r="1836" spans="1:5">
      <c r="A1836" t="s">
        <v>9501</v>
      </c>
      <c r="B1836" t="s">
        <v>12512</v>
      </c>
      <c r="C1836" t="s">
        <v>12378</v>
      </c>
      <c r="D1836" t="s">
        <v>10388</v>
      </c>
      <c r="E1836" t="s">
        <v>13609</v>
      </c>
    </row>
    <row r="1837" spans="1:5">
      <c r="A1837" t="s">
        <v>9506</v>
      </c>
      <c r="B1837" t="s">
        <v>12461</v>
      </c>
      <c r="C1837" t="s">
        <v>12409</v>
      </c>
      <c r="D1837" t="s">
        <v>10388</v>
      </c>
      <c r="E1837" t="s">
        <v>13041</v>
      </c>
    </row>
    <row r="1838" spans="1:5">
      <c r="A1838" t="s">
        <v>9511</v>
      </c>
      <c r="B1838" t="s">
        <v>12388</v>
      </c>
      <c r="C1838" t="s">
        <v>12440</v>
      </c>
      <c r="D1838" t="s">
        <v>10388</v>
      </c>
      <c r="E1838" t="s">
        <v>12521</v>
      </c>
    </row>
    <row r="1839" spans="1:5">
      <c r="A1839" t="s">
        <v>9516</v>
      </c>
      <c r="B1839" t="s">
        <v>12445</v>
      </c>
      <c r="C1839" t="s">
        <v>12400</v>
      </c>
      <c r="D1839" t="s">
        <v>12416</v>
      </c>
      <c r="E1839" t="s">
        <v>12643</v>
      </c>
    </row>
    <row r="1840" spans="1:5">
      <c r="A1840" t="s">
        <v>9521</v>
      </c>
      <c r="B1840" t="s">
        <v>12430</v>
      </c>
      <c r="C1840" t="s">
        <v>12415</v>
      </c>
      <c r="D1840" t="s">
        <v>12401</v>
      </c>
      <c r="E1840" t="s">
        <v>13503</v>
      </c>
    </row>
    <row r="1841" spans="1:5">
      <c r="A1841" t="s">
        <v>9526</v>
      </c>
      <c r="B1841" t="s">
        <v>12388</v>
      </c>
      <c r="C1841" t="s">
        <v>12384</v>
      </c>
      <c r="D1841" t="s">
        <v>12381</v>
      </c>
      <c r="E1841" t="s">
        <v>13015</v>
      </c>
    </row>
    <row r="1842" spans="1:5">
      <c r="A1842" t="s">
        <v>9531</v>
      </c>
      <c r="B1842" t="s">
        <v>12430</v>
      </c>
      <c r="C1842" t="s">
        <v>12440</v>
      </c>
      <c r="D1842" t="s">
        <v>10388</v>
      </c>
      <c r="E1842" t="s">
        <v>12616</v>
      </c>
    </row>
    <row r="1843" spans="1:5">
      <c r="A1843" t="s">
        <v>9537</v>
      </c>
      <c r="B1843" t="s">
        <v>12508</v>
      </c>
      <c r="C1843" t="s">
        <v>12415</v>
      </c>
      <c r="D1843" t="s">
        <v>12467</v>
      </c>
      <c r="E1843" t="s">
        <v>13471</v>
      </c>
    </row>
    <row r="1844" spans="1:5">
      <c r="A1844" t="s">
        <v>9542</v>
      </c>
      <c r="B1844" t="s">
        <v>12508</v>
      </c>
      <c r="C1844" t="s">
        <v>12499</v>
      </c>
      <c r="D1844" t="s">
        <v>10388</v>
      </c>
      <c r="E1844" t="s">
        <v>12671</v>
      </c>
    </row>
    <row r="1845" spans="1:5">
      <c r="A1845" t="s">
        <v>9547</v>
      </c>
      <c r="B1845" t="s">
        <v>12436</v>
      </c>
      <c r="C1845" t="s">
        <v>12428</v>
      </c>
      <c r="D1845" t="s">
        <v>10388</v>
      </c>
      <c r="E1845" t="s">
        <v>12926</v>
      </c>
    </row>
    <row r="1846" spans="1:5">
      <c r="A1846" t="s">
        <v>9552</v>
      </c>
      <c r="B1846" t="s">
        <v>12424</v>
      </c>
      <c r="C1846" t="s">
        <v>12412</v>
      </c>
      <c r="D1846" t="s">
        <v>12381</v>
      </c>
      <c r="E1846" t="s">
        <v>12726</v>
      </c>
    </row>
    <row r="1847" spans="1:5">
      <c r="A1847" t="s">
        <v>9557</v>
      </c>
      <c r="B1847" t="s">
        <v>12473</v>
      </c>
      <c r="C1847" t="s">
        <v>12493</v>
      </c>
      <c r="D1847" t="s">
        <v>10388</v>
      </c>
      <c r="E1847" t="s">
        <v>13610</v>
      </c>
    </row>
    <row r="1848" spans="1:5">
      <c r="A1848" t="s">
        <v>9562</v>
      </c>
      <c r="B1848" t="s">
        <v>12430</v>
      </c>
      <c r="C1848" t="s">
        <v>12499</v>
      </c>
      <c r="D1848" t="s">
        <v>10388</v>
      </c>
      <c r="E1848" t="s">
        <v>12629</v>
      </c>
    </row>
    <row r="1849" spans="1:5">
      <c r="A1849" t="s">
        <v>9567</v>
      </c>
      <c r="B1849" t="s">
        <v>12436</v>
      </c>
      <c r="C1849" t="s">
        <v>12384</v>
      </c>
      <c r="D1849" t="s">
        <v>10376</v>
      </c>
      <c r="E1849" t="s">
        <v>13611</v>
      </c>
    </row>
    <row r="1850" spans="1:5">
      <c r="A1850" t="s">
        <v>9572</v>
      </c>
      <c r="B1850" t="s">
        <v>12383</v>
      </c>
      <c r="C1850" t="s">
        <v>12463</v>
      </c>
      <c r="D1850" t="s">
        <v>12437</v>
      </c>
      <c r="E1850" t="s">
        <v>13612</v>
      </c>
    </row>
    <row r="1851" spans="1:5">
      <c r="A1851" t="s">
        <v>9577</v>
      </c>
      <c r="B1851" t="s">
        <v>12445</v>
      </c>
      <c r="C1851" t="s">
        <v>12419</v>
      </c>
      <c r="D1851" t="s">
        <v>12413</v>
      </c>
      <c r="E1851" t="s">
        <v>13613</v>
      </c>
    </row>
    <row r="1852" spans="1:5">
      <c r="A1852" t="s">
        <v>9582</v>
      </c>
      <c r="B1852" t="s">
        <v>12508</v>
      </c>
      <c r="C1852" t="s">
        <v>12474</v>
      </c>
      <c r="D1852" t="s">
        <v>10388</v>
      </c>
      <c r="E1852" t="s">
        <v>13169</v>
      </c>
    </row>
    <row r="1853" spans="1:5">
      <c r="A1853" t="s">
        <v>9587</v>
      </c>
      <c r="B1853" t="s">
        <v>12426</v>
      </c>
      <c r="C1853" t="s">
        <v>12463</v>
      </c>
      <c r="D1853" t="s">
        <v>12437</v>
      </c>
      <c r="E1853" t="s">
        <v>12751</v>
      </c>
    </row>
    <row r="1854" spans="1:5">
      <c r="A1854" t="s">
        <v>9592</v>
      </c>
      <c r="B1854" t="s">
        <v>12386</v>
      </c>
      <c r="C1854" t="s">
        <v>12419</v>
      </c>
      <c r="D1854" t="s">
        <v>12456</v>
      </c>
      <c r="E1854" t="s">
        <v>13614</v>
      </c>
    </row>
    <row r="1855" spans="1:5">
      <c r="A1855" t="s">
        <v>9597</v>
      </c>
      <c r="B1855" t="s">
        <v>12386</v>
      </c>
      <c r="C1855" t="s">
        <v>12407</v>
      </c>
      <c r="D1855" t="s">
        <v>10388</v>
      </c>
      <c r="E1855" t="s">
        <v>13074</v>
      </c>
    </row>
    <row r="1856" spans="1:5">
      <c r="A1856" t="s">
        <v>9602</v>
      </c>
      <c r="B1856" t="s">
        <v>12434</v>
      </c>
      <c r="C1856" t="s">
        <v>12412</v>
      </c>
      <c r="D1856" t="s">
        <v>10376</v>
      </c>
      <c r="E1856" t="s">
        <v>13615</v>
      </c>
    </row>
    <row r="1857" spans="1:5">
      <c r="A1857" t="s">
        <v>9607</v>
      </c>
      <c r="B1857" t="s">
        <v>12455</v>
      </c>
      <c r="C1857" t="s">
        <v>12446</v>
      </c>
      <c r="D1857" t="s">
        <v>10388</v>
      </c>
      <c r="E1857" t="s">
        <v>13138</v>
      </c>
    </row>
    <row r="1858" spans="1:5">
      <c r="A1858" t="s">
        <v>9612</v>
      </c>
      <c r="B1858" t="s">
        <v>12455</v>
      </c>
      <c r="C1858" t="s">
        <v>12440</v>
      </c>
      <c r="D1858" t="s">
        <v>10388</v>
      </c>
      <c r="E1858" t="s">
        <v>13616</v>
      </c>
    </row>
    <row r="1859" spans="1:5">
      <c r="A1859" t="s">
        <v>9617</v>
      </c>
      <c r="B1859" t="s">
        <v>12512</v>
      </c>
      <c r="C1859" t="s">
        <v>12384</v>
      </c>
      <c r="D1859" t="s">
        <v>12413</v>
      </c>
      <c r="E1859" t="s">
        <v>12772</v>
      </c>
    </row>
    <row r="1860" spans="1:5">
      <c r="A1860" t="s">
        <v>9622</v>
      </c>
      <c r="B1860" t="s">
        <v>12453</v>
      </c>
      <c r="C1860" t="s">
        <v>12392</v>
      </c>
      <c r="D1860" t="s">
        <v>12456</v>
      </c>
      <c r="E1860" t="s">
        <v>13327</v>
      </c>
    </row>
    <row r="1861" spans="1:5">
      <c r="A1861" t="s">
        <v>9627</v>
      </c>
      <c r="B1861" t="s">
        <v>12563</v>
      </c>
      <c r="C1861" t="s">
        <v>12400</v>
      </c>
      <c r="D1861" t="s">
        <v>12467</v>
      </c>
      <c r="E1861" t="s">
        <v>13617</v>
      </c>
    </row>
    <row r="1862" spans="1:5">
      <c r="A1862" t="s">
        <v>9632</v>
      </c>
      <c r="B1862" t="s">
        <v>12399</v>
      </c>
      <c r="C1862" t="s">
        <v>12412</v>
      </c>
      <c r="D1862" t="s">
        <v>12413</v>
      </c>
      <c r="E1862" t="s">
        <v>13203</v>
      </c>
    </row>
    <row r="1863" spans="1:5">
      <c r="A1863" t="s">
        <v>9637</v>
      </c>
      <c r="B1863" t="s">
        <v>12477</v>
      </c>
      <c r="C1863" t="s">
        <v>12412</v>
      </c>
      <c r="D1863" t="s">
        <v>12456</v>
      </c>
      <c r="E1863" t="s">
        <v>13618</v>
      </c>
    </row>
    <row r="1864" spans="1:5">
      <c r="A1864" t="s">
        <v>9642</v>
      </c>
      <c r="B1864" t="s">
        <v>12380</v>
      </c>
      <c r="C1864" t="s">
        <v>12419</v>
      </c>
      <c r="D1864" t="s">
        <v>10376</v>
      </c>
      <c r="E1864" t="s">
        <v>13619</v>
      </c>
    </row>
    <row r="1865" spans="1:5">
      <c r="A1865" t="s">
        <v>9648</v>
      </c>
      <c r="B1865" t="s">
        <v>12424</v>
      </c>
      <c r="C1865" t="s">
        <v>12493</v>
      </c>
      <c r="D1865" t="s">
        <v>10388</v>
      </c>
      <c r="E1865" t="s">
        <v>12583</v>
      </c>
    </row>
    <row r="1866" spans="1:5">
      <c r="A1866" t="s">
        <v>9653</v>
      </c>
      <c r="B1866" t="s">
        <v>12512</v>
      </c>
      <c r="C1866" t="s">
        <v>12392</v>
      </c>
      <c r="D1866" t="s">
        <v>12467</v>
      </c>
      <c r="E1866" t="s">
        <v>13005</v>
      </c>
    </row>
    <row r="1867" spans="1:5">
      <c r="A1867" t="s">
        <v>9658</v>
      </c>
      <c r="B1867" t="s">
        <v>12377</v>
      </c>
      <c r="C1867" t="s">
        <v>12397</v>
      </c>
      <c r="D1867" t="s">
        <v>12437</v>
      </c>
      <c r="E1867" t="s">
        <v>13047</v>
      </c>
    </row>
    <row r="1868" spans="1:5">
      <c r="A1868" t="s">
        <v>9663</v>
      </c>
      <c r="B1868" t="s">
        <v>12445</v>
      </c>
      <c r="C1868" t="s">
        <v>12412</v>
      </c>
      <c r="D1868" t="s">
        <v>12401</v>
      </c>
      <c r="E1868" t="s">
        <v>12726</v>
      </c>
    </row>
    <row r="1869" spans="1:5">
      <c r="A1869" t="s">
        <v>9668</v>
      </c>
      <c r="B1869" t="s">
        <v>12455</v>
      </c>
      <c r="C1869" t="s">
        <v>12412</v>
      </c>
      <c r="D1869" t="s">
        <v>12456</v>
      </c>
      <c r="E1869" t="s">
        <v>12787</v>
      </c>
    </row>
    <row r="1870" spans="1:5">
      <c r="A1870" t="s">
        <v>9673</v>
      </c>
      <c r="B1870" t="s">
        <v>12453</v>
      </c>
      <c r="C1870" t="s">
        <v>12412</v>
      </c>
      <c r="D1870" t="s">
        <v>10381</v>
      </c>
      <c r="E1870" t="s">
        <v>12458</v>
      </c>
    </row>
    <row r="1871" spans="1:5">
      <c r="A1871" t="s">
        <v>9678</v>
      </c>
      <c r="B1871" t="s">
        <v>12411</v>
      </c>
      <c r="C1871" t="s">
        <v>12493</v>
      </c>
      <c r="D1871" t="s">
        <v>10388</v>
      </c>
      <c r="E1871" t="s">
        <v>13620</v>
      </c>
    </row>
    <row r="1872" spans="1:5">
      <c r="A1872" t="s">
        <v>9683</v>
      </c>
      <c r="B1872" t="s">
        <v>12411</v>
      </c>
      <c r="C1872" t="s">
        <v>12407</v>
      </c>
      <c r="D1872" t="s">
        <v>10388</v>
      </c>
      <c r="E1872" t="s">
        <v>12995</v>
      </c>
    </row>
    <row r="1873" spans="1:5">
      <c r="A1873" t="s">
        <v>9688</v>
      </c>
      <c r="B1873" t="s">
        <v>12396</v>
      </c>
      <c r="C1873" t="s">
        <v>12400</v>
      </c>
      <c r="D1873" t="s">
        <v>12456</v>
      </c>
      <c r="E1873" t="s">
        <v>13117</v>
      </c>
    </row>
    <row r="1874" spans="1:5">
      <c r="A1874" t="s">
        <v>9693</v>
      </c>
      <c r="B1874" t="s">
        <v>12424</v>
      </c>
      <c r="C1874" t="s">
        <v>12432</v>
      </c>
      <c r="D1874" t="s">
        <v>10402</v>
      </c>
      <c r="E1874" t="s">
        <v>13165</v>
      </c>
    </row>
    <row r="1875" spans="1:5">
      <c r="A1875" t="s">
        <v>9698</v>
      </c>
      <c r="B1875" t="s">
        <v>12377</v>
      </c>
      <c r="C1875" t="s">
        <v>12428</v>
      </c>
      <c r="D1875" t="s">
        <v>10388</v>
      </c>
      <c r="E1875" t="s">
        <v>13621</v>
      </c>
    </row>
    <row r="1876" spans="1:5">
      <c r="A1876" t="s">
        <v>9703</v>
      </c>
      <c r="B1876" t="s">
        <v>12461</v>
      </c>
      <c r="C1876" t="s">
        <v>12415</v>
      </c>
      <c r="D1876" t="s">
        <v>12381</v>
      </c>
      <c r="E1876" t="s">
        <v>13622</v>
      </c>
    </row>
    <row r="1877" spans="1:5">
      <c r="A1877" t="s">
        <v>9708</v>
      </c>
      <c r="B1877" t="s">
        <v>12406</v>
      </c>
      <c r="C1877" t="s">
        <v>12407</v>
      </c>
      <c r="D1877" t="s">
        <v>10388</v>
      </c>
      <c r="E1877" t="s">
        <v>13521</v>
      </c>
    </row>
    <row r="1878" spans="1:5">
      <c r="A1878" t="s">
        <v>9713</v>
      </c>
      <c r="B1878" t="s">
        <v>12453</v>
      </c>
      <c r="C1878" t="s">
        <v>12419</v>
      </c>
      <c r="D1878" t="s">
        <v>12413</v>
      </c>
      <c r="E1878" t="s">
        <v>12945</v>
      </c>
    </row>
    <row r="1879" spans="1:5">
      <c r="A1879" t="s">
        <v>9718</v>
      </c>
      <c r="B1879" t="s">
        <v>12508</v>
      </c>
      <c r="C1879" t="s">
        <v>12384</v>
      </c>
      <c r="D1879" t="s">
        <v>12416</v>
      </c>
      <c r="E1879" t="s">
        <v>12582</v>
      </c>
    </row>
    <row r="1880" spans="1:5">
      <c r="A1880" t="s">
        <v>9723</v>
      </c>
      <c r="B1880" t="s">
        <v>12377</v>
      </c>
      <c r="C1880" t="s">
        <v>12400</v>
      </c>
      <c r="D1880" t="s">
        <v>12413</v>
      </c>
      <c r="E1880" t="s">
        <v>13470</v>
      </c>
    </row>
    <row r="1881" spans="1:5">
      <c r="A1881" t="s">
        <v>9728</v>
      </c>
      <c r="B1881" t="s">
        <v>12473</v>
      </c>
      <c r="C1881" t="s">
        <v>12407</v>
      </c>
      <c r="D1881" t="s">
        <v>10388</v>
      </c>
      <c r="E1881" t="s">
        <v>13402</v>
      </c>
    </row>
    <row r="1882" spans="1:5">
      <c r="A1882" t="s">
        <v>9733</v>
      </c>
      <c r="B1882" t="s">
        <v>12512</v>
      </c>
      <c r="C1882" t="s">
        <v>12389</v>
      </c>
      <c r="D1882" t="s">
        <v>10388</v>
      </c>
      <c r="E1882" t="s">
        <v>12462</v>
      </c>
    </row>
    <row r="1883" spans="1:5">
      <c r="A1883" t="s">
        <v>9738</v>
      </c>
      <c r="B1883" t="s">
        <v>12436</v>
      </c>
      <c r="C1883" t="s">
        <v>10369</v>
      </c>
      <c r="D1883" t="s">
        <v>12416</v>
      </c>
      <c r="E1883" t="s">
        <v>13623</v>
      </c>
    </row>
    <row r="1884" spans="1:5">
      <c r="A1884" t="s">
        <v>9743</v>
      </c>
      <c r="B1884" t="s">
        <v>12503</v>
      </c>
      <c r="C1884" t="s">
        <v>12463</v>
      </c>
      <c r="D1884" t="s">
        <v>12401</v>
      </c>
      <c r="E1884" t="s">
        <v>12559</v>
      </c>
    </row>
    <row r="1885" spans="1:5">
      <c r="A1885" t="s">
        <v>9748</v>
      </c>
      <c r="B1885" t="s">
        <v>12453</v>
      </c>
      <c r="C1885" t="s">
        <v>12428</v>
      </c>
      <c r="D1885" t="s">
        <v>10388</v>
      </c>
      <c r="E1885" t="s">
        <v>12725</v>
      </c>
    </row>
    <row r="1886" spans="1:5">
      <c r="A1886" t="s">
        <v>9753</v>
      </c>
      <c r="B1886" t="s">
        <v>12473</v>
      </c>
      <c r="C1886" t="s">
        <v>12378</v>
      </c>
      <c r="D1886" t="s">
        <v>10388</v>
      </c>
      <c r="E1886" t="s">
        <v>13405</v>
      </c>
    </row>
    <row r="1887" spans="1:5">
      <c r="A1887" t="s">
        <v>9758</v>
      </c>
      <c r="B1887" t="s">
        <v>12386</v>
      </c>
      <c r="C1887" t="s">
        <v>12389</v>
      </c>
      <c r="D1887" t="s">
        <v>10388</v>
      </c>
      <c r="E1887" t="s">
        <v>13580</v>
      </c>
    </row>
    <row r="1888" spans="1:5">
      <c r="A1888" t="s">
        <v>9763</v>
      </c>
      <c r="B1888" t="s">
        <v>12445</v>
      </c>
      <c r="C1888" t="s">
        <v>12419</v>
      </c>
      <c r="D1888" t="s">
        <v>12456</v>
      </c>
      <c r="E1888" t="s">
        <v>13073</v>
      </c>
    </row>
    <row r="1889" spans="1:5">
      <c r="A1889" t="s">
        <v>9768</v>
      </c>
      <c r="B1889" t="s">
        <v>12394</v>
      </c>
      <c r="C1889" t="s">
        <v>12463</v>
      </c>
      <c r="D1889" t="s">
        <v>12401</v>
      </c>
      <c r="E1889" t="s">
        <v>12871</v>
      </c>
    </row>
    <row r="1890" spans="1:5">
      <c r="A1890" t="s">
        <v>9773</v>
      </c>
      <c r="B1890" t="s">
        <v>12386</v>
      </c>
      <c r="C1890" t="s">
        <v>12415</v>
      </c>
      <c r="D1890" t="s">
        <v>10381</v>
      </c>
      <c r="E1890" t="s">
        <v>13295</v>
      </c>
    </row>
    <row r="1891" spans="1:5">
      <c r="A1891" t="s">
        <v>9778</v>
      </c>
      <c r="B1891" t="s">
        <v>12445</v>
      </c>
      <c r="C1891" t="s">
        <v>12493</v>
      </c>
      <c r="D1891" t="s">
        <v>10388</v>
      </c>
      <c r="E1891" t="s">
        <v>13624</v>
      </c>
    </row>
    <row r="1892" spans="1:5">
      <c r="A1892" t="s">
        <v>9783</v>
      </c>
      <c r="B1892" t="s">
        <v>12388</v>
      </c>
      <c r="C1892" t="s">
        <v>12409</v>
      </c>
      <c r="D1892" t="s">
        <v>10388</v>
      </c>
      <c r="E1892" t="s">
        <v>12978</v>
      </c>
    </row>
    <row r="1893" spans="1:5">
      <c r="A1893" t="s">
        <v>9788</v>
      </c>
      <c r="B1893" t="s">
        <v>12453</v>
      </c>
      <c r="C1893" t="s">
        <v>12474</v>
      </c>
      <c r="D1893" t="s">
        <v>10388</v>
      </c>
      <c r="E1893" t="s">
        <v>13505</v>
      </c>
    </row>
    <row r="1894" spans="1:5">
      <c r="A1894" t="s">
        <v>9793</v>
      </c>
      <c r="B1894" t="s">
        <v>12399</v>
      </c>
      <c r="C1894" t="s">
        <v>12389</v>
      </c>
      <c r="D1894" t="s">
        <v>10388</v>
      </c>
      <c r="E1894" t="s">
        <v>12506</v>
      </c>
    </row>
    <row r="1895" spans="1:5">
      <c r="A1895" t="s">
        <v>9798</v>
      </c>
      <c r="B1895" t="s">
        <v>12383</v>
      </c>
      <c r="C1895" t="s">
        <v>10369</v>
      </c>
      <c r="D1895" t="s">
        <v>12381</v>
      </c>
      <c r="E1895" t="s">
        <v>13320</v>
      </c>
    </row>
    <row r="1896" spans="1:5">
      <c r="A1896" t="s">
        <v>9803</v>
      </c>
      <c r="B1896" t="s">
        <v>12383</v>
      </c>
      <c r="C1896" t="s">
        <v>12493</v>
      </c>
      <c r="D1896" t="s">
        <v>10388</v>
      </c>
      <c r="E1896" t="s">
        <v>13292</v>
      </c>
    </row>
    <row r="1897" spans="1:5">
      <c r="A1897" t="s">
        <v>9808</v>
      </c>
      <c r="B1897" t="s">
        <v>12434</v>
      </c>
      <c r="C1897" t="s">
        <v>12428</v>
      </c>
      <c r="D1897" t="s">
        <v>10388</v>
      </c>
      <c r="E1897" t="s">
        <v>12603</v>
      </c>
    </row>
    <row r="1898" spans="1:5">
      <c r="A1898" t="s">
        <v>9813</v>
      </c>
      <c r="B1898" t="s">
        <v>12503</v>
      </c>
      <c r="C1898" t="s">
        <v>12446</v>
      </c>
      <c r="D1898" t="s">
        <v>10388</v>
      </c>
      <c r="E1898" t="s">
        <v>13072</v>
      </c>
    </row>
    <row r="1899" spans="1:5">
      <c r="A1899" t="s">
        <v>9818</v>
      </c>
      <c r="B1899" t="s">
        <v>12498</v>
      </c>
      <c r="C1899" t="s">
        <v>12389</v>
      </c>
      <c r="D1899" t="s">
        <v>10388</v>
      </c>
      <c r="E1899" t="s">
        <v>13625</v>
      </c>
    </row>
    <row r="1900" spans="1:5">
      <c r="A1900" t="s">
        <v>9823</v>
      </c>
      <c r="B1900" t="s">
        <v>12525</v>
      </c>
      <c r="C1900" t="s">
        <v>12415</v>
      </c>
      <c r="D1900" t="s">
        <v>12413</v>
      </c>
      <c r="E1900" t="s">
        <v>13626</v>
      </c>
    </row>
    <row r="1901" spans="1:5">
      <c r="A1901" t="s">
        <v>9828</v>
      </c>
      <c r="B1901" t="s">
        <v>12563</v>
      </c>
      <c r="C1901" t="s">
        <v>12493</v>
      </c>
      <c r="D1901" t="s">
        <v>10388</v>
      </c>
      <c r="E1901" t="s">
        <v>12668</v>
      </c>
    </row>
    <row r="1902" spans="1:5">
      <c r="A1902" t="s">
        <v>9833</v>
      </c>
      <c r="B1902" t="s">
        <v>12450</v>
      </c>
      <c r="C1902" t="s">
        <v>12432</v>
      </c>
      <c r="D1902" t="s">
        <v>12381</v>
      </c>
      <c r="E1902" t="s">
        <v>13627</v>
      </c>
    </row>
    <row r="1903" spans="1:5">
      <c r="A1903" t="s">
        <v>9838</v>
      </c>
      <c r="B1903" t="s">
        <v>12491</v>
      </c>
      <c r="C1903" t="s">
        <v>12392</v>
      </c>
      <c r="D1903" t="s">
        <v>12467</v>
      </c>
      <c r="E1903" t="s">
        <v>13628</v>
      </c>
    </row>
    <row r="1904" spans="1:5">
      <c r="A1904" t="s">
        <v>9843</v>
      </c>
      <c r="B1904" t="s">
        <v>12477</v>
      </c>
      <c r="C1904" t="s">
        <v>12499</v>
      </c>
      <c r="D1904" t="s">
        <v>10388</v>
      </c>
      <c r="E1904" t="s">
        <v>13617</v>
      </c>
    </row>
    <row r="1905" spans="1:5">
      <c r="A1905" t="s">
        <v>9848</v>
      </c>
      <c r="B1905" t="s">
        <v>12442</v>
      </c>
      <c r="C1905" t="s">
        <v>12463</v>
      </c>
      <c r="D1905" t="s">
        <v>12416</v>
      </c>
      <c r="E1905" t="s">
        <v>13576</v>
      </c>
    </row>
    <row r="1906" spans="1:5">
      <c r="A1906" t="s">
        <v>9853</v>
      </c>
      <c r="B1906" t="s">
        <v>12477</v>
      </c>
      <c r="C1906" t="s">
        <v>10369</v>
      </c>
      <c r="D1906" t="s">
        <v>12413</v>
      </c>
      <c r="E1906" t="s">
        <v>13629</v>
      </c>
    </row>
    <row r="1907" spans="1:5">
      <c r="A1907" t="s">
        <v>9858</v>
      </c>
      <c r="B1907" t="s">
        <v>12445</v>
      </c>
      <c r="C1907" t="s">
        <v>12432</v>
      </c>
      <c r="D1907" t="s">
        <v>10402</v>
      </c>
      <c r="E1907" t="s">
        <v>13192</v>
      </c>
    </row>
    <row r="1908" spans="1:5">
      <c r="A1908" t="s">
        <v>9863</v>
      </c>
      <c r="B1908" t="s">
        <v>12388</v>
      </c>
      <c r="C1908" t="s">
        <v>12412</v>
      </c>
      <c r="D1908" t="s">
        <v>12401</v>
      </c>
      <c r="E1908" t="s">
        <v>12692</v>
      </c>
    </row>
    <row r="1909" spans="1:5">
      <c r="A1909" t="s">
        <v>9868</v>
      </c>
      <c r="B1909" t="s">
        <v>12455</v>
      </c>
      <c r="C1909" t="s">
        <v>12412</v>
      </c>
      <c r="D1909" t="s">
        <v>12416</v>
      </c>
      <c r="E1909" t="s">
        <v>13630</v>
      </c>
    </row>
    <row r="1910" spans="1:5">
      <c r="A1910" t="s">
        <v>9873</v>
      </c>
      <c r="B1910" t="s">
        <v>12470</v>
      </c>
      <c r="C1910" t="s">
        <v>12499</v>
      </c>
      <c r="D1910" t="s">
        <v>10388</v>
      </c>
      <c r="E1910" t="s">
        <v>13631</v>
      </c>
    </row>
    <row r="1911" spans="1:5">
      <c r="A1911" t="s">
        <v>9878</v>
      </c>
      <c r="B1911" t="s">
        <v>12411</v>
      </c>
      <c r="C1911" t="s">
        <v>10369</v>
      </c>
      <c r="D1911" t="s">
        <v>12467</v>
      </c>
      <c r="E1911" t="s">
        <v>13632</v>
      </c>
    </row>
    <row r="1912" spans="1:5">
      <c r="A1912" t="s">
        <v>9883</v>
      </c>
      <c r="B1912" t="s">
        <v>12450</v>
      </c>
      <c r="C1912" t="s">
        <v>12419</v>
      </c>
      <c r="D1912" t="s">
        <v>12456</v>
      </c>
      <c r="E1912" t="s">
        <v>13354</v>
      </c>
    </row>
    <row r="1913" spans="1:5">
      <c r="A1913" t="s">
        <v>9888</v>
      </c>
      <c r="B1913" t="s">
        <v>12377</v>
      </c>
      <c r="C1913" t="s">
        <v>12397</v>
      </c>
      <c r="D1913" t="s">
        <v>12381</v>
      </c>
      <c r="E1913" t="s">
        <v>12776</v>
      </c>
    </row>
    <row r="1914" spans="1:5">
      <c r="A1914" t="s">
        <v>9893</v>
      </c>
      <c r="B1914" t="s">
        <v>12403</v>
      </c>
      <c r="C1914" t="s">
        <v>12432</v>
      </c>
      <c r="D1914" t="s">
        <v>10381</v>
      </c>
      <c r="E1914" t="s">
        <v>13633</v>
      </c>
    </row>
    <row r="1915" spans="1:5">
      <c r="A1915" t="s">
        <v>9898</v>
      </c>
      <c r="B1915" t="s">
        <v>12512</v>
      </c>
      <c r="C1915" t="s">
        <v>12400</v>
      </c>
      <c r="D1915" t="s">
        <v>12413</v>
      </c>
      <c r="E1915" t="s">
        <v>13088</v>
      </c>
    </row>
    <row r="1916" spans="1:5">
      <c r="A1916" t="s">
        <v>9903</v>
      </c>
      <c r="B1916" t="s">
        <v>12459</v>
      </c>
      <c r="C1916" t="s">
        <v>12428</v>
      </c>
      <c r="D1916" t="s">
        <v>10388</v>
      </c>
      <c r="E1916" t="s">
        <v>13634</v>
      </c>
    </row>
    <row r="1917" spans="1:5">
      <c r="A1917" t="s">
        <v>9908</v>
      </c>
      <c r="B1917" t="s">
        <v>12503</v>
      </c>
      <c r="C1917" t="s">
        <v>12400</v>
      </c>
      <c r="D1917" t="s">
        <v>12401</v>
      </c>
      <c r="E1917" t="s">
        <v>12702</v>
      </c>
    </row>
    <row r="1918" spans="1:5">
      <c r="A1918" t="s">
        <v>9913</v>
      </c>
      <c r="B1918" t="s">
        <v>12470</v>
      </c>
      <c r="C1918" t="s">
        <v>12446</v>
      </c>
      <c r="D1918" t="s">
        <v>10388</v>
      </c>
      <c r="E1918" t="s">
        <v>13635</v>
      </c>
    </row>
    <row r="1919" spans="1:5">
      <c r="A1919" t="s">
        <v>9918</v>
      </c>
      <c r="B1919" t="s">
        <v>12396</v>
      </c>
      <c r="C1919" t="s">
        <v>12397</v>
      </c>
      <c r="D1919" t="s">
        <v>10376</v>
      </c>
      <c r="E1919" t="s">
        <v>13348</v>
      </c>
    </row>
    <row r="1920" spans="1:5">
      <c r="A1920" t="s">
        <v>9923</v>
      </c>
      <c r="B1920" t="s">
        <v>12421</v>
      </c>
      <c r="C1920" t="s">
        <v>12407</v>
      </c>
      <c r="D1920" t="s">
        <v>10388</v>
      </c>
      <c r="E1920" t="s">
        <v>12896</v>
      </c>
    </row>
    <row r="1921" spans="1:5">
      <c r="A1921" t="s">
        <v>9928</v>
      </c>
      <c r="B1921" t="s">
        <v>12377</v>
      </c>
      <c r="C1921" t="s">
        <v>10369</v>
      </c>
      <c r="D1921" t="s">
        <v>12416</v>
      </c>
      <c r="E1921" t="s">
        <v>13152</v>
      </c>
    </row>
    <row r="1922" spans="1:5">
      <c r="A1922" t="s">
        <v>9933</v>
      </c>
      <c r="B1922" t="s">
        <v>12391</v>
      </c>
      <c r="C1922" t="s">
        <v>12392</v>
      </c>
      <c r="D1922" t="s">
        <v>10381</v>
      </c>
      <c r="E1922" t="s">
        <v>12595</v>
      </c>
    </row>
    <row r="1923" spans="1:5">
      <c r="A1923" t="s">
        <v>9938</v>
      </c>
      <c r="B1923" t="s">
        <v>12394</v>
      </c>
      <c r="C1923" t="s">
        <v>12412</v>
      </c>
      <c r="D1923" t="s">
        <v>12456</v>
      </c>
      <c r="E1923" t="s">
        <v>12469</v>
      </c>
    </row>
    <row r="1924" spans="1:5">
      <c r="A1924" t="s">
        <v>9943</v>
      </c>
      <c r="B1924" t="s">
        <v>12525</v>
      </c>
      <c r="C1924" t="s">
        <v>12409</v>
      </c>
      <c r="D1924" t="s">
        <v>10388</v>
      </c>
      <c r="E1924" t="s">
        <v>13178</v>
      </c>
    </row>
    <row r="1925" spans="1:5">
      <c r="A1925" t="s">
        <v>9948</v>
      </c>
      <c r="B1925" t="s">
        <v>12386</v>
      </c>
      <c r="C1925" t="s">
        <v>10369</v>
      </c>
      <c r="D1925" t="s">
        <v>12413</v>
      </c>
      <c r="E1925" t="s">
        <v>13636</v>
      </c>
    </row>
    <row r="1926" spans="1:5">
      <c r="A1926" t="s">
        <v>9953</v>
      </c>
      <c r="B1926" t="s">
        <v>12459</v>
      </c>
      <c r="C1926" t="s">
        <v>12499</v>
      </c>
      <c r="D1926" t="s">
        <v>10388</v>
      </c>
      <c r="E1926" t="s">
        <v>13637</v>
      </c>
    </row>
    <row r="1927" spans="1:5">
      <c r="A1927" t="s">
        <v>9958</v>
      </c>
      <c r="B1927" t="s">
        <v>12418</v>
      </c>
      <c r="C1927" t="s">
        <v>12392</v>
      </c>
      <c r="D1927" t="s">
        <v>12467</v>
      </c>
      <c r="E1927" t="s">
        <v>13638</v>
      </c>
    </row>
    <row r="1928" spans="1:5">
      <c r="A1928" t="s">
        <v>9963</v>
      </c>
      <c r="B1928" t="s">
        <v>12406</v>
      </c>
      <c r="C1928" t="s">
        <v>12400</v>
      </c>
      <c r="D1928" t="s">
        <v>12416</v>
      </c>
      <c r="E1928" t="s">
        <v>13498</v>
      </c>
    </row>
    <row r="1929" spans="1:5">
      <c r="A1929" t="s">
        <v>9968</v>
      </c>
      <c r="B1929" t="s">
        <v>12380</v>
      </c>
      <c r="C1929" t="s">
        <v>12428</v>
      </c>
      <c r="D1929" t="s">
        <v>10388</v>
      </c>
      <c r="E1929" t="s">
        <v>13455</v>
      </c>
    </row>
    <row r="1930" spans="1:5">
      <c r="A1930" t="s">
        <v>9973</v>
      </c>
      <c r="B1930" t="s">
        <v>12459</v>
      </c>
      <c r="C1930" t="s">
        <v>12463</v>
      </c>
      <c r="D1930" t="s">
        <v>12413</v>
      </c>
      <c r="E1930" t="s">
        <v>13639</v>
      </c>
    </row>
    <row r="1931" spans="1:5">
      <c r="A1931" t="s">
        <v>9978</v>
      </c>
      <c r="B1931" t="s">
        <v>12450</v>
      </c>
      <c r="C1931" t="s">
        <v>12378</v>
      </c>
      <c r="D1931" t="s">
        <v>10388</v>
      </c>
      <c r="E1931" t="s">
        <v>13061</v>
      </c>
    </row>
    <row r="1932" spans="1:5">
      <c r="A1932" t="s">
        <v>9983</v>
      </c>
      <c r="B1932" t="s">
        <v>12461</v>
      </c>
      <c r="C1932" t="s">
        <v>12428</v>
      </c>
      <c r="D1932" t="s">
        <v>10388</v>
      </c>
      <c r="E1932" t="s">
        <v>13640</v>
      </c>
    </row>
    <row r="1933" spans="1:5">
      <c r="A1933" t="s">
        <v>9988</v>
      </c>
      <c r="B1933" t="s">
        <v>12426</v>
      </c>
      <c r="C1933" t="s">
        <v>12474</v>
      </c>
      <c r="D1933" t="s">
        <v>10388</v>
      </c>
      <c r="E1933" t="s">
        <v>12751</v>
      </c>
    </row>
    <row r="1934" spans="1:5">
      <c r="A1934" t="s">
        <v>9993</v>
      </c>
      <c r="B1934" t="s">
        <v>12461</v>
      </c>
      <c r="C1934" t="s">
        <v>12463</v>
      </c>
      <c r="D1934" t="s">
        <v>10381</v>
      </c>
      <c r="E1934" t="s">
        <v>13068</v>
      </c>
    </row>
    <row r="1935" spans="1:5">
      <c r="A1935" t="s">
        <v>9998</v>
      </c>
      <c r="B1935" t="s">
        <v>12411</v>
      </c>
      <c r="C1935" t="s">
        <v>12419</v>
      </c>
      <c r="D1935" t="s">
        <v>10376</v>
      </c>
      <c r="E1935" t="s">
        <v>13398</v>
      </c>
    </row>
    <row r="1936" spans="1:5">
      <c r="A1936" t="s">
        <v>10003</v>
      </c>
      <c r="B1936" t="s">
        <v>12424</v>
      </c>
      <c r="C1936" t="s">
        <v>12432</v>
      </c>
      <c r="D1936" t="s">
        <v>12437</v>
      </c>
      <c r="E1936" t="s">
        <v>13620</v>
      </c>
    </row>
    <row r="1937" spans="1:5">
      <c r="A1937" t="s">
        <v>10008</v>
      </c>
      <c r="B1937" t="s">
        <v>12470</v>
      </c>
      <c r="C1937" t="s">
        <v>12392</v>
      </c>
      <c r="D1937" t="s">
        <v>12437</v>
      </c>
      <c r="E1937" t="s">
        <v>13058</v>
      </c>
    </row>
    <row r="1938" spans="1:5">
      <c r="A1938" t="s">
        <v>10013</v>
      </c>
      <c r="B1938" t="s">
        <v>12399</v>
      </c>
      <c r="C1938" t="s">
        <v>12378</v>
      </c>
      <c r="D1938" t="s">
        <v>10388</v>
      </c>
      <c r="E1938" t="s">
        <v>13087</v>
      </c>
    </row>
    <row r="1939" spans="1:5">
      <c r="A1939" t="s">
        <v>10018</v>
      </c>
      <c r="B1939" t="s">
        <v>12491</v>
      </c>
      <c r="C1939" t="s">
        <v>12499</v>
      </c>
      <c r="D1939" t="s">
        <v>10388</v>
      </c>
      <c r="E1939" t="s">
        <v>12567</v>
      </c>
    </row>
    <row r="1940" spans="1:5">
      <c r="A1940" t="s">
        <v>10023</v>
      </c>
      <c r="B1940" t="s">
        <v>12383</v>
      </c>
      <c r="C1940" t="s">
        <v>12493</v>
      </c>
      <c r="D1940" t="s">
        <v>10388</v>
      </c>
      <c r="E1940" t="s">
        <v>13641</v>
      </c>
    </row>
    <row r="1941" spans="1:5">
      <c r="A1941" t="s">
        <v>10028</v>
      </c>
      <c r="B1941" t="s">
        <v>12459</v>
      </c>
      <c r="C1941" t="s">
        <v>12407</v>
      </c>
      <c r="D1941" t="s">
        <v>10388</v>
      </c>
      <c r="E1941" t="s">
        <v>13642</v>
      </c>
    </row>
    <row r="1942" spans="1:5">
      <c r="A1942" t="s">
        <v>10033</v>
      </c>
      <c r="B1942" t="s">
        <v>12424</v>
      </c>
      <c r="C1942" t="s">
        <v>12389</v>
      </c>
      <c r="D1942" t="s">
        <v>10388</v>
      </c>
      <c r="E1942" t="s">
        <v>13592</v>
      </c>
    </row>
    <row r="1943" spans="1:5">
      <c r="A1943" t="s">
        <v>10038</v>
      </c>
      <c r="B1943" t="s">
        <v>12421</v>
      </c>
      <c r="C1943" t="s">
        <v>12400</v>
      </c>
      <c r="D1943" t="s">
        <v>12381</v>
      </c>
      <c r="E1943" t="s">
        <v>13182</v>
      </c>
    </row>
    <row r="1944" spans="1:5">
      <c r="A1944" t="s">
        <v>10043</v>
      </c>
      <c r="B1944" t="s">
        <v>12461</v>
      </c>
      <c r="C1944" t="s">
        <v>12474</v>
      </c>
      <c r="D1944" t="s">
        <v>10388</v>
      </c>
      <c r="E1944" t="s">
        <v>13311</v>
      </c>
    </row>
    <row r="1945" spans="1:5">
      <c r="A1945" t="s">
        <v>10048</v>
      </c>
      <c r="B1945" t="s">
        <v>12470</v>
      </c>
      <c r="C1945" t="s">
        <v>12407</v>
      </c>
      <c r="D1945" t="s">
        <v>10388</v>
      </c>
      <c r="E1945" t="s">
        <v>12962</v>
      </c>
    </row>
    <row r="1946" spans="1:5">
      <c r="A1946" t="s">
        <v>10053</v>
      </c>
      <c r="B1946" t="s">
        <v>12525</v>
      </c>
      <c r="C1946" t="s">
        <v>12389</v>
      </c>
      <c r="D1946" t="s">
        <v>10388</v>
      </c>
      <c r="E1946" t="s">
        <v>13643</v>
      </c>
    </row>
    <row r="1947" spans="1:5">
      <c r="A1947" t="s">
        <v>10058</v>
      </c>
      <c r="B1947" t="s">
        <v>12380</v>
      </c>
      <c r="C1947" t="s">
        <v>12474</v>
      </c>
      <c r="D1947" t="s">
        <v>10388</v>
      </c>
      <c r="E1947" t="s">
        <v>13036</v>
      </c>
    </row>
    <row r="1948" spans="1:5">
      <c r="A1948" t="s">
        <v>10063</v>
      </c>
      <c r="B1948" t="s">
        <v>12563</v>
      </c>
      <c r="C1948" t="s">
        <v>12499</v>
      </c>
      <c r="D1948" t="s">
        <v>10388</v>
      </c>
      <c r="E1948" t="s">
        <v>12951</v>
      </c>
    </row>
    <row r="1949" spans="1:5">
      <c r="A1949" t="s">
        <v>10068</v>
      </c>
      <c r="B1949" t="s">
        <v>12525</v>
      </c>
      <c r="C1949" t="s">
        <v>12392</v>
      </c>
      <c r="D1949" t="s">
        <v>10402</v>
      </c>
      <c r="E1949" t="s">
        <v>12536</v>
      </c>
    </row>
    <row r="1950" spans="1:5">
      <c r="A1950" t="s">
        <v>10073</v>
      </c>
      <c r="B1950" t="s">
        <v>12442</v>
      </c>
      <c r="C1950" t="s">
        <v>12384</v>
      </c>
      <c r="D1950" t="s">
        <v>12381</v>
      </c>
      <c r="E1950" t="s">
        <v>12963</v>
      </c>
    </row>
    <row r="1951" spans="1:5">
      <c r="A1951" t="s">
        <v>10078</v>
      </c>
      <c r="B1951" t="s">
        <v>12491</v>
      </c>
      <c r="C1951" t="s">
        <v>12493</v>
      </c>
      <c r="D1951" t="s">
        <v>10388</v>
      </c>
      <c r="E1951" t="s">
        <v>12848</v>
      </c>
    </row>
    <row r="1952" spans="1:5">
      <c r="A1952" t="s">
        <v>10083</v>
      </c>
      <c r="B1952" t="s">
        <v>12470</v>
      </c>
      <c r="C1952" t="s">
        <v>12463</v>
      </c>
      <c r="D1952" t="s">
        <v>12381</v>
      </c>
      <c r="E1952" t="s">
        <v>13644</v>
      </c>
    </row>
    <row r="1953" spans="1:5">
      <c r="A1953" t="s">
        <v>10088</v>
      </c>
      <c r="B1953" t="s">
        <v>12477</v>
      </c>
      <c r="C1953" t="s">
        <v>12409</v>
      </c>
      <c r="D1953" t="s">
        <v>10388</v>
      </c>
      <c r="E1953" t="s">
        <v>13645</v>
      </c>
    </row>
    <row r="1954" spans="1:5">
      <c r="A1954" t="s">
        <v>10093</v>
      </c>
      <c r="B1954" t="s">
        <v>12424</v>
      </c>
      <c r="C1954" t="s">
        <v>12392</v>
      </c>
      <c r="D1954" t="s">
        <v>12456</v>
      </c>
      <c r="E1954" t="s">
        <v>12659</v>
      </c>
    </row>
    <row r="1955" spans="1:5">
      <c r="A1955" t="s">
        <v>10098</v>
      </c>
      <c r="B1955" t="s">
        <v>12491</v>
      </c>
      <c r="C1955" t="s">
        <v>12474</v>
      </c>
      <c r="D1955" t="s">
        <v>10388</v>
      </c>
      <c r="E1955" t="s">
        <v>13646</v>
      </c>
    </row>
    <row r="1956" spans="1:5">
      <c r="A1956" t="s">
        <v>10103</v>
      </c>
      <c r="B1956" t="s">
        <v>12439</v>
      </c>
      <c r="C1956" t="s">
        <v>12499</v>
      </c>
      <c r="D1956" t="s">
        <v>10388</v>
      </c>
      <c r="E1956" t="s">
        <v>13528</v>
      </c>
    </row>
    <row r="1957" spans="1:5">
      <c r="A1957" t="s">
        <v>10108</v>
      </c>
      <c r="B1957" t="s">
        <v>12424</v>
      </c>
      <c r="C1957" t="s">
        <v>12392</v>
      </c>
      <c r="D1957" t="s">
        <v>12401</v>
      </c>
      <c r="E1957" t="s">
        <v>13647</v>
      </c>
    </row>
    <row r="1958" spans="1:5">
      <c r="A1958" t="s">
        <v>10113</v>
      </c>
      <c r="B1958" t="s">
        <v>12426</v>
      </c>
      <c r="C1958" t="s">
        <v>12499</v>
      </c>
      <c r="D1958" t="s">
        <v>10388</v>
      </c>
      <c r="E1958" t="s">
        <v>12967</v>
      </c>
    </row>
    <row r="1959" spans="1:5">
      <c r="A1959" t="s">
        <v>10118</v>
      </c>
      <c r="B1959" t="s">
        <v>12455</v>
      </c>
      <c r="C1959" t="s">
        <v>12499</v>
      </c>
      <c r="D1959" t="s">
        <v>10388</v>
      </c>
      <c r="E1959" t="s">
        <v>13419</v>
      </c>
    </row>
    <row r="1960" spans="1:5">
      <c r="A1960" t="s">
        <v>10123</v>
      </c>
      <c r="B1960" t="s">
        <v>12445</v>
      </c>
      <c r="C1960" t="s">
        <v>12415</v>
      </c>
      <c r="D1960" t="s">
        <v>12401</v>
      </c>
      <c r="E1960" t="s">
        <v>13381</v>
      </c>
    </row>
    <row r="1961" spans="1:5">
      <c r="A1961" t="s">
        <v>10128</v>
      </c>
      <c r="B1961" t="s">
        <v>12503</v>
      </c>
      <c r="C1961" t="s">
        <v>12428</v>
      </c>
      <c r="D1961" t="s">
        <v>10388</v>
      </c>
      <c r="E1961" t="s">
        <v>12944</v>
      </c>
    </row>
    <row r="1962" spans="1:5">
      <c r="A1962" t="s">
        <v>10133</v>
      </c>
      <c r="B1962" t="s">
        <v>12388</v>
      </c>
      <c r="C1962" t="s">
        <v>12446</v>
      </c>
      <c r="D1962" t="s">
        <v>10388</v>
      </c>
      <c r="E1962" t="s">
        <v>12865</v>
      </c>
    </row>
    <row r="1963" spans="1:5">
      <c r="A1963" t="s">
        <v>10138</v>
      </c>
      <c r="B1963" t="s">
        <v>12383</v>
      </c>
      <c r="C1963" t="s">
        <v>10369</v>
      </c>
      <c r="D1963" t="s">
        <v>12416</v>
      </c>
      <c r="E1963" t="s">
        <v>13648</v>
      </c>
    </row>
    <row r="1964" spans="1:5">
      <c r="A1964" t="s">
        <v>10143</v>
      </c>
      <c r="B1964" t="s">
        <v>12445</v>
      </c>
      <c r="C1964" t="s">
        <v>12428</v>
      </c>
      <c r="D1964" t="s">
        <v>10388</v>
      </c>
      <c r="E1964" t="s">
        <v>13258</v>
      </c>
    </row>
    <row r="1965" spans="1:5">
      <c r="A1965" t="s">
        <v>10148</v>
      </c>
      <c r="B1965" t="s">
        <v>12430</v>
      </c>
      <c r="C1965" t="s">
        <v>12400</v>
      </c>
      <c r="D1965" t="s">
        <v>12416</v>
      </c>
      <c r="E1965" t="s">
        <v>13649</v>
      </c>
    </row>
    <row r="1966" spans="1:5">
      <c r="A1966" t="s">
        <v>10153</v>
      </c>
      <c r="B1966" t="s">
        <v>12377</v>
      </c>
      <c r="C1966" t="s">
        <v>12412</v>
      </c>
      <c r="D1966" t="s">
        <v>10381</v>
      </c>
      <c r="E1966" t="s">
        <v>13650</v>
      </c>
    </row>
    <row r="1967" spans="1:5">
      <c r="A1967" t="s">
        <v>10158</v>
      </c>
      <c r="B1967" t="s">
        <v>12436</v>
      </c>
      <c r="C1967" t="s">
        <v>12409</v>
      </c>
      <c r="D1967" t="s">
        <v>10388</v>
      </c>
      <c r="E1967" t="s">
        <v>13180</v>
      </c>
    </row>
    <row r="1968" spans="1:5">
      <c r="A1968" t="s">
        <v>10163</v>
      </c>
      <c r="B1968" t="s">
        <v>12459</v>
      </c>
      <c r="C1968" t="s">
        <v>12378</v>
      </c>
      <c r="D1968" t="s">
        <v>10388</v>
      </c>
      <c r="E1968" t="s">
        <v>12775</v>
      </c>
    </row>
    <row r="1969" spans="1:5">
      <c r="A1969" t="s">
        <v>10168</v>
      </c>
      <c r="B1969" t="s">
        <v>12411</v>
      </c>
      <c r="C1969" t="s">
        <v>12397</v>
      </c>
      <c r="D1969" t="s">
        <v>12456</v>
      </c>
      <c r="E1969" t="s">
        <v>12507</v>
      </c>
    </row>
    <row r="1970" spans="1:5">
      <c r="A1970" t="s">
        <v>10173</v>
      </c>
      <c r="B1970" t="s">
        <v>12503</v>
      </c>
      <c r="C1970" t="s">
        <v>12415</v>
      </c>
      <c r="D1970" t="s">
        <v>12401</v>
      </c>
      <c r="E1970" t="s">
        <v>12553</v>
      </c>
    </row>
    <row r="1971" spans="1:5">
      <c r="A1971" t="s">
        <v>10178</v>
      </c>
      <c r="B1971" t="s">
        <v>12512</v>
      </c>
      <c r="C1971" t="s">
        <v>12397</v>
      </c>
      <c r="D1971" t="s">
        <v>12401</v>
      </c>
      <c r="E1971" t="s">
        <v>13146</v>
      </c>
    </row>
    <row r="1972" spans="1:5">
      <c r="A1972" t="s">
        <v>10183</v>
      </c>
      <c r="B1972" t="s">
        <v>12411</v>
      </c>
      <c r="C1972" t="s">
        <v>12474</v>
      </c>
      <c r="D1972" t="s">
        <v>10388</v>
      </c>
      <c r="E1972" t="s">
        <v>12638</v>
      </c>
    </row>
    <row r="1973" spans="1:5">
      <c r="A1973" t="s">
        <v>10188</v>
      </c>
      <c r="B1973" t="s">
        <v>12377</v>
      </c>
      <c r="C1973" t="s">
        <v>12499</v>
      </c>
      <c r="D1973" t="s">
        <v>10388</v>
      </c>
      <c r="E1973" t="s">
        <v>13651</v>
      </c>
    </row>
    <row r="1974" spans="1:5">
      <c r="A1974" t="s">
        <v>10193</v>
      </c>
      <c r="B1974" t="s">
        <v>12491</v>
      </c>
      <c r="C1974" t="s">
        <v>12432</v>
      </c>
      <c r="D1974" t="s">
        <v>12401</v>
      </c>
      <c r="E1974" t="s">
        <v>12754</v>
      </c>
    </row>
    <row r="1975" spans="1:5">
      <c r="A1975" t="s">
        <v>10198</v>
      </c>
      <c r="B1975" t="s">
        <v>12565</v>
      </c>
      <c r="C1975" t="s">
        <v>12397</v>
      </c>
      <c r="D1975" t="s">
        <v>12437</v>
      </c>
      <c r="E1975" t="s">
        <v>13652</v>
      </c>
    </row>
    <row r="1976" spans="1:5">
      <c r="A1976" t="s">
        <v>10203</v>
      </c>
      <c r="B1976" t="s">
        <v>12491</v>
      </c>
      <c r="C1976" t="s">
        <v>12440</v>
      </c>
      <c r="D1976" t="s">
        <v>10388</v>
      </c>
      <c r="E1976" t="s">
        <v>12438</v>
      </c>
    </row>
    <row r="1977" spans="1:5">
      <c r="A1977" t="s">
        <v>10208</v>
      </c>
      <c r="B1977" t="s">
        <v>12459</v>
      </c>
      <c r="C1977" t="s">
        <v>12463</v>
      </c>
      <c r="D1977" t="s">
        <v>12456</v>
      </c>
      <c r="E1977" t="s">
        <v>13653</v>
      </c>
    </row>
    <row r="1978" spans="1:5">
      <c r="A1978" t="s">
        <v>10213</v>
      </c>
      <c r="B1978" t="s">
        <v>12508</v>
      </c>
      <c r="C1978" t="s">
        <v>12428</v>
      </c>
      <c r="D1978" t="s">
        <v>10388</v>
      </c>
      <c r="E1978" t="s">
        <v>13654</v>
      </c>
    </row>
    <row r="1979" spans="1:5">
      <c r="A1979" t="s">
        <v>10218</v>
      </c>
      <c r="B1979" t="s">
        <v>12430</v>
      </c>
      <c r="C1979" t="s">
        <v>12400</v>
      </c>
      <c r="D1979" t="s">
        <v>12467</v>
      </c>
      <c r="E1979" t="s">
        <v>12994</v>
      </c>
    </row>
    <row r="1980" spans="1:5">
      <c r="A1980" t="s">
        <v>10223</v>
      </c>
      <c r="B1980" t="s">
        <v>12552</v>
      </c>
      <c r="C1980" t="s">
        <v>12432</v>
      </c>
      <c r="D1980" t="s">
        <v>12413</v>
      </c>
      <c r="E1980" t="s">
        <v>12699</v>
      </c>
    </row>
    <row r="1981" spans="1:5">
      <c r="A1981" t="s">
        <v>10228</v>
      </c>
      <c r="B1981" t="s">
        <v>12445</v>
      </c>
      <c r="C1981" t="s">
        <v>12419</v>
      </c>
      <c r="D1981" t="s">
        <v>10381</v>
      </c>
      <c r="E1981" t="s">
        <v>13655</v>
      </c>
    </row>
    <row r="1982" spans="1:5">
      <c r="A1982" t="s">
        <v>10233</v>
      </c>
      <c r="B1982" t="s">
        <v>12411</v>
      </c>
      <c r="C1982" t="s">
        <v>12412</v>
      </c>
      <c r="D1982" t="s">
        <v>12401</v>
      </c>
      <c r="E1982" t="s">
        <v>13656</v>
      </c>
    </row>
    <row r="1983" spans="1:5">
      <c r="A1983" t="s">
        <v>10238</v>
      </c>
      <c r="B1983" t="s">
        <v>12453</v>
      </c>
      <c r="C1983" t="s">
        <v>12463</v>
      </c>
      <c r="D1983" t="s">
        <v>12437</v>
      </c>
      <c r="E1983" t="s">
        <v>12431</v>
      </c>
    </row>
    <row r="1984" spans="1:5">
      <c r="A1984" t="s">
        <v>10243</v>
      </c>
      <c r="B1984" t="s">
        <v>12406</v>
      </c>
      <c r="C1984" t="s">
        <v>12463</v>
      </c>
      <c r="D1984" t="s">
        <v>12413</v>
      </c>
      <c r="E1984" t="s">
        <v>13654</v>
      </c>
    </row>
    <row r="1985" spans="1:5">
      <c r="A1985" t="s">
        <v>10248</v>
      </c>
      <c r="B1985" t="s">
        <v>12396</v>
      </c>
      <c r="C1985" t="s">
        <v>12499</v>
      </c>
      <c r="D1985" t="s">
        <v>10388</v>
      </c>
      <c r="E1985" t="s">
        <v>13657</v>
      </c>
    </row>
    <row r="1986" spans="1:5">
      <c r="A1986" t="s">
        <v>10253</v>
      </c>
      <c r="B1986" t="s">
        <v>12396</v>
      </c>
      <c r="C1986" t="s">
        <v>12400</v>
      </c>
      <c r="D1986" t="s">
        <v>12381</v>
      </c>
      <c r="E1986" t="s">
        <v>12500</v>
      </c>
    </row>
    <row r="1987" spans="1:5">
      <c r="A1987" t="s">
        <v>10258</v>
      </c>
      <c r="B1987" t="s">
        <v>12426</v>
      </c>
      <c r="C1987" t="s">
        <v>12400</v>
      </c>
      <c r="D1987" t="s">
        <v>12401</v>
      </c>
      <c r="E1987" t="s">
        <v>13183</v>
      </c>
    </row>
    <row r="1988" spans="1:5">
      <c r="A1988" t="s">
        <v>10263</v>
      </c>
      <c r="B1988" t="s">
        <v>12525</v>
      </c>
      <c r="C1988" t="s">
        <v>12463</v>
      </c>
      <c r="D1988" t="s">
        <v>12413</v>
      </c>
      <c r="E1988" t="s">
        <v>13290</v>
      </c>
    </row>
    <row r="1989" spans="1:5">
      <c r="A1989" t="s">
        <v>10268</v>
      </c>
      <c r="B1989" t="s">
        <v>12377</v>
      </c>
      <c r="C1989" t="s">
        <v>12412</v>
      </c>
      <c r="D1989" t="s">
        <v>12381</v>
      </c>
      <c r="E1989" t="s">
        <v>13634</v>
      </c>
    </row>
    <row r="1990" spans="1:5">
      <c r="A1990" t="s">
        <v>10273</v>
      </c>
      <c r="B1990" t="s">
        <v>12377</v>
      </c>
      <c r="C1990" t="s">
        <v>12493</v>
      </c>
      <c r="D1990" t="s">
        <v>10388</v>
      </c>
      <c r="E1990" t="s">
        <v>12736</v>
      </c>
    </row>
    <row r="1991" spans="1:5">
      <c r="A1991" t="s">
        <v>10278</v>
      </c>
      <c r="B1991" t="s">
        <v>12386</v>
      </c>
      <c r="C1991" t="s">
        <v>12474</v>
      </c>
      <c r="D1991" t="s">
        <v>10388</v>
      </c>
      <c r="E1991" t="s">
        <v>13531</v>
      </c>
    </row>
    <row r="1992" spans="1:5">
      <c r="A1992" t="s">
        <v>10283</v>
      </c>
      <c r="B1992" t="s">
        <v>12470</v>
      </c>
      <c r="C1992" t="s">
        <v>12463</v>
      </c>
      <c r="D1992" t="s">
        <v>12413</v>
      </c>
      <c r="E1992" t="s">
        <v>13379</v>
      </c>
    </row>
    <row r="1993" spans="1:5">
      <c r="A1993" t="s">
        <v>10288</v>
      </c>
      <c r="B1993" t="s">
        <v>12455</v>
      </c>
      <c r="C1993" t="s">
        <v>12378</v>
      </c>
      <c r="D1993" t="s">
        <v>10388</v>
      </c>
      <c r="E1993" t="s">
        <v>12706</v>
      </c>
    </row>
    <row r="1994" spans="1:5">
      <c r="A1994" t="s">
        <v>10293</v>
      </c>
      <c r="B1994" t="s">
        <v>12380</v>
      </c>
      <c r="C1994" t="s">
        <v>12384</v>
      </c>
      <c r="D1994" t="s">
        <v>12413</v>
      </c>
      <c r="E1994" t="s">
        <v>13658</v>
      </c>
    </row>
    <row r="1995" spans="1:5">
      <c r="A1995" t="s">
        <v>10298</v>
      </c>
      <c r="B1995" t="s">
        <v>12512</v>
      </c>
      <c r="C1995" t="s">
        <v>12440</v>
      </c>
      <c r="D1995" t="s">
        <v>10388</v>
      </c>
      <c r="E1995" t="s">
        <v>13231</v>
      </c>
    </row>
    <row r="1996" spans="1:5">
      <c r="A1996" t="s">
        <v>10303</v>
      </c>
      <c r="B1996" t="s">
        <v>12461</v>
      </c>
      <c r="C1996" t="s">
        <v>12440</v>
      </c>
      <c r="D1996" t="s">
        <v>10388</v>
      </c>
      <c r="E1996" t="s">
        <v>13408</v>
      </c>
    </row>
    <row r="1997" spans="1:5">
      <c r="A1997" t="s">
        <v>10308</v>
      </c>
      <c r="B1997" t="s">
        <v>12403</v>
      </c>
      <c r="C1997" t="s">
        <v>12412</v>
      </c>
      <c r="D1997" t="s">
        <v>10381</v>
      </c>
      <c r="E1997" t="s">
        <v>13110</v>
      </c>
    </row>
    <row r="1998" spans="1:5">
      <c r="A1998" t="s">
        <v>10313</v>
      </c>
      <c r="B1998" t="s">
        <v>12552</v>
      </c>
      <c r="C1998" t="s">
        <v>12407</v>
      </c>
      <c r="D1998" t="s">
        <v>10388</v>
      </c>
      <c r="E1998" t="s">
        <v>13659</v>
      </c>
    </row>
    <row r="1999" spans="1:5">
      <c r="A1999" t="s">
        <v>10318</v>
      </c>
      <c r="B1999" t="s">
        <v>12512</v>
      </c>
      <c r="C1999" t="s">
        <v>12412</v>
      </c>
      <c r="D1999" t="s">
        <v>12381</v>
      </c>
      <c r="E1999" t="s">
        <v>13248</v>
      </c>
    </row>
    <row r="2000" spans="1:5">
      <c r="A2000" t="s">
        <v>10323</v>
      </c>
      <c r="B2000" t="s">
        <v>12525</v>
      </c>
      <c r="C2000" t="s">
        <v>12440</v>
      </c>
      <c r="D2000" t="s">
        <v>10388</v>
      </c>
      <c r="E2000" t="s">
        <v>13660</v>
      </c>
    </row>
    <row r="2001" spans="1:5">
      <c r="A2001" t="s">
        <v>10328</v>
      </c>
      <c r="B2001" t="s">
        <v>12430</v>
      </c>
      <c r="C2001" t="s">
        <v>10369</v>
      </c>
      <c r="D2001" t="s">
        <v>12467</v>
      </c>
      <c r="E2001" t="s">
        <v>13661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HotelBookings</vt:lpstr>
      <vt:lpstr>Room</vt:lpstr>
      <vt:lpstr>Date</vt:lpstr>
      <vt:lpstr>Customer</vt:lpstr>
      <vt:lpstr>HotelBranch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raipurkar</cp:lastModifiedBy>
  <dcterms:created xsi:type="dcterms:W3CDTF">2025-10-23T05:43:00Z</dcterms:created>
  <dcterms:modified xsi:type="dcterms:W3CDTF">2025-10-25T08:00:41Z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9303F25A5F4F4FF8B31FC95FAAA5F534_13</vt:lpwstr>
  </property>
  <property fmtid="{D5CDD505-2E9C-101B-9397-08002B2CF9AE}" pid="3" name="KSOProductBuildVer">
    <vt:lpwstr>1033-12.2.0.23131</vt:lpwstr>
  </property>
</Properties>
</file>